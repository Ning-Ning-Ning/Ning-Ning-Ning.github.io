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S:\TCL光伏科技\4、培训\"/>
    </mc:Choice>
  </mc:AlternateContent>
  <xr:revisionPtr revIDLastSave="0" documentId="13_ncr:1_{546825A6-7C79-4604-AF93-5206137C7A70}" xr6:coauthVersionLast="47" xr6:coauthVersionMax="47" xr10:uidLastSave="{00000000-0000-0000-0000-000000000000}"/>
  <bookViews>
    <workbookView xWindow="1500" yWindow="525" windowWidth="19770" windowHeight="14775" tabRatio="639" xr2:uid="{00000000-000D-0000-FFFF-FFFF00000000}"/>
  </bookViews>
  <sheets>
    <sheet name="月度汇总" sheetId="1" r:id="rId1"/>
    <sheet name="维护-日期" sheetId="10" r:id="rId2"/>
    <sheet name="计算过程-数据汇总" sheetId="3" r:id="rId3"/>
    <sheet name="持仓数据" sheetId="5" r:id="rId4"/>
    <sheet name="交易记录" sheetId="7" r:id="rId5"/>
  </sheets>
  <definedNames>
    <definedName name="_xlnm._FilterDatabase" localSheetId="4" hidden="1">交易记录!$A$1:$AO$961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5" l="1"/>
  <c r="F31" i="5"/>
  <c r="B2" i="10" a="1"/>
  <c r="B2" i="10" s="1"/>
  <c r="A451" i="7"/>
  <c r="A450" i="7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38" i="5"/>
  <c r="C34" i="5" a="1"/>
  <c r="C34" i="5" s="1"/>
  <c r="R30" i="7"/>
  <c r="AF30" i="7"/>
  <c r="I30" i="7"/>
  <c r="J30" i="7"/>
  <c r="K30" i="7"/>
  <c r="L30" i="7"/>
  <c r="M30" i="7"/>
  <c r="N30" i="7"/>
  <c r="O30" i="7"/>
  <c r="P30" i="7"/>
  <c r="W30" i="7"/>
  <c r="X30" i="7"/>
  <c r="Y30" i="7"/>
  <c r="Z30" i="7"/>
  <c r="AA30" i="7"/>
  <c r="AB30" i="7"/>
  <c r="AC30" i="7"/>
  <c r="AD30" i="7"/>
  <c r="H30" i="7"/>
  <c r="V30" i="7"/>
  <c r="F30" i="7"/>
  <c r="G30" i="7"/>
  <c r="S30" i="7"/>
  <c r="T30" i="7"/>
  <c r="U30" i="7"/>
  <c r="AG30" i="7"/>
  <c r="AH30" i="7"/>
  <c r="Q30" i="7"/>
  <c r="AE30" i="7"/>
  <c r="AH4" i="5"/>
  <c r="AH5" i="5"/>
  <c r="AH6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B63" i="5" l="1"/>
  <c r="K63" i="5"/>
  <c r="L63" i="5"/>
  <c r="E63" i="5"/>
  <c r="AA63" i="5"/>
  <c r="M63" i="5"/>
  <c r="AC63" i="5"/>
  <c r="AE63" i="5"/>
  <c r="Q63" i="5"/>
  <c r="N63" i="5"/>
  <c r="O63" i="5"/>
  <c r="AD63" i="5"/>
  <c r="P63" i="5"/>
  <c r="AF63" i="5"/>
  <c r="C63" i="5"/>
  <c r="T63" i="5"/>
  <c r="V63" i="5"/>
  <c r="X63" i="5"/>
  <c r="AG63" i="5"/>
  <c r="S63" i="5"/>
  <c r="U63" i="5"/>
  <c r="G63" i="5"/>
  <c r="W63" i="5"/>
  <c r="I63" i="5"/>
  <c r="Y63" i="5"/>
  <c r="F63" i="5"/>
  <c r="J63" i="5"/>
  <c r="D63" i="5"/>
  <c r="Z63" i="5"/>
  <c r="R63" i="5"/>
  <c r="H63" i="5"/>
  <c r="AU745" i="3"/>
  <c r="AT745" i="3"/>
  <c r="AU744" i="3"/>
  <c r="AT744" i="3"/>
  <c r="AU743" i="3"/>
  <c r="AT743" i="3"/>
  <c r="AU742" i="3"/>
  <c r="AT742" i="3"/>
  <c r="AU741" i="3"/>
  <c r="AT741" i="3"/>
  <c r="AU740" i="3"/>
  <c r="AT740" i="3"/>
  <c r="AU739" i="3"/>
  <c r="AT739" i="3"/>
  <c r="AU738" i="3"/>
  <c r="AT738" i="3"/>
  <c r="AU737" i="3"/>
  <c r="AT737" i="3"/>
  <c r="AU736" i="3"/>
  <c r="AT736" i="3"/>
  <c r="AU735" i="3"/>
  <c r="AT735" i="3"/>
  <c r="AU734" i="3"/>
  <c r="AT734" i="3"/>
  <c r="AU733" i="3"/>
  <c r="AT733" i="3"/>
  <c r="AU732" i="3"/>
  <c r="AT732" i="3"/>
  <c r="AU731" i="3"/>
  <c r="AT731" i="3"/>
  <c r="AU730" i="3"/>
  <c r="AT730" i="3"/>
  <c r="AU729" i="3"/>
  <c r="AT729" i="3"/>
  <c r="AU728" i="3"/>
  <c r="AT728" i="3"/>
  <c r="AU727" i="3"/>
  <c r="AT727" i="3"/>
  <c r="AU726" i="3"/>
  <c r="AT726" i="3"/>
  <c r="AU725" i="3"/>
  <c r="AT725" i="3"/>
  <c r="AU724" i="3"/>
  <c r="AT724" i="3"/>
  <c r="AU723" i="3"/>
  <c r="AT723" i="3"/>
  <c r="AU722" i="3"/>
  <c r="AT722" i="3"/>
  <c r="AU721" i="3"/>
  <c r="AT721" i="3"/>
  <c r="AU720" i="3"/>
  <c r="AT720" i="3"/>
  <c r="AU719" i="3"/>
  <c r="AT719" i="3"/>
  <c r="AU718" i="3"/>
  <c r="AT718" i="3"/>
  <c r="AU717" i="3"/>
  <c r="AT717" i="3"/>
  <c r="AU716" i="3"/>
  <c r="AT716" i="3"/>
  <c r="AU715" i="3"/>
  <c r="AT715" i="3"/>
  <c r="AU714" i="3"/>
  <c r="AT714" i="3"/>
  <c r="AU713" i="3"/>
  <c r="AT713" i="3"/>
  <c r="AU712" i="3"/>
  <c r="AT712" i="3"/>
  <c r="AU711" i="3"/>
  <c r="AT711" i="3"/>
  <c r="AU710" i="3"/>
  <c r="AT710" i="3"/>
  <c r="AU709" i="3"/>
  <c r="AT709" i="3"/>
  <c r="AU708" i="3"/>
  <c r="AT708" i="3"/>
  <c r="AU707" i="3"/>
  <c r="AT707" i="3"/>
  <c r="AU706" i="3"/>
  <c r="AT706" i="3"/>
  <c r="AU705" i="3"/>
  <c r="AT705" i="3"/>
  <c r="AU704" i="3"/>
  <c r="AT704" i="3"/>
  <c r="AU703" i="3"/>
  <c r="AT703" i="3"/>
  <c r="AU702" i="3"/>
  <c r="AT702" i="3"/>
  <c r="AU701" i="3"/>
  <c r="AT701" i="3"/>
  <c r="AU700" i="3"/>
  <c r="AT700" i="3"/>
  <c r="AU699" i="3"/>
  <c r="AT699" i="3"/>
  <c r="AU698" i="3"/>
  <c r="AT698" i="3"/>
  <c r="AU697" i="3"/>
  <c r="AT697" i="3"/>
  <c r="AU696" i="3"/>
  <c r="AT696" i="3"/>
  <c r="AU695" i="3"/>
  <c r="AT695" i="3"/>
  <c r="AU694" i="3"/>
  <c r="AT694" i="3"/>
  <c r="AU693" i="3"/>
  <c r="AT693" i="3"/>
  <c r="AU692" i="3"/>
  <c r="AT692" i="3"/>
  <c r="AU691" i="3"/>
  <c r="AT691" i="3"/>
  <c r="AU690" i="3"/>
  <c r="AT690" i="3"/>
  <c r="AU689" i="3"/>
  <c r="AT689" i="3"/>
  <c r="AU688" i="3"/>
  <c r="AT688" i="3"/>
  <c r="AU687" i="3"/>
  <c r="AT687" i="3"/>
  <c r="AU686" i="3"/>
  <c r="AT686" i="3"/>
  <c r="AU685" i="3"/>
  <c r="AT685" i="3"/>
  <c r="AU684" i="3"/>
  <c r="AT684" i="3"/>
  <c r="AU683" i="3"/>
  <c r="AT683" i="3"/>
  <c r="AU682" i="3"/>
  <c r="AT682" i="3"/>
  <c r="AU681" i="3"/>
  <c r="AT681" i="3"/>
  <c r="AU680" i="3"/>
  <c r="AT680" i="3"/>
  <c r="AU679" i="3"/>
  <c r="AT679" i="3"/>
  <c r="AU678" i="3"/>
  <c r="AT678" i="3"/>
  <c r="AU677" i="3"/>
  <c r="AT677" i="3"/>
  <c r="AU676" i="3"/>
  <c r="AT676" i="3"/>
  <c r="AU675" i="3"/>
  <c r="AT675" i="3"/>
  <c r="AU674" i="3"/>
  <c r="AT674" i="3"/>
  <c r="AU673" i="3"/>
  <c r="AT673" i="3"/>
  <c r="AU672" i="3"/>
  <c r="AT672" i="3"/>
  <c r="AU671" i="3"/>
  <c r="AT671" i="3"/>
  <c r="AU670" i="3"/>
  <c r="AT670" i="3"/>
  <c r="AU669" i="3"/>
  <c r="AT669" i="3"/>
  <c r="AU668" i="3"/>
  <c r="AT668" i="3"/>
  <c r="AU667" i="3"/>
  <c r="AT667" i="3"/>
  <c r="AU666" i="3"/>
  <c r="AT666" i="3"/>
  <c r="AU665" i="3"/>
  <c r="AT665" i="3"/>
  <c r="AU664" i="3"/>
  <c r="AT664" i="3"/>
  <c r="AU663" i="3"/>
  <c r="AT663" i="3"/>
  <c r="AU662" i="3"/>
  <c r="AT662" i="3"/>
  <c r="AU661" i="3"/>
  <c r="AT661" i="3"/>
  <c r="AU660" i="3"/>
  <c r="AT660" i="3"/>
  <c r="AU659" i="3"/>
  <c r="AT659" i="3"/>
  <c r="AU658" i="3"/>
  <c r="AT658" i="3"/>
  <c r="AU657" i="3"/>
  <c r="AT657" i="3"/>
  <c r="AU656" i="3"/>
  <c r="AT656" i="3"/>
  <c r="AU655" i="3"/>
  <c r="AT655" i="3"/>
  <c r="AU654" i="3"/>
  <c r="AT654" i="3"/>
  <c r="AU653" i="3"/>
  <c r="AT653" i="3"/>
  <c r="AU652" i="3"/>
  <c r="AT652" i="3"/>
  <c r="AU651" i="3"/>
  <c r="AT651" i="3"/>
  <c r="AU650" i="3"/>
  <c r="AT650" i="3"/>
  <c r="AU649" i="3"/>
  <c r="AT649" i="3"/>
  <c r="AU648" i="3"/>
  <c r="AT648" i="3"/>
  <c r="AU647" i="3"/>
  <c r="AT647" i="3"/>
  <c r="AU646" i="3"/>
  <c r="AT646" i="3"/>
  <c r="AU645" i="3"/>
  <c r="AT645" i="3"/>
  <c r="AU644" i="3"/>
  <c r="AT644" i="3"/>
  <c r="AU643" i="3"/>
  <c r="AT643" i="3"/>
  <c r="AU642" i="3"/>
  <c r="AT642" i="3"/>
  <c r="AU641" i="3"/>
  <c r="AT641" i="3"/>
  <c r="AU640" i="3"/>
  <c r="AT640" i="3"/>
  <c r="AU639" i="3"/>
  <c r="AT639" i="3"/>
  <c r="AU638" i="3"/>
  <c r="AT638" i="3"/>
  <c r="AU637" i="3"/>
  <c r="AT637" i="3"/>
  <c r="AU636" i="3"/>
  <c r="AT636" i="3"/>
  <c r="AU635" i="3"/>
  <c r="AT635" i="3"/>
  <c r="AU634" i="3"/>
  <c r="AT634" i="3"/>
  <c r="AU633" i="3"/>
  <c r="AT633" i="3"/>
  <c r="AU632" i="3"/>
  <c r="AT632" i="3"/>
  <c r="AU631" i="3"/>
  <c r="AT631" i="3"/>
  <c r="AU630" i="3"/>
  <c r="AT630" i="3"/>
  <c r="AU629" i="3"/>
  <c r="AT629" i="3"/>
  <c r="AU628" i="3"/>
  <c r="AT628" i="3"/>
  <c r="AU627" i="3"/>
  <c r="AT627" i="3"/>
  <c r="AU626" i="3"/>
  <c r="AT626" i="3"/>
  <c r="AU625" i="3"/>
  <c r="AT625" i="3"/>
  <c r="AU624" i="3"/>
  <c r="AT624" i="3"/>
  <c r="AU623" i="3"/>
  <c r="AT623" i="3"/>
  <c r="AU622" i="3"/>
  <c r="AT622" i="3"/>
  <c r="AU621" i="3"/>
  <c r="AT621" i="3"/>
  <c r="AU620" i="3"/>
  <c r="AT620" i="3"/>
  <c r="AU619" i="3"/>
  <c r="AT619" i="3"/>
  <c r="AU618" i="3"/>
  <c r="AT618" i="3"/>
  <c r="AU617" i="3"/>
  <c r="AT617" i="3"/>
  <c r="AU616" i="3"/>
  <c r="AT616" i="3"/>
  <c r="AU615" i="3"/>
  <c r="AT615" i="3"/>
  <c r="AU614" i="3"/>
  <c r="AT614" i="3"/>
  <c r="AU613" i="3"/>
  <c r="AT613" i="3"/>
  <c r="AU612" i="3"/>
  <c r="AT612" i="3"/>
  <c r="AU611" i="3"/>
  <c r="AT611" i="3"/>
  <c r="AU610" i="3"/>
  <c r="AT610" i="3"/>
  <c r="AU609" i="3"/>
  <c r="AT609" i="3"/>
  <c r="AU608" i="3"/>
  <c r="AT608" i="3"/>
  <c r="AU607" i="3"/>
  <c r="AT607" i="3"/>
  <c r="AU606" i="3"/>
  <c r="AT606" i="3"/>
  <c r="AU605" i="3"/>
  <c r="AT605" i="3"/>
  <c r="AU604" i="3"/>
  <c r="AT604" i="3"/>
  <c r="AU603" i="3"/>
  <c r="AT603" i="3"/>
  <c r="AU602" i="3"/>
  <c r="AT602" i="3"/>
  <c r="AU601" i="3"/>
  <c r="AT601" i="3"/>
  <c r="AU600" i="3"/>
  <c r="AT600" i="3"/>
  <c r="AU599" i="3"/>
  <c r="AT599" i="3"/>
  <c r="AU598" i="3"/>
  <c r="AT598" i="3"/>
  <c r="AU597" i="3"/>
  <c r="AT597" i="3"/>
  <c r="AU596" i="3"/>
  <c r="AT596" i="3"/>
  <c r="AU595" i="3"/>
  <c r="AT595" i="3"/>
  <c r="AU594" i="3"/>
  <c r="AT594" i="3"/>
  <c r="AU593" i="3"/>
  <c r="AT593" i="3"/>
  <c r="AU592" i="3"/>
  <c r="AT592" i="3"/>
  <c r="AU591" i="3"/>
  <c r="AT591" i="3"/>
  <c r="AU590" i="3"/>
  <c r="AT590" i="3"/>
  <c r="AU589" i="3"/>
  <c r="AT589" i="3"/>
  <c r="AU588" i="3"/>
  <c r="AT588" i="3"/>
  <c r="AU587" i="3"/>
  <c r="AT587" i="3"/>
  <c r="AU586" i="3"/>
  <c r="AT586" i="3"/>
  <c r="AU585" i="3"/>
  <c r="AT585" i="3"/>
  <c r="AU584" i="3"/>
  <c r="AT584" i="3"/>
  <c r="AU583" i="3"/>
  <c r="AT583" i="3"/>
  <c r="AU582" i="3"/>
  <c r="AT582" i="3"/>
  <c r="AU581" i="3"/>
  <c r="AT581" i="3"/>
  <c r="AU580" i="3"/>
  <c r="AT580" i="3"/>
  <c r="AU579" i="3"/>
  <c r="AT579" i="3"/>
  <c r="AU578" i="3"/>
  <c r="AT578" i="3"/>
  <c r="AU577" i="3"/>
  <c r="AT577" i="3"/>
  <c r="AU576" i="3"/>
  <c r="AT576" i="3"/>
  <c r="AU575" i="3"/>
  <c r="AT575" i="3"/>
  <c r="AU574" i="3"/>
  <c r="AT574" i="3"/>
  <c r="AU573" i="3"/>
  <c r="AT573" i="3"/>
  <c r="AU572" i="3"/>
  <c r="AT572" i="3"/>
  <c r="AU571" i="3"/>
  <c r="AT571" i="3"/>
  <c r="AU570" i="3"/>
  <c r="AT570" i="3"/>
  <c r="AU569" i="3"/>
  <c r="AT569" i="3"/>
  <c r="AU568" i="3"/>
  <c r="AT568" i="3"/>
  <c r="AU567" i="3"/>
  <c r="AT567" i="3"/>
  <c r="AU566" i="3"/>
  <c r="AT566" i="3"/>
  <c r="AU565" i="3"/>
  <c r="AT565" i="3"/>
  <c r="AU564" i="3"/>
  <c r="AT564" i="3"/>
  <c r="AU563" i="3"/>
  <c r="AT563" i="3"/>
  <c r="AU562" i="3"/>
  <c r="AT562" i="3"/>
  <c r="AU561" i="3"/>
  <c r="AT561" i="3"/>
  <c r="AU560" i="3"/>
  <c r="AT560" i="3"/>
  <c r="AU559" i="3"/>
  <c r="AT559" i="3"/>
  <c r="AU558" i="3"/>
  <c r="AT558" i="3"/>
  <c r="AU557" i="3"/>
  <c r="AT557" i="3"/>
  <c r="AU556" i="3"/>
  <c r="AT556" i="3"/>
  <c r="AU555" i="3"/>
  <c r="AT555" i="3"/>
  <c r="AU554" i="3"/>
  <c r="AT554" i="3"/>
  <c r="AU553" i="3"/>
  <c r="AT553" i="3"/>
  <c r="AU552" i="3"/>
  <c r="AT552" i="3"/>
  <c r="AU551" i="3"/>
  <c r="AT551" i="3"/>
  <c r="AU550" i="3"/>
  <c r="AT550" i="3"/>
  <c r="AU549" i="3"/>
  <c r="AT549" i="3"/>
  <c r="AU548" i="3"/>
  <c r="AT548" i="3"/>
  <c r="AU547" i="3"/>
  <c r="AT547" i="3"/>
  <c r="AU546" i="3"/>
  <c r="AT546" i="3"/>
  <c r="AU545" i="3"/>
  <c r="AT545" i="3"/>
  <c r="AU544" i="3"/>
  <c r="AT544" i="3"/>
  <c r="AU543" i="3"/>
  <c r="AT543" i="3"/>
  <c r="AU542" i="3"/>
  <c r="AT542" i="3"/>
  <c r="AU541" i="3"/>
  <c r="AT541" i="3"/>
  <c r="AU540" i="3"/>
  <c r="AT540" i="3"/>
  <c r="AU539" i="3"/>
  <c r="AT539" i="3"/>
  <c r="AU538" i="3"/>
  <c r="AT538" i="3"/>
  <c r="AU537" i="3"/>
  <c r="AT537" i="3"/>
  <c r="AU536" i="3"/>
  <c r="AT536" i="3"/>
  <c r="AU535" i="3"/>
  <c r="AT535" i="3"/>
  <c r="AU534" i="3"/>
  <c r="AT534" i="3"/>
  <c r="AU533" i="3"/>
  <c r="AT533" i="3"/>
  <c r="AU532" i="3"/>
  <c r="AT532" i="3"/>
  <c r="AU531" i="3"/>
  <c r="AT531" i="3"/>
  <c r="AU530" i="3"/>
  <c r="AT530" i="3"/>
  <c r="AU529" i="3"/>
  <c r="AT529" i="3"/>
  <c r="AU528" i="3"/>
  <c r="AT528" i="3"/>
  <c r="AU527" i="3"/>
  <c r="AT527" i="3"/>
  <c r="AU526" i="3"/>
  <c r="AT526" i="3"/>
  <c r="AU525" i="3"/>
  <c r="AT525" i="3"/>
  <c r="AU524" i="3"/>
  <c r="AT524" i="3"/>
  <c r="AU523" i="3"/>
  <c r="AT523" i="3"/>
  <c r="AU522" i="3"/>
  <c r="AT522" i="3"/>
  <c r="AU521" i="3"/>
  <c r="AT521" i="3"/>
  <c r="AU520" i="3"/>
  <c r="AT520" i="3"/>
  <c r="AU519" i="3"/>
  <c r="AT519" i="3"/>
  <c r="AU518" i="3"/>
  <c r="AT518" i="3"/>
  <c r="AU517" i="3"/>
  <c r="AT517" i="3"/>
  <c r="AU516" i="3"/>
  <c r="AT516" i="3"/>
  <c r="AU515" i="3"/>
  <c r="AT515" i="3"/>
  <c r="AU514" i="3"/>
  <c r="AT514" i="3"/>
  <c r="AU513" i="3"/>
  <c r="AT513" i="3"/>
  <c r="AU512" i="3"/>
  <c r="AT512" i="3"/>
  <c r="AU511" i="3"/>
  <c r="AT511" i="3"/>
  <c r="AU510" i="3"/>
  <c r="AT510" i="3"/>
  <c r="AU509" i="3"/>
  <c r="AT509" i="3"/>
  <c r="AU508" i="3"/>
  <c r="AT508" i="3"/>
  <c r="AU507" i="3"/>
  <c r="AT507" i="3"/>
  <c r="AU506" i="3"/>
  <c r="AT506" i="3"/>
  <c r="AU505" i="3"/>
  <c r="AT505" i="3"/>
  <c r="AU504" i="3"/>
  <c r="AT504" i="3"/>
  <c r="AU503" i="3"/>
  <c r="AT503" i="3"/>
  <c r="AU502" i="3"/>
  <c r="AT502" i="3"/>
  <c r="AU501" i="3"/>
  <c r="AT501" i="3"/>
  <c r="AU500" i="3"/>
  <c r="AT500" i="3"/>
  <c r="AU499" i="3"/>
  <c r="AT499" i="3"/>
  <c r="AU498" i="3"/>
  <c r="AT498" i="3"/>
  <c r="AU497" i="3"/>
  <c r="AT497" i="3"/>
  <c r="AU496" i="3"/>
  <c r="AT496" i="3"/>
  <c r="AU495" i="3"/>
  <c r="AT495" i="3"/>
  <c r="AU494" i="3"/>
  <c r="AT494" i="3"/>
  <c r="AU493" i="3"/>
  <c r="AT493" i="3"/>
  <c r="AU492" i="3"/>
  <c r="AT492" i="3"/>
  <c r="AU491" i="3"/>
  <c r="AT491" i="3"/>
  <c r="AU490" i="3"/>
  <c r="AT490" i="3"/>
  <c r="AU489" i="3"/>
  <c r="AT489" i="3"/>
  <c r="AU488" i="3"/>
  <c r="AT488" i="3"/>
  <c r="AU487" i="3"/>
  <c r="AT487" i="3"/>
  <c r="AU486" i="3"/>
  <c r="AT486" i="3"/>
  <c r="AU485" i="3"/>
  <c r="AT485" i="3"/>
  <c r="AU484" i="3"/>
  <c r="AT484" i="3"/>
  <c r="AU483" i="3"/>
  <c r="AT483" i="3"/>
  <c r="AU482" i="3"/>
  <c r="AT482" i="3"/>
  <c r="AU481" i="3"/>
  <c r="AT481" i="3"/>
  <c r="AU480" i="3"/>
  <c r="AT480" i="3"/>
  <c r="AU479" i="3"/>
  <c r="AT479" i="3"/>
  <c r="AU478" i="3"/>
  <c r="AT478" i="3"/>
  <c r="AU477" i="3"/>
  <c r="AT477" i="3"/>
  <c r="AU476" i="3"/>
  <c r="AT476" i="3"/>
  <c r="AU475" i="3"/>
  <c r="AT475" i="3"/>
  <c r="AU474" i="3"/>
  <c r="AT474" i="3"/>
  <c r="AU473" i="3"/>
  <c r="AT473" i="3"/>
  <c r="AU472" i="3"/>
  <c r="AT472" i="3"/>
  <c r="AU471" i="3"/>
  <c r="AT471" i="3"/>
  <c r="AU470" i="3"/>
  <c r="AT470" i="3"/>
  <c r="AU469" i="3"/>
  <c r="AT469" i="3"/>
  <c r="AU468" i="3"/>
  <c r="AT468" i="3"/>
  <c r="AU467" i="3"/>
  <c r="AT467" i="3"/>
  <c r="AU466" i="3"/>
  <c r="AT466" i="3"/>
  <c r="AU465" i="3"/>
  <c r="AT465" i="3"/>
  <c r="AU464" i="3"/>
  <c r="AT464" i="3"/>
  <c r="AU463" i="3"/>
  <c r="AT463" i="3"/>
  <c r="AU462" i="3"/>
  <c r="AT462" i="3"/>
  <c r="AU461" i="3"/>
  <c r="AT461" i="3"/>
  <c r="AU460" i="3"/>
  <c r="AT460" i="3"/>
  <c r="AU459" i="3"/>
  <c r="AT459" i="3"/>
  <c r="AU458" i="3"/>
  <c r="AT458" i="3"/>
  <c r="AU457" i="3"/>
  <c r="AT457" i="3"/>
  <c r="AU456" i="3"/>
  <c r="AT456" i="3"/>
  <c r="AU455" i="3"/>
  <c r="AT455" i="3"/>
  <c r="AU454" i="3"/>
  <c r="AT454" i="3"/>
  <c r="AU453" i="3"/>
  <c r="AT453" i="3"/>
  <c r="AU452" i="3"/>
  <c r="AT452" i="3"/>
  <c r="AU451" i="3"/>
  <c r="AT451" i="3"/>
  <c r="AU450" i="3"/>
  <c r="AT450" i="3"/>
  <c r="AU449" i="3"/>
  <c r="AT449" i="3"/>
  <c r="AU448" i="3"/>
  <c r="AT448" i="3"/>
  <c r="AU447" i="3"/>
  <c r="AT447" i="3"/>
  <c r="AU446" i="3"/>
  <c r="AT446" i="3"/>
  <c r="AU445" i="3"/>
  <c r="AT445" i="3"/>
  <c r="AU444" i="3"/>
  <c r="AT444" i="3"/>
  <c r="AU443" i="3"/>
  <c r="AT443" i="3"/>
  <c r="AU442" i="3"/>
  <c r="AT442" i="3"/>
  <c r="AU441" i="3"/>
  <c r="AT441" i="3"/>
  <c r="AU440" i="3"/>
  <c r="AT440" i="3"/>
  <c r="AU439" i="3"/>
  <c r="AT439" i="3"/>
  <c r="AU438" i="3"/>
  <c r="AT438" i="3"/>
  <c r="AU437" i="3"/>
  <c r="AT437" i="3"/>
  <c r="AU436" i="3"/>
  <c r="AT436" i="3"/>
  <c r="AU435" i="3"/>
  <c r="AT435" i="3"/>
  <c r="AU434" i="3"/>
  <c r="AT434" i="3"/>
  <c r="AU433" i="3"/>
  <c r="AT433" i="3"/>
  <c r="AU432" i="3"/>
  <c r="AT432" i="3"/>
  <c r="AU431" i="3"/>
  <c r="AT431" i="3"/>
  <c r="AU430" i="3"/>
  <c r="AT430" i="3"/>
  <c r="AU429" i="3"/>
  <c r="AT429" i="3"/>
  <c r="AU428" i="3"/>
  <c r="AT428" i="3"/>
  <c r="AU427" i="3"/>
  <c r="AT427" i="3"/>
  <c r="AU426" i="3"/>
  <c r="AT426" i="3"/>
  <c r="AU425" i="3"/>
  <c r="AT425" i="3"/>
  <c r="AU424" i="3"/>
  <c r="AT424" i="3"/>
  <c r="AU423" i="3"/>
  <c r="AT423" i="3"/>
  <c r="AU422" i="3"/>
  <c r="AT422" i="3"/>
  <c r="AU421" i="3"/>
  <c r="AT421" i="3"/>
  <c r="AU420" i="3"/>
  <c r="AT420" i="3"/>
  <c r="AU419" i="3"/>
  <c r="AT419" i="3"/>
  <c r="AU418" i="3"/>
  <c r="AT418" i="3"/>
  <c r="AU417" i="3"/>
  <c r="AT417" i="3"/>
  <c r="AU416" i="3"/>
  <c r="AT416" i="3"/>
  <c r="AU415" i="3"/>
  <c r="AT415" i="3"/>
  <c r="AU414" i="3"/>
  <c r="AT414" i="3"/>
  <c r="AU413" i="3"/>
  <c r="AT413" i="3"/>
  <c r="AU412" i="3"/>
  <c r="AT412" i="3"/>
  <c r="AU411" i="3"/>
  <c r="AT411" i="3"/>
  <c r="AU410" i="3"/>
  <c r="AT410" i="3"/>
  <c r="AU409" i="3"/>
  <c r="AT409" i="3"/>
  <c r="AU408" i="3"/>
  <c r="AT408" i="3"/>
  <c r="AU407" i="3"/>
  <c r="AT407" i="3"/>
  <c r="AU406" i="3"/>
  <c r="AT406" i="3"/>
  <c r="AU405" i="3"/>
  <c r="AT405" i="3"/>
  <c r="AU404" i="3"/>
  <c r="AT404" i="3"/>
  <c r="AU403" i="3"/>
  <c r="AT403" i="3"/>
  <c r="AU402" i="3"/>
  <c r="AT402" i="3"/>
  <c r="AU401" i="3"/>
  <c r="AT401" i="3"/>
  <c r="AU400" i="3"/>
  <c r="AT400" i="3"/>
  <c r="AU399" i="3"/>
  <c r="AT399" i="3"/>
  <c r="AU398" i="3"/>
  <c r="AT398" i="3"/>
  <c r="AU397" i="3"/>
  <c r="AT397" i="3"/>
  <c r="AU396" i="3"/>
  <c r="AT396" i="3"/>
  <c r="AU395" i="3"/>
  <c r="AT395" i="3"/>
  <c r="AU394" i="3"/>
  <c r="AT394" i="3"/>
  <c r="AU393" i="3"/>
  <c r="AT393" i="3"/>
  <c r="AU392" i="3"/>
  <c r="AT392" i="3"/>
  <c r="AU391" i="3"/>
  <c r="AT391" i="3"/>
  <c r="AU390" i="3"/>
  <c r="AT390" i="3"/>
  <c r="AU389" i="3"/>
  <c r="AT389" i="3"/>
  <c r="AU388" i="3"/>
  <c r="AT388" i="3"/>
  <c r="AU387" i="3"/>
  <c r="AT387" i="3"/>
  <c r="AU386" i="3"/>
  <c r="AT386" i="3"/>
  <c r="AU385" i="3"/>
  <c r="AT385" i="3"/>
  <c r="AU384" i="3"/>
  <c r="AT384" i="3"/>
  <c r="AU383" i="3"/>
  <c r="AT383" i="3"/>
  <c r="AU382" i="3"/>
  <c r="AT382" i="3"/>
  <c r="AU381" i="3"/>
  <c r="AT381" i="3"/>
  <c r="AV381" i="3" s="1"/>
  <c r="AU380" i="3"/>
  <c r="AT380" i="3"/>
  <c r="AU379" i="3"/>
  <c r="AT379" i="3"/>
  <c r="AU378" i="3"/>
  <c r="AT378" i="3"/>
  <c r="AU377" i="3"/>
  <c r="AT377" i="3"/>
  <c r="AU376" i="3"/>
  <c r="AT376" i="3"/>
  <c r="AU375" i="3"/>
  <c r="AT375" i="3"/>
  <c r="AU374" i="3"/>
  <c r="AT374" i="3"/>
  <c r="AU373" i="3"/>
  <c r="AT373" i="3"/>
  <c r="AU372" i="3"/>
  <c r="AT372" i="3"/>
  <c r="AU371" i="3"/>
  <c r="AT371" i="3"/>
  <c r="AU370" i="3"/>
  <c r="AT370" i="3"/>
  <c r="AU369" i="3"/>
  <c r="AT369" i="3"/>
  <c r="AU368" i="3"/>
  <c r="AT368" i="3"/>
  <c r="AU367" i="3"/>
  <c r="AT367" i="3"/>
  <c r="AU366" i="3"/>
  <c r="AT366" i="3"/>
  <c r="AU365" i="3"/>
  <c r="AT365" i="3"/>
  <c r="AU364" i="3"/>
  <c r="AT364" i="3"/>
  <c r="AU363" i="3"/>
  <c r="AT363" i="3"/>
  <c r="AU362" i="3"/>
  <c r="AT362" i="3"/>
  <c r="AU361" i="3"/>
  <c r="AT361" i="3"/>
  <c r="AU360" i="3"/>
  <c r="AT360" i="3"/>
  <c r="AU359" i="3"/>
  <c r="AT359" i="3"/>
  <c r="AU358" i="3"/>
  <c r="AT358" i="3"/>
  <c r="AU357" i="3"/>
  <c r="AT357" i="3"/>
  <c r="AU356" i="3"/>
  <c r="AT356" i="3"/>
  <c r="AU355" i="3"/>
  <c r="AT355" i="3"/>
  <c r="AU354" i="3"/>
  <c r="AT354" i="3"/>
  <c r="AU353" i="3"/>
  <c r="AT353" i="3"/>
  <c r="AU352" i="3"/>
  <c r="AT352" i="3"/>
  <c r="AU351" i="3"/>
  <c r="AT351" i="3"/>
  <c r="AU350" i="3"/>
  <c r="AT350" i="3"/>
  <c r="AU349" i="3"/>
  <c r="AT349" i="3"/>
  <c r="AU348" i="3"/>
  <c r="AT348" i="3"/>
  <c r="AU347" i="3"/>
  <c r="AT347" i="3"/>
  <c r="AU346" i="3"/>
  <c r="AT346" i="3"/>
  <c r="AU345" i="3"/>
  <c r="AT345" i="3"/>
  <c r="AU344" i="3"/>
  <c r="AT344" i="3"/>
  <c r="AU343" i="3"/>
  <c r="AT343" i="3"/>
  <c r="AU342" i="3"/>
  <c r="AT342" i="3"/>
  <c r="AU341" i="3"/>
  <c r="AT341" i="3"/>
  <c r="AU340" i="3"/>
  <c r="AT340" i="3"/>
  <c r="AU339" i="3"/>
  <c r="AT339" i="3"/>
  <c r="AU338" i="3"/>
  <c r="AT338" i="3"/>
  <c r="AU337" i="3"/>
  <c r="AT337" i="3"/>
  <c r="AU336" i="3"/>
  <c r="AT336" i="3"/>
  <c r="AU335" i="3"/>
  <c r="AT335" i="3"/>
  <c r="AU334" i="3"/>
  <c r="AT334" i="3"/>
  <c r="AU333" i="3"/>
  <c r="AT333" i="3"/>
  <c r="AU332" i="3"/>
  <c r="AT332" i="3"/>
  <c r="AV332" i="3" s="1"/>
  <c r="AU331" i="3"/>
  <c r="AT331" i="3"/>
  <c r="AU330" i="3"/>
  <c r="AT330" i="3"/>
  <c r="AU329" i="3"/>
  <c r="AT329" i="3"/>
  <c r="AU328" i="3"/>
  <c r="AT328" i="3"/>
  <c r="AU327" i="3"/>
  <c r="AT327" i="3"/>
  <c r="AU326" i="3"/>
  <c r="AT326" i="3"/>
  <c r="AU325" i="3"/>
  <c r="AT325" i="3"/>
  <c r="AU324" i="3"/>
  <c r="AT324" i="3"/>
  <c r="AU323" i="3"/>
  <c r="AT323" i="3"/>
  <c r="AU322" i="3"/>
  <c r="AT322" i="3"/>
  <c r="AU321" i="3"/>
  <c r="AT321" i="3"/>
  <c r="AU320" i="3"/>
  <c r="AT320" i="3"/>
  <c r="AU319" i="3"/>
  <c r="AT319" i="3"/>
  <c r="AU318" i="3"/>
  <c r="AT318" i="3"/>
  <c r="AU317" i="3"/>
  <c r="AT317" i="3"/>
  <c r="AU316" i="3"/>
  <c r="AT316" i="3"/>
  <c r="AU315" i="3"/>
  <c r="AT315" i="3"/>
  <c r="AU314" i="3"/>
  <c r="AT314" i="3"/>
  <c r="AU313" i="3"/>
  <c r="AT313" i="3"/>
  <c r="AU312" i="3"/>
  <c r="AT312" i="3"/>
  <c r="AU311" i="3"/>
  <c r="AT311" i="3"/>
  <c r="AU310" i="3"/>
  <c r="AT310" i="3"/>
  <c r="AU309" i="3"/>
  <c r="AT309" i="3"/>
  <c r="AU308" i="3"/>
  <c r="AT308" i="3"/>
  <c r="AU307" i="3"/>
  <c r="AT307" i="3"/>
  <c r="AU306" i="3"/>
  <c r="AT306" i="3"/>
  <c r="AU305" i="3"/>
  <c r="AT305" i="3"/>
  <c r="AU304" i="3"/>
  <c r="AT304" i="3"/>
  <c r="AU303" i="3"/>
  <c r="AT303" i="3"/>
  <c r="AU302" i="3"/>
  <c r="AT302" i="3"/>
  <c r="AU301" i="3"/>
  <c r="AT301" i="3"/>
  <c r="AU300" i="3"/>
  <c r="AT300" i="3"/>
  <c r="AU299" i="3"/>
  <c r="AT299" i="3"/>
  <c r="AU298" i="3"/>
  <c r="AT298" i="3"/>
  <c r="AU297" i="3"/>
  <c r="AT297" i="3"/>
  <c r="AU296" i="3"/>
  <c r="AT296" i="3"/>
  <c r="AU295" i="3"/>
  <c r="AT295" i="3"/>
  <c r="AU294" i="3"/>
  <c r="AT294" i="3"/>
  <c r="AU293" i="3"/>
  <c r="AT293" i="3"/>
  <c r="AU292" i="3"/>
  <c r="AT292" i="3"/>
  <c r="AU291" i="3"/>
  <c r="AT291" i="3"/>
  <c r="AU290" i="3"/>
  <c r="AT290" i="3"/>
  <c r="AU289" i="3"/>
  <c r="AT289" i="3"/>
  <c r="AU288" i="3"/>
  <c r="AT288" i="3"/>
  <c r="AU287" i="3"/>
  <c r="AT287" i="3"/>
  <c r="AU286" i="3"/>
  <c r="AT286" i="3"/>
  <c r="AU285" i="3"/>
  <c r="AT285" i="3"/>
  <c r="AU284" i="3"/>
  <c r="AT284" i="3"/>
  <c r="AU283" i="3"/>
  <c r="AT283" i="3"/>
  <c r="AU282" i="3"/>
  <c r="AT282" i="3"/>
  <c r="AU281" i="3"/>
  <c r="AT281" i="3"/>
  <c r="AU280" i="3"/>
  <c r="AT280" i="3"/>
  <c r="AU279" i="3"/>
  <c r="AT279" i="3"/>
  <c r="AU278" i="3"/>
  <c r="AT278" i="3"/>
  <c r="AU277" i="3"/>
  <c r="AT277" i="3"/>
  <c r="AU276" i="3"/>
  <c r="AT276" i="3"/>
  <c r="AU275" i="3"/>
  <c r="AT275" i="3"/>
  <c r="AU274" i="3"/>
  <c r="AT274" i="3"/>
  <c r="AU273" i="3"/>
  <c r="AT273" i="3"/>
  <c r="AU272" i="3"/>
  <c r="AT272" i="3"/>
  <c r="AU271" i="3"/>
  <c r="AT271" i="3"/>
  <c r="AU270" i="3"/>
  <c r="AT270" i="3"/>
  <c r="AU269" i="3"/>
  <c r="AT269" i="3"/>
  <c r="AU268" i="3"/>
  <c r="AT268" i="3"/>
  <c r="AU267" i="3"/>
  <c r="AT267" i="3"/>
  <c r="AU266" i="3"/>
  <c r="AT266" i="3"/>
  <c r="AU265" i="3"/>
  <c r="AT265" i="3"/>
  <c r="AU264" i="3"/>
  <c r="AT264" i="3"/>
  <c r="AU263" i="3"/>
  <c r="AT263" i="3"/>
  <c r="AU262" i="3"/>
  <c r="AT262" i="3"/>
  <c r="AU261" i="3"/>
  <c r="AT261" i="3"/>
  <c r="AU260" i="3"/>
  <c r="AT260" i="3"/>
  <c r="AU259" i="3"/>
  <c r="AT259" i="3"/>
  <c r="AU258" i="3"/>
  <c r="AT258" i="3"/>
  <c r="AU257" i="3"/>
  <c r="AT257" i="3"/>
  <c r="AU256" i="3"/>
  <c r="AT256" i="3"/>
  <c r="AU255" i="3"/>
  <c r="AT255" i="3"/>
  <c r="AU254" i="3"/>
  <c r="AT254" i="3"/>
  <c r="AU253" i="3"/>
  <c r="AT253" i="3"/>
  <c r="AU252" i="3"/>
  <c r="AT252" i="3"/>
  <c r="AU251" i="3"/>
  <c r="AT251" i="3"/>
  <c r="AU250" i="3"/>
  <c r="AT250" i="3"/>
  <c r="AU249" i="3"/>
  <c r="AT249" i="3"/>
  <c r="AU248" i="3"/>
  <c r="AT248" i="3"/>
  <c r="AU247" i="3"/>
  <c r="AT247" i="3"/>
  <c r="AU246" i="3"/>
  <c r="AT246" i="3"/>
  <c r="AU245" i="3"/>
  <c r="AT245" i="3"/>
  <c r="AU244" i="3"/>
  <c r="AT244" i="3"/>
  <c r="AU243" i="3"/>
  <c r="AT243" i="3"/>
  <c r="AU242" i="3"/>
  <c r="AT242" i="3"/>
  <c r="AU241" i="3"/>
  <c r="AT241" i="3"/>
  <c r="AU240" i="3"/>
  <c r="AT240" i="3"/>
  <c r="AU239" i="3"/>
  <c r="AT239" i="3"/>
  <c r="AU238" i="3"/>
  <c r="AT238" i="3"/>
  <c r="AU237" i="3"/>
  <c r="AT237" i="3"/>
  <c r="AU236" i="3"/>
  <c r="AT236" i="3"/>
  <c r="AU235" i="3"/>
  <c r="AT235" i="3"/>
  <c r="AU234" i="3"/>
  <c r="AT234" i="3"/>
  <c r="AV234" i="3" s="1"/>
  <c r="AU233" i="3"/>
  <c r="AT233" i="3"/>
  <c r="AU232" i="3"/>
  <c r="AT232" i="3"/>
  <c r="AU231" i="3"/>
  <c r="AT231" i="3"/>
  <c r="AU230" i="3"/>
  <c r="AT230" i="3"/>
  <c r="AU229" i="3"/>
  <c r="AT229" i="3"/>
  <c r="AU228" i="3"/>
  <c r="AT228" i="3"/>
  <c r="AU227" i="3"/>
  <c r="AT227" i="3"/>
  <c r="AU226" i="3"/>
  <c r="AT226" i="3"/>
  <c r="AU225" i="3"/>
  <c r="AT225" i="3"/>
  <c r="AU224" i="3"/>
  <c r="AT224" i="3"/>
  <c r="AU223" i="3"/>
  <c r="AT223" i="3"/>
  <c r="AU222" i="3"/>
  <c r="AT222" i="3"/>
  <c r="AU221" i="3"/>
  <c r="AT221" i="3"/>
  <c r="AU220" i="3"/>
  <c r="AT220" i="3"/>
  <c r="AV220" i="3" s="1"/>
  <c r="AU219" i="3"/>
  <c r="AT219" i="3"/>
  <c r="AU218" i="3"/>
  <c r="AT218" i="3"/>
  <c r="AU217" i="3"/>
  <c r="AT217" i="3"/>
  <c r="AU216" i="3"/>
  <c r="AT216" i="3"/>
  <c r="AU215" i="3"/>
  <c r="AT215" i="3"/>
  <c r="AU214" i="3"/>
  <c r="AT214" i="3"/>
  <c r="AU213" i="3"/>
  <c r="AT213" i="3"/>
  <c r="AV213" i="3" s="1"/>
  <c r="AU212" i="3"/>
  <c r="AT212" i="3"/>
  <c r="AU211" i="3"/>
  <c r="AT211" i="3"/>
  <c r="AU210" i="3"/>
  <c r="AT210" i="3"/>
  <c r="AU209" i="3"/>
  <c r="AT209" i="3"/>
  <c r="AU208" i="3"/>
  <c r="AT208" i="3"/>
  <c r="AU207" i="3"/>
  <c r="AT207" i="3"/>
  <c r="AU206" i="3"/>
  <c r="AT206" i="3"/>
  <c r="AU205" i="3"/>
  <c r="AT205" i="3"/>
  <c r="AU204" i="3"/>
  <c r="AT204" i="3"/>
  <c r="AU203" i="3"/>
  <c r="AT203" i="3"/>
  <c r="AU202" i="3"/>
  <c r="AT202" i="3"/>
  <c r="AU201" i="3"/>
  <c r="AT201" i="3"/>
  <c r="AU200" i="3"/>
  <c r="AT200" i="3"/>
  <c r="AU199" i="3"/>
  <c r="AT199" i="3"/>
  <c r="AU198" i="3"/>
  <c r="AT198" i="3"/>
  <c r="AU197" i="3"/>
  <c r="AT197" i="3"/>
  <c r="AU196" i="3"/>
  <c r="AT196" i="3"/>
  <c r="AU195" i="3"/>
  <c r="AT195" i="3"/>
  <c r="AU194" i="3"/>
  <c r="AT194" i="3"/>
  <c r="AU193" i="3"/>
  <c r="AT193" i="3"/>
  <c r="AU192" i="3"/>
  <c r="AT192" i="3"/>
  <c r="AU191" i="3"/>
  <c r="AT191" i="3"/>
  <c r="AU190" i="3"/>
  <c r="AT190" i="3"/>
  <c r="AU189" i="3"/>
  <c r="AT189" i="3"/>
  <c r="AU188" i="3"/>
  <c r="AT188" i="3"/>
  <c r="AU187" i="3"/>
  <c r="AT187" i="3"/>
  <c r="AU186" i="3"/>
  <c r="AT186" i="3"/>
  <c r="AU185" i="3"/>
  <c r="AT185" i="3"/>
  <c r="AU184" i="3"/>
  <c r="AT184" i="3"/>
  <c r="AU183" i="3"/>
  <c r="AT183" i="3"/>
  <c r="AU182" i="3"/>
  <c r="AT182" i="3"/>
  <c r="AU181" i="3"/>
  <c r="AT181" i="3"/>
  <c r="AU180" i="3"/>
  <c r="AT180" i="3"/>
  <c r="AU179" i="3"/>
  <c r="AT179" i="3"/>
  <c r="AU178" i="3"/>
  <c r="AT178" i="3"/>
  <c r="AV178" i="3" s="1"/>
  <c r="AU177" i="3"/>
  <c r="AT177" i="3"/>
  <c r="AU176" i="3"/>
  <c r="AT176" i="3"/>
  <c r="AU175" i="3"/>
  <c r="AT175" i="3"/>
  <c r="AU174" i="3"/>
  <c r="AT174" i="3"/>
  <c r="AU173" i="3"/>
  <c r="AT173" i="3"/>
  <c r="AU172" i="3"/>
  <c r="AT172" i="3"/>
  <c r="AU171" i="3"/>
  <c r="AT171" i="3"/>
  <c r="AV171" i="3" s="1"/>
  <c r="AU170" i="3"/>
  <c r="AT170" i="3"/>
  <c r="AU169" i="3"/>
  <c r="AT169" i="3"/>
  <c r="AU168" i="3"/>
  <c r="AT168" i="3"/>
  <c r="AU167" i="3"/>
  <c r="AT167" i="3"/>
  <c r="AU166" i="3"/>
  <c r="AT166" i="3"/>
  <c r="AU165" i="3"/>
  <c r="AT165" i="3"/>
  <c r="AU164" i="3"/>
  <c r="AT164" i="3"/>
  <c r="AV164" i="3" s="1"/>
  <c r="AU163" i="3"/>
  <c r="AT163" i="3"/>
  <c r="AU162" i="3"/>
  <c r="AT162" i="3"/>
  <c r="AU161" i="3"/>
  <c r="AT161" i="3"/>
  <c r="AU160" i="3"/>
  <c r="AT160" i="3"/>
  <c r="AU159" i="3"/>
  <c r="AT159" i="3"/>
  <c r="AU158" i="3"/>
  <c r="AT158" i="3"/>
  <c r="AU157" i="3"/>
  <c r="AT157" i="3"/>
  <c r="AU156" i="3"/>
  <c r="AT156" i="3"/>
  <c r="AU155" i="3"/>
  <c r="AT155" i="3"/>
  <c r="AU154" i="3"/>
  <c r="AT154" i="3"/>
  <c r="AU153" i="3"/>
  <c r="AT153" i="3"/>
  <c r="AU152" i="3"/>
  <c r="AT152" i="3"/>
  <c r="AU151" i="3"/>
  <c r="AT151" i="3"/>
  <c r="AU150" i="3"/>
  <c r="AT150" i="3"/>
  <c r="AU149" i="3"/>
  <c r="AT149" i="3"/>
  <c r="AU148" i="3"/>
  <c r="AT148" i="3"/>
  <c r="AU147" i="3"/>
  <c r="AT147" i="3"/>
  <c r="AU146" i="3"/>
  <c r="AT146" i="3"/>
  <c r="AU145" i="3"/>
  <c r="AT145" i="3"/>
  <c r="AU144" i="3"/>
  <c r="AT144" i="3"/>
  <c r="AU143" i="3"/>
  <c r="AT143" i="3"/>
  <c r="AU142" i="3"/>
  <c r="AT142" i="3"/>
  <c r="AU141" i="3"/>
  <c r="AT141" i="3"/>
  <c r="AU140" i="3"/>
  <c r="AT140" i="3"/>
  <c r="AU139" i="3"/>
  <c r="AT139" i="3"/>
  <c r="AU138" i="3"/>
  <c r="AT138" i="3"/>
  <c r="AU137" i="3"/>
  <c r="AT137" i="3"/>
  <c r="AU136" i="3"/>
  <c r="AT136" i="3"/>
  <c r="AU135" i="3"/>
  <c r="AT135" i="3"/>
  <c r="AU134" i="3"/>
  <c r="AT134" i="3"/>
  <c r="AU133" i="3"/>
  <c r="AT133" i="3"/>
  <c r="AU132" i="3"/>
  <c r="AT132" i="3"/>
  <c r="AU131" i="3"/>
  <c r="AT131" i="3"/>
  <c r="AU130" i="3"/>
  <c r="AT130" i="3"/>
  <c r="AU129" i="3"/>
  <c r="AT129" i="3"/>
  <c r="AU128" i="3"/>
  <c r="AT128" i="3"/>
  <c r="AU127" i="3"/>
  <c r="AT127" i="3"/>
  <c r="AU126" i="3"/>
  <c r="AT126" i="3"/>
  <c r="AU125" i="3"/>
  <c r="AT125" i="3"/>
  <c r="AU124" i="3"/>
  <c r="AT124" i="3"/>
  <c r="AU123" i="3"/>
  <c r="AT123" i="3"/>
  <c r="AU122" i="3"/>
  <c r="AT122" i="3"/>
  <c r="AU121" i="3"/>
  <c r="AT121" i="3"/>
  <c r="AU120" i="3"/>
  <c r="AT120" i="3"/>
  <c r="AU119" i="3"/>
  <c r="AT119" i="3"/>
  <c r="AU118" i="3"/>
  <c r="AT118" i="3"/>
  <c r="AU117" i="3"/>
  <c r="AT117" i="3"/>
  <c r="AU116" i="3"/>
  <c r="AT116" i="3"/>
  <c r="AU115" i="3"/>
  <c r="AT115" i="3"/>
  <c r="AU114" i="3"/>
  <c r="AT114" i="3"/>
  <c r="AU113" i="3"/>
  <c r="AT113" i="3"/>
  <c r="AU112" i="3"/>
  <c r="AT112" i="3"/>
  <c r="AU111" i="3"/>
  <c r="AT111" i="3"/>
  <c r="AU110" i="3"/>
  <c r="AT110" i="3"/>
  <c r="AU109" i="3"/>
  <c r="AT109" i="3"/>
  <c r="AU108" i="3"/>
  <c r="AT108" i="3"/>
  <c r="AV108" i="3" s="1"/>
  <c r="AU107" i="3"/>
  <c r="AT107" i="3"/>
  <c r="AU106" i="3"/>
  <c r="AT106" i="3"/>
  <c r="AU105" i="3"/>
  <c r="AT105" i="3"/>
  <c r="AU104" i="3"/>
  <c r="AT104" i="3"/>
  <c r="AU103" i="3"/>
  <c r="AT103" i="3"/>
  <c r="AU102" i="3"/>
  <c r="AT102" i="3"/>
  <c r="AU101" i="3"/>
  <c r="AT101" i="3"/>
  <c r="AU100" i="3"/>
  <c r="AT100" i="3"/>
  <c r="AU99" i="3"/>
  <c r="AT99" i="3"/>
  <c r="AU98" i="3"/>
  <c r="AT98" i="3"/>
  <c r="AU97" i="3"/>
  <c r="AT97" i="3"/>
  <c r="AU96" i="3"/>
  <c r="AT96" i="3"/>
  <c r="AU95" i="3"/>
  <c r="AT95" i="3"/>
  <c r="AU94" i="3"/>
  <c r="AT94" i="3"/>
  <c r="AV94" i="3" s="1"/>
  <c r="AU93" i="3"/>
  <c r="AT93" i="3"/>
  <c r="AU92" i="3"/>
  <c r="AT92" i="3"/>
  <c r="AU91" i="3"/>
  <c r="AT91" i="3"/>
  <c r="AU90" i="3"/>
  <c r="AT90" i="3"/>
  <c r="AU89" i="3"/>
  <c r="AT89" i="3"/>
  <c r="AU88" i="3"/>
  <c r="AT88" i="3"/>
  <c r="AU87" i="3"/>
  <c r="AT87" i="3"/>
  <c r="AU86" i="3"/>
  <c r="AT86" i="3"/>
  <c r="AU85" i="3"/>
  <c r="AT85" i="3"/>
  <c r="AU84" i="3"/>
  <c r="AT84" i="3"/>
  <c r="AU83" i="3"/>
  <c r="AT83" i="3"/>
  <c r="AU82" i="3"/>
  <c r="AT82" i="3"/>
  <c r="AU81" i="3"/>
  <c r="AT81" i="3"/>
  <c r="AU80" i="3"/>
  <c r="AT80" i="3"/>
  <c r="AU79" i="3"/>
  <c r="AT79" i="3"/>
  <c r="AU78" i="3"/>
  <c r="AT78" i="3"/>
  <c r="AU77" i="3"/>
  <c r="AT77" i="3"/>
  <c r="AU76" i="3"/>
  <c r="AT76" i="3"/>
  <c r="AU75" i="3"/>
  <c r="AT75" i="3"/>
  <c r="AU74" i="3"/>
  <c r="AT74" i="3"/>
  <c r="AU73" i="3"/>
  <c r="AT73" i="3"/>
  <c r="AU72" i="3"/>
  <c r="AT72" i="3"/>
  <c r="AU71" i="3"/>
  <c r="AT71" i="3"/>
  <c r="AU70" i="3"/>
  <c r="AT70" i="3"/>
  <c r="AU69" i="3"/>
  <c r="AT69" i="3"/>
  <c r="AU68" i="3"/>
  <c r="AT68" i="3"/>
  <c r="AU67" i="3"/>
  <c r="AT67" i="3"/>
  <c r="AU66" i="3"/>
  <c r="AT66" i="3"/>
  <c r="AU65" i="3"/>
  <c r="AT65" i="3"/>
  <c r="AU64" i="3"/>
  <c r="AT64" i="3"/>
  <c r="AU63" i="3"/>
  <c r="AT63" i="3"/>
  <c r="AU62" i="3"/>
  <c r="AT62" i="3"/>
  <c r="AU61" i="3"/>
  <c r="AT61" i="3"/>
  <c r="AU60" i="3"/>
  <c r="AT60" i="3"/>
  <c r="AU59" i="3"/>
  <c r="AT59" i="3"/>
  <c r="AV59" i="3" s="1"/>
  <c r="AU58" i="3"/>
  <c r="AT58" i="3"/>
  <c r="AU57" i="3"/>
  <c r="AT57" i="3"/>
  <c r="AU56" i="3"/>
  <c r="AT56" i="3"/>
  <c r="AU55" i="3"/>
  <c r="AT55" i="3"/>
  <c r="AU54" i="3"/>
  <c r="AT54" i="3"/>
  <c r="AU53" i="3"/>
  <c r="AT53" i="3"/>
  <c r="AU52" i="3"/>
  <c r="AT52" i="3"/>
  <c r="AU51" i="3"/>
  <c r="AT51" i="3"/>
  <c r="AU50" i="3"/>
  <c r="AT50" i="3"/>
  <c r="AU49" i="3"/>
  <c r="AT49" i="3"/>
  <c r="AU48" i="3"/>
  <c r="AT48" i="3"/>
  <c r="AU47" i="3"/>
  <c r="AT47" i="3"/>
  <c r="AU46" i="3"/>
  <c r="AT46" i="3"/>
  <c r="AU45" i="3"/>
  <c r="AT45" i="3"/>
  <c r="AU44" i="3"/>
  <c r="AT44" i="3"/>
  <c r="AU43" i="3"/>
  <c r="AT43" i="3"/>
  <c r="AU42" i="3"/>
  <c r="AT42" i="3"/>
  <c r="AU41" i="3"/>
  <c r="AT41" i="3"/>
  <c r="AU40" i="3"/>
  <c r="AT40" i="3"/>
  <c r="AU39" i="3"/>
  <c r="AT39" i="3"/>
  <c r="AU38" i="3"/>
  <c r="AT38" i="3"/>
  <c r="AU37" i="3"/>
  <c r="AT37" i="3"/>
  <c r="AU36" i="3"/>
  <c r="AT36" i="3"/>
  <c r="AU35" i="3"/>
  <c r="AT35" i="3"/>
  <c r="AU34" i="3"/>
  <c r="AT34" i="3"/>
  <c r="AU33" i="3"/>
  <c r="AT33" i="3"/>
  <c r="AU32" i="3"/>
  <c r="AT32" i="3"/>
  <c r="AU31" i="3"/>
  <c r="AT31" i="3"/>
  <c r="AU30" i="3"/>
  <c r="AT30" i="3"/>
  <c r="AU29" i="3"/>
  <c r="AT29" i="3"/>
  <c r="AU28" i="3"/>
  <c r="AT28" i="3"/>
  <c r="AU27" i="3"/>
  <c r="AT27" i="3"/>
  <c r="AU26" i="3"/>
  <c r="AT26" i="3"/>
  <c r="AU25" i="3"/>
  <c r="AT25" i="3"/>
  <c r="AU24" i="3"/>
  <c r="AT24" i="3"/>
  <c r="AU23" i="3"/>
  <c r="AT23" i="3"/>
  <c r="AU22" i="3"/>
  <c r="AT22" i="3"/>
  <c r="AU21" i="3"/>
  <c r="AT21" i="3"/>
  <c r="AU20" i="3"/>
  <c r="AT20" i="3"/>
  <c r="AU19" i="3"/>
  <c r="AT19" i="3"/>
  <c r="AU18" i="3"/>
  <c r="AT18" i="3"/>
  <c r="AU17" i="3"/>
  <c r="AT17" i="3"/>
  <c r="AU16" i="3"/>
  <c r="AT16" i="3"/>
  <c r="AU15" i="3"/>
  <c r="AT15" i="3"/>
  <c r="AU14" i="3"/>
  <c r="AT14" i="3"/>
  <c r="AU13" i="3"/>
  <c r="AT13" i="3"/>
  <c r="AU12" i="3"/>
  <c r="AT12" i="3"/>
  <c r="AU11" i="3"/>
  <c r="AT11" i="3"/>
  <c r="AU10" i="3"/>
  <c r="AT10" i="3"/>
  <c r="AU9" i="3"/>
  <c r="AT9" i="3"/>
  <c r="AU8" i="3"/>
  <c r="AT8" i="3"/>
  <c r="AU7" i="3"/>
  <c r="AT7" i="3"/>
  <c r="AU6" i="3"/>
  <c r="AT6" i="3"/>
  <c r="AU5" i="3"/>
  <c r="AT5" i="3"/>
  <c r="AU4" i="3"/>
  <c r="AT4" i="3"/>
  <c r="AU3" i="3"/>
  <c r="AT3" i="3"/>
  <c r="AU2" i="3"/>
  <c r="AT2" i="3"/>
  <c r="AX745" i="3"/>
  <c r="AW745" i="3"/>
  <c r="AX744" i="3"/>
  <c r="AW744" i="3"/>
  <c r="AX743" i="3"/>
  <c r="AW743" i="3"/>
  <c r="AX742" i="3"/>
  <c r="AW742" i="3"/>
  <c r="AX741" i="3"/>
  <c r="AW741" i="3"/>
  <c r="AX740" i="3"/>
  <c r="AW740" i="3"/>
  <c r="AX739" i="3"/>
  <c r="AW739" i="3"/>
  <c r="AX738" i="3"/>
  <c r="AW738" i="3"/>
  <c r="AX737" i="3"/>
  <c r="AW737" i="3"/>
  <c r="AX736" i="3"/>
  <c r="AW736" i="3"/>
  <c r="AX735" i="3"/>
  <c r="AW735" i="3"/>
  <c r="AX734" i="3"/>
  <c r="AW734" i="3"/>
  <c r="AX733" i="3"/>
  <c r="AW733" i="3"/>
  <c r="AX732" i="3"/>
  <c r="AW732" i="3"/>
  <c r="AX731" i="3"/>
  <c r="AW731" i="3"/>
  <c r="AX730" i="3"/>
  <c r="AW730" i="3"/>
  <c r="AX729" i="3"/>
  <c r="AW729" i="3"/>
  <c r="AX728" i="3"/>
  <c r="AW728" i="3"/>
  <c r="AX727" i="3"/>
  <c r="AW727" i="3"/>
  <c r="AX726" i="3"/>
  <c r="AW726" i="3"/>
  <c r="AX725" i="3"/>
  <c r="AW725" i="3"/>
  <c r="AX724" i="3"/>
  <c r="AW724" i="3"/>
  <c r="AX723" i="3"/>
  <c r="AW723" i="3"/>
  <c r="AX722" i="3"/>
  <c r="AW722" i="3"/>
  <c r="AX721" i="3"/>
  <c r="AW721" i="3"/>
  <c r="AX720" i="3"/>
  <c r="AW720" i="3"/>
  <c r="AX719" i="3"/>
  <c r="AW719" i="3"/>
  <c r="AX718" i="3"/>
  <c r="AW718" i="3"/>
  <c r="AX717" i="3"/>
  <c r="AW717" i="3"/>
  <c r="AX716" i="3"/>
  <c r="AW716" i="3"/>
  <c r="AX715" i="3"/>
  <c r="AW715" i="3"/>
  <c r="AX714" i="3"/>
  <c r="AW714" i="3"/>
  <c r="AX713" i="3"/>
  <c r="AW713" i="3"/>
  <c r="AX712" i="3"/>
  <c r="AW712" i="3"/>
  <c r="AX711" i="3"/>
  <c r="AW711" i="3"/>
  <c r="AX710" i="3"/>
  <c r="AW710" i="3"/>
  <c r="AX709" i="3"/>
  <c r="AW709" i="3"/>
  <c r="AX708" i="3"/>
  <c r="AW708" i="3"/>
  <c r="AX707" i="3"/>
  <c r="AW707" i="3"/>
  <c r="AX706" i="3"/>
  <c r="AW706" i="3"/>
  <c r="AX705" i="3"/>
  <c r="AW705" i="3"/>
  <c r="AX704" i="3"/>
  <c r="AW704" i="3"/>
  <c r="AX703" i="3"/>
  <c r="AW703" i="3"/>
  <c r="AX702" i="3"/>
  <c r="AW702" i="3"/>
  <c r="AX701" i="3"/>
  <c r="AW701" i="3"/>
  <c r="AX700" i="3"/>
  <c r="AW700" i="3"/>
  <c r="AX699" i="3"/>
  <c r="AW699" i="3"/>
  <c r="AX698" i="3"/>
  <c r="AW698" i="3"/>
  <c r="AX697" i="3"/>
  <c r="AW697" i="3"/>
  <c r="AX696" i="3"/>
  <c r="AW696" i="3"/>
  <c r="AX695" i="3"/>
  <c r="AW695" i="3"/>
  <c r="AX694" i="3"/>
  <c r="AW694" i="3"/>
  <c r="AX693" i="3"/>
  <c r="AW693" i="3"/>
  <c r="AX692" i="3"/>
  <c r="AW692" i="3"/>
  <c r="AX691" i="3"/>
  <c r="AW691" i="3"/>
  <c r="AX690" i="3"/>
  <c r="AW690" i="3"/>
  <c r="AX689" i="3"/>
  <c r="AW689" i="3"/>
  <c r="AX688" i="3"/>
  <c r="AW688" i="3"/>
  <c r="AX687" i="3"/>
  <c r="AW687" i="3"/>
  <c r="AX686" i="3"/>
  <c r="AW686" i="3"/>
  <c r="AX685" i="3"/>
  <c r="AW685" i="3"/>
  <c r="AX684" i="3"/>
  <c r="AW684" i="3"/>
  <c r="AX683" i="3"/>
  <c r="AW683" i="3"/>
  <c r="AX682" i="3"/>
  <c r="AW682" i="3"/>
  <c r="AX681" i="3"/>
  <c r="AW681" i="3"/>
  <c r="AX680" i="3"/>
  <c r="AW680" i="3"/>
  <c r="AX679" i="3"/>
  <c r="AW679" i="3"/>
  <c r="AX678" i="3"/>
  <c r="AW678" i="3"/>
  <c r="AX677" i="3"/>
  <c r="AW677" i="3"/>
  <c r="AX676" i="3"/>
  <c r="AW676" i="3"/>
  <c r="AX675" i="3"/>
  <c r="AW675" i="3"/>
  <c r="AX674" i="3"/>
  <c r="AW674" i="3"/>
  <c r="AX673" i="3"/>
  <c r="AW673" i="3"/>
  <c r="AX672" i="3"/>
  <c r="AW672" i="3"/>
  <c r="AX671" i="3"/>
  <c r="AW671" i="3"/>
  <c r="AX670" i="3"/>
  <c r="AW670" i="3"/>
  <c r="AX669" i="3"/>
  <c r="AW669" i="3"/>
  <c r="AX668" i="3"/>
  <c r="AW668" i="3"/>
  <c r="AX667" i="3"/>
  <c r="AW667" i="3"/>
  <c r="AX666" i="3"/>
  <c r="AW666" i="3"/>
  <c r="AX665" i="3"/>
  <c r="AW665" i="3"/>
  <c r="AX664" i="3"/>
  <c r="AW664" i="3"/>
  <c r="AX663" i="3"/>
  <c r="AW663" i="3"/>
  <c r="AX662" i="3"/>
  <c r="AW662" i="3"/>
  <c r="AX661" i="3"/>
  <c r="AW661" i="3"/>
  <c r="AX660" i="3"/>
  <c r="AW660" i="3"/>
  <c r="AX659" i="3"/>
  <c r="AW659" i="3"/>
  <c r="AX658" i="3"/>
  <c r="AW658" i="3"/>
  <c r="AX657" i="3"/>
  <c r="AW657" i="3"/>
  <c r="AX656" i="3"/>
  <c r="AW656" i="3"/>
  <c r="AX655" i="3"/>
  <c r="AW655" i="3"/>
  <c r="AX654" i="3"/>
  <c r="AW654" i="3"/>
  <c r="AX653" i="3"/>
  <c r="AW653" i="3"/>
  <c r="AX652" i="3"/>
  <c r="AW652" i="3"/>
  <c r="AX651" i="3"/>
  <c r="AW651" i="3"/>
  <c r="AX650" i="3"/>
  <c r="AW650" i="3"/>
  <c r="AX649" i="3"/>
  <c r="AW649" i="3"/>
  <c r="AX648" i="3"/>
  <c r="AW648" i="3"/>
  <c r="AX647" i="3"/>
  <c r="AW647" i="3"/>
  <c r="AX646" i="3"/>
  <c r="AW646" i="3"/>
  <c r="AX645" i="3"/>
  <c r="AW645" i="3"/>
  <c r="AX644" i="3"/>
  <c r="AW644" i="3"/>
  <c r="AX643" i="3"/>
  <c r="AW643" i="3"/>
  <c r="AX642" i="3"/>
  <c r="AW642" i="3"/>
  <c r="AX641" i="3"/>
  <c r="AW641" i="3"/>
  <c r="AX640" i="3"/>
  <c r="AW640" i="3"/>
  <c r="AX639" i="3"/>
  <c r="AW639" i="3"/>
  <c r="AX638" i="3"/>
  <c r="AW638" i="3"/>
  <c r="AX637" i="3"/>
  <c r="AW637" i="3"/>
  <c r="AX636" i="3"/>
  <c r="AW636" i="3"/>
  <c r="AX635" i="3"/>
  <c r="AW635" i="3"/>
  <c r="AX634" i="3"/>
  <c r="AW634" i="3"/>
  <c r="AX633" i="3"/>
  <c r="AW633" i="3"/>
  <c r="AX632" i="3"/>
  <c r="AW632" i="3"/>
  <c r="AX631" i="3"/>
  <c r="AW631" i="3"/>
  <c r="AX630" i="3"/>
  <c r="AW630" i="3"/>
  <c r="AX629" i="3"/>
  <c r="AW629" i="3"/>
  <c r="AX628" i="3"/>
  <c r="AW628" i="3"/>
  <c r="AX627" i="3"/>
  <c r="AW627" i="3"/>
  <c r="AX626" i="3"/>
  <c r="AW626" i="3"/>
  <c r="AX625" i="3"/>
  <c r="AW625" i="3"/>
  <c r="AX624" i="3"/>
  <c r="AW624" i="3"/>
  <c r="AX623" i="3"/>
  <c r="AW623" i="3"/>
  <c r="AX622" i="3"/>
  <c r="AW622" i="3"/>
  <c r="AX621" i="3"/>
  <c r="AW621" i="3"/>
  <c r="AX620" i="3"/>
  <c r="AW620" i="3"/>
  <c r="AX619" i="3"/>
  <c r="AW619" i="3"/>
  <c r="AX618" i="3"/>
  <c r="AW618" i="3"/>
  <c r="AX617" i="3"/>
  <c r="AW617" i="3"/>
  <c r="AX616" i="3"/>
  <c r="AW616" i="3"/>
  <c r="AX615" i="3"/>
  <c r="AW615" i="3"/>
  <c r="AX614" i="3"/>
  <c r="AW614" i="3"/>
  <c r="AX613" i="3"/>
  <c r="AW613" i="3"/>
  <c r="AX612" i="3"/>
  <c r="AW612" i="3"/>
  <c r="AX611" i="3"/>
  <c r="AW611" i="3"/>
  <c r="AX610" i="3"/>
  <c r="AW610" i="3"/>
  <c r="AX609" i="3"/>
  <c r="AW609" i="3"/>
  <c r="AX608" i="3"/>
  <c r="AW608" i="3"/>
  <c r="AX607" i="3"/>
  <c r="AW607" i="3"/>
  <c r="AX606" i="3"/>
  <c r="AW606" i="3"/>
  <c r="AX605" i="3"/>
  <c r="AW605" i="3"/>
  <c r="AX604" i="3"/>
  <c r="AW604" i="3"/>
  <c r="AX603" i="3"/>
  <c r="AW603" i="3"/>
  <c r="AX602" i="3"/>
  <c r="AW602" i="3"/>
  <c r="AX601" i="3"/>
  <c r="AW601" i="3"/>
  <c r="AX600" i="3"/>
  <c r="AW600" i="3"/>
  <c r="AX599" i="3"/>
  <c r="AW599" i="3"/>
  <c r="AX598" i="3"/>
  <c r="AW598" i="3"/>
  <c r="AX597" i="3"/>
  <c r="AW597" i="3"/>
  <c r="AX596" i="3"/>
  <c r="AW596" i="3"/>
  <c r="AX595" i="3"/>
  <c r="AW595" i="3"/>
  <c r="AX594" i="3"/>
  <c r="AW594" i="3"/>
  <c r="AX593" i="3"/>
  <c r="AW593" i="3"/>
  <c r="AX592" i="3"/>
  <c r="AW592" i="3"/>
  <c r="AX591" i="3"/>
  <c r="AW591" i="3"/>
  <c r="AX590" i="3"/>
  <c r="AW590" i="3"/>
  <c r="AX589" i="3"/>
  <c r="AW589" i="3"/>
  <c r="AX588" i="3"/>
  <c r="AW588" i="3"/>
  <c r="AX587" i="3"/>
  <c r="AW587" i="3"/>
  <c r="AX586" i="3"/>
  <c r="AW586" i="3"/>
  <c r="AX585" i="3"/>
  <c r="AW585" i="3"/>
  <c r="AX584" i="3"/>
  <c r="AW584" i="3"/>
  <c r="AX583" i="3"/>
  <c r="AW583" i="3"/>
  <c r="AX582" i="3"/>
  <c r="AW582" i="3"/>
  <c r="AX581" i="3"/>
  <c r="AW581" i="3"/>
  <c r="AX580" i="3"/>
  <c r="AW580" i="3"/>
  <c r="AX579" i="3"/>
  <c r="AW579" i="3"/>
  <c r="AX578" i="3"/>
  <c r="AW578" i="3"/>
  <c r="AX577" i="3"/>
  <c r="AW577" i="3"/>
  <c r="AX576" i="3"/>
  <c r="AW576" i="3"/>
  <c r="AX575" i="3"/>
  <c r="AW575" i="3"/>
  <c r="AX574" i="3"/>
  <c r="AW574" i="3"/>
  <c r="AX573" i="3"/>
  <c r="AW573" i="3"/>
  <c r="AX572" i="3"/>
  <c r="AW572" i="3"/>
  <c r="AX571" i="3"/>
  <c r="AW571" i="3"/>
  <c r="AX570" i="3"/>
  <c r="AW570" i="3"/>
  <c r="AX569" i="3"/>
  <c r="AW569" i="3"/>
  <c r="AX568" i="3"/>
  <c r="AW568" i="3"/>
  <c r="AX567" i="3"/>
  <c r="AW567" i="3"/>
  <c r="AX566" i="3"/>
  <c r="AW566" i="3"/>
  <c r="AX565" i="3"/>
  <c r="AW565" i="3"/>
  <c r="AX564" i="3"/>
  <c r="AW564" i="3"/>
  <c r="AX563" i="3"/>
  <c r="AW563" i="3"/>
  <c r="AX562" i="3"/>
  <c r="AW562" i="3"/>
  <c r="AX561" i="3"/>
  <c r="AW561" i="3"/>
  <c r="AX560" i="3"/>
  <c r="AW560" i="3"/>
  <c r="AX559" i="3"/>
  <c r="AW559" i="3"/>
  <c r="AX558" i="3"/>
  <c r="AW558" i="3"/>
  <c r="AX557" i="3"/>
  <c r="AW557" i="3"/>
  <c r="AX556" i="3"/>
  <c r="AW556" i="3"/>
  <c r="AX555" i="3"/>
  <c r="AW555" i="3"/>
  <c r="AX554" i="3"/>
  <c r="AW554" i="3"/>
  <c r="AX553" i="3"/>
  <c r="AW553" i="3"/>
  <c r="AX552" i="3"/>
  <c r="AW552" i="3"/>
  <c r="AX551" i="3"/>
  <c r="AW551" i="3"/>
  <c r="AX550" i="3"/>
  <c r="AW550" i="3"/>
  <c r="AX549" i="3"/>
  <c r="AW549" i="3"/>
  <c r="AX548" i="3"/>
  <c r="AW548" i="3"/>
  <c r="AX547" i="3"/>
  <c r="AW547" i="3"/>
  <c r="AX546" i="3"/>
  <c r="AW546" i="3"/>
  <c r="AX545" i="3"/>
  <c r="AW545" i="3"/>
  <c r="AX544" i="3"/>
  <c r="AW544" i="3"/>
  <c r="AX543" i="3"/>
  <c r="AW543" i="3"/>
  <c r="AX542" i="3"/>
  <c r="AW542" i="3"/>
  <c r="AX541" i="3"/>
  <c r="AW541" i="3"/>
  <c r="AX540" i="3"/>
  <c r="AW540" i="3"/>
  <c r="AX539" i="3"/>
  <c r="AW539" i="3"/>
  <c r="AX538" i="3"/>
  <c r="AW538" i="3"/>
  <c r="AX537" i="3"/>
  <c r="AW537" i="3"/>
  <c r="AX536" i="3"/>
  <c r="AW536" i="3"/>
  <c r="AX535" i="3"/>
  <c r="AW535" i="3"/>
  <c r="AX534" i="3"/>
  <c r="AW534" i="3"/>
  <c r="AX533" i="3"/>
  <c r="AW533" i="3"/>
  <c r="AX532" i="3"/>
  <c r="AW532" i="3"/>
  <c r="AX531" i="3"/>
  <c r="AW531" i="3"/>
  <c r="AX530" i="3"/>
  <c r="AW530" i="3"/>
  <c r="AX529" i="3"/>
  <c r="AW529" i="3"/>
  <c r="AX528" i="3"/>
  <c r="AW528" i="3"/>
  <c r="AX527" i="3"/>
  <c r="AW527" i="3"/>
  <c r="AX526" i="3"/>
  <c r="AW526" i="3"/>
  <c r="AX525" i="3"/>
  <c r="AW525" i="3"/>
  <c r="AX524" i="3"/>
  <c r="AW524" i="3"/>
  <c r="AX523" i="3"/>
  <c r="AW523" i="3"/>
  <c r="AX522" i="3"/>
  <c r="AW522" i="3"/>
  <c r="AX521" i="3"/>
  <c r="AW521" i="3"/>
  <c r="AX520" i="3"/>
  <c r="AW520" i="3"/>
  <c r="AX519" i="3"/>
  <c r="AW519" i="3"/>
  <c r="AX518" i="3"/>
  <c r="AW518" i="3"/>
  <c r="AX517" i="3"/>
  <c r="AW517" i="3"/>
  <c r="AX516" i="3"/>
  <c r="AW516" i="3"/>
  <c r="AX515" i="3"/>
  <c r="AW515" i="3"/>
  <c r="AX514" i="3"/>
  <c r="AW514" i="3"/>
  <c r="AX513" i="3"/>
  <c r="AW513" i="3"/>
  <c r="AX512" i="3"/>
  <c r="AW512" i="3"/>
  <c r="AX511" i="3"/>
  <c r="AW511" i="3"/>
  <c r="AX510" i="3"/>
  <c r="AW510" i="3"/>
  <c r="AX509" i="3"/>
  <c r="AW509" i="3"/>
  <c r="AX508" i="3"/>
  <c r="AW508" i="3"/>
  <c r="AX507" i="3"/>
  <c r="AW507" i="3"/>
  <c r="AX506" i="3"/>
  <c r="AW506" i="3"/>
  <c r="AX505" i="3"/>
  <c r="AW505" i="3"/>
  <c r="AX504" i="3"/>
  <c r="AW504" i="3"/>
  <c r="AX503" i="3"/>
  <c r="AW503" i="3"/>
  <c r="AX502" i="3"/>
  <c r="AW502" i="3"/>
  <c r="AX501" i="3"/>
  <c r="AW501" i="3"/>
  <c r="AX500" i="3"/>
  <c r="AW500" i="3"/>
  <c r="AX499" i="3"/>
  <c r="AW499" i="3"/>
  <c r="AX498" i="3"/>
  <c r="AW498" i="3"/>
  <c r="AX497" i="3"/>
  <c r="AW497" i="3"/>
  <c r="AX496" i="3"/>
  <c r="AW496" i="3"/>
  <c r="AX495" i="3"/>
  <c r="AW495" i="3"/>
  <c r="AX494" i="3"/>
  <c r="AW494" i="3"/>
  <c r="AX493" i="3"/>
  <c r="AW493" i="3"/>
  <c r="AX492" i="3"/>
  <c r="AW492" i="3"/>
  <c r="AX491" i="3"/>
  <c r="AW491" i="3"/>
  <c r="AX490" i="3"/>
  <c r="AW490" i="3"/>
  <c r="AX489" i="3"/>
  <c r="AW489" i="3"/>
  <c r="AX488" i="3"/>
  <c r="AW488" i="3"/>
  <c r="AX487" i="3"/>
  <c r="AW487" i="3"/>
  <c r="AX486" i="3"/>
  <c r="AW486" i="3"/>
  <c r="AX485" i="3"/>
  <c r="AW485" i="3"/>
  <c r="AX484" i="3"/>
  <c r="AW484" i="3"/>
  <c r="AX483" i="3"/>
  <c r="AW483" i="3"/>
  <c r="AX482" i="3"/>
  <c r="AW482" i="3"/>
  <c r="AX481" i="3"/>
  <c r="AW481" i="3"/>
  <c r="AX480" i="3"/>
  <c r="AW480" i="3"/>
  <c r="AX479" i="3"/>
  <c r="AW479" i="3"/>
  <c r="AX478" i="3"/>
  <c r="AW478" i="3"/>
  <c r="AX477" i="3"/>
  <c r="AW477" i="3"/>
  <c r="AX476" i="3"/>
  <c r="AW476" i="3"/>
  <c r="AX475" i="3"/>
  <c r="AW475" i="3"/>
  <c r="AX474" i="3"/>
  <c r="AW474" i="3"/>
  <c r="AX473" i="3"/>
  <c r="AW473" i="3"/>
  <c r="AX472" i="3"/>
  <c r="AW472" i="3"/>
  <c r="AX471" i="3"/>
  <c r="AW471" i="3"/>
  <c r="AX470" i="3"/>
  <c r="AW470" i="3"/>
  <c r="AX469" i="3"/>
  <c r="AW469" i="3"/>
  <c r="AX468" i="3"/>
  <c r="AW468" i="3"/>
  <c r="AX467" i="3"/>
  <c r="AW467" i="3"/>
  <c r="AX466" i="3"/>
  <c r="AW466" i="3"/>
  <c r="AX465" i="3"/>
  <c r="AW465" i="3"/>
  <c r="AX464" i="3"/>
  <c r="AW464" i="3"/>
  <c r="AX463" i="3"/>
  <c r="AW463" i="3"/>
  <c r="AX462" i="3"/>
  <c r="AW462" i="3"/>
  <c r="AX461" i="3"/>
  <c r="AW461" i="3"/>
  <c r="AX460" i="3"/>
  <c r="AW460" i="3"/>
  <c r="AX459" i="3"/>
  <c r="AW459" i="3"/>
  <c r="AX458" i="3"/>
  <c r="AW458" i="3"/>
  <c r="AX457" i="3"/>
  <c r="AW457" i="3"/>
  <c r="AX456" i="3"/>
  <c r="AW456" i="3"/>
  <c r="AX455" i="3"/>
  <c r="AW455" i="3"/>
  <c r="AX454" i="3"/>
  <c r="AW454" i="3"/>
  <c r="AX453" i="3"/>
  <c r="AW453" i="3"/>
  <c r="AX452" i="3"/>
  <c r="AW452" i="3"/>
  <c r="AX451" i="3"/>
  <c r="AW451" i="3"/>
  <c r="AX450" i="3"/>
  <c r="AW450" i="3"/>
  <c r="AX449" i="3"/>
  <c r="AW449" i="3"/>
  <c r="AX448" i="3"/>
  <c r="AW448" i="3"/>
  <c r="AX447" i="3"/>
  <c r="AW447" i="3"/>
  <c r="AX446" i="3"/>
  <c r="AW446" i="3"/>
  <c r="AX445" i="3"/>
  <c r="AW445" i="3"/>
  <c r="AX444" i="3"/>
  <c r="AW444" i="3"/>
  <c r="AX443" i="3"/>
  <c r="AW443" i="3"/>
  <c r="AX442" i="3"/>
  <c r="AW442" i="3"/>
  <c r="AX441" i="3"/>
  <c r="AW441" i="3"/>
  <c r="AX440" i="3"/>
  <c r="AW440" i="3"/>
  <c r="AX439" i="3"/>
  <c r="AW439" i="3"/>
  <c r="AX438" i="3"/>
  <c r="AW438" i="3"/>
  <c r="AX437" i="3"/>
  <c r="AW437" i="3"/>
  <c r="AX436" i="3"/>
  <c r="AW436" i="3"/>
  <c r="AX435" i="3"/>
  <c r="AW435" i="3"/>
  <c r="AX434" i="3"/>
  <c r="AW434" i="3"/>
  <c r="AX433" i="3"/>
  <c r="AW433" i="3"/>
  <c r="AX432" i="3"/>
  <c r="AW432" i="3"/>
  <c r="AX431" i="3"/>
  <c r="AW431" i="3"/>
  <c r="AX430" i="3"/>
  <c r="AW430" i="3"/>
  <c r="AX429" i="3"/>
  <c r="AW429" i="3"/>
  <c r="AX428" i="3"/>
  <c r="AW428" i="3"/>
  <c r="AX427" i="3"/>
  <c r="AW427" i="3"/>
  <c r="AX426" i="3"/>
  <c r="AW426" i="3"/>
  <c r="AX425" i="3"/>
  <c r="AW425" i="3"/>
  <c r="AX424" i="3"/>
  <c r="AW424" i="3"/>
  <c r="AX423" i="3"/>
  <c r="AW423" i="3"/>
  <c r="AX422" i="3"/>
  <c r="AW422" i="3"/>
  <c r="AX421" i="3"/>
  <c r="AW421" i="3"/>
  <c r="AX420" i="3"/>
  <c r="AW420" i="3"/>
  <c r="AX419" i="3"/>
  <c r="AW419" i="3"/>
  <c r="AX418" i="3"/>
  <c r="AW418" i="3"/>
  <c r="AX417" i="3"/>
  <c r="AW417" i="3"/>
  <c r="AX416" i="3"/>
  <c r="AW416" i="3"/>
  <c r="AX415" i="3"/>
  <c r="AW415" i="3"/>
  <c r="AX414" i="3"/>
  <c r="AW414" i="3"/>
  <c r="AX413" i="3"/>
  <c r="AW413" i="3"/>
  <c r="AX412" i="3"/>
  <c r="AW412" i="3"/>
  <c r="AX411" i="3"/>
  <c r="AW411" i="3"/>
  <c r="AX410" i="3"/>
  <c r="AW410" i="3"/>
  <c r="AX409" i="3"/>
  <c r="AW409" i="3"/>
  <c r="AX408" i="3"/>
  <c r="AW408" i="3"/>
  <c r="AX407" i="3"/>
  <c r="AW407" i="3"/>
  <c r="AX406" i="3"/>
  <c r="AW406" i="3"/>
  <c r="AX405" i="3"/>
  <c r="AW405" i="3"/>
  <c r="AX404" i="3"/>
  <c r="AW404" i="3"/>
  <c r="AX403" i="3"/>
  <c r="AW403" i="3"/>
  <c r="AX402" i="3"/>
  <c r="AW402" i="3"/>
  <c r="AX401" i="3"/>
  <c r="AW401" i="3"/>
  <c r="AX400" i="3"/>
  <c r="AW400" i="3"/>
  <c r="AX399" i="3"/>
  <c r="AW399" i="3"/>
  <c r="AX398" i="3"/>
  <c r="AW398" i="3"/>
  <c r="AX397" i="3"/>
  <c r="AW397" i="3"/>
  <c r="AX396" i="3"/>
  <c r="AW396" i="3"/>
  <c r="AX395" i="3"/>
  <c r="AW395" i="3"/>
  <c r="AX394" i="3"/>
  <c r="AW394" i="3"/>
  <c r="AX393" i="3"/>
  <c r="AW393" i="3"/>
  <c r="AX392" i="3"/>
  <c r="AW392" i="3"/>
  <c r="AX391" i="3"/>
  <c r="AW391" i="3"/>
  <c r="AX390" i="3"/>
  <c r="AW390" i="3"/>
  <c r="AX389" i="3"/>
  <c r="AW389" i="3"/>
  <c r="AX388" i="3"/>
  <c r="AW388" i="3"/>
  <c r="AX387" i="3"/>
  <c r="AW387" i="3"/>
  <c r="AX386" i="3"/>
  <c r="AW386" i="3"/>
  <c r="AX385" i="3"/>
  <c r="AW385" i="3"/>
  <c r="AX384" i="3"/>
  <c r="AW384" i="3"/>
  <c r="AX383" i="3"/>
  <c r="AW383" i="3"/>
  <c r="AX382" i="3"/>
  <c r="AW382" i="3"/>
  <c r="AX381" i="3"/>
  <c r="AW381" i="3"/>
  <c r="AX380" i="3"/>
  <c r="AW380" i="3"/>
  <c r="AX379" i="3"/>
  <c r="AW379" i="3"/>
  <c r="AX378" i="3"/>
  <c r="AW378" i="3"/>
  <c r="AX377" i="3"/>
  <c r="AW377" i="3"/>
  <c r="AX376" i="3"/>
  <c r="AW376" i="3"/>
  <c r="AX375" i="3"/>
  <c r="AW375" i="3"/>
  <c r="AX374" i="3"/>
  <c r="AW374" i="3"/>
  <c r="AX373" i="3"/>
  <c r="AW373" i="3"/>
  <c r="AX372" i="3"/>
  <c r="AW372" i="3"/>
  <c r="AX371" i="3"/>
  <c r="AW371" i="3"/>
  <c r="AX370" i="3"/>
  <c r="AW370" i="3"/>
  <c r="AX369" i="3"/>
  <c r="AW369" i="3"/>
  <c r="AX368" i="3"/>
  <c r="AW368" i="3"/>
  <c r="AX367" i="3"/>
  <c r="AW367" i="3"/>
  <c r="AX366" i="3"/>
  <c r="AW366" i="3"/>
  <c r="AX365" i="3"/>
  <c r="AW365" i="3"/>
  <c r="AX364" i="3"/>
  <c r="AW364" i="3"/>
  <c r="AX363" i="3"/>
  <c r="AW363" i="3"/>
  <c r="AX362" i="3"/>
  <c r="AW362" i="3"/>
  <c r="AX361" i="3"/>
  <c r="AW361" i="3"/>
  <c r="AX360" i="3"/>
  <c r="AW360" i="3"/>
  <c r="AX359" i="3"/>
  <c r="AW359" i="3"/>
  <c r="AX358" i="3"/>
  <c r="AW358" i="3"/>
  <c r="AX357" i="3"/>
  <c r="AW357" i="3"/>
  <c r="AX356" i="3"/>
  <c r="AW356" i="3"/>
  <c r="AX355" i="3"/>
  <c r="AW355" i="3"/>
  <c r="AX354" i="3"/>
  <c r="AW354" i="3"/>
  <c r="AX353" i="3"/>
  <c r="AW353" i="3"/>
  <c r="AX352" i="3"/>
  <c r="AW352" i="3"/>
  <c r="AX351" i="3"/>
  <c r="AW351" i="3"/>
  <c r="AX350" i="3"/>
  <c r="AW350" i="3"/>
  <c r="AX349" i="3"/>
  <c r="AW349" i="3"/>
  <c r="AX348" i="3"/>
  <c r="AW348" i="3"/>
  <c r="AX347" i="3"/>
  <c r="AW347" i="3"/>
  <c r="AX346" i="3"/>
  <c r="AW346" i="3"/>
  <c r="AX345" i="3"/>
  <c r="AW345" i="3"/>
  <c r="AX344" i="3"/>
  <c r="AW344" i="3"/>
  <c r="AX343" i="3"/>
  <c r="AW343" i="3"/>
  <c r="AX342" i="3"/>
  <c r="AW342" i="3"/>
  <c r="AX341" i="3"/>
  <c r="AW341" i="3"/>
  <c r="AX340" i="3"/>
  <c r="AW340" i="3"/>
  <c r="AX339" i="3"/>
  <c r="AW339" i="3"/>
  <c r="AX338" i="3"/>
  <c r="AW338" i="3"/>
  <c r="AX337" i="3"/>
  <c r="AW337" i="3"/>
  <c r="AX336" i="3"/>
  <c r="AW336" i="3"/>
  <c r="AX335" i="3"/>
  <c r="AW335" i="3"/>
  <c r="AX334" i="3"/>
  <c r="AW334" i="3"/>
  <c r="AX333" i="3"/>
  <c r="AW333" i="3"/>
  <c r="AX332" i="3"/>
  <c r="AW332" i="3"/>
  <c r="AX331" i="3"/>
  <c r="AW331" i="3"/>
  <c r="AX330" i="3"/>
  <c r="AW330" i="3"/>
  <c r="AX329" i="3"/>
  <c r="AW329" i="3"/>
  <c r="AX328" i="3"/>
  <c r="AW328" i="3"/>
  <c r="AX327" i="3"/>
  <c r="AW327" i="3"/>
  <c r="AX326" i="3"/>
  <c r="AW326" i="3"/>
  <c r="AX325" i="3"/>
  <c r="AW325" i="3"/>
  <c r="AX324" i="3"/>
  <c r="AW324" i="3"/>
  <c r="AX323" i="3"/>
  <c r="AW323" i="3"/>
  <c r="AX322" i="3"/>
  <c r="AW322" i="3"/>
  <c r="AX321" i="3"/>
  <c r="AW321" i="3"/>
  <c r="AX320" i="3"/>
  <c r="AW320" i="3"/>
  <c r="AX319" i="3"/>
  <c r="AW319" i="3"/>
  <c r="AX318" i="3"/>
  <c r="AW318" i="3"/>
  <c r="AX317" i="3"/>
  <c r="AW317" i="3"/>
  <c r="AX316" i="3"/>
  <c r="AW316" i="3"/>
  <c r="AX315" i="3"/>
  <c r="AW315" i="3"/>
  <c r="AX314" i="3"/>
  <c r="AW314" i="3"/>
  <c r="AX313" i="3"/>
  <c r="AW313" i="3"/>
  <c r="AX312" i="3"/>
  <c r="AW312" i="3"/>
  <c r="AX311" i="3"/>
  <c r="AW311" i="3"/>
  <c r="AX310" i="3"/>
  <c r="AW310" i="3"/>
  <c r="AX309" i="3"/>
  <c r="AW309" i="3"/>
  <c r="AX308" i="3"/>
  <c r="AW308" i="3"/>
  <c r="AX307" i="3"/>
  <c r="AW307" i="3"/>
  <c r="AX306" i="3"/>
  <c r="AW306" i="3"/>
  <c r="AX305" i="3"/>
  <c r="AW305" i="3"/>
  <c r="AX304" i="3"/>
  <c r="AW304" i="3"/>
  <c r="AX303" i="3"/>
  <c r="AW303" i="3"/>
  <c r="AX302" i="3"/>
  <c r="AW302" i="3"/>
  <c r="AX301" i="3"/>
  <c r="AW301" i="3"/>
  <c r="AX300" i="3"/>
  <c r="AW300" i="3"/>
  <c r="AX299" i="3"/>
  <c r="AW299" i="3"/>
  <c r="AX298" i="3"/>
  <c r="AW298" i="3"/>
  <c r="AX297" i="3"/>
  <c r="AW297" i="3"/>
  <c r="AX296" i="3"/>
  <c r="AW296" i="3"/>
  <c r="AX295" i="3"/>
  <c r="AW295" i="3"/>
  <c r="AX294" i="3"/>
  <c r="AW294" i="3"/>
  <c r="AX293" i="3"/>
  <c r="AW293" i="3"/>
  <c r="AX292" i="3"/>
  <c r="AW292" i="3"/>
  <c r="AX291" i="3"/>
  <c r="AW291" i="3"/>
  <c r="AX290" i="3"/>
  <c r="AW290" i="3"/>
  <c r="AX289" i="3"/>
  <c r="AW289" i="3"/>
  <c r="AX288" i="3"/>
  <c r="AW288" i="3"/>
  <c r="AX287" i="3"/>
  <c r="AW287" i="3"/>
  <c r="AX286" i="3"/>
  <c r="AW286" i="3"/>
  <c r="AX285" i="3"/>
  <c r="AW285" i="3"/>
  <c r="AX284" i="3"/>
  <c r="AW284" i="3"/>
  <c r="AX283" i="3"/>
  <c r="AW283" i="3"/>
  <c r="AX282" i="3"/>
  <c r="AW282" i="3"/>
  <c r="AX281" i="3"/>
  <c r="AW281" i="3"/>
  <c r="AX280" i="3"/>
  <c r="AW280" i="3"/>
  <c r="AX279" i="3"/>
  <c r="AW279" i="3"/>
  <c r="AX278" i="3"/>
  <c r="AW278" i="3"/>
  <c r="AX277" i="3"/>
  <c r="AW277" i="3"/>
  <c r="AX276" i="3"/>
  <c r="AW276" i="3"/>
  <c r="AX275" i="3"/>
  <c r="AW275" i="3"/>
  <c r="AX274" i="3"/>
  <c r="AW274" i="3"/>
  <c r="AX273" i="3"/>
  <c r="AW273" i="3"/>
  <c r="AX272" i="3"/>
  <c r="AW272" i="3"/>
  <c r="AX271" i="3"/>
  <c r="AW271" i="3"/>
  <c r="AX270" i="3"/>
  <c r="AW270" i="3"/>
  <c r="AX269" i="3"/>
  <c r="AW269" i="3"/>
  <c r="AX268" i="3"/>
  <c r="AW268" i="3"/>
  <c r="AX267" i="3"/>
  <c r="AW267" i="3"/>
  <c r="AX266" i="3"/>
  <c r="AW266" i="3"/>
  <c r="AX265" i="3"/>
  <c r="AW265" i="3"/>
  <c r="AX264" i="3"/>
  <c r="AW264" i="3"/>
  <c r="AX263" i="3"/>
  <c r="AW263" i="3"/>
  <c r="AX262" i="3"/>
  <c r="AW262" i="3"/>
  <c r="AX261" i="3"/>
  <c r="AW261" i="3"/>
  <c r="AX260" i="3"/>
  <c r="AW260" i="3"/>
  <c r="AX259" i="3"/>
  <c r="AW259" i="3"/>
  <c r="AX258" i="3"/>
  <c r="AW258" i="3"/>
  <c r="AX257" i="3"/>
  <c r="AW257" i="3"/>
  <c r="AX256" i="3"/>
  <c r="AW256" i="3"/>
  <c r="AX255" i="3"/>
  <c r="AW255" i="3"/>
  <c r="AX254" i="3"/>
  <c r="AW254" i="3"/>
  <c r="AX253" i="3"/>
  <c r="AW253" i="3"/>
  <c r="AX252" i="3"/>
  <c r="AW252" i="3"/>
  <c r="AX251" i="3"/>
  <c r="AW251" i="3"/>
  <c r="AX250" i="3"/>
  <c r="AW250" i="3"/>
  <c r="AX249" i="3"/>
  <c r="AW249" i="3"/>
  <c r="AX248" i="3"/>
  <c r="AW248" i="3"/>
  <c r="AX247" i="3"/>
  <c r="AW247" i="3"/>
  <c r="AX246" i="3"/>
  <c r="AW246" i="3"/>
  <c r="AX245" i="3"/>
  <c r="AW245" i="3"/>
  <c r="AX244" i="3"/>
  <c r="AW244" i="3"/>
  <c r="AX243" i="3"/>
  <c r="AW243" i="3"/>
  <c r="AX242" i="3"/>
  <c r="AW242" i="3"/>
  <c r="AX241" i="3"/>
  <c r="AW241" i="3"/>
  <c r="AX240" i="3"/>
  <c r="AW240" i="3"/>
  <c r="AX239" i="3"/>
  <c r="AW239" i="3"/>
  <c r="AX238" i="3"/>
  <c r="AW238" i="3"/>
  <c r="AX237" i="3"/>
  <c r="AW237" i="3"/>
  <c r="AX236" i="3"/>
  <c r="AW236" i="3"/>
  <c r="AX235" i="3"/>
  <c r="AW235" i="3"/>
  <c r="AX234" i="3"/>
  <c r="AW234" i="3"/>
  <c r="AX233" i="3"/>
  <c r="AW233" i="3"/>
  <c r="AX232" i="3"/>
  <c r="AW232" i="3"/>
  <c r="AX231" i="3"/>
  <c r="AW231" i="3"/>
  <c r="AX230" i="3"/>
  <c r="AW230" i="3"/>
  <c r="AX229" i="3"/>
  <c r="AW229" i="3"/>
  <c r="AX228" i="3"/>
  <c r="AW228" i="3"/>
  <c r="AX227" i="3"/>
  <c r="AW227" i="3"/>
  <c r="AX226" i="3"/>
  <c r="AW226" i="3"/>
  <c r="AX225" i="3"/>
  <c r="AW225" i="3"/>
  <c r="AX224" i="3"/>
  <c r="AW224" i="3"/>
  <c r="AX223" i="3"/>
  <c r="AW223" i="3"/>
  <c r="AX222" i="3"/>
  <c r="AW222" i="3"/>
  <c r="AX221" i="3"/>
  <c r="AW221" i="3"/>
  <c r="AX220" i="3"/>
  <c r="AW220" i="3"/>
  <c r="AX219" i="3"/>
  <c r="AW219" i="3"/>
  <c r="AX218" i="3"/>
  <c r="AW218" i="3"/>
  <c r="AX217" i="3"/>
  <c r="AW217" i="3"/>
  <c r="AX216" i="3"/>
  <c r="AW216" i="3"/>
  <c r="AX215" i="3"/>
  <c r="AW215" i="3"/>
  <c r="AX214" i="3"/>
  <c r="AW214" i="3"/>
  <c r="AX213" i="3"/>
  <c r="AW213" i="3"/>
  <c r="AX212" i="3"/>
  <c r="AW212" i="3"/>
  <c r="AX211" i="3"/>
  <c r="AW211" i="3"/>
  <c r="AX210" i="3"/>
  <c r="AW210" i="3"/>
  <c r="AX209" i="3"/>
  <c r="AW209" i="3"/>
  <c r="AX208" i="3"/>
  <c r="AW208" i="3"/>
  <c r="AX207" i="3"/>
  <c r="AW207" i="3"/>
  <c r="AX206" i="3"/>
  <c r="AW206" i="3"/>
  <c r="AX205" i="3"/>
  <c r="AW205" i="3"/>
  <c r="AX204" i="3"/>
  <c r="AW204" i="3"/>
  <c r="AX203" i="3"/>
  <c r="AW203" i="3"/>
  <c r="AX202" i="3"/>
  <c r="AW202" i="3"/>
  <c r="AX201" i="3"/>
  <c r="AW201" i="3"/>
  <c r="AX200" i="3"/>
  <c r="AW200" i="3"/>
  <c r="AX199" i="3"/>
  <c r="AW199" i="3"/>
  <c r="AX198" i="3"/>
  <c r="AW198" i="3"/>
  <c r="AX197" i="3"/>
  <c r="AW197" i="3"/>
  <c r="AX196" i="3"/>
  <c r="AW196" i="3"/>
  <c r="AX195" i="3"/>
  <c r="AW195" i="3"/>
  <c r="AX194" i="3"/>
  <c r="AW194" i="3"/>
  <c r="AX193" i="3"/>
  <c r="AW193" i="3"/>
  <c r="AX192" i="3"/>
  <c r="AW192" i="3"/>
  <c r="AX191" i="3"/>
  <c r="AW191" i="3"/>
  <c r="AX190" i="3"/>
  <c r="AW190" i="3"/>
  <c r="AX189" i="3"/>
  <c r="AW189" i="3"/>
  <c r="AX188" i="3"/>
  <c r="AW188" i="3"/>
  <c r="AY188" i="3" s="1"/>
  <c r="AX187" i="3"/>
  <c r="AW187" i="3"/>
  <c r="AX186" i="3"/>
  <c r="AW186" i="3"/>
  <c r="AX185" i="3"/>
  <c r="AW185" i="3"/>
  <c r="AX184" i="3"/>
  <c r="AW184" i="3"/>
  <c r="AX183" i="3"/>
  <c r="AW183" i="3"/>
  <c r="AX182" i="3"/>
  <c r="AW182" i="3"/>
  <c r="AX181" i="3"/>
  <c r="AW181" i="3"/>
  <c r="AX180" i="3"/>
  <c r="AW180" i="3"/>
  <c r="AX179" i="3"/>
  <c r="AW179" i="3"/>
  <c r="AX178" i="3"/>
  <c r="AW178" i="3"/>
  <c r="AX177" i="3"/>
  <c r="AW177" i="3"/>
  <c r="AX176" i="3"/>
  <c r="AW176" i="3"/>
  <c r="AX175" i="3"/>
  <c r="AW175" i="3"/>
  <c r="AX174" i="3"/>
  <c r="AW174" i="3"/>
  <c r="AX173" i="3"/>
  <c r="AW173" i="3"/>
  <c r="AX172" i="3"/>
  <c r="AW172" i="3"/>
  <c r="AX171" i="3"/>
  <c r="AW171" i="3"/>
  <c r="AX170" i="3"/>
  <c r="AW170" i="3"/>
  <c r="AX169" i="3"/>
  <c r="AW169" i="3"/>
  <c r="AX168" i="3"/>
  <c r="AW168" i="3"/>
  <c r="AX167" i="3"/>
  <c r="AW167" i="3"/>
  <c r="AX166" i="3"/>
  <c r="AW166" i="3"/>
  <c r="AX165" i="3"/>
  <c r="AW165" i="3"/>
  <c r="AX164" i="3"/>
  <c r="AW164" i="3"/>
  <c r="AX163" i="3"/>
  <c r="AW163" i="3"/>
  <c r="AX162" i="3"/>
  <c r="AW162" i="3"/>
  <c r="AX161" i="3"/>
  <c r="AW161" i="3"/>
  <c r="AX160" i="3"/>
  <c r="AW160" i="3"/>
  <c r="AX159" i="3"/>
  <c r="AW159" i="3"/>
  <c r="AX158" i="3"/>
  <c r="AW158" i="3"/>
  <c r="AX157" i="3"/>
  <c r="AW157" i="3"/>
  <c r="AX156" i="3"/>
  <c r="AW156" i="3"/>
  <c r="AX155" i="3"/>
  <c r="AW155" i="3"/>
  <c r="AX154" i="3"/>
  <c r="AW154" i="3"/>
  <c r="AX153" i="3"/>
  <c r="AW153" i="3"/>
  <c r="AX152" i="3"/>
  <c r="AW152" i="3"/>
  <c r="AX151" i="3"/>
  <c r="AW151" i="3"/>
  <c r="AX150" i="3"/>
  <c r="AW150" i="3"/>
  <c r="AX149" i="3"/>
  <c r="AW149" i="3"/>
  <c r="AX148" i="3"/>
  <c r="AW148" i="3"/>
  <c r="AX147" i="3"/>
  <c r="AW147" i="3"/>
  <c r="AX146" i="3"/>
  <c r="AW146" i="3"/>
  <c r="AX145" i="3"/>
  <c r="AW145" i="3"/>
  <c r="AX144" i="3"/>
  <c r="AW144" i="3"/>
  <c r="AX143" i="3"/>
  <c r="AW143" i="3"/>
  <c r="AX142" i="3"/>
  <c r="AW142" i="3"/>
  <c r="AX141" i="3"/>
  <c r="AW141" i="3"/>
  <c r="AX140" i="3"/>
  <c r="AW140" i="3"/>
  <c r="AX139" i="3"/>
  <c r="AW139" i="3"/>
  <c r="AX138" i="3"/>
  <c r="AW138" i="3"/>
  <c r="AX137" i="3"/>
  <c r="AW137" i="3"/>
  <c r="AX136" i="3"/>
  <c r="AW136" i="3"/>
  <c r="AX135" i="3"/>
  <c r="AW135" i="3"/>
  <c r="AX134" i="3"/>
  <c r="AW134" i="3"/>
  <c r="AX133" i="3"/>
  <c r="AW133" i="3"/>
  <c r="AX132" i="3"/>
  <c r="AW132" i="3"/>
  <c r="AX131" i="3"/>
  <c r="AW131" i="3"/>
  <c r="AX130" i="3"/>
  <c r="AW130" i="3"/>
  <c r="AX129" i="3"/>
  <c r="AW129" i="3"/>
  <c r="AX128" i="3"/>
  <c r="AW128" i="3"/>
  <c r="AX127" i="3"/>
  <c r="AW127" i="3"/>
  <c r="AX126" i="3"/>
  <c r="AW126" i="3"/>
  <c r="AX125" i="3"/>
  <c r="AW125" i="3"/>
  <c r="AX124" i="3"/>
  <c r="AW124" i="3"/>
  <c r="AX123" i="3"/>
  <c r="AW123" i="3"/>
  <c r="AX122" i="3"/>
  <c r="AW122" i="3"/>
  <c r="AX121" i="3"/>
  <c r="AW121" i="3"/>
  <c r="AX120" i="3"/>
  <c r="AW120" i="3"/>
  <c r="AX119" i="3"/>
  <c r="AW119" i="3"/>
  <c r="AX118" i="3"/>
  <c r="AW118" i="3"/>
  <c r="AX117" i="3"/>
  <c r="AW117" i="3"/>
  <c r="AX116" i="3"/>
  <c r="AW116" i="3"/>
  <c r="AX115" i="3"/>
  <c r="AW115" i="3"/>
  <c r="AX114" i="3"/>
  <c r="AW114" i="3"/>
  <c r="AX113" i="3"/>
  <c r="AW113" i="3"/>
  <c r="AX112" i="3"/>
  <c r="AW112" i="3"/>
  <c r="AX111" i="3"/>
  <c r="AW111" i="3"/>
  <c r="AX110" i="3"/>
  <c r="AW110" i="3"/>
  <c r="AX109" i="3"/>
  <c r="AW109" i="3"/>
  <c r="AX108" i="3"/>
  <c r="AW108" i="3"/>
  <c r="AX107" i="3"/>
  <c r="AW107" i="3"/>
  <c r="AX106" i="3"/>
  <c r="AW106" i="3"/>
  <c r="AX105" i="3"/>
  <c r="AW105" i="3"/>
  <c r="AX104" i="3"/>
  <c r="AW104" i="3"/>
  <c r="AX103" i="3"/>
  <c r="AW103" i="3"/>
  <c r="AX102" i="3"/>
  <c r="AW102" i="3"/>
  <c r="AX101" i="3"/>
  <c r="AW101" i="3"/>
  <c r="AX100" i="3"/>
  <c r="AW100" i="3"/>
  <c r="AX99" i="3"/>
  <c r="AW99" i="3"/>
  <c r="AX98" i="3"/>
  <c r="AW98" i="3"/>
  <c r="AX97" i="3"/>
  <c r="AW97" i="3"/>
  <c r="AX96" i="3"/>
  <c r="AW96" i="3"/>
  <c r="AX95" i="3"/>
  <c r="AW95" i="3"/>
  <c r="AX94" i="3"/>
  <c r="AW94" i="3"/>
  <c r="AX93" i="3"/>
  <c r="AW93" i="3"/>
  <c r="AX92" i="3"/>
  <c r="AW92" i="3"/>
  <c r="AX91" i="3"/>
  <c r="AW91" i="3"/>
  <c r="AX90" i="3"/>
  <c r="AW90" i="3"/>
  <c r="AX89" i="3"/>
  <c r="AW89" i="3"/>
  <c r="AX88" i="3"/>
  <c r="AW88" i="3"/>
  <c r="AX87" i="3"/>
  <c r="AW87" i="3"/>
  <c r="AX86" i="3"/>
  <c r="AW86" i="3"/>
  <c r="AX85" i="3"/>
  <c r="AW85" i="3"/>
  <c r="AX84" i="3"/>
  <c r="AW84" i="3"/>
  <c r="AX83" i="3"/>
  <c r="AW83" i="3"/>
  <c r="AX82" i="3"/>
  <c r="AW82" i="3"/>
  <c r="AX81" i="3"/>
  <c r="AW81" i="3"/>
  <c r="AX80" i="3"/>
  <c r="AW80" i="3"/>
  <c r="AX79" i="3"/>
  <c r="AW79" i="3"/>
  <c r="AX78" i="3"/>
  <c r="AW78" i="3"/>
  <c r="AX77" i="3"/>
  <c r="AW77" i="3"/>
  <c r="AX76" i="3"/>
  <c r="AW76" i="3"/>
  <c r="AX75" i="3"/>
  <c r="AW75" i="3"/>
  <c r="AX74" i="3"/>
  <c r="AW74" i="3"/>
  <c r="AX73" i="3"/>
  <c r="AW73" i="3"/>
  <c r="AX72" i="3"/>
  <c r="AW72" i="3"/>
  <c r="AX71" i="3"/>
  <c r="AW71" i="3"/>
  <c r="AX70" i="3"/>
  <c r="AW70" i="3"/>
  <c r="AX69" i="3"/>
  <c r="AW69" i="3"/>
  <c r="AX68" i="3"/>
  <c r="AW68" i="3"/>
  <c r="AX67" i="3"/>
  <c r="AW67" i="3"/>
  <c r="AX66" i="3"/>
  <c r="AW66" i="3"/>
  <c r="AX65" i="3"/>
  <c r="AW65" i="3"/>
  <c r="AX64" i="3"/>
  <c r="AW64" i="3"/>
  <c r="AX63" i="3"/>
  <c r="AW63" i="3"/>
  <c r="AX62" i="3"/>
  <c r="AW62" i="3"/>
  <c r="AX61" i="3"/>
  <c r="AW61" i="3"/>
  <c r="AX60" i="3"/>
  <c r="AW60" i="3"/>
  <c r="AX59" i="3"/>
  <c r="AW59" i="3"/>
  <c r="AX58" i="3"/>
  <c r="AW58" i="3"/>
  <c r="AX57" i="3"/>
  <c r="AW57" i="3"/>
  <c r="AX56" i="3"/>
  <c r="AW56" i="3"/>
  <c r="AX55" i="3"/>
  <c r="AW55" i="3"/>
  <c r="AX54" i="3"/>
  <c r="AW54" i="3"/>
  <c r="AX53" i="3"/>
  <c r="AW53" i="3"/>
  <c r="AX52" i="3"/>
  <c r="AW52" i="3"/>
  <c r="AX51" i="3"/>
  <c r="AW51" i="3"/>
  <c r="AX50" i="3"/>
  <c r="AW50" i="3"/>
  <c r="AX49" i="3"/>
  <c r="AW49" i="3"/>
  <c r="AX48" i="3"/>
  <c r="AW48" i="3"/>
  <c r="AX47" i="3"/>
  <c r="AW47" i="3"/>
  <c r="AX46" i="3"/>
  <c r="AW46" i="3"/>
  <c r="AX45" i="3"/>
  <c r="AW45" i="3"/>
  <c r="AX44" i="3"/>
  <c r="AW44" i="3"/>
  <c r="AX43" i="3"/>
  <c r="AW43" i="3"/>
  <c r="AX42" i="3"/>
  <c r="AW42" i="3"/>
  <c r="AX41" i="3"/>
  <c r="AW41" i="3"/>
  <c r="AX40" i="3"/>
  <c r="AW40" i="3"/>
  <c r="AX39" i="3"/>
  <c r="AW39" i="3"/>
  <c r="AX38" i="3"/>
  <c r="AW38" i="3"/>
  <c r="AX37" i="3"/>
  <c r="AW37" i="3"/>
  <c r="AX36" i="3"/>
  <c r="AW36" i="3"/>
  <c r="AX35" i="3"/>
  <c r="AW35" i="3"/>
  <c r="AX34" i="3"/>
  <c r="AW34" i="3"/>
  <c r="AX33" i="3"/>
  <c r="AW33" i="3"/>
  <c r="AX32" i="3"/>
  <c r="AW32" i="3"/>
  <c r="AX31" i="3"/>
  <c r="AW31" i="3"/>
  <c r="AX30" i="3"/>
  <c r="AW30" i="3"/>
  <c r="AX29" i="3"/>
  <c r="AW29" i="3"/>
  <c r="AX28" i="3"/>
  <c r="AW28" i="3"/>
  <c r="AX27" i="3"/>
  <c r="AW27" i="3"/>
  <c r="AX26" i="3"/>
  <c r="AW26" i="3"/>
  <c r="AX25" i="3"/>
  <c r="AW25" i="3"/>
  <c r="AX24" i="3"/>
  <c r="AW24" i="3"/>
  <c r="AX23" i="3"/>
  <c r="AW23" i="3"/>
  <c r="AX22" i="3"/>
  <c r="AW22" i="3"/>
  <c r="AX21" i="3"/>
  <c r="AW21" i="3"/>
  <c r="AX20" i="3"/>
  <c r="AW20" i="3"/>
  <c r="AX19" i="3"/>
  <c r="AW19" i="3"/>
  <c r="AX18" i="3"/>
  <c r="AW18" i="3"/>
  <c r="AX17" i="3"/>
  <c r="AW17" i="3"/>
  <c r="AX16" i="3"/>
  <c r="AW16" i="3"/>
  <c r="AX15" i="3"/>
  <c r="AW15" i="3"/>
  <c r="AX14" i="3"/>
  <c r="AW14" i="3"/>
  <c r="AX13" i="3"/>
  <c r="AW13" i="3"/>
  <c r="AX12" i="3"/>
  <c r="AW12" i="3"/>
  <c r="AX11" i="3"/>
  <c r="AW11" i="3"/>
  <c r="AX10" i="3"/>
  <c r="AW10" i="3"/>
  <c r="AX9" i="3"/>
  <c r="AW9" i="3"/>
  <c r="AX8" i="3"/>
  <c r="AW8" i="3"/>
  <c r="AX7" i="3"/>
  <c r="AW7" i="3"/>
  <c r="AX6" i="3"/>
  <c r="AW6" i="3"/>
  <c r="AY6" i="3" s="1"/>
  <c r="AX5" i="3"/>
  <c r="AW5" i="3"/>
  <c r="AX4" i="3"/>
  <c r="AW4" i="3"/>
  <c r="AX3" i="3"/>
  <c r="AW3" i="3"/>
  <c r="AX2" i="3"/>
  <c r="AW2" i="3"/>
  <c r="BA745" i="3"/>
  <c r="AZ745" i="3"/>
  <c r="BA744" i="3"/>
  <c r="AZ744" i="3"/>
  <c r="BA743" i="3"/>
  <c r="AZ743" i="3"/>
  <c r="BA742" i="3"/>
  <c r="AZ742" i="3"/>
  <c r="BA741" i="3"/>
  <c r="AZ741" i="3"/>
  <c r="BA740" i="3"/>
  <c r="AZ740" i="3"/>
  <c r="BA739" i="3"/>
  <c r="AZ739" i="3"/>
  <c r="BA738" i="3"/>
  <c r="AZ738" i="3"/>
  <c r="BA737" i="3"/>
  <c r="AZ737" i="3"/>
  <c r="BA736" i="3"/>
  <c r="AZ736" i="3"/>
  <c r="BA735" i="3"/>
  <c r="AZ735" i="3"/>
  <c r="BA734" i="3"/>
  <c r="AZ734" i="3"/>
  <c r="BA733" i="3"/>
  <c r="AZ733" i="3"/>
  <c r="BA732" i="3"/>
  <c r="AZ732" i="3"/>
  <c r="BA731" i="3"/>
  <c r="AZ731" i="3"/>
  <c r="BA730" i="3"/>
  <c r="AZ730" i="3"/>
  <c r="BA729" i="3"/>
  <c r="AZ729" i="3"/>
  <c r="BA728" i="3"/>
  <c r="AZ728" i="3"/>
  <c r="BA727" i="3"/>
  <c r="AZ727" i="3"/>
  <c r="BA726" i="3"/>
  <c r="AZ726" i="3"/>
  <c r="BA725" i="3"/>
  <c r="AZ725" i="3"/>
  <c r="BA724" i="3"/>
  <c r="AZ724" i="3"/>
  <c r="BA723" i="3"/>
  <c r="AZ723" i="3"/>
  <c r="BA722" i="3"/>
  <c r="AZ722" i="3"/>
  <c r="BA721" i="3"/>
  <c r="AZ721" i="3"/>
  <c r="BA720" i="3"/>
  <c r="AZ720" i="3"/>
  <c r="BA719" i="3"/>
  <c r="AZ719" i="3"/>
  <c r="BA718" i="3"/>
  <c r="AZ718" i="3"/>
  <c r="BA717" i="3"/>
  <c r="AZ717" i="3"/>
  <c r="BA716" i="3"/>
  <c r="AZ716" i="3"/>
  <c r="BA715" i="3"/>
  <c r="AZ715" i="3"/>
  <c r="BA714" i="3"/>
  <c r="AZ714" i="3"/>
  <c r="BA713" i="3"/>
  <c r="AZ713" i="3"/>
  <c r="BA712" i="3"/>
  <c r="AZ712" i="3"/>
  <c r="BA711" i="3"/>
  <c r="AZ711" i="3"/>
  <c r="BA710" i="3"/>
  <c r="AZ710" i="3"/>
  <c r="BA709" i="3"/>
  <c r="AZ709" i="3"/>
  <c r="BA708" i="3"/>
  <c r="AZ708" i="3"/>
  <c r="BA707" i="3"/>
  <c r="AZ707" i="3"/>
  <c r="BA706" i="3"/>
  <c r="AZ706" i="3"/>
  <c r="BA705" i="3"/>
  <c r="AZ705" i="3"/>
  <c r="BA704" i="3"/>
  <c r="AZ704" i="3"/>
  <c r="BA703" i="3"/>
  <c r="AZ703" i="3"/>
  <c r="BA702" i="3"/>
  <c r="AZ702" i="3"/>
  <c r="BA701" i="3"/>
  <c r="AZ701" i="3"/>
  <c r="BA700" i="3"/>
  <c r="AZ700" i="3"/>
  <c r="BA699" i="3"/>
  <c r="AZ699" i="3"/>
  <c r="BA698" i="3"/>
  <c r="AZ698" i="3"/>
  <c r="BA697" i="3"/>
  <c r="AZ697" i="3"/>
  <c r="BA696" i="3"/>
  <c r="AZ696" i="3"/>
  <c r="BA695" i="3"/>
  <c r="AZ695" i="3"/>
  <c r="BA694" i="3"/>
  <c r="AZ694" i="3"/>
  <c r="BA693" i="3"/>
  <c r="AZ693" i="3"/>
  <c r="BA692" i="3"/>
  <c r="AZ692" i="3"/>
  <c r="BA691" i="3"/>
  <c r="AZ691" i="3"/>
  <c r="BA690" i="3"/>
  <c r="AZ690" i="3"/>
  <c r="BA689" i="3"/>
  <c r="AZ689" i="3"/>
  <c r="BA688" i="3"/>
  <c r="AZ688" i="3"/>
  <c r="BA687" i="3"/>
  <c r="AZ687" i="3"/>
  <c r="BA686" i="3"/>
  <c r="AZ686" i="3"/>
  <c r="BA685" i="3"/>
  <c r="AZ685" i="3"/>
  <c r="BA684" i="3"/>
  <c r="AZ684" i="3"/>
  <c r="BA683" i="3"/>
  <c r="AZ683" i="3"/>
  <c r="BA682" i="3"/>
  <c r="AZ682" i="3"/>
  <c r="BA681" i="3"/>
  <c r="AZ681" i="3"/>
  <c r="BA680" i="3"/>
  <c r="AZ680" i="3"/>
  <c r="BA679" i="3"/>
  <c r="AZ679" i="3"/>
  <c r="BA678" i="3"/>
  <c r="AZ678" i="3"/>
  <c r="BA677" i="3"/>
  <c r="AZ677" i="3"/>
  <c r="BA676" i="3"/>
  <c r="AZ676" i="3"/>
  <c r="BA675" i="3"/>
  <c r="AZ675" i="3"/>
  <c r="BA674" i="3"/>
  <c r="AZ674" i="3"/>
  <c r="BA673" i="3"/>
  <c r="AZ673" i="3"/>
  <c r="BA672" i="3"/>
  <c r="AZ672" i="3"/>
  <c r="BA671" i="3"/>
  <c r="AZ671" i="3"/>
  <c r="BA670" i="3"/>
  <c r="AZ670" i="3"/>
  <c r="BA669" i="3"/>
  <c r="AZ669" i="3"/>
  <c r="BA668" i="3"/>
  <c r="AZ668" i="3"/>
  <c r="BA667" i="3"/>
  <c r="AZ667" i="3"/>
  <c r="BA666" i="3"/>
  <c r="AZ666" i="3"/>
  <c r="BA665" i="3"/>
  <c r="AZ665" i="3"/>
  <c r="BA664" i="3"/>
  <c r="AZ664" i="3"/>
  <c r="BA663" i="3"/>
  <c r="AZ663" i="3"/>
  <c r="BA662" i="3"/>
  <c r="AZ662" i="3"/>
  <c r="BA661" i="3"/>
  <c r="AZ661" i="3"/>
  <c r="BA660" i="3"/>
  <c r="AZ660" i="3"/>
  <c r="BA659" i="3"/>
  <c r="AZ659" i="3"/>
  <c r="BA658" i="3"/>
  <c r="AZ658" i="3"/>
  <c r="BA657" i="3"/>
  <c r="AZ657" i="3"/>
  <c r="BA656" i="3"/>
  <c r="AZ656" i="3"/>
  <c r="BA655" i="3"/>
  <c r="AZ655" i="3"/>
  <c r="BA654" i="3"/>
  <c r="AZ654" i="3"/>
  <c r="BA653" i="3"/>
  <c r="AZ653" i="3"/>
  <c r="BA652" i="3"/>
  <c r="AZ652" i="3"/>
  <c r="BA651" i="3"/>
  <c r="AZ651" i="3"/>
  <c r="BA650" i="3"/>
  <c r="AZ650" i="3"/>
  <c r="BA649" i="3"/>
  <c r="AZ649" i="3"/>
  <c r="BA648" i="3"/>
  <c r="AZ648" i="3"/>
  <c r="BA647" i="3"/>
  <c r="AZ647" i="3"/>
  <c r="BA646" i="3"/>
  <c r="AZ646" i="3"/>
  <c r="BA645" i="3"/>
  <c r="AZ645" i="3"/>
  <c r="BA644" i="3"/>
  <c r="AZ644" i="3"/>
  <c r="BA643" i="3"/>
  <c r="AZ643" i="3"/>
  <c r="BA642" i="3"/>
  <c r="AZ642" i="3"/>
  <c r="BA641" i="3"/>
  <c r="AZ641" i="3"/>
  <c r="BA640" i="3"/>
  <c r="AZ640" i="3"/>
  <c r="BA639" i="3"/>
  <c r="AZ639" i="3"/>
  <c r="BA638" i="3"/>
  <c r="AZ638" i="3"/>
  <c r="BA637" i="3"/>
  <c r="AZ637" i="3"/>
  <c r="BA636" i="3"/>
  <c r="AZ636" i="3"/>
  <c r="BA635" i="3"/>
  <c r="AZ635" i="3"/>
  <c r="BA634" i="3"/>
  <c r="AZ634" i="3"/>
  <c r="BA633" i="3"/>
  <c r="AZ633" i="3"/>
  <c r="BA632" i="3"/>
  <c r="AZ632" i="3"/>
  <c r="BA631" i="3"/>
  <c r="AZ631" i="3"/>
  <c r="BA630" i="3"/>
  <c r="AZ630" i="3"/>
  <c r="BA629" i="3"/>
  <c r="AZ629" i="3"/>
  <c r="BA628" i="3"/>
  <c r="AZ628" i="3"/>
  <c r="BA627" i="3"/>
  <c r="AZ627" i="3"/>
  <c r="BA626" i="3"/>
  <c r="AZ626" i="3"/>
  <c r="BA625" i="3"/>
  <c r="AZ625" i="3"/>
  <c r="BA624" i="3"/>
  <c r="AZ624" i="3"/>
  <c r="BA623" i="3"/>
  <c r="AZ623" i="3"/>
  <c r="BA622" i="3"/>
  <c r="AZ622" i="3"/>
  <c r="BA621" i="3"/>
  <c r="AZ621" i="3"/>
  <c r="BA620" i="3"/>
  <c r="AZ620" i="3"/>
  <c r="BA619" i="3"/>
  <c r="AZ619" i="3"/>
  <c r="BA618" i="3"/>
  <c r="AZ618" i="3"/>
  <c r="BA617" i="3"/>
  <c r="AZ617" i="3"/>
  <c r="BA616" i="3"/>
  <c r="AZ616" i="3"/>
  <c r="BA615" i="3"/>
  <c r="AZ615" i="3"/>
  <c r="BA614" i="3"/>
  <c r="AZ614" i="3"/>
  <c r="BA613" i="3"/>
  <c r="AZ613" i="3"/>
  <c r="BA612" i="3"/>
  <c r="AZ612" i="3"/>
  <c r="BA611" i="3"/>
  <c r="AZ611" i="3"/>
  <c r="BA610" i="3"/>
  <c r="AZ610" i="3"/>
  <c r="BA609" i="3"/>
  <c r="AZ609" i="3"/>
  <c r="BA608" i="3"/>
  <c r="AZ608" i="3"/>
  <c r="BA607" i="3"/>
  <c r="AZ607" i="3"/>
  <c r="BA606" i="3"/>
  <c r="AZ606" i="3"/>
  <c r="BA605" i="3"/>
  <c r="AZ605" i="3"/>
  <c r="BA604" i="3"/>
  <c r="AZ604" i="3"/>
  <c r="BA603" i="3"/>
  <c r="AZ603" i="3"/>
  <c r="BA602" i="3"/>
  <c r="AZ602" i="3"/>
  <c r="BA601" i="3"/>
  <c r="AZ601" i="3"/>
  <c r="BA600" i="3"/>
  <c r="AZ600" i="3"/>
  <c r="BA599" i="3"/>
  <c r="AZ599" i="3"/>
  <c r="BA598" i="3"/>
  <c r="AZ598" i="3"/>
  <c r="BA597" i="3"/>
  <c r="AZ597" i="3"/>
  <c r="BA596" i="3"/>
  <c r="AZ596" i="3"/>
  <c r="BA595" i="3"/>
  <c r="AZ595" i="3"/>
  <c r="BA594" i="3"/>
  <c r="AZ594" i="3"/>
  <c r="BA593" i="3"/>
  <c r="AZ593" i="3"/>
  <c r="BA592" i="3"/>
  <c r="AZ592" i="3"/>
  <c r="BA591" i="3"/>
  <c r="AZ591" i="3"/>
  <c r="BA590" i="3"/>
  <c r="AZ590" i="3"/>
  <c r="BA589" i="3"/>
  <c r="AZ589" i="3"/>
  <c r="BA588" i="3"/>
  <c r="AZ588" i="3"/>
  <c r="BA587" i="3"/>
  <c r="AZ587" i="3"/>
  <c r="BA586" i="3"/>
  <c r="AZ586" i="3"/>
  <c r="BA585" i="3"/>
  <c r="AZ585" i="3"/>
  <c r="BA584" i="3"/>
  <c r="AZ584" i="3"/>
  <c r="BA583" i="3"/>
  <c r="AZ583" i="3"/>
  <c r="BA582" i="3"/>
  <c r="AZ582" i="3"/>
  <c r="BA581" i="3"/>
  <c r="AZ581" i="3"/>
  <c r="BA580" i="3"/>
  <c r="AZ580" i="3"/>
  <c r="BA579" i="3"/>
  <c r="AZ579" i="3"/>
  <c r="BA578" i="3"/>
  <c r="AZ578" i="3"/>
  <c r="BA577" i="3"/>
  <c r="AZ577" i="3"/>
  <c r="BA576" i="3"/>
  <c r="AZ576" i="3"/>
  <c r="BA575" i="3"/>
  <c r="AZ575" i="3"/>
  <c r="BA574" i="3"/>
  <c r="AZ574" i="3"/>
  <c r="BA573" i="3"/>
  <c r="AZ573" i="3"/>
  <c r="BA572" i="3"/>
  <c r="AZ572" i="3"/>
  <c r="BA571" i="3"/>
  <c r="AZ571" i="3"/>
  <c r="BA570" i="3"/>
  <c r="AZ570" i="3"/>
  <c r="BA569" i="3"/>
  <c r="AZ569" i="3"/>
  <c r="BA568" i="3"/>
  <c r="AZ568" i="3"/>
  <c r="BA567" i="3"/>
  <c r="AZ567" i="3"/>
  <c r="BA566" i="3"/>
  <c r="AZ566" i="3"/>
  <c r="BA565" i="3"/>
  <c r="AZ565" i="3"/>
  <c r="BA564" i="3"/>
  <c r="AZ564" i="3"/>
  <c r="BA563" i="3"/>
  <c r="AZ563" i="3"/>
  <c r="BA562" i="3"/>
  <c r="AZ562" i="3"/>
  <c r="BA561" i="3"/>
  <c r="AZ561" i="3"/>
  <c r="BA560" i="3"/>
  <c r="AZ560" i="3"/>
  <c r="BA559" i="3"/>
  <c r="AZ559" i="3"/>
  <c r="BA558" i="3"/>
  <c r="AZ558" i="3"/>
  <c r="BA557" i="3"/>
  <c r="AZ557" i="3"/>
  <c r="BA556" i="3"/>
  <c r="AZ556" i="3"/>
  <c r="BA555" i="3"/>
  <c r="AZ555" i="3"/>
  <c r="BA554" i="3"/>
  <c r="AZ554" i="3"/>
  <c r="BA553" i="3"/>
  <c r="AZ553" i="3"/>
  <c r="BA552" i="3"/>
  <c r="AZ552" i="3"/>
  <c r="BA551" i="3"/>
  <c r="AZ551" i="3"/>
  <c r="BA550" i="3"/>
  <c r="AZ550" i="3"/>
  <c r="BA549" i="3"/>
  <c r="AZ549" i="3"/>
  <c r="BA548" i="3"/>
  <c r="AZ548" i="3"/>
  <c r="BA547" i="3"/>
  <c r="AZ547" i="3"/>
  <c r="BA546" i="3"/>
  <c r="AZ546" i="3"/>
  <c r="BA545" i="3"/>
  <c r="AZ545" i="3"/>
  <c r="BA544" i="3"/>
  <c r="AZ544" i="3"/>
  <c r="BA543" i="3"/>
  <c r="AZ543" i="3"/>
  <c r="BA542" i="3"/>
  <c r="AZ542" i="3"/>
  <c r="BA541" i="3"/>
  <c r="AZ541" i="3"/>
  <c r="BA540" i="3"/>
  <c r="AZ540" i="3"/>
  <c r="BA539" i="3"/>
  <c r="AZ539" i="3"/>
  <c r="BA538" i="3"/>
  <c r="AZ538" i="3"/>
  <c r="BA537" i="3"/>
  <c r="AZ537" i="3"/>
  <c r="BA536" i="3"/>
  <c r="AZ536" i="3"/>
  <c r="BA535" i="3"/>
  <c r="AZ535" i="3"/>
  <c r="BA534" i="3"/>
  <c r="AZ534" i="3"/>
  <c r="BA533" i="3"/>
  <c r="AZ533" i="3"/>
  <c r="BA532" i="3"/>
  <c r="AZ532" i="3"/>
  <c r="BA531" i="3"/>
  <c r="AZ531" i="3"/>
  <c r="BA530" i="3"/>
  <c r="AZ530" i="3"/>
  <c r="BA529" i="3"/>
  <c r="AZ529" i="3"/>
  <c r="BA528" i="3"/>
  <c r="AZ528" i="3"/>
  <c r="BA527" i="3"/>
  <c r="AZ527" i="3"/>
  <c r="BA526" i="3"/>
  <c r="AZ526" i="3"/>
  <c r="BA525" i="3"/>
  <c r="AZ525" i="3"/>
  <c r="BA524" i="3"/>
  <c r="AZ524" i="3"/>
  <c r="BA523" i="3"/>
  <c r="AZ523" i="3"/>
  <c r="BA522" i="3"/>
  <c r="AZ522" i="3"/>
  <c r="BA521" i="3"/>
  <c r="AZ521" i="3"/>
  <c r="BA520" i="3"/>
  <c r="AZ520" i="3"/>
  <c r="BA519" i="3"/>
  <c r="AZ519" i="3"/>
  <c r="BA518" i="3"/>
  <c r="AZ518" i="3"/>
  <c r="BA517" i="3"/>
  <c r="AZ517" i="3"/>
  <c r="BA516" i="3"/>
  <c r="AZ516" i="3"/>
  <c r="BA515" i="3"/>
  <c r="AZ515" i="3"/>
  <c r="BA514" i="3"/>
  <c r="AZ514" i="3"/>
  <c r="BA513" i="3"/>
  <c r="AZ513" i="3"/>
  <c r="BA512" i="3"/>
  <c r="AZ512" i="3"/>
  <c r="BA511" i="3"/>
  <c r="AZ511" i="3"/>
  <c r="BA510" i="3"/>
  <c r="AZ510" i="3"/>
  <c r="BA509" i="3"/>
  <c r="AZ509" i="3"/>
  <c r="BA508" i="3"/>
  <c r="AZ508" i="3"/>
  <c r="BA507" i="3"/>
  <c r="AZ507" i="3"/>
  <c r="BA506" i="3"/>
  <c r="AZ506" i="3"/>
  <c r="BA505" i="3"/>
  <c r="AZ505" i="3"/>
  <c r="BA504" i="3"/>
  <c r="AZ504" i="3"/>
  <c r="BA503" i="3"/>
  <c r="AZ503" i="3"/>
  <c r="BA502" i="3"/>
  <c r="AZ502" i="3"/>
  <c r="BA501" i="3"/>
  <c r="AZ501" i="3"/>
  <c r="BA500" i="3"/>
  <c r="AZ500" i="3"/>
  <c r="BA499" i="3"/>
  <c r="AZ499" i="3"/>
  <c r="BA498" i="3"/>
  <c r="AZ498" i="3"/>
  <c r="BA497" i="3"/>
  <c r="AZ497" i="3"/>
  <c r="BA496" i="3"/>
  <c r="AZ496" i="3"/>
  <c r="BA495" i="3"/>
  <c r="AZ495" i="3"/>
  <c r="BA494" i="3"/>
  <c r="AZ494" i="3"/>
  <c r="BA493" i="3"/>
  <c r="AZ493" i="3"/>
  <c r="BA492" i="3"/>
  <c r="AZ492" i="3"/>
  <c r="BA491" i="3"/>
  <c r="AZ491" i="3"/>
  <c r="BA490" i="3"/>
  <c r="AZ490" i="3"/>
  <c r="BA489" i="3"/>
  <c r="AZ489" i="3"/>
  <c r="BA488" i="3"/>
  <c r="AZ488" i="3"/>
  <c r="BA487" i="3"/>
  <c r="AZ487" i="3"/>
  <c r="BA486" i="3"/>
  <c r="AZ486" i="3"/>
  <c r="BA485" i="3"/>
  <c r="AZ485" i="3"/>
  <c r="BA484" i="3"/>
  <c r="AZ484" i="3"/>
  <c r="BA483" i="3"/>
  <c r="AZ483" i="3"/>
  <c r="BA482" i="3"/>
  <c r="AZ482" i="3"/>
  <c r="BA481" i="3"/>
  <c r="AZ481" i="3"/>
  <c r="BA480" i="3"/>
  <c r="AZ480" i="3"/>
  <c r="BA479" i="3"/>
  <c r="AZ479" i="3"/>
  <c r="BA478" i="3"/>
  <c r="AZ478" i="3"/>
  <c r="BA477" i="3"/>
  <c r="AZ477" i="3"/>
  <c r="BA476" i="3"/>
  <c r="AZ476" i="3"/>
  <c r="BA475" i="3"/>
  <c r="AZ475" i="3"/>
  <c r="BA474" i="3"/>
  <c r="AZ474" i="3"/>
  <c r="BA473" i="3"/>
  <c r="AZ473" i="3"/>
  <c r="BA472" i="3"/>
  <c r="AZ472" i="3"/>
  <c r="BA471" i="3"/>
  <c r="AZ471" i="3"/>
  <c r="BA470" i="3"/>
  <c r="AZ470" i="3"/>
  <c r="BA469" i="3"/>
  <c r="AZ469" i="3"/>
  <c r="BA468" i="3"/>
  <c r="AZ468" i="3"/>
  <c r="BA467" i="3"/>
  <c r="AZ467" i="3"/>
  <c r="BA466" i="3"/>
  <c r="AZ466" i="3"/>
  <c r="BA465" i="3"/>
  <c r="AZ465" i="3"/>
  <c r="BA464" i="3"/>
  <c r="AZ464" i="3"/>
  <c r="BA463" i="3"/>
  <c r="AZ463" i="3"/>
  <c r="BA462" i="3"/>
  <c r="AZ462" i="3"/>
  <c r="BA461" i="3"/>
  <c r="AZ461" i="3"/>
  <c r="BA460" i="3"/>
  <c r="AZ460" i="3"/>
  <c r="BA459" i="3"/>
  <c r="AZ459" i="3"/>
  <c r="BA458" i="3"/>
  <c r="AZ458" i="3"/>
  <c r="BA457" i="3"/>
  <c r="AZ457" i="3"/>
  <c r="BA456" i="3"/>
  <c r="AZ456" i="3"/>
  <c r="BA455" i="3"/>
  <c r="AZ455" i="3"/>
  <c r="BA454" i="3"/>
  <c r="AZ454" i="3"/>
  <c r="BA453" i="3"/>
  <c r="AZ453" i="3"/>
  <c r="BA452" i="3"/>
  <c r="AZ452" i="3"/>
  <c r="BA451" i="3"/>
  <c r="AZ451" i="3"/>
  <c r="BA450" i="3"/>
  <c r="AZ450" i="3"/>
  <c r="BA449" i="3"/>
  <c r="AZ449" i="3"/>
  <c r="BA448" i="3"/>
  <c r="AZ448" i="3"/>
  <c r="BA447" i="3"/>
  <c r="AZ447" i="3"/>
  <c r="BA446" i="3"/>
  <c r="AZ446" i="3"/>
  <c r="BA445" i="3"/>
  <c r="AZ445" i="3"/>
  <c r="BA444" i="3"/>
  <c r="AZ444" i="3"/>
  <c r="BA443" i="3"/>
  <c r="AZ443" i="3"/>
  <c r="BA442" i="3"/>
  <c r="AZ442" i="3"/>
  <c r="BA441" i="3"/>
  <c r="AZ441" i="3"/>
  <c r="BA440" i="3"/>
  <c r="AZ440" i="3"/>
  <c r="BA439" i="3"/>
  <c r="AZ439" i="3"/>
  <c r="BA438" i="3"/>
  <c r="AZ438" i="3"/>
  <c r="BA437" i="3"/>
  <c r="AZ437" i="3"/>
  <c r="BA436" i="3"/>
  <c r="AZ436" i="3"/>
  <c r="BA435" i="3"/>
  <c r="AZ435" i="3"/>
  <c r="BA434" i="3"/>
  <c r="AZ434" i="3"/>
  <c r="BA433" i="3"/>
  <c r="AZ433" i="3"/>
  <c r="BA432" i="3"/>
  <c r="AZ432" i="3"/>
  <c r="BA431" i="3"/>
  <c r="AZ431" i="3"/>
  <c r="BA430" i="3"/>
  <c r="AZ430" i="3"/>
  <c r="BA429" i="3"/>
  <c r="AZ429" i="3"/>
  <c r="BA428" i="3"/>
  <c r="AZ428" i="3"/>
  <c r="BA427" i="3"/>
  <c r="AZ427" i="3"/>
  <c r="BA426" i="3"/>
  <c r="AZ426" i="3"/>
  <c r="BA425" i="3"/>
  <c r="AZ425" i="3"/>
  <c r="BA424" i="3"/>
  <c r="AZ424" i="3"/>
  <c r="BA423" i="3"/>
  <c r="AZ423" i="3"/>
  <c r="BA422" i="3"/>
  <c r="AZ422" i="3"/>
  <c r="BA421" i="3"/>
  <c r="AZ421" i="3"/>
  <c r="BA420" i="3"/>
  <c r="AZ420" i="3"/>
  <c r="BA419" i="3"/>
  <c r="AZ419" i="3"/>
  <c r="BA418" i="3"/>
  <c r="AZ418" i="3"/>
  <c r="BA417" i="3"/>
  <c r="AZ417" i="3"/>
  <c r="BA416" i="3"/>
  <c r="AZ416" i="3"/>
  <c r="BA415" i="3"/>
  <c r="AZ415" i="3"/>
  <c r="BA414" i="3"/>
  <c r="AZ414" i="3"/>
  <c r="BA413" i="3"/>
  <c r="AZ413" i="3"/>
  <c r="BA412" i="3"/>
  <c r="AZ412" i="3"/>
  <c r="BA411" i="3"/>
  <c r="AZ411" i="3"/>
  <c r="BA410" i="3"/>
  <c r="AZ410" i="3"/>
  <c r="BA409" i="3"/>
  <c r="AZ409" i="3"/>
  <c r="BA408" i="3"/>
  <c r="AZ408" i="3"/>
  <c r="BA407" i="3"/>
  <c r="AZ407" i="3"/>
  <c r="BA406" i="3"/>
  <c r="AZ406" i="3"/>
  <c r="BA405" i="3"/>
  <c r="AZ405" i="3"/>
  <c r="BA404" i="3"/>
  <c r="AZ404" i="3"/>
  <c r="BA403" i="3"/>
  <c r="AZ403" i="3"/>
  <c r="BA402" i="3"/>
  <c r="AZ402" i="3"/>
  <c r="BA401" i="3"/>
  <c r="AZ401" i="3"/>
  <c r="BA400" i="3"/>
  <c r="AZ400" i="3"/>
  <c r="BA399" i="3"/>
  <c r="AZ399" i="3"/>
  <c r="BA398" i="3"/>
  <c r="AZ398" i="3"/>
  <c r="BA397" i="3"/>
  <c r="AZ397" i="3"/>
  <c r="BA396" i="3"/>
  <c r="AZ396" i="3"/>
  <c r="BA395" i="3"/>
  <c r="AZ395" i="3"/>
  <c r="BA394" i="3"/>
  <c r="AZ394" i="3"/>
  <c r="BA393" i="3"/>
  <c r="AZ393" i="3"/>
  <c r="BA392" i="3"/>
  <c r="AZ392" i="3"/>
  <c r="BA391" i="3"/>
  <c r="AZ391" i="3"/>
  <c r="BA390" i="3"/>
  <c r="AZ390" i="3"/>
  <c r="BA389" i="3"/>
  <c r="AZ389" i="3"/>
  <c r="BA388" i="3"/>
  <c r="AZ388" i="3"/>
  <c r="BA387" i="3"/>
  <c r="AZ387" i="3"/>
  <c r="BA386" i="3"/>
  <c r="AZ386" i="3"/>
  <c r="BA385" i="3"/>
  <c r="AZ385" i="3"/>
  <c r="BA384" i="3"/>
  <c r="AZ384" i="3"/>
  <c r="BA383" i="3"/>
  <c r="AZ383" i="3"/>
  <c r="BA382" i="3"/>
  <c r="AZ382" i="3"/>
  <c r="BA381" i="3"/>
  <c r="AZ381" i="3"/>
  <c r="BA380" i="3"/>
  <c r="AZ380" i="3"/>
  <c r="BA379" i="3"/>
  <c r="AZ379" i="3"/>
  <c r="BA378" i="3"/>
  <c r="AZ378" i="3"/>
  <c r="BA377" i="3"/>
  <c r="AZ377" i="3"/>
  <c r="BA376" i="3"/>
  <c r="AZ376" i="3"/>
  <c r="BA375" i="3"/>
  <c r="AZ375" i="3"/>
  <c r="BA374" i="3"/>
  <c r="AZ374" i="3"/>
  <c r="BA373" i="3"/>
  <c r="AZ373" i="3"/>
  <c r="BA372" i="3"/>
  <c r="AZ372" i="3"/>
  <c r="BA371" i="3"/>
  <c r="AZ371" i="3"/>
  <c r="BA370" i="3"/>
  <c r="AZ370" i="3"/>
  <c r="BA369" i="3"/>
  <c r="AZ369" i="3"/>
  <c r="BA368" i="3"/>
  <c r="AZ368" i="3"/>
  <c r="BA367" i="3"/>
  <c r="AZ367" i="3"/>
  <c r="BA366" i="3"/>
  <c r="AZ366" i="3"/>
  <c r="BA365" i="3"/>
  <c r="AZ365" i="3"/>
  <c r="BA364" i="3"/>
  <c r="AZ364" i="3"/>
  <c r="BA363" i="3"/>
  <c r="AZ363" i="3"/>
  <c r="BA362" i="3"/>
  <c r="AZ362" i="3"/>
  <c r="BA361" i="3"/>
  <c r="AZ361" i="3"/>
  <c r="BA360" i="3"/>
  <c r="AZ360" i="3"/>
  <c r="BA359" i="3"/>
  <c r="AZ359" i="3"/>
  <c r="BA358" i="3"/>
  <c r="AZ358" i="3"/>
  <c r="BA357" i="3"/>
  <c r="AZ357" i="3"/>
  <c r="BA356" i="3"/>
  <c r="AZ356" i="3"/>
  <c r="BA355" i="3"/>
  <c r="AZ355" i="3"/>
  <c r="BA354" i="3"/>
  <c r="AZ354" i="3"/>
  <c r="BA353" i="3"/>
  <c r="AZ353" i="3"/>
  <c r="BA352" i="3"/>
  <c r="AZ352" i="3"/>
  <c r="BA351" i="3"/>
  <c r="AZ351" i="3"/>
  <c r="BA350" i="3"/>
  <c r="AZ350" i="3"/>
  <c r="BA349" i="3"/>
  <c r="AZ349" i="3"/>
  <c r="BA348" i="3"/>
  <c r="AZ348" i="3"/>
  <c r="BA347" i="3"/>
  <c r="AZ347" i="3"/>
  <c r="BA346" i="3"/>
  <c r="AZ346" i="3"/>
  <c r="BA345" i="3"/>
  <c r="AZ345" i="3"/>
  <c r="BA344" i="3"/>
  <c r="AZ344" i="3"/>
  <c r="BA343" i="3"/>
  <c r="AZ343" i="3"/>
  <c r="BA342" i="3"/>
  <c r="AZ342" i="3"/>
  <c r="BA341" i="3"/>
  <c r="AZ341" i="3"/>
  <c r="BA340" i="3"/>
  <c r="AZ340" i="3"/>
  <c r="BA339" i="3"/>
  <c r="AZ339" i="3"/>
  <c r="BA338" i="3"/>
  <c r="AZ338" i="3"/>
  <c r="BA337" i="3"/>
  <c r="AZ337" i="3"/>
  <c r="BA336" i="3"/>
  <c r="AZ336" i="3"/>
  <c r="BA335" i="3"/>
  <c r="AZ335" i="3"/>
  <c r="BA334" i="3"/>
  <c r="AZ334" i="3"/>
  <c r="BA333" i="3"/>
  <c r="AZ333" i="3"/>
  <c r="BA332" i="3"/>
  <c r="AZ332" i="3"/>
  <c r="BA331" i="3"/>
  <c r="AZ331" i="3"/>
  <c r="BA330" i="3"/>
  <c r="AZ330" i="3"/>
  <c r="BA329" i="3"/>
  <c r="AZ329" i="3"/>
  <c r="BA328" i="3"/>
  <c r="AZ328" i="3"/>
  <c r="BA327" i="3"/>
  <c r="AZ327" i="3"/>
  <c r="BA326" i="3"/>
  <c r="AZ326" i="3"/>
  <c r="BA325" i="3"/>
  <c r="AZ325" i="3"/>
  <c r="BA324" i="3"/>
  <c r="AZ324" i="3"/>
  <c r="BA323" i="3"/>
  <c r="AZ323" i="3"/>
  <c r="BA322" i="3"/>
  <c r="AZ322" i="3"/>
  <c r="BA321" i="3"/>
  <c r="AZ321" i="3"/>
  <c r="BA320" i="3"/>
  <c r="AZ320" i="3"/>
  <c r="BA319" i="3"/>
  <c r="AZ319" i="3"/>
  <c r="BA318" i="3"/>
  <c r="AZ318" i="3"/>
  <c r="BA317" i="3"/>
  <c r="AZ317" i="3"/>
  <c r="BA316" i="3"/>
  <c r="AZ316" i="3"/>
  <c r="BA315" i="3"/>
  <c r="AZ315" i="3"/>
  <c r="BA314" i="3"/>
  <c r="AZ314" i="3"/>
  <c r="BA313" i="3"/>
  <c r="AZ313" i="3"/>
  <c r="BA312" i="3"/>
  <c r="AZ312" i="3"/>
  <c r="BA311" i="3"/>
  <c r="AZ311" i="3"/>
  <c r="BA310" i="3"/>
  <c r="AZ310" i="3"/>
  <c r="BA309" i="3"/>
  <c r="AZ309" i="3"/>
  <c r="BA308" i="3"/>
  <c r="AZ308" i="3"/>
  <c r="BA307" i="3"/>
  <c r="AZ307" i="3"/>
  <c r="BA306" i="3"/>
  <c r="AZ306" i="3"/>
  <c r="BA305" i="3"/>
  <c r="AZ305" i="3"/>
  <c r="BA304" i="3"/>
  <c r="AZ304" i="3"/>
  <c r="BA303" i="3"/>
  <c r="AZ303" i="3"/>
  <c r="BA302" i="3"/>
  <c r="AZ302" i="3"/>
  <c r="BA301" i="3"/>
  <c r="AZ301" i="3"/>
  <c r="BA300" i="3"/>
  <c r="AZ300" i="3"/>
  <c r="BA299" i="3"/>
  <c r="AZ299" i="3"/>
  <c r="BA298" i="3"/>
  <c r="AZ298" i="3"/>
  <c r="BA297" i="3"/>
  <c r="AZ297" i="3"/>
  <c r="BA296" i="3"/>
  <c r="AZ296" i="3"/>
  <c r="BA295" i="3"/>
  <c r="AZ295" i="3"/>
  <c r="BA294" i="3"/>
  <c r="AZ294" i="3"/>
  <c r="BA293" i="3"/>
  <c r="AZ293" i="3"/>
  <c r="BA292" i="3"/>
  <c r="AZ292" i="3"/>
  <c r="BA291" i="3"/>
  <c r="AZ291" i="3"/>
  <c r="BA290" i="3"/>
  <c r="AZ290" i="3"/>
  <c r="BA289" i="3"/>
  <c r="AZ289" i="3"/>
  <c r="BA288" i="3"/>
  <c r="AZ288" i="3"/>
  <c r="BA287" i="3"/>
  <c r="AZ287" i="3"/>
  <c r="BA286" i="3"/>
  <c r="AZ286" i="3"/>
  <c r="BA285" i="3"/>
  <c r="AZ285" i="3"/>
  <c r="BA284" i="3"/>
  <c r="AZ284" i="3"/>
  <c r="BA283" i="3"/>
  <c r="AZ283" i="3"/>
  <c r="BA282" i="3"/>
  <c r="AZ282" i="3"/>
  <c r="BA281" i="3"/>
  <c r="AZ281" i="3"/>
  <c r="BA280" i="3"/>
  <c r="AZ280" i="3"/>
  <c r="BA279" i="3"/>
  <c r="AZ279" i="3"/>
  <c r="BA278" i="3"/>
  <c r="AZ278" i="3"/>
  <c r="BA277" i="3"/>
  <c r="AZ277" i="3"/>
  <c r="BA276" i="3"/>
  <c r="AZ276" i="3"/>
  <c r="BA275" i="3"/>
  <c r="AZ275" i="3"/>
  <c r="BA274" i="3"/>
  <c r="AZ274" i="3"/>
  <c r="BA273" i="3"/>
  <c r="AZ273" i="3"/>
  <c r="BA272" i="3"/>
  <c r="AZ272" i="3"/>
  <c r="BA271" i="3"/>
  <c r="AZ271" i="3"/>
  <c r="BA270" i="3"/>
  <c r="AZ270" i="3"/>
  <c r="BA269" i="3"/>
  <c r="AZ269" i="3"/>
  <c r="BA268" i="3"/>
  <c r="AZ268" i="3"/>
  <c r="BA267" i="3"/>
  <c r="AZ267" i="3"/>
  <c r="BA266" i="3"/>
  <c r="AZ266" i="3"/>
  <c r="BA265" i="3"/>
  <c r="AZ265" i="3"/>
  <c r="BA264" i="3"/>
  <c r="AZ264" i="3"/>
  <c r="BA263" i="3"/>
  <c r="AZ263" i="3"/>
  <c r="BA262" i="3"/>
  <c r="AZ262" i="3"/>
  <c r="BA261" i="3"/>
  <c r="AZ261" i="3"/>
  <c r="BA260" i="3"/>
  <c r="AZ260" i="3"/>
  <c r="BA259" i="3"/>
  <c r="AZ259" i="3"/>
  <c r="BA258" i="3"/>
  <c r="AZ258" i="3"/>
  <c r="BA257" i="3"/>
  <c r="AZ257" i="3"/>
  <c r="BA256" i="3"/>
  <c r="AZ256" i="3"/>
  <c r="BA255" i="3"/>
  <c r="AZ255" i="3"/>
  <c r="BA254" i="3"/>
  <c r="AZ254" i="3"/>
  <c r="BA253" i="3"/>
  <c r="AZ253" i="3"/>
  <c r="BA252" i="3"/>
  <c r="AZ252" i="3"/>
  <c r="BA251" i="3"/>
  <c r="AZ251" i="3"/>
  <c r="BA250" i="3"/>
  <c r="AZ250" i="3"/>
  <c r="BA249" i="3"/>
  <c r="AZ249" i="3"/>
  <c r="BA248" i="3"/>
  <c r="AZ248" i="3"/>
  <c r="BA247" i="3"/>
  <c r="AZ247" i="3"/>
  <c r="BA246" i="3"/>
  <c r="AZ246" i="3"/>
  <c r="BA245" i="3"/>
  <c r="AZ245" i="3"/>
  <c r="BA244" i="3"/>
  <c r="AZ244" i="3"/>
  <c r="BA243" i="3"/>
  <c r="AZ243" i="3"/>
  <c r="BA242" i="3"/>
  <c r="AZ242" i="3"/>
  <c r="BA241" i="3"/>
  <c r="AZ241" i="3"/>
  <c r="BA240" i="3"/>
  <c r="AZ240" i="3"/>
  <c r="BA239" i="3"/>
  <c r="AZ239" i="3"/>
  <c r="BA238" i="3"/>
  <c r="AZ238" i="3"/>
  <c r="BA237" i="3"/>
  <c r="AZ237" i="3"/>
  <c r="BA236" i="3"/>
  <c r="AZ236" i="3"/>
  <c r="BA235" i="3"/>
  <c r="AZ235" i="3"/>
  <c r="BA234" i="3"/>
  <c r="AZ234" i="3"/>
  <c r="BA233" i="3"/>
  <c r="AZ233" i="3"/>
  <c r="BA232" i="3"/>
  <c r="AZ232" i="3"/>
  <c r="BA231" i="3"/>
  <c r="AZ231" i="3"/>
  <c r="BA230" i="3"/>
  <c r="AZ230" i="3"/>
  <c r="BA229" i="3"/>
  <c r="AZ229" i="3"/>
  <c r="BA228" i="3"/>
  <c r="AZ228" i="3"/>
  <c r="BA227" i="3"/>
  <c r="AZ227" i="3"/>
  <c r="BA226" i="3"/>
  <c r="AZ226" i="3"/>
  <c r="BA225" i="3"/>
  <c r="AZ225" i="3"/>
  <c r="BA224" i="3"/>
  <c r="AZ224" i="3"/>
  <c r="BA223" i="3"/>
  <c r="AZ223" i="3"/>
  <c r="BA222" i="3"/>
  <c r="AZ222" i="3"/>
  <c r="BA221" i="3"/>
  <c r="AZ221" i="3"/>
  <c r="BA220" i="3"/>
  <c r="AZ220" i="3"/>
  <c r="BA219" i="3"/>
  <c r="AZ219" i="3"/>
  <c r="BA218" i="3"/>
  <c r="AZ218" i="3"/>
  <c r="BA217" i="3"/>
  <c r="AZ217" i="3"/>
  <c r="BA216" i="3"/>
  <c r="AZ216" i="3"/>
  <c r="BA215" i="3"/>
  <c r="AZ215" i="3"/>
  <c r="BA214" i="3"/>
  <c r="AZ214" i="3"/>
  <c r="BA213" i="3"/>
  <c r="AZ213" i="3"/>
  <c r="BA212" i="3"/>
  <c r="AZ212" i="3"/>
  <c r="BA211" i="3"/>
  <c r="AZ211" i="3"/>
  <c r="BA210" i="3"/>
  <c r="AZ210" i="3"/>
  <c r="BA209" i="3"/>
  <c r="AZ209" i="3"/>
  <c r="BA208" i="3"/>
  <c r="AZ208" i="3"/>
  <c r="BA207" i="3"/>
  <c r="AZ207" i="3"/>
  <c r="BA206" i="3"/>
  <c r="AZ206" i="3"/>
  <c r="BA205" i="3"/>
  <c r="AZ205" i="3"/>
  <c r="BA204" i="3"/>
  <c r="AZ204" i="3"/>
  <c r="BA203" i="3"/>
  <c r="AZ203" i="3"/>
  <c r="BA202" i="3"/>
  <c r="AZ202" i="3"/>
  <c r="BA201" i="3"/>
  <c r="AZ201" i="3"/>
  <c r="BA200" i="3"/>
  <c r="AZ200" i="3"/>
  <c r="BA199" i="3"/>
  <c r="AZ199" i="3"/>
  <c r="BA198" i="3"/>
  <c r="AZ198" i="3"/>
  <c r="BA197" i="3"/>
  <c r="AZ197" i="3"/>
  <c r="BA196" i="3"/>
  <c r="AZ196" i="3"/>
  <c r="BA195" i="3"/>
  <c r="AZ195" i="3"/>
  <c r="BA194" i="3"/>
  <c r="AZ194" i="3"/>
  <c r="BA193" i="3"/>
  <c r="AZ193" i="3"/>
  <c r="BA192" i="3"/>
  <c r="AZ192" i="3"/>
  <c r="BA191" i="3"/>
  <c r="AZ191" i="3"/>
  <c r="BA190" i="3"/>
  <c r="AZ190" i="3"/>
  <c r="BA189" i="3"/>
  <c r="AZ189" i="3"/>
  <c r="BA188" i="3"/>
  <c r="AZ188" i="3"/>
  <c r="BA187" i="3"/>
  <c r="AZ187" i="3"/>
  <c r="BA186" i="3"/>
  <c r="AZ186" i="3"/>
  <c r="BA185" i="3"/>
  <c r="AZ185" i="3"/>
  <c r="BA184" i="3"/>
  <c r="AZ184" i="3"/>
  <c r="BA183" i="3"/>
  <c r="AZ183" i="3"/>
  <c r="BA182" i="3"/>
  <c r="AZ182" i="3"/>
  <c r="BA181" i="3"/>
  <c r="AZ181" i="3"/>
  <c r="BA180" i="3"/>
  <c r="AZ180" i="3"/>
  <c r="BA179" i="3"/>
  <c r="AZ179" i="3"/>
  <c r="BA178" i="3"/>
  <c r="AZ178" i="3"/>
  <c r="BA177" i="3"/>
  <c r="AZ177" i="3"/>
  <c r="BA176" i="3"/>
  <c r="AZ176" i="3"/>
  <c r="BA175" i="3"/>
  <c r="AZ175" i="3"/>
  <c r="BA174" i="3"/>
  <c r="AZ174" i="3"/>
  <c r="BA173" i="3"/>
  <c r="AZ173" i="3"/>
  <c r="BA172" i="3"/>
  <c r="AZ172" i="3"/>
  <c r="BA171" i="3"/>
  <c r="AZ171" i="3"/>
  <c r="BA170" i="3"/>
  <c r="AZ170" i="3"/>
  <c r="BA169" i="3"/>
  <c r="AZ169" i="3"/>
  <c r="BA168" i="3"/>
  <c r="AZ168" i="3"/>
  <c r="BA167" i="3"/>
  <c r="AZ167" i="3"/>
  <c r="BA166" i="3"/>
  <c r="AZ166" i="3"/>
  <c r="BA165" i="3"/>
  <c r="AZ165" i="3"/>
  <c r="BA164" i="3"/>
  <c r="AZ164" i="3"/>
  <c r="BA163" i="3"/>
  <c r="AZ163" i="3"/>
  <c r="BA162" i="3"/>
  <c r="AZ162" i="3"/>
  <c r="BA161" i="3"/>
  <c r="AZ161" i="3"/>
  <c r="BA160" i="3"/>
  <c r="AZ160" i="3"/>
  <c r="BA159" i="3"/>
  <c r="AZ159" i="3"/>
  <c r="BA158" i="3"/>
  <c r="AZ158" i="3"/>
  <c r="BA157" i="3"/>
  <c r="AZ157" i="3"/>
  <c r="BA156" i="3"/>
  <c r="AZ156" i="3"/>
  <c r="BA155" i="3"/>
  <c r="AZ155" i="3"/>
  <c r="BA154" i="3"/>
  <c r="AZ154" i="3"/>
  <c r="BA153" i="3"/>
  <c r="AZ153" i="3"/>
  <c r="BA152" i="3"/>
  <c r="AZ152" i="3"/>
  <c r="BA151" i="3"/>
  <c r="AZ151" i="3"/>
  <c r="BA150" i="3"/>
  <c r="AZ150" i="3"/>
  <c r="BA149" i="3"/>
  <c r="AZ149" i="3"/>
  <c r="BA148" i="3"/>
  <c r="AZ148" i="3"/>
  <c r="BA147" i="3"/>
  <c r="AZ147" i="3"/>
  <c r="BA146" i="3"/>
  <c r="AZ146" i="3"/>
  <c r="BA145" i="3"/>
  <c r="AZ145" i="3"/>
  <c r="BA144" i="3"/>
  <c r="AZ144" i="3"/>
  <c r="BA143" i="3"/>
  <c r="AZ143" i="3"/>
  <c r="BA142" i="3"/>
  <c r="AZ142" i="3"/>
  <c r="BA141" i="3"/>
  <c r="AZ141" i="3"/>
  <c r="BA140" i="3"/>
  <c r="AZ140" i="3"/>
  <c r="BA139" i="3"/>
  <c r="AZ139" i="3"/>
  <c r="BA138" i="3"/>
  <c r="AZ138" i="3"/>
  <c r="BA137" i="3"/>
  <c r="AZ137" i="3"/>
  <c r="BA136" i="3"/>
  <c r="AZ136" i="3"/>
  <c r="BA135" i="3"/>
  <c r="AZ135" i="3"/>
  <c r="BA134" i="3"/>
  <c r="AZ134" i="3"/>
  <c r="BA133" i="3"/>
  <c r="AZ133" i="3"/>
  <c r="BA132" i="3"/>
  <c r="AZ132" i="3"/>
  <c r="BA131" i="3"/>
  <c r="AZ131" i="3"/>
  <c r="BA130" i="3"/>
  <c r="AZ130" i="3"/>
  <c r="BA129" i="3"/>
  <c r="AZ129" i="3"/>
  <c r="BA128" i="3"/>
  <c r="AZ128" i="3"/>
  <c r="BA127" i="3"/>
  <c r="AZ127" i="3"/>
  <c r="BA126" i="3"/>
  <c r="AZ126" i="3"/>
  <c r="BA125" i="3"/>
  <c r="AZ125" i="3"/>
  <c r="BA124" i="3"/>
  <c r="AZ124" i="3"/>
  <c r="BA123" i="3"/>
  <c r="AZ123" i="3"/>
  <c r="BA122" i="3"/>
  <c r="AZ122" i="3"/>
  <c r="BA121" i="3"/>
  <c r="AZ121" i="3"/>
  <c r="BA120" i="3"/>
  <c r="AZ120" i="3"/>
  <c r="BA119" i="3"/>
  <c r="AZ119" i="3"/>
  <c r="BA118" i="3"/>
  <c r="AZ118" i="3"/>
  <c r="BA117" i="3"/>
  <c r="AZ117" i="3"/>
  <c r="BA116" i="3"/>
  <c r="AZ116" i="3"/>
  <c r="BA115" i="3"/>
  <c r="AZ115" i="3"/>
  <c r="BA114" i="3"/>
  <c r="AZ114" i="3"/>
  <c r="BA113" i="3"/>
  <c r="AZ113" i="3"/>
  <c r="BA112" i="3"/>
  <c r="AZ112" i="3"/>
  <c r="BA111" i="3"/>
  <c r="AZ111" i="3"/>
  <c r="BA110" i="3"/>
  <c r="AZ110" i="3"/>
  <c r="BA109" i="3"/>
  <c r="AZ109" i="3"/>
  <c r="BA108" i="3"/>
  <c r="AZ108" i="3"/>
  <c r="BA107" i="3"/>
  <c r="AZ107" i="3"/>
  <c r="BA106" i="3"/>
  <c r="AZ106" i="3"/>
  <c r="BA105" i="3"/>
  <c r="AZ105" i="3"/>
  <c r="BA104" i="3"/>
  <c r="AZ104" i="3"/>
  <c r="BA103" i="3"/>
  <c r="AZ103" i="3"/>
  <c r="BA102" i="3"/>
  <c r="AZ102" i="3"/>
  <c r="BA101" i="3"/>
  <c r="AZ101" i="3"/>
  <c r="BA100" i="3"/>
  <c r="AZ100" i="3"/>
  <c r="BA99" i="3"/>
  <c r="AZ99" i="3"/>
  <c r="BA98" i="3"/>
  <c r="AZ98" i="3"/>
  <c r="BA97" i="3"/>
  <c r="AZ97" i="3"/>
  <c r="BA96" i="3"/>
  <c r="AZ96" i="3"/>
  <c r="BA95" i="3"/>
  <c r="AZ95" i="3"/>
  <c r="BA94" i="3"/>
  <c r="AZ94" i="3"/>
  <c r="BA93" i="3"/>
  <c r="AZ93" i="3"/>
  <c r="BA92" i="3"/>
  <c r="AZ92" i="3"/>
  <c r="BA91" i="3"/>
  <c r="AZ91" i="3"/>
  <c r="BA90" i="3"/>
  <c r="AZ90" i="3"/>
  <c r="BA89" i="3"/>
  <c r="AZ89" i="3"/>
  <c r="BA88" i="3"/>
  <c r="AZ88" i="3"/>
  <c r="BA87" i="3"/>
  <c r="AZ87" i="3"/>
  <c r="BA86" i="3"/>
  <c r="AZ86" i="3"/>
  <c r="BA85" i="3"/>
  <c r="AZ85" i="3"/>
  <c r="BA84" i="3"/>
  <c r="AZ84" i="3"/>
  <c r="BA83" i="3"/>
  <c r="AZ83" i="3"/>
  <c r="BA82" i="3"/>
  <c r="AZ82" i="3"/>
  <c r="BA81" i="3"/>
  <c r="AZ81" i="3"/>
  <c r="BA80" i="3"/>
  <c r="AZ80" i="3"/>
  <c r="BA79" i="3"/>
  <c r="AZ79" i="3"/>
  <c r="BA78" i="3"/>
  <c r="AZ78" i="3"/>
  <c r="BA77" i="3"/>
  <c r="AZ77" i="3"/>
  <c r="BA76" i="3"/>
  <c r="AZ76" i="3"/>
  <c r="BA75" i="3"/>
  <c r="AZ75" i="3"/>
  <c r="BA74" i="3"/>
  <c r="AZ74" i="3"/>
  <c r="BA73" i="3"/>
  <c r="AZ73" i="3"/>
  <c r="BA72" i="3"/>
  <c r="AZ72" i="3"/>
  <c r="BA71" i="3"/>
  <c r="AZ71" i="3"/>
  <c r="BA70" i="3"/>
  <c r="AZ70" i="3"/>
  <c r="BA69" i="3"/>
  <c r="AZ69" i="3"/>
  <c r="BA68" i="3"/>
  <c r="AZ68" i="3"/>
  <c r="BA67" i="3"/>
  <c r="AZ67" i="3"/>
  <c r="BA66" i="3"/>
  <c r="AZ66" i="3"/>
  <c r="BA65" i="3"/>
  <c r="AZ65" i="3"/>
  <c r="BA64" i="3"/>
  <c r="AZ64" i="3"/>
  <c r="BA63" i="3"/>
  <c r="AZ63" i="3"/>
  <c r="BA62" i="3"/>
  <c r="AZ62" i="3"/>
  <c r="BA61" i="3"/>
  <c r="AZ61" i="3"/>
  <c r="BA60" i="3"/>
  <c r="AZ60" i="3"/>
  <c r="BA59" i="3"/>
  <c r="AZ59" i="3"/>
  <c r="BA58" i="3"/>
  <c r="AZ58" i="3"/>
  <c r="BA57" i="3"/>
  <c r="AZ57" i="3"/>
  <c r="BA56" i="3"/>
  <c r="AZ56" i="3"/>
  <c r="BA55" i="3"/>
  <c r="AZ55" i="3"/>
  <c r="BA54" i="3"/>
  <c r="AZ54" i="3"/>
  <c r="BA53" i="3"/>
  <c r="AZ53" i="3"/>
  <c r="BA52" i="3"/>
  <c r="AZ52" i="3"/>
  <c r="BA51" i="3"/>
  <c r="AZ51" i="3"/>
  <c r="BA50" i="3"/>
  <c r="AZ50" i="3"/>
  <c r="BA49" i="3"/>
  <c r="AZ49" i="3"/>
  <c r="BA48" i="3"/>
  <c r="AZ48" i="3"/>
  <c r="BA47" i="3"/>
  <c r="AZ47" i="3"/>
  <c r="BA46" i="3"/>
  <c r="AZ46" i="3"/>
  <c r="BA45" i="3"/>
  <c r="AZ45" i="3"/>
  <c r="BA44" i="3"/>
  <c r="AZ44" i="3"/>
  <c r="BA43" i="3"/>
  <c r="AZ43" i="3"/>
  <c r="BA42" i="3"/>
  <c r="AZ42" i="3"/>
  <c r="BA41" i="3"/>
  <c r="AZ41" i="3"/>
  <c r="BA40" i="3"/>
  <c r="AZ40" i="3"/>
  <c r="BA39" i="3"/>
  <c r="AZ39" i="3"/>
  <c r="BA38" i="3"/>
  <c r="AZ38" i="3"/>
  <c r="BA37" i="3"/>
  <c r="AZ37" i="3"/>
  <c r="BA36" i="3"/>
  <c r="AZ36" i="3"/>
  <c r="BA35" i="3"/>
  <c r="AZ35" i="3"/>
  <c r="BA34" i="3"/>
  <c r="AZ34" i="3"/>
  <c r="BA33" i="3"/>
  <c r="AZ33" i="3"/>
  <c r="BA32" i="3"/>
  <c r="AZ32" i="3"/>
  <c r="BA31" i="3"/>
  <c r="AZ31" i="3"/>
  <c r="BA30" i="3"/>
  <c r="AZ30" i="3"/>
  <c r="BA29" i="3"/>
  <c r="AZ29" i="3"/>
  <c r="BA28" i="3"/>
  <c r="AZ28" i="3"/>
  <c r="BA27" i="3"/>
  <c r="AZ27" i="3"/>
  <c r="BA26" i="3"/>
  <c r="AZ26" i="3"/>
  <c r="BA25" i="3"/>
  <c r="AZ25" i="3"/>
  <c r="BA24" i="3"/>
  <c r="AZ24" i="3"/>
  <c r="BA23" i="3"/>
  <c r="AZ23" i="3"/>
  <c r="BA22" i="3"/>
  <c r="AZ22" i="3"/>
  <c r="BA21" i="3"/>
  <c r="AZ21" i="3"/>
  <c r="BA20" i="3"/>
  <c r="AZ20" i="3"/>
  <c r="BA19" i="3"/>
  <c r="AZ19" i="3"/>
  <c r="BA18" i="3"/>
  <c r="AZ18" i="3"/>
  <c r="BA17" i="3"/>
  <c r="AZ17" i="3"/>
  <c r="BA16" i="3"/>
  <c r="AZ16" i="3"/>
  <c r="BA15" i="3"/>
  <c r="AZ15" i="3"/>
  <c r="BA14" i="3"/>
  <c r="AZ14" i="3"/>
  <c r="BA13" i="3"/>
  <c r="AZ13" i="3"/>
  <c r="BA12" i="3"/>
  <c r="AZ12" i="3"/>
  <c r="BA11" i="3"/>
  <c r="AZ11" i="3"/>
  <c r="BA10" i="3"/>
  <c r="AZ10" i="3"/>
  <c r="BA9" i="3"/>
  <c r="AZ9" i="3"/>
  <c r="BA8" i="3"/>
  <c r="AZ8" i="3"/>
  <c r="BA7" i="3"/>
  <c r="AZ7" i="3"/>
  <c r="BA6" i="3"/>
  <c r="AZ6" i="3"/>
  <c r="BA5" i="3"/>
  <c r="AZ5" i="3"/>
  <c r="BA4" i="3"/>
  <c r="AZ4" i="3"/>
  <c r="BA3" i="3"/>
  <c r="AZ3" i="3"/>
  <c r="BA2" i="3"/>
  <c r="AZ2" i="3"/>
  <c r="BD745" i="3"/>
  <c r="BC745" i="3"/>
  <c r="BD744" i="3"/>
  <c r="BC744" i="3"/>
  <c r="BD743" i="3"/>
  <c r="BC743" i="3"/>
  <c r="BD742" i="3"/>
  <c r="BC742" i="3"/>
  <c r="BD741" i="3"/>
  <c r="BC741" i="3"/>
  <c r="BD740" i="3"/>
  <c r="BC740" i="3"/>
  <c r="BD739" i="3"/>
  <c r="BC739" i="3"/>
  <c r="BD738" i="3"/>
  <c r="BC738" i="3"/>
  <c r="BD737" i="3"/>
  <c r="BC737" i="3"/>
  <c r="BD736" i="3"/>
  <c r="BC736" i="3"/>
  <c r="BD735" i="3"/>
  <c r="BC735" i="3"/>
  <c r="BD734" i="3"/>
  <c r="BC734" i="3"/>
  <c r="BD733" i="3"/>
  <c r="BC733" i="3"/>
  <c r="BD732" i="3"/>
  <c r="BC732" i="3"/>
  <c r="BD731" i="3"/>
  <c r="BC731" i="3"/>
  <c r="BD730" i="3"/>
  <c r="BC730" i="3"/>
  <c r="BD729" i="3"/>
  <c r="BC729" i="3"/>
  <c r="BD728" i="3"/>
  <c r="BC728" i="3"/>
  <c r="BD727" i="3"/>
  <c r="BC727" i="3"/>
  <c r="BD726" i="3"/>
  <c r="BC726" i="3"/>
  <c r="BD725" i="3"/>
  <c r="BC725" i="3"/>
  <c r="BD724" i="3"/>
  <c r="BC724" i="3"/>
  <c r="BD723" i="3"/>
  <c r="BC723" i="3"/>
  <c r="BD722" i="3"/>
  <c r="BC722" i="3"/>
  <c r="BD721" i="3"/>
  <c r="BC721" i="3"/>
  <c r="BD720" i="3"/>
  <c r="BC720" i="3"/>
  <c r="BD719" i="3"/>
  <c r="BC719" i="3"/>
  <c r="BD718" i="3"/>
  <c r="BC718" i="3"/>
  <c r="BD717" i="3"/>
  <c r="BC717" i="3"/>
  <c r="BD716" i="3"/>
  <c r="BC716" i="3"/>
  <c r="BD715" i="3"/>
  <c r="BC715" i="3"/>
  <c r="BD714" i="3"/>
  <c r="BC714" i="3"/>
  <c r="BD713" i="3"/>
  <c r="BC713" i="3"/>
  <c r="BD712" i="3"/>
  <c r="BC712" i="3"/>
  <c r="BD711" i="3"/>
  <c r="BC711" i="3"/>
  <c r="BD710" i="3"/>
  <c r="BC710" i="3"/>
  <c r="BD709" i="3"/>
  <c r="BC709" i="3"/>
  <c r="BD708" i="3"/>
  <c r="BC708" i="3"/>
  <c r="BD707" i="3"/>
  <c r="BC707" i="3"/>
  <c r="BD706" i="3"/>
  <c r="BC706" i="3"/>
  <c r="BD705" i="3"/>
  <c r="BC705" i="3"/>
  <c r="BD704" i="3"/>
  <c r="BC704" i="3"/>
  <c r="BD703" i="3"/>
  <c r="BC703" i="3"/>
  <c r="BD702" i="3"/>
  <c r="BC702" i="3"/>
  <c r="BD701" i="3"/>
  <c r="BC701" i="3"/>
  <c r="BD700" i="3"/>
  <c r="BC700" i="3"/>
  <c r="BD699" i="3"/>
  <c r="BC699" i="3"/>
  <c r="BD698" i="3"/>
  <c r="BC698" i="3"/>
  <c r="BD697" i="3"/>
  <c r="BC697" i="3"/>
  <c r="BD696" i="3"/>
  <c r="BC696" i="3"/>
  <c r="BD695" i="3"/>
  <c r="BC695" i="3"/>
  <c r="BD694" i="3"/>
  <c r="BC694" i="3"/>
  <c r="BD693" i="3"/>
  <c r="BC693" i="3"/>
  <c r="BD692" i="3"/>
  <c r="BC692" i="3"/>
  <c r="BD691" i="3"/>
  <c r="BC691" i="3"/>
  <c r="BD690" i="3"/>
  <c r="BC690" i="3"/>
  <c r="BD689" i="3"/>
  <c r="BC689" i="3"/>
  <c r="BD688" i="3"/>
  <c r="BC688" i="3"/>
  <c r="BD687" i="3"/>
  <c r="BC687" i="3"/>
  <c r="BD686" i="3"/>
  <c r="BC686" i="3"/>
  <c r="BD685" i="3"/>
  <c r="BC685" i="3"/>
  <c r="BD684" i="3"/>
  <c r="BC684" i="3"/>
  <c r="BD683" i="3"/>
  <c r="BC683" i="3"/>
  <c r="BD682" i="3"/>
  <c r="BC682" i="3"/>
  <c r="BD681" i="3"/>
  <c r="BC681" i="3"/>
  <c r="BD680" i="3"/>
  <c r="BC680" i="3"/>
  <c r="BD679" i="3"/>
  <c r="BC679" i="3"/>
  <c r="BD678" i="3"/>
  <c r="BC678" i="3"/>
  <c r="BD677" i="3"/>
  <c r="BC677" i="3"/>
  <c r="BD676" i="3"/>
  <c r="BC676" i="3"/>
  <c r="BD675" i="3"/>
  <c r="BC675" i="3"/>
  <c r="BD674" i="3"/>
  <c r="BC674" i="3"/>
  <c r="BD673" i="3"/>
  <c r="BC673" i="3"/>
  <c r="BD672" i="3"/>
  <c r="BC672" i="3"/>
  <c r="BD671" i="3"/>
  <c r="BC671" i="3"/>
  <c r="BD670" i="3"/>
  <c r="BC670" i="3"/>
  <c r="BD669" i="3"/>
  <c r="BC669" i="3"/>
  <c r="BD668" i="3"/>
  <c r="BC668" i="3"/>
  <c r="BD667" i="3"/>
  <c r="BC667" i="3"/>
  <c r="BD666" i="3"/>
  <c r="BC666" i="3"/>
  <c r="BD665" i="3"/>
  <c r="BC665" i="3"/>
  <c r="BD664" i="3"/>
  <c r="BC664" i="3"/>
  <c r="BD663" i="3"/>
  <c r="BC663" i="3"/>
  <c r="BD662" i="3"/>
  <c r="BC662" i="3"/>
  <c r="BD661" i="3"/>
  <c r="BC661" i="3"/>
  <c r="BD660" i="3"/>
  <c r="BC660" i="3"/>
  <c r="BD659" i="3"/>
  <c r="BC659" i="3"/>
  <c r="BD658" i="3"/>
  <c r="BC658" i="3"/>
  <c r="BD657" i="3"/>
  <c r="BC657" i="3"/>
  <c r="BD656" i="3"/>
  <c r="BC656" i="3"/>
  <c r="BD655" i="3"/>
  <c r="BC655" i="3"/>
  <c r="BD654" i="3"/>
  <c r="BC654" i="3"/>
  <c r="BD653" i="3"/>
  <c r="BC653" i="3"/>
  <c r="BD652" i="3"/>
  <c r="BC652" i="3"/>
  <c r="BD651" i="3"/>
  <c r="BC651" i="3"/>
  <c r="BD650" i="3"/>
  <c r="BC650" i="3"/>
  <c r="BD649" i="3"/>
  <c r="BC649" i="3"/>
  <c r="BD648" i="3"/>
  <c r="BC648" i="3"/>
  <c r="BD647" i="3"/>
  <c r="BC647" i="3"/>
  <c r="BD646" i="3"/>
  <c r="BC646" i="3"/>
  <c r="BD645" i="3"/>
  <c r="BC645" i="3"/>
  <c r="BD644" i="3"/>
  <c r="BC644" i="3"/>
  <c r="BD643" i="3"/>
  <c r="BC643" i="3"/>
  <c r="BD642" i="3"/>
  <c r="BC642" i="3"/>
  <c r="BD641" i="3"/>
  <c r="BC641" i="3"/>
  <c r="BD640" i="3"/>
  <c r="BC640" i="3"/>
  <c r="BD639" i="3"/>
  <c r="BC639" i="3"/>
  <c r="BD638" i="3"/>
  <c r="BC638" i="3"/>
  <c r="BD637" i="3"/>
  <c r="BC637" i="3"/>
  <c r="BD636" i="3"/>
  <c r="BC636" i="3"/>
  <c r="BD635" i="3"/>
  <c r="BC635" i="3"/>
  <c r="BD634" i="3"/>
  <c r="BC634" i="3"/>
  <c r="BD633" i="3"/>
  <c r="BC633" i="3"/>
  <c r="BD632" i="3"/>
  <c r="BC632" i="3"/>
  <c r="BD631" i="3"/>
  <c r="BC631" i="3"/>
  <c r="BD630" i="3"/>
  <c r="BC630" i="3"/>
  <c r="BD629" i="3"/>
  <c r="BC629" i="3"/>
  <c r="BD628" i="3"/>
  <c r="BC628" i="3"/>
  <c r="BD627" i="3"/>
  <c r="BC627" i="3"/>
  <c r="BD626" i="3"/>
  <c r="BC626" i="3"/>
  <c r="BD625" i="3"/>
  <c r="BC625" i="3"/>
  <c r="BD624" i="3"/>
  <c r="BC624" i="3"/>
  <c r="BD623" i="3"/>
  <c r="BC623" i="3"/>
  <c r="BD622" i="3"/>
  <c r="BC622" i="3"/>
  <c r="BD621" i="3"/>
  <c r="BC621" i="3"/>
  <c r="BD620" i="3"/>
  <c r="BC620" i="3"/>
  <c r="BD619" i="3"/>
  <c r="BC619" i="3"/>
  <c r="BD618" i="3"/>
  <c r="BC618" i="3"/>
  <c r="BD617" i="3"/>
  <c r="BC617" i="3"/>
  <c r="BD616" i="3"/>
  <c r="BC616" i="3"/>
  <c r="BD615" i="3"/>
  <c r="BC615" i="3"/>
  <c r="BD614" i="3"/>
  <c r="BC614" i="3"/>
  <c r="BD613" i="3"/>
  <c r="BC613" i="3"/>
  <c r="BD612" i="3"/>
  <c r="BC612" i="3"/>
  <c r="BD611" i="3"/>
  <c r="BC611" i="3"/>
  <c r="BD610" i="3"/>
  <c r="BC610" i="3"/>
  <c r="BD609" i="3"/>
  <c r="BC609" i="3"/>
  <c r="BD608" i="3"/>
  <c r="BC608" i="3"/>
  <c r="BD607" i="3"/>
  <c r="BC607" i="3"/>
  <c r="BD606" i="3"/>
  <c r="BC606" i="3"/>
  <c r="BD605" i="3"/>
  <c r="BC605" i="3"/>
  <c r="BD604" i="3"/>
  <c r="BC604" i="3"/>
  <c r="BD603" i="3"/>
  <c r="BC603" i="3"/>
  <c r="BD602" i="3"/>
  <c r="BC602" i="3"/>
  <c r="BD601" i="3"/>
  <c r="BC601" i="3"/>
  <c r="BD600" i="3"/>
  <c r="BC600" i="3"/>
  <c r="BD599" i="3"/>
  <c r="BC599" i="3"/>
  <c r="BD598" i="3"/>
  <c r="BC598" i="3"/>
  <c r="BD597" i="3"/>
  <c r="BC597" i="3"/>
  <c r="BD596" i="3"/>
  <c r="BC596" i="3"/>
  <c r="BD595" i="3"/>
  <c r="BC595" i="3"/>
  <c r="BD594" i="3"/>
  <c r="BC594" i="3"/>
  <c r="BD593" i="3"/>
  <c r="BC593" i="3"/>
  <c r="BD592" i="3"/>
  <c r="BC592" i="3"/>
  <c r="BD591" i="3"/>
  <c r="BC591" i="3"/>
  <c r="BD590" i="3"/>
  <c r="BC590" i="3"/>
  <c r="BD589" i="3"/>
  <c r="BC589" i="3"/>
  <c r="BD588" i="3"/>
  <c r="BC588" i="3"/>
  <c r="BD587" i="3"/>
  <c r="BC587" i="3"/>
  <c r="BD586" i="3"/>
  <c r="BC586" i="3"/>
  <c r="BD585" i="3"/>
  <c r="BC585" i="3"/>
  <c r="BD584" i="3"/>
  <c r="BC584" i="3"/>
  <c r="BD583" i="3"/>
  <c r="BC583" i="3"/>
  <c r="BD582" i="3"/>
  <c r="BC582" i="3"/>
  <c r="BD581" i="3"/>
  <c r="BC581" i="3"/>
  <c r="BD580" i="3"/>
  <c r="BC580" i="3"/>
  <c r="BD579" i="3"/>
  <c r="BC579" i="3"/>
  <c r="BD578" i="3"/>
  <c r="BC578" i="3"/>
  <c r="BD577" i="3"/>
  <c r="BC577" i="3"/>
  <c r="BD576" i="3"/>
  <c r="BC576" i="3"/>
  <c r="BD575" i="3"/>
  <c r="BC575" i="3"/>
  <c r="BD574" i="3"/>
  <c r="BC574" i="3"/>
  <c r="BD573" i="3"/>
  <c r="BC573" i="3"/>
  <c r="BD572" i="3"/>
  <c r="BC572" i="3"/>
  <c r="BD571" i="3"/>
  <c r="BC571" i="3"/>
  <c r="BD570" i="3"/>
  <c r="BC570" i="3"/>
  <c r="BD569" i="3"/>
  <c r="BC569" i="3"/>
  <c r="BD568" i="3"/>
  <c r="BC568" i="3"/>
  <c r="BD567" i="3"/>
  <c r="BC567" i="3"/>
  <c r="BD566" i="3"/>
  <c r="BC566" i="3"/>
  <c r="BD565" i="3"/>
  <c r="BC565" i="3"/>
  <c r="BD564" i="3"/>
  <c r="BC564" i="3"/>
  <c r="BD563" i="3"/>
  <c r="BC563" i="3"/>
  <c r="BD562" i="3"/>
  <c r="BC562" i="3"/>
  <c r="BD561" i="3"/>
  <c r="BC561" i="3"/>
  <c r="BD560" i="3"/>
  <c r="BC560" i="3"/>
  <c r="BD559" i="3"/>
  <c r="BC559" i="3"/>
  <c r="BD558" i="3"/>
  <c r="BC558" i="3"/>
  <c r="BD557" i="3"/>
  <c r="BC557" i="3"/>
  <c r="BD556" i="3"/>
  <c r="BC556" i="3"/>
  <c r="BD555" i="3"/>
  <c r="BC555" i="3"/>
  <c r="BD554" i="3"/>
  <c r="BC554" i="3"/>
  <c r="BD553" i="3"/>
  <c r="BC553" i="3"/>
  <c r="BD552" i="3"/>
  <c r="BC552" i="3"/>
  <c r="BD551" i="3"/>
  <c r="BC551" i="3"/>
  <c r="BD550" i="3"/>
  <c r="BC550" i="3"/>
  <c r="BD549" i="3"/>
  <c r="BC549" i="3"/>
  <c r="BD548" i="3"/>
  <c r="BC548" i="3"/>
  <c r="BD547" i="3"/>
  <c r="BC547" i="3"/>
  <c r="BD546" i="3"/>
  <c r="BC546" i="3"/>
  <c r="BD545" i="3"/>
  <c r="BC545" i="3"/>
  <c r="BD544" i="3"/>
  <c r="BC544" i="3"/>
  <c r="BD543" i="3"/>
  <c r="BC543" i="3"/>
  <c r="BD542" i="3"/>
  <c r="BC542" i="3"/>
  <c r="BD541" i="3"/>
  <c r="BC541" i="3"/>
  <c r="BD540" i="3"/>
  <c r="BC540" i="3"/>
  <c r="BD539" i="3"/>
  <c r="BC539" i="3"/>
  <c r="BD538" i="3"/>
  <c r="BC538" i="3"/>
  <c r="BD537" i="3"/>
  <c r="BC537" i="3"/>
  <c r="BD536" i="3"/>
  <c r="BC536" i="3"/>
  <c r="BD535" i="3"/>
  <c r="BC535" i="3"/>
  <c r="BD534" i="3"/>
  <c r="BC534" i="3"/>
  <c r="BD533" i="3"/>
  <c r="BC533" i="3"/>
  <c r="BD532" i="3"/>
  <c r="BC532" i="3"/>
  <c r="BD531" i="3"/>
  <c r="BC531" i="3"/>
  <c r="BD530" i="3"/>
  <c r="BC530" i="3"/>
  <c r="BD529" i="3"/>
  <c r="BC529" i="3"/>
  <c r="BD528" i="3"/>
  <c r="BC528" i="3"/>
  <c r="BD527" i="3"/>
  <c r="BC527" i="3"/>
  <c r="BD526" i="3"/>
  <c r="BC526" i="3"/>
  <c r="BD525" i="3"/>
  <c r="BC525" i="3"/>
  <c r="BD524" i="3"/>
  <c r="BC524" i="3"/>
  <c r="BD523" i="3"/>
  <c r="BC523" i="3"/>
  <c r="BD522" i="3"/>
  <c r="BC522" i="3"/>
  <c r="BD521" i="3"/>
  <c r="BC521" i="3"/>
  <c r="BD520" i="3"/>
  <c r="BC520" i="3"/>
  <c r="BD519" i="3"/>
  <c r="BC519" i="3"/>
  <c r="BD518" i="3"/>
  <c r="BC518" i="3"/>
  <c r="BD517" i="3"/>
  <c r="BC517" i="3"/>
  <c r="BD516" i="3"/>
  <c r="BC516" i="3"/>
  <c r="BD515" i="3"/>
  <c r="BC515" i="3"/>
  <c r="BD514" i="3"/>
  <c r="BC514" i="3"/>
  <c r="BD513" i="3"/>
  <c r="BC513" i="3"/>
  <c r="BD512" i="3"/>
  <c r="BC512" i="3"/>
  <c r="BD511" i="3"/>
  <c r="BC511" i="3"/>
  <c r="BD510" i="3"/>
  <c r="BC510" i="3"/>
  <c r="BD509" i="3"/>
  <c r="BC509" i="3"/>
  <c r="BD508" i="3"/>
  <c r="BC508" i="3"/>
  <c r="BD507" i="3"/>
  <c r="BC507" i="3"/>
  <c r="BD506" i="3"/>
  <c r="BC506" i="3"/>
  <c r="BD505" i="3"/>
  <c r="BC505" i="3"/>
  <c r="BD504" i="3"/>
  <c r="BC504" i="3"/>
  <c r="BD503" i="3"/>
  <c r="BC503" i="3"/>
  <c r="BD502" i="3"/>
  <c r="BC502" i="3"/>
  <c r="BD501" i="3"/>
  <c r="BC501" i="3"/>
  <c r="BD500" i="3"/>
  <c r="BC500" i="3"/>
  <c r="BD499" i="3"/>
  <c r="BC499" i="3"/>
  <c r="BD498" i="3"/>
  <c r="BC498" i="3"/>
  <c r="BD497" i="3"/>
  <c r="BC497" i="3"/>
  <c r="BD496" i="3"/>
  <c r="BC496" i="3"/>
  <c r="BD495" i="3"/>
  <c r="BC495" i="3"/>
  <c r="BD494" i="3"/>
  <c r="BC494" i="3"/>
  <c r="BD493" i="3"/>
  <c r="BC493" i="3"/>
  <c r="BD492" i="3"/>
  <c r="BC492" i="3"/>
  <c r="BD491" i="3"/>
  <c r="BC491" i="3"/>
  <c r="BD490" i="3"/>
  <c r="BC490" i="3"/>
  <c r="BD489" i="3"/>
  <c r="BC489" i="3"/>
  <c r="BD488" i="3"/>
  <c r="BC488" i="3"/>
  <c r="BD487" i="3"/>
  <c r="BC487" i="3"/>
  <c r="BD486" i="3"/>
  <c r="BC486" i="3"/>
  <c r="BD485" i="3"/>
  <c r="BC485" i="3"/>
  <c r="BD484" i="3"/>
  <c r="BC484" i="3"/>
  <c r="BD483" i="3"/>
  <c r="BC483" i="3"/>
  <c r="BD482" i="3"/>
  <c r="BC482" i="3"/>
  <c r="BD481" i="3"/>
  <c r="BC481" i="3"/>
  <c r="BD480" i="3"/>
  <c r="BC480" i="3"/>
  <c r="BD479" i="3"/>
  <c r="BC479" i="3"/>
  <c r="BD478" i="3"/>
  <c r="BC478" i="3"/>
  <c r="BD477" i="3"/>
  <c r="BC477" i="3"/>
  <c r="BD476" i="3"/>
  <c r="BC476" i="3"/>
  <c r="BD475" i="3"/>
  <c r="BC475" i="3"/>
  <c r="BD474" i="3"/>
  <c r="BC474" i="3"/>
  <c r="BD473" i="3"/>
  <c r="BC473" i="3"/>
  <c r="BD472" i="3"/>
  <c r="BC472" i="3"/>
  <c r="BD471" i="3"/>
  <c r="BC471" i="3"/>
  <c r="BD470" i="3"/>
  <c r="BC470" i="3"/>
  <c r="BD469" i="3"/>
  <c r="BC469" i="3"/>
  <c r="BD468" i="3"/>
  <c r="BC468" i="3"/>
  <c r="BD467" i="3"/>
  <c r="BC467" i="3"/>
  <c r="BD466" i="3"/>
  <c r="BC466" i="3"/>
  <c r="BD465" i="3"/>
  <c r="BC465" i="3"/>
  <c r="BD464" i="3"/>
  <c r="BC464" i="3"/>
  <c r="BD463" i="3"/>
  <c r="BC463" i="3"/>
  <c r="BD462" i="3"/>
  <c r="BC462" i="3"/>
  <c r="BD461" i="3"/>
  <c r="BC461" i="3"/>
  <c r="BD460" i="3"/>
  <c r="BC460" i="3"/>
  <c r="BD459" i="3"/>
  <c r="BC459" i="3"/>
  <c r="BD458" i="3"/>
  <c r="BC458" i="3"/>
  <c r="BD457" i="3"/>
  <c r="BC457" i="3"/>
  <c r="BD456" i="3"/>
  <c r="BC456" i="3"/>
  <c r="BD455" i="3"/>
  <c r="BC455" i="3"/>
  <c r="BD454" i="3"/>
  <c r="BC454" i="3"/>
  <c r="BD453" i="3"/>
  <c r="BC453" i="3"/>
  <c r="BD452" i="3"/>
  <c r="BC452" i="3"/>
  <c r="BD451" i="3"/>
  <c r="BC451" i="3"/>
  <c r="BD450" i="3"/>
  <c r="BC450" i="3"/>
  <c r="BD449" i="3"/>
  <c r="BC449" i="3"/>
  <c r="BD448" i="3"/>
  <c r="BC448" i="3"/>
  <c r="BD447" i="3"/>
  <c r="BC447" i="3"/>
  <c r="BD446" i="3"/>
  <c r="BC446" i="3"/>
  <c r="BD445" i="3"/>
  <c r="BC445" i="3"/>
  <c r="BD444" i="3"/>
  <c r="BC444" i="3"/>
  <c r="BD443" i="3"/>
  <c r="BC443" i="3"/>
  <c r="BD442" i="3"/>
  <c r="BC442" i="3"/>
  <c r="BD441" i="3"/>
  <c r="BC441" i="3"/>
  <c r="BD440" i="3"/>
  <c r="BC440" i="3"/>
  <c r="BD439" i="3"/>
  <c r="BC439" i="3"/>
  <c r="BD438" i="3"/>
  <c r="BC438" i="3"/>
  <c r="BD437" i="3"/>
  <c r="BC437" i="3"/>
  <c r="BD436" i="3"/>
  <c r="BC436" i="3"/>
  <c r="BD435" i="3"/>
  <c r="BC435" i="3"/>
  <c r="BD434" i="3"/>
  <c r="BC434" i="3"/>
  <c r="BD433" i="3"/>
  <c r="BC433" i="3"/>
  <c r="BD432" i="3"/>
  <c r="BC432" i="3"/>
  <c r="BD431" i="3"/>
  <c r="BC431" i="3"/>
  <c r="BD430" i="3"/>
  <c r="BC430" i="3"/>
  <c r="BD429" i="3"/>
  <c r="BC429" i="3"/>
  <c r="BD428" i="3"/>
  <c r="BC428" i="3"/>
  <c r="BD427" i="3"/>
  <c r="BC427" i="3"/>
  <c r="BD426" i="3"/>
  <c r="BC426" i="3"/>
  <c r="BD425" i="3"/>
  <c r="BC425" i="3"/>
  <c r="BD424" i="3"/>
  <c r="BC424" i="3"/>
  <c r="BD423" i="3"/>
  <c r="BC423" i="3"/>
  <c r="BD422" i="3"/>
  <c r="BC422" i="3"/>
  <c r="BD421" i="3"/>
  <c r="BC421" i="3"/>
  <c r="BD420" i="3"/>
  <c r="BC420" i="3"/>
  <c r="BD419" i="3"/>
  <c r="BC419" i="3"/>
  <c r="BD418" i="3"/>
  <c r="BC418" i="3"/>
  <c r="BD417" i="3"/>
  <c r="BC417" i="3"/>
  <c r="BD416" i="3"/>
  <c r="BC416" i="3"/>
  <c r="BD415" i="3"/>
  <c r="BC415" i="3"/>
  <c r="BD414" i="3"/>
  <c r="BC414" i="3"/>
  <c r="BD413" i="3"/>
  <c r="BC413" i="3"/>
  <c r="BD412" i="3"/>
  <c r="BC412" i="3"/>
  <c r="BD411" i="3"/>
  <c r="BC411" i="3"/>
  <c r="BD410" i="3"/>
  <c r="BC410" i="3"/>
  <c r="BD409" i="3"/>
  <c r="BC409" i="3"/>
  <c r="BD408" i="3"/>
  <c r="BC408" i="3"/>
  <c r="BD407" i="3"/>
  <c r="BC407" i="3"/>
  <c r="BD406" i="3"/>
  <c r="BC406" i="3"/>
  <c r="BD405" i="3"/>
  <c r="BC405" i="3"/>
  <c r="BD404" i="3"/>
  <c r="BC404" i="3"/>
  <c r="BD403" i="3"/>
  <c r="BC403" i="3"/>
  <c r="BD402" i="3"/>
  <c r="BC402" i="3"/>
  <c r="BD401" i="3"/>
  <c r="BC401" i="3"/>
  <c r="BD400" i="3"/>
  <c r="BC400" i="3"/>
  <c r="BD399" i="3"/>
  <c r="BC399" i="3"/>
  <c r="BD398" i="3"/>
  <c r="BC398" i="3"/>
  <c r="BD397" i="3"/>
  <c r="BC397" i="3"/>
  <c r="BD396" i="3"/>
  <c r="BC396" i="3"/>
  <c r="BD395" i="3"/>
  <c r="BC395" i="3"/>
  <c r="BD394" i="3"/>
  <c r="BC394" i="3"/>
  <c r="BD393" i="3"/>
  <c r="BC393" i="3"/>
  <c r="BD392" i="3"/>
  <c r="BC392" i="3"/>
  <c r="BD391" i="3"/>
  <c r="BC391" i="3"/>
  <c r="BD390" i="3"/>
  <c r="BC390" i="3"/>
  <c r="BD389" i="3"/>
  <c r="BC389" i="3"/>
  <c r="BD388" i="3"/>
  <c r="BC388" i="3"/>
  <c r="BD387" i="3"/>
  <c r="BC387" i="3"/>
  <c r="BD386" i="3"/>
  <c r="BC386" i="3"/>
  <c r="BD385" i="3"/>
  <c r="BC385" i="3"/>
  <c r="BD384" i="3"/>
  <c r="BC384" i="3"/>
  <c r="BD383" i="3"/>
  <c r="BC383" i="3"/>
  <c r="BD382" i="3"/>
  <c r="BC382" i="3"/>
  <c r="BD381" i="3"/>
  <c r="BC381" i="3"/>
  <c r="BD380" i="3"/>
  <c r="BC380" i="3"/>
  <c r="BD379" i="3"/>
  <c r="BC379" i="3"/>
  <c r="BD378" i="3"/>
  <c r="BC378" i="3"/>
  <c r="BD377" i="3"/>
  <c r="BC377" i="3"/>
  <c r="BD376" i="3"/>
  <c r="BC376" i="3"/>
  <c r="BD375" i="3"/>
  <c r="BC375" i="3"/>
  <c r="BD374" i="3"/>
  <c r="BC374" i="3"/>
  <c r="BD373" i="3"/>
  <c r="BC373" i="3"/>
  <c r="BD372" i="3"/>
  <c r="BC372" i="3"/>
  <c r="BD371" i="3"/>
  <c r="BC371" i="3"/>
  <c r="BD370" i="3"/>
  <c r="BC370" i="3"/>
  <c r="BD369" i="3"/>
  <c r="BC369" i="3"/>
  <c r="BD368" i="3"/>
  <c r="BC368" i="3"/>
  <c r="BD367" i="3"/>
  <c r="BC367" i="3"/>
  <c r="BD366" i="3"/>
  <c r="BC366" i="3"/>
  <c r="BD365" i="3"/>
  <c r="BC365" i="3"/>
  <c r="BD364" i="3"/>
  <c r="BC364" i="3"/>
  <c r="BD363" i="3"/>
  <c r="BC363" i="3"/>
  <c r="BD362" i="3"/>
  <c r="BC362" i="3"/>
  <c r="BD361" i="3"/>
  <c r="BC361" i="3"/>
  <c r="BD360" i="3"/>
  <c r="BC360" i="3"/>
  <c r="BD359" i="3"/>
  <c r="BC359" i="3"/>
  <c r="BD358" i="3"/>
  <c r="BC358" i="3"/>
  <c r="BD357" i="3"/>
  <c r="BC357" i="3"/>
  <c r="BD356" i="3"/>
  <c r="BC356" i="3"/>
  <c r="BD355" i="3"/>
  <c r="BC355" i="3"/>
  <c r="BD354" i="3"/>
  <c r="BC354" i="3"/>
  <c r="BD353" i="3"/>
  <c r="BC353" i="3"/>
  <c r="BD352" i="3"/>
  <c r="BC352" i="3"/>
  <c r="BD351" i="3"/>
  <c r="BC351" i="3"/>
  <c r="BD350" i="3"/>
  <c r="BC350" i="3"/>
  <c r="BD349" i="3"/>
  <c r="BC349" i="3"/>
  <c r="BD348" i="3"/>
  <c r="BC348" i="3"/>
  <c r="BD347" i="3"/>
  <c r="BC347" i="3"/>
  <c r="BD346" i="3"/>
  <c r="BC346" i="3"/>
  <c r="BD345" i="3"/>
  <c r="BC345" i="3"/>
  <c r="BD344" i="3"/>
  <c r="BC344" i="3"/>
  <c r="BD343" i="3"/>
  <c r="BC343" i="3"/>
  <c r="BD342" i="3"/>
  <c r="BC342" i="3"/>
  <c r="BD341" i="3"/>
  <c r="BC341" i="3"/>
  <c r="BD340" i="3"/>
  <c r="BC340" i="3"/>
  <c r="BD339" i="3"/>
  <c r="BC339" i="3"/>
  <c r="BD338" i="3"/>
  <c r="BC338" i="3"/>
  <c r="BD337" i="3"/>
  <c r="BC337" i="3"/>
  <c r="BD336" i="3"/>
  <c r="BC336" i="3"/>
  <c r="BD335" i="3"/>
  <c r="BC335" i="3"/>
  <c r="BD334" i="3"/>
  <c r="BC334" i="3"/>
  <c r="BD333" i="3"/>
  <c r="BC333" i="3"/>
  <c r="BD332" i="3"/>
  <c r="BC332" i="3"/>
  <c r="BD331" i="3"/>
  <c r="BC331" i="3"/>
  <c r="BD330" i="3"/>
  <c r="BC330" i="3"/>
  <c r="BD329" i="3"/>
  <c r="BC329" i="3"/>
  <c r="BD328" i="3"/>
  <c r="BC328" i="3"/>
  <c r="BD327" i="3"/>
  <c r="BC327" i="3"/>
  <c r="BD326" i="3"/>
  <c r="BC326" i="3"/>
  <c r="BD325" i="3"/>
  <c r="BC325" i="3"/>
  <c r="BD324" i="3"/>
  <c r="BC324" i="3"/>
  <c r="BD323" i="3"/>
  <c r="BC323" i="3"/>
  <c r="BD322" i="3"/>
  <c r="BC322" i="3"/>
  <c r="BD321" i="3"/>
  <c r="BC321" i="3"/>
  <c r="BD320" i="3"/>
  <c r="BC320" i="3"/>
  <c r="BD319" i="3"/>
  <c r="BC319" i="3"/>
  <c r="BD318" i="3"/>
  <c r="BC318" i="3"/>
  <c r="BD317" i="3"/>
  <c r="BC317" i="3"/>
  <c r="BD316" i="3"/>
  <c r="BC316" i="3"/>
  <c r="BD315" i="3"/>
  <c r="BC315" i="3"/>
  <c r="BD314" i="3"/>
  <c r="BC314" i="3"/>
  <c r="BD313" i="3"/>
  <c r="BC313" i="3"/>
  <c r="BD312" i="3"/>
  <c r="BC312" i="3"/>
  <c r="BD311" i="3"/>
  <c r="BC311" i="3"/>
  <c r="BD310" i="3"/>
  <c r="BC310" i="3"/>
  <c r="BD309" i="3"/>
  <c r="BC309" i="3"/>
  <c r="BD308" i="3"/>
  <c r="BC308" i="3"/>
  <c r="BD307" i="3"/>
  <c r="BC307" i="3"/>
  <c r="BD306" i="3"/>
  <c r="BC306" i="3"/>
  <c r="BD305" i="3"/>
  <c r="BC305" i="3"/>
  <c r="BD304" i="3"/>
  <c r="BC304" i="3"/>
  <c r="BD303" i="3"/>
  <c r="BC303" i="3"/>
  <c r="BD302" i="3"/>
  <c r="BC302" i="3"/>
  <c r="BD301" i="3"/>
  <c r="BC301" i="3"/>
  <c r="BD300" i="3"/>
  <c r="BC300" i="3"/>
  <c r="BD299" i="3"/>
  <c r="BC299" i="3"/>
  <c r="BD298" i="3"/>
  <c r="BC298" i="3"/>
  <c r="BD297" i="3"/>
  <c r="BC297" i="3"/>
  <c r="BD296" i="3"/>
  <c r="BC296" i="3"/>
  <c r="BD295" i="3"/>
  <c r="BC295" i="3"/>
  <c r="BD294" i="3"/>
  <c r="BC294" i="3"/>
  <c r="BD293" i="3"/>
  <c r="BC293" i="3"/>
  <c r="BD292" i="3"/>
  <c r="BC292" i="3"/>
  <c r="BD291" i="3"/>
  <c r="BC291" i="3"/>
  <c r="BD290" i="3"/>
  <c r="BC290" i="3"/>
  <c r="BD289" i="3"/>
  <c r="BC289" i="3"/>
  <c r="BD288" i="3"/>
  <c r="BC288" i="3"/>
  <c r="BD287" i="3"/>
  <c r="BC287" i="3"/>
  <c r="BD286" i="3"/>
  <c r="BC286" i="3"/>
  <c r="BD285" i="3"/>
  <c r="BC285" i="3"/>
  <c r="BD284" i="3"/>
  <c r="BC284" i="3"/>
  <c r="BD283" i="3"/>
  <c r="BC283" i="3"/>
  <c r="BD282" i="3"/>
  <c r="BC282" i="3"/>
  <c r="BD281" i="3"/>
  <c r="BC281" i="3"/>
  <c r="BD280" i="3"/>
  <c r="BC280" i="3"/>
  <c r="BD279" i="3"/>
  <c r="BC279" i="3"/>
  <c r="BD278" i="3"/>
  <c r="BC278" i="3"/>
  <c r="BD277" i="3"/>
  <c r="BC277" i="3"/>
  <c r="BD276" i="3"/>
  <c r="BC276" i="3"/>
  <c r="BD275" i="3"/>
  <c r="BC275" i="3"/>
  <c r="BD274" i="3"/>
  <c r="BC274" i="3"/>
  <c r="BD273" i="3"/>
  <c r="BC273" i="3"/>
  <c r="BD272" i="3"/>
  <c r="BC272" i="3"/>
  <c r="BD271" i="3"/>
  <c r="BC271" i="3"/>
  <c r="BD270" i="3"/>
  <c r="BC270" i="3"/>
  <c r="BD269" i="3"/>
  <c r="BC269" i="3"/>
  <c r="BD268" i="3"/>
  <c r="BC268" i="3"/>
  <c r="BD267" i="3"/>
  <c r="BC267" i="3"/>
  <c r="BD266" i="3"/>
  <c r="BC266" i="3"/>
  <c r="BD265" i="3"/>
  <c r="BC265" i="3"/>
  <c r="BD264" i="3"/>
  <c r="BC264" i="3"/>
  <c r="BD263" i="3"/>
  <c r="BC263" i="3"/>
  <c r="BD262" i="3"/>
  <c r="BC262" i="3"/>
  <c r="BD261" i="3"/>
  <c r="BC261" i="3"/>
  <c r="BD260" i="3"/>
  <c r="BC260" i="3"/>
  <c r="BD259" i="3"/>
  <c r="BC259" i="3"/>
  <c r="BD258" i="3"/>
  <c r="BC258" i="3"/>
  <c r="BD257" i="3"/>
  <c r="BC257" i="3"/>
  <c r="BD256" i="3"/>
  <c r="BC256" i="3"/>
  <c r="BD255" i="3"/>
  <c r="BC255" i="3"/>
  <c r="BD254" i="3"/>
  <c r="BC254" i="3"/>
  <c r="BD253" i="3"/>
  <c r="BC253" i="3"/>
  <c r="BD252" i="3"/>
  <c r="BC252" i="3"/>
  <c r="BD251" i="3"/>
  <c r="BC251" i="3"/>
  <c r="BD250" i="3"/>
  <c r="BC250" i="3"/>
  <c r="BD249" i="3"/>
  <c r="BC249" i="3"/>
  <c r="BD248" i="3"/>
  <c r="BC248" i="3"/>
  <c r="BD247" i="3"/>
  <c r="BC247" i="3"/>
  <c r="BD246" i="3"/>
  <c r="BC246" i="3"/>
  <c r="BD245" i="3"/>
  <c r="BC245" i="3"/>
  <c r="BD244" i="3"/>
  <c r="BC244" i="3"/>
  <c r="BD243" i="3"/>
  <c r="BC243" i="3"/>
  <c r="BD242" i="3"/>
  <c r="BC242" i="3"/>
  <c r="BD241" i="3"/>
  <c r="BC241" i="3"/>
  <c r="BD240" i="3"/>
  <c r="BC240" i="3"/>
  <c r="BD239" i="3"/>
  <c r="BC239" i="3"/>
  <c r="BD238" i="3"/>
  <c r="BC238" i="3"/>
  <c r="BD237" i="3"/>
  <c r="BC237" i="3"/>
  <c r="BD236" i="3"/>
  <c r="BC236" i="3"/>
  <c r="BD235" i="3"/>
  <c r="BC235" i="3"/>
  <c r="BD234" i="3"/>
  <c r="BC234" i="3"/>
  <c r="BD233" i="3"/>
  <c r="BC233" i="3"/>
  <c r="BD232" i="3"/>
  <c r="BC232" i="3"/>
  <c r="BD231" i="3"/>
  <c r="BC231" i="3"/>
  <c r="BD230" i="3"/>
  <c r="BC230" i="3"/>
  <c r="BD229" i="3"/>
  <c r="BC229" i="3"/>
  <c r="BD228" i="3"/>
  <c r="BC228" i="3"/>
  <c r="BD227" i="3"/>
  <c r="BC227" i="3"/>
  <c r="BD226" i="3"/>
  <c r="BC226" i="3"/>
  <c r="BD225" i="3"/>
  <c r="BC225" i="3"/>
  <c r="BD224" i="3"/>
  <c r="BC224" i="3"/>
  <c r="BD223" i="3"/>
  <c r="BC223" i="3"/>
  <c r="BD222" i="3"/>
  <c r="BC222" i="3"/>
  <c r="BD221" i="3"/>
  <c r="BC221" i="3"/>
  <c r="BD220" i="3"/>
  <c r="BC220" i="3"/>
  <c r="BD219" i="3"/>
  <c r="BC219" i="3"/>
  <c r="BD218" i="3"/>
  <c r="BC218" i="3"/>
  <c r="BD217" i="3"/>
  <c r="BC217" i="3"/>
  <c r="BD216" i="3"/>
  <c r="BC216" i="3"/>
  <c r="BD215" i="3"/>
  <c r="BC215" i="3"/>
  <c r="BD214" i="3"/>
  <c r="BC214" i="3"/>
  <c r="BD213" i="3"/>
  <c r="BC213" i="3"/>
  <c r="BD212" i="3"/>
  <c r="BC212" i="3"/>
  <c r="BD211" i="3"/>
  <c r="BC211" i="3"/>
  <c r="BD210" i="3"/>
  <c r="BC210" i="3"/>
  <c r="BD209" i="3"/>
  <c r="BC209" i="3"/>
  <c r="BD208" i="3"/>
  <c r="BC208" i="3"/>
  <c r="BD207" i="3"/>
  <c r="BC207" i="3"/>
  <c r="BD206" i="3"/>
  <c r="BC206" i="3"/>
  <c r="BD205" i="3"/>
  <c r="BC205" i="3"/>
  <c r="BD204" i="3"/>
  <c r="BC204" i="3"/>
  <c r="BD203" i="3"/>
  <c r="BC203" i="3"/>
  <c r="BD202" i="3"/>
  <c r="BC202" i="3"/>
  <c r="BD201" i="3"/>
  <c r="BC201" i="3"/>
  <c r="BD200" i="3"/>
  <c r="BC200" i="3"/>
  <c r="BD199" i="3"/>
  <c r="BC199" i="3"/>
  <c r="BD198" i="3"/>
  <c r="BC198" i="3"/>
  <c r="BD197" i="3"/>
  <c r="BC197" i="3"/>
  <c r="BD196" i="3"/>
  <c r="BC196" i="3"/>
  <c r="BD195" i="3"/>
  <c r="BC195" i="3"/>
  <c r="BD194" i="3"/>
  <c r="BC194" i="3"/>
  <c r="BD193" i="3"/>
  <c r="BC193" i="3"/>
  <c r="BD192" i="3"/>
  <c r="BC192" i="3"/>
  <c r="BD191" i="3"/>
  <c r="BC191" i="3"/>
  <c r="BD190" i="3"/>
  <c r="BC190" i="3"/>
  <c r="BD189" i="3"/>
  <c r="BC189" i="3"/>
  <c r="BD188" i="3"/>
  <c r="BC188" i="3"/>
  <c r="BD187" i="3"/>
  <c r="BC187" i="3"/>
  <c r="BD186" i="3"/>
  <c r="BC186" i="3"/>
  <c r="BD185" i="3"/>
  <c r="BC185" i="3"/>
  <c r="BD184" i="3"/>
  <c r="BC184" i="3"/>
  <c r="BD183" i="3"/>
  <c r="BC183" i="3"/>
  <c r="BD182" i="3"/>
  <c r="BC182" i="3"/>
  <c r="BD181" i="3"/>
  <c r="BC181" i="3"/>
  <c r="BD180" i="3"/>
  <c r="BC180" i="3"/>
  <c r="BD179" i="3"/>
  <c r="BC179" i="3"/>
  <c r="BD178" i="3"/>
  <c r="BC178" i="3"/>
  <c r="BD177" i="3"/>
  <c r="BC177" i="3"/>
  <c r="BD176" i="3"/>
  <c r="BC176" i="3"/>
  <c r="BD175" i="3"/>
  <c r="BC175" i="3"/>
  <c r="BD174" i="3"/>
  <c r="BC174" i="3"/>
  <c r="BD173" i="3"/>
  <c r="BC173" i="3"/>
  <c r="BD172" i="3"/>
  <c r="BC172" i="3"/>
  <c r="BD171" i="3"/>
  <c r="BC171" i="3"/>
  <c r="BD170" i="3"/>
  <c r="BC170" i="3"/>
  <c r="BD169" i="3"/>
  <c r="BC169" i="3"/>
  <c r="BD168" i="3"/>
  <c r="BC168" i="3"/>
  <c r="BD167" i="3"/>
  <c r="BC167" i="3"/>
  <c r="BD166" i="3"/>
  <c r="BC166" i="3"/>
  <c r="BD165" i="3"/>
  <c r="BC165" i="3"/>
  <c r="BD164" i="3"/>
  <c r="BC164" i="3"/>
  <c r="BD163" i="3"/>
  <c r="BC163" i="3"/>
  <c r="BD162" i="3"/>
  <c r="BC162" i="3"/>
  <c r="BD161" i="3"/>
  <c r="BC161" i="3"/>
  <c r="BD160" i="3"/>
  <c r="BC160" i="3"/>
  <c r="BD159" i="3"/>
  <c r="BC159" i="3"/>
  <c r="BD158" i="3"/>
  <c r="BC158" i="3"/>
  <c r="BD157" i="3"/>
  <c r="BC157" i="3"/>
  <c r="BD156" i="3"/>
  <c r="BC156" i="3"/>
  <c r="BD155" i="3"/>
  <c r="BC155" i="3"/>
  <c r="BD154" i="3"/>
  <c r="BC154" i="3"/>
  <c r="BD153" i="3"/>
  <c r="BC153" i="3"/>
  <c r="BD152" i="3"/>
  <c r="BC152" i="3"/>
  <c r="BD151" i="3"/>
  <c r="BC151" i="3"/>
  <c r="BD150" i="3"/>
  <c r="BC150" i="3"/>
  <c r="BD149" i="3"/>
  <c r="BC149" i="3"/>
  <c r="BD148" i="3"/>
  <c r="BC148" i="3"/>
  <c r="BD147" i="3"/>
  <c r="BC147" i="3"/>
  <c r="BD146" i="3"/>
  <c r="BC146" i="3"/>
  <c r="BD145" i="3"/>
  <c r="BC145" i="3"/>
  <c r="BD144" i="3"/>
  <c r="BC144" i="3"/>
  <c r="BD143" i="3"/>
  <c r="BC143" i="3"/>
  <c r="BD142" i="3"/>
  <c r="BC142" i="3"/>
  <c r="BD141" i="3"/>
  <c r="BC141" i="3"/>
  <c r="BD140" i="3"/>
  <c r="BC140" i="3"/>
  <c r="BD139" i="3"/>
  <c r="BC139" i="3"/>
  <c r="BD138" i="3"/>
  <c r="BC138" i="3"/>
  <c r="BD137" i="3"/>
  <c r="BC137" i="3"/>
  <c r="BD136" i="3"/>
  <c r="BC136" i="3"/>
  <c r="BD135" i="3"/>
  <c r="BC135" i="3"/>
  <c r="BD134" i="3"/>
  <c r="BC134" i="3"/>
  <c r="BD133" i="3"/>
  <c r="BC133" i="3"/>
  <c r="BD132" i="3"/>
  <c r="BC132" i="3"/>
  <c r="BD131" i="3"/>
  <c r="BC131" i="3"/>
  <c r="BD130" i="3"/>
  <c r="BC130" i="3"/>
  <c r="BD129" i="3"/>
  <c r="BC129" i="3"/>
  <c r="BD128" i="3"/>
  <c r="BC128" i="3"/>
  <c r="BD127" i="3"/>
  <c r="BC127" i="3"/>
  <c r="BD126" i="3"/>
  <c r="BC126" i="3"/>
  <c r="BD125" i="3"/>
  <c r="BC125" i="3"/>
  <c r="BD124" i="3"/>
  <c r="BC124" i="3"/>
  <c r="BD123" i="3"/>
  <c r="BC123" i="3"/>
  <c r="BD122" i="3"/>
  <c r="BC122" i="3"/>
  <c r="BD121" i="3"/>
  <c r="BC121" i="3"/>
  <c r="BD120" i="3"/>
  <c r="BC120" i="3"/>
  <c r="BD119" i="3"/>
  <c r="BC119" i="3"/>
  <c r="BD118" i="3"/>
  <c r="BC118" i="3"/>
  <c r="BD117" i="3"/>
  <c r="BC117" i="3"/>
  <c r="BD116" i="3"/>
  <c r="BC116" i="3"/>
  <c r="BD115" i="3"/>
  <c r="BC115" i="3"/>
  <c r="BD114" i="3"/>
  <c r="BC114" i="3"/>
  <c r="BD113" i="3"/>
  <c r="BC113" i="3"/>
  <c r="BD112" i="3"/>
  <c r="BC112" i="3"/>
  <c r="BD111" i="3"/>
  <c r="BC111" i="3"/>
  <c r="BD110" i="3"/>
  <c r="BC110" i="3"/>
  <c r="BD109" i="3"/>
  <c r="BC109" i="3"/>
  <c r="BD108" i="3"/>
  <c r="BC108" i="3"/>
  <c r="BD107" i="3"/>
  <c r="BC107" i="3"/>
  <c r="BD106" i="3"/>
  <c r="BC106" i="3"/>
  <c r="BD105" i="3"/>
  <c r="BC105" i="3"/>
  <c r="BD104" i="3"/>
  <c r="BC104" i="3"/>
  <c r="BD103" i="3"/>
  <c r="BC103" i="3"/>
  <c r="BD102" i="3"/>
  <c r="BC102" i="3"/>
  <c r="BD101" i="3"/>
  <c r="BC101" i="3"/>
  <c r="BD100" i="3"/>
  <c r="BC100" i="3"/>
  <c r="BD99" i="3"/>
  <c r="BC99" i="3"/>
  <c r="BD98" i="3"/>
  <c r="BC98" i="3"/>
  <c r="BD97" i="3"/>
  <c r="BC97" i="3"/>
  <c r="BD96" i="3"/>
  <c r="BC96" i="3"/>
  <c r="BD95" i="3"/>
  <c r="BC95" i="3"/>
  <c r="BD94" i="3"/>
  <c r="BC94" i="3"/>
  <c r="BD93" i="3"/>
  <c r="BC93" i="3"/>
  <c r="BD92" i="3"/>
  <c r="BC92" i="3"/>
  <c r="BD91" i="3"/>
  <c r="BC91" i="3"/>
  <c r="BD90" i="3"/>
  <c r="BC90" i="3"/>
  <c r="BD89" i="3"/>
  <c r="BC89" i="3"/>
  <c r="BD88" i="3"/>
  <c r="BC88" i="3"/>
  <c r="BD87" i="3"/>
  <c r="BC87" i="3"/>
  <c r="BD86" i="3"/>
  <c r="BC86" i="3"/>
  <c r="BD85" i="3"/>
  <c r="BC85" i="3"/>
  <c r="BD84" i="3"/>
  <c r="BC84" i="3"/>
  <c r="BD83" i="3"/>
  <c r="BC83" i="3"/>
  <c r="BD82" i="3"/>
  <c r="BC82" i="3"/>
  <c r="BD81" i="3"/>
  <c r="BC81" i="3"/>
  <c r="BD80" i="3"/>
  <c r="BC80" i="3"/>
  <c r="BD79" i="3"/>
  <c r="BC79" i="3"/>
  <c r="BD78" i="3"/>
  <c r="BC78" i="3"/>
  <c r="BD77" i="3"/>
  <c r="BC77" i="3"/>
  <c r="BD76" i="3"/>
  <c r="BC76" i="3"/>
  <c r="BD75" i="3"/>
  <c r="BC75" i="3"/>
  <c r="BD74" i="3"/>
  <c r="BC74" i="3"/>
  <c r="BD73" i="3"/>
  <c r="BC73" i="3"/>
  <c r="BD72" i="3"/>
  <c r="BC72" i="3"/>
  <c r="BD71" i="3"/>
  <c r="BC71" i="3"/>
  <c r="BD70" i="3"/>
  <c r="BC70" i="3"/>
  <c r="BD69" i="3"/>
  <c r="BC69" i="3"/>
  <c r="BD68" i="3"/>
  <c r="BC68" i="3"/>
  <c r="BD67" i="3"/>
  <c r="BC67" i="3"/>
  <c r="BD66" i="3"/>
  <c r="BC66" i="3"/>
  <c r="BD65" i="3"/>
  <c r="BC65" i="3"/>
  <c r="BD64" i="3"/>
  <c r="BC64" i="3"/>
  <c r="BD63" i="3"/>
  <c r="BC63" i="3"/>
  <c r="BD62" i="3"/>
  <c r="BC62" i="3"/>
  <c r="BD61" i="3"/>
  <c r="BC61" i="3"/>
  <c r="BD60" i="3"/>
  <c r="BC60" i="3"/>
  <c r="BD59" i="3"/>
  <c r="BC59" i="3"/>
  <c r="BD58" i="3"/>
  <c r="BC58" i="3"/>
  <c r="BD57" i="3"/>
  <c r="BC57" i="3"/>
  <c r="BD56" i="3"/>
  <c r="BC56" i="3"/>
  <c r="BD55" i="3"/>
  <c r="BC55" i="3"/>
  <c r="BD54" i="3"/>
  <c r="BC54" i="3"/>
  <c r="BD53" i="3"/>
  <c r="BC53" i="3"/>
  <c r="BD52" i="3"/>
  <c r="BC52" i="3"/>
  <c r="BD51" i="3"/>
  <c r="BC51" i="3"/>
  <c r="BD50" i="3"/>
  <c r="BC50" i="3"/>
  <c r="BD49" i="3"/>
  <c r="BC49" i="3"/>
  <c r="BD48" i="3"/>
  <c r="BC48" i="3"/>
  <c r="BD47" i="3"/>
  <c r="BC47" i="3"/>
  <c r="BD46" i="3"/>
  <c r="BC46" i="3"/>
  <c r="BD45" i="3"/>
  <c r="BC45" i="3"/>
  <c r="BD44" i="3"/>
  <c r="BC44" i="3"/>
  <c r="BD43" i="3"/>
  <c r="BC43" i="3"/>
  <c r="BD42" i="3"/>
  <c r="BC42" i="3"/>
  <c r="BD41" i="3"/>
  <c r="BC41" i="3"/>
  <c r="BD40" i="3"/>
  <c r="BC40" i="3"/>
  <c r="BD39" i="3"/>
  <c r="BC39" i="3"/>
  <c r="BD38" i="3"/>
  <c r="BC38" i="3"/>
  <c r="BD37" i="3"/>
  <c r="BC37" i="3"/>
  <c r="BD36" i="3"/>
  <c r="BC36" i="3"/>
  <c r="BD35" i="3"/>
  <c r="BC35" i="3"/>
  <c r="BD34" i="3"/>
  <c r="BC34" i="3"/>
  <c r="BD33" i="3"/>
  <c r="BC33" i="3"/>
  <c r="BD32" i="3"/>
  <c r="BC32" i="3"/>
  <c r="BD31" i="3"/>
  <c r="BC31" i="3"/>
  <c r="BD30" i="3"/>
  <c r="BC30" i="3"/>
  <c r="BD29" i="3"/>
  <c r="BC29" i="3"/>
  <c r="BD28" i="3"/>
  <c r="BC28" i="3"/>
  <c r="BD27" i="3"/>
  <c r="BC27" i="3"/>
  <c r="BD26" i="3"/>
  <c r="BC26" i="3"/>
  <c r="BD25" i="3"/>
  <c r="BC25" i="3"/>
  <c r="BD24" i="3"/>
  <c r="BC24" i="3"/>
  <c r="BD23" i="3"/>
  <c r="BC23" i="3"/>
  <c r="BD22" i="3"/>
  <c r="BC22" i="3"/>
  <c r="BD21" i="3"/>
  <c r="BC21" i="3"/>
  <c r="BD20" i="3"/>
  <c r="BC20" i="3"/>
  <c r="BD19" i="3"/>
  <c r="BC19" i="3"/>
  <c r="BD18" i="3"/>
  <c r="BC18" i="3"/>
  <c r="BD17" i="3"/>
  <c r="BC17" i="3"/>
  <c r="BD16" i="3"/>
  <c r="BC16" i="3"/>
  <c r="BD15" i="3"/>
  <c r="BC15" i="3"/>
  <c r="BD14" i="3"/>
  <c r="BC14" i="3"/>
  <c r="BD13" i="3"/>
  <c r="BC13" i="3"/>
  <c r="BD12" i="3"/>
  <c r="BC12" i="3"/>
  <c r="BD11" i="3"/>
  <c r="BC11" i="3"/>
  <c r="BD10" i="3"/>
  <c r="BC10" i="3"/>
  <c r="BD9" i="3"/>
  <c r="BC9" i="3"/>
  <c r="BD8" i="3"/>
  <c r="BC8" i="3"/>
  <c r="BD7" i="3"/>
  <c r="BC7" i="3"/>
  <c r="BD6" i="3"/>
  <c r="BC6" i="3"/>
  <c r="BD5" i="3"/>
  <c r="BC5" i="3"/>
  <c r="BD4" i="3"/>
  <c r="BC4" i="3"/>
  <c r="BD3" i="3"/>
  <c r="BC3" i="3"/>
  <c r="BD2" i="3"/>
  <c r="BC2" i="3"/>
  <c r="BG745" i="3"/>
  <c r="BF745" i="3"/>
  <c r="BG744" i="3"/>
  <c r="BF744" i="3"/>
  <c r="BG743" i="3"/>
  <c r="BF743" i="3"/>
  <c r="BG742" i="3"/>
  <c r="BF742" i="3"/>
  <c r="BG741" i="3"/>
  <c r="BF741" i="3"/>
  <c r="BG740" i="3"/>
  <c r="BF740" i="3"/>
  <c r="BG739" i="3"/>
  <c r="BF739" i="3"/>
  <c r="BG738" i="3"/>
  <c r="BF738" i="3"/>
  <c r="BG737" i="3"/>
  <c r="BF737" i="3"/>
  <c r="BG736" i="3"/>
  <c r="BF736" i="3"/>
  <c r="BG735" i="3"/>
  <c r="BF735" i="3"/>
  <c r="BG734" i="3"/>
  <c r="BF734" i="3"/>
  <c r="BG733" i="3"/>
  <c r="BF733" i="3"/>
  <c r="BG732" i="3"/>
  <c r="BF732" i="3"/>
  <c r="BG731" i="3"/>
  <c r="BF731" i="3"/>
  <c r="BG730" i="3"/>
  <c r="BF730" i="3"/>
  <c r="BG729" i="3"/>
  <c r="BF729" i="3"/>
  <c r="BG728" i="3"/>
  <c r="BF728" i="3"/>
  <c r="BG727" i="3"/>
  <c r="BF727" i="3"/>
  <c r="BG726" i="3"/>
  <c r="BF726" i="3"/>
  <c r="BG725" i="3"/>
  <c r="BF725" i="3"/>
  <c r="BG724" i="3"/>
  <c r="BF724" i="3"/>
  <c r="BG723" i="3"/>
  <c r="BF723" i="3"/>
  <c r="BG722" i="3"/>
  <c r="BF722" i="3"/>
  <c r="BG721" i="3"/>
  <c r="BF721" i="3"/>
  <c r="BG720" i="3"/>
  <c r="BF720" i="3"/>
  <c r="BG719" i="3"/>
  <c r="BF719" i="3"/>
  <c r="BG718" i="3"/>
  <c r="BF718" i="3"/>
  <c r="BG717" i="3"/>
  <c r="BF717" i="3"/>
  <c r="BG716" i="3"/>
  <c r="BF716" i="3"/>
  <c r="BG715" i="3"/>
  <c r="BF715" i="3"/>
  <c r="BG714" i="3"/>
  <c r="BF714" i="3"/>
  <c r="BG713" i="3"/>
  <c r="BF713" i="3"/>
  <c r="BG712" i="3"/>
  <c r="BF712" i="3"/>
  <c r="BG711" i="3"/>
  <c r="BF711" i="3"/>
  <c r="BG710" i="3"/>
  <c r="BF710" i="3"/>
  <c r="BG709" i="3"/>
  <c r="BF709" i="3"/>
  <c r="BG708" i="3"/>
  <c r="BF708" i="3"/>
  <c r="BG707" i="3"/>
  <c r="BF707" i="3"/>
  <c r="BG706" i="3"/>
  <c r="BF706" i="3"/>
  <c r="BG705" i="3"/>
  <c r="BF705" i="3"/>
  <c r="BG704" i="3"/>
  <c r="BF704" i="3"/>
  <c r="BG703" i="3"/>
  <c r="BF703" i="3"/>
  <c r="BG702" i="3"/>
  <c r="BF702" i="3"/>
  <c r="BG701" i="3"/>
  <c r="BF701" i="3"/>
  <c r="BG700" i="3"/>
  <c r="BF700" i="3"/>
  <c r="BG699" i="3"/>
  <c r="BF699" i="3"/>
  <c r="BG698" i="3"/>
  <c r="BF698" i="3"/>
  <c r="BG697" i="3"/>
  <c r="BF697" i="3"/>
  <c r="BG696" i="3"/>
  <c r="BF696" i="3"/>
  <c r="BG695" i="3"/>
  <c r="BF695" i="3"/>
  <c r="BG694" i="3"/>
  <c r="BF694" i="3"/>
  <c r="BG693" i="3"/>
  <c r="BF693" i="3"/>
  <c r="BG692" i="3"/>
  <c r="BF692" i="3"/>
  <c r="BG691" i="3"/>
  <c r="BF691" i="3"/>
  <c r="BG690" i="3"/>
  <c r="BF690" i="3"/>
  <c r="BG689" i="3"/>
  <c r="BF689" i="3"/>
  <c r="BG688" i="3"/>
  <c r="BF688" i="3"/>
  <c r="BG687" i="3"/>
  <c r="BF687" i="3"/>
  <c r="BG686" i="3"/>
  <c r="BF686" i="3"/>
  <c r="BG685" i="3"/>
  <c r="BF685" i="3"/>
  <c r="BG684" i="3"/>
  <c r="BF684" i="3"/>
  <c r="BG683" i="3"/>
  <c r="BF683" i="3"/>
  <c r="BG682" i="3"/>
  <c r="BF682" i="3"/>
  <c r="BG681" i="3"/>
  <c r="BF681" i="3"/>
  <c r="BG680" i="3"/>
  <c r="BF680" i="3"/>
  <c r="BG679" i="3"/>
  <c r="BF679" i="3"/>
  <c r="BG678" i="3"/>
  <c r="BF678" i="3"/>
  <c r="BG677" i="3"/>
  <c r="BF677" i="3"/>
  <c r="BG676" i="3"/>
  <c r="BF676" i="3"/>
  <c r="BG675" i="3"/>
  <c r="BF675" i="3"/>
  <c r="BG674" i="3"/>
  <c r="BF674" i="3"/>
  <c r="BG673" i="3"/>
  <c r="BF673" i="3"/>
  <c r="BG672" i="3"/>
  <c r="BF672" i="3"/>
  <c r="BG671" i="3"/>
  <c r="BF671" i="3"/>
  <c r="BG670" i="3"/>
  <c r="BF670" i="3"/>
  <c r="BG669" i="3"/>
  <c r="BF669" i="3"/>
  <c r="BG668" i="3"/>
  <c r="BF668" i="3"/>
  <c r="BG667" i="3"/>
  <c r="BF667" i="3"/>
  <c r="BG666" i="3"/>
  <c r="BF666" i="3"/>
  <c r="BG665" i="3"/>
  <c r="BF665" i="3"/>
  <c r="BG664" i="3"/>
  <c r="BF664" i="3"/>
  <c r="BG663" i="3"/>
  <c r="BF663" i="3"/>
  <c r="BG662" i="3"/>
  <c r="BF662" i="3"/>
  <c r="BG661" i="3"/>
  <c r="BF661" i="3"/>
  <c r="BG660" i="3"/>
  <c r="BF660" i="3"/>
  <c r="BG659" i="3"/>
  <c r="BF659" i="3"/>
  <c r="BG658" i="3"/>
  <c r="BF658" i="3"/>
  <c r="BG657" i="3"/>
  <c r="BF657" i="3"/>
  <c r="BG656" i="3"/>
  <c r="BF656" i="3"/>
  <c r="BG655" i="3"/>
  <c r="BF655" i="3"/>
  <c r="BG654" i="3"/>
  <c r="BF654" i="3"/>
  <c r="BG653" i="3"/>
  <c r="BF653" i="3"/>
  <c r="BG652" i="3"/>
  <c r="BF652" i="3"/>
  <c r="BG651" i="3"/>
  <c r="BF651" i="3"/>
  <c r="BG650" i="3"/>
  <c r="BF650" i="3"/>
  <c r="BG649" i="3"/>
  <c r="BF649" i="3"/>
  <c r="BG648" i="3"/>
  <c r="BF648" i="3"/>
  <c r="BG647" i="3"/>
  <c r="BF647" i="3"/>
  <c r="BG646" i="3"/>
  <c r="BF646" i="3"/>
  <c r="BG645" i="3"/>
  <c r="BF645" i="3"/>
  <c r="BG644" i="3"/>
  <c r="BF644" i="3"/>
  <c r="BG643" i="3"/>
  <c r="BF643" i="3"/>
  <c r="BG642" i="3"/>
  <c r="BF642" i="3"/>
  <c r="BG641" i="3"/>
  <c r="BF641" i="3"/>
  <c r="BG640" i="3"/>
  <c r="BF640" i="3"/>
  <c r="BG639" i="3"/>
  <c r="BF639" i="3"/>
  <c r="BG638" i="3"/>
  <c r="BF638" i="3"/>
  <c r="BG637" i="3"/>
  <c r="BF637" i="3"/>
  <c r="BG636" i="3"/>
  <c r="BF636" i="3"/>
  <c r="BG635" i="3"/>
  <c r="BF635" i="3"/>
  <c r="BG634" i="3"/>
  <c r="BF634" i="3"/>
  <c r="BG633" i="3"/>
  <c r="BF633" i="3"/>
  <c r="BG632" i="3"/>
  <c r="BF632" i="3"/>
  <c r="BG631" i="3"/>
  <c r="BF631" i="3"/>
  <c r="BG630" i="3"/>
  <c r="BF630" i="3"/>
  <c r="BG629" i="3"/>
  <c r="BF629" i="3"/>
  <c r="BG628" i="3"/>
  <c r="BF628" i="3"/>
  <c r="BG627" i="3"/>
  <c r="BF627" i="3"/>
  <c r="BG626" i="3"/>
  <c r="BF626" i="3"/>
  <c r="BG625" i="3"/>
  <c r="BF625" i="3"/>
  <c r="BG624" i="3"/>
  <c r="BF624" i="3"/>
  <c r="BG623" i="3"/>
  <c r="BF623" i="3"/>
  <c r="BG622" i="3"/>
  <c r="BF622" i="3"/>
  <c r="BG621" i="3"/>
  <c r="BF621" i="3"/>
  <c r="BG620" i="3"/>
  <c r="BF620" i="3"/>
  <c r="BG619" i="3"/>
  <c r="BF619" i="3"/>
  <c r="BG618" i="3"/>
  <c r="BF618" i="3"/>
  <c r="BG617" i="3"/>
  <c r="BF617" i="3"/>
  <c r="BG616" i="3"/>
  <c r="BF616" i="3"/>
  <c r="BG615" i="3"/>
  <c r="BF615" i="3"/>
  <c r="BG614" i="3"/>
  <c r="BF614" i="3"/>
  <c r="BG613" i="3"/>
  <c r="BF613" i="3"/>
  <c r="BG612" i="3"/>
  <c r="BF612" i="3"/>
  <c r="BG611" i="3"/>
  <c r="BF611" i="3"/>
  <c r="BG610" i="3"/>
  <c r="BF610" i="3"/>
  <c r="BG609" i="3"/>
  <c r="BF609" i="3"/>
  <c r="BG608" i="3"/>
  <c r="BF608" i="3"/>
  <c r="BG607" i="3"/>
  <c r="BF607" i="3"/>
  <c r="BG606" i="3"/>
  <c r="BF606" i="3"/>
  <c r="BG605" i="3"/>
  <c r="BF605" i="3"/>
  <c r="BG604" i="3"/>
  <c r="BF604" i="3"/>
  <c r="BG603" i="3"/>
  <c r="BF603" i="3"/>
  <c r="BG602" i="3"/>
  <c r="BF602" i="3"/>
  <c r="BG601" i="3"/>
  <c r="BF601" i="3"/>
  <c r="BG600" i="3"/>
  <c r="BF600" i="3"/>
  <c r="BG599" i="3"/>
  <c r="BF599" i="3"/>
  <c r="BG598" i="3"/>
  <c r="BF598" i="3"/>
  <c r="BG597" i="3"/>
  <c r="BF597" i="3"/>
  <c r="BG596" i="3"/>
  <c r="BF596" i="3"/>
  <c r="BG595" i="3"/>
  <c r="BF595" i="3"/>
  <c r="BG594" i="3"/>
  <c r="BF594" i="3"/>
  <c r="BG593" i="3"/>
  <c r="BF593" i="3"/>
  <c r="BG592" i="3"/>
  <c r="BF592" i="3"/>
  <c r="BG591" i="3"/>
  <c r="BF591" i="3"/>
  <c r="BG590" i="3"/>
  <c r="BF590" i="3"/>
  <c r="BG589" i="3"/>
  <c r="BF589" i="3"/>
  <c r="BG588" i="3"/>
  <c r="BF588" i="3"/>
  <c r="BG587" i="3"/>
  <c r="BF587" i="3"/>
  <c r="BG586" i="3"/>
  <c r="BF586" i="3"/>
  <c r="BG585" i="3"/>
  <c r="BF585" i="3"/>
  <c r="BG584" i="3"/>
  <c r="BF584" i="3"/>
  <c r="BG583" i="3"/>
  <c r="BF583" i="3"/>
  <c r="BG582" i="3"/>
  <c r="BF582" i="3"/>
  <c r="BG581" i="3"/>
  <c r="BF581" i="3"/>
  <c r="BG580" i="3"/>
  <c r="BF580" i="3"/>
  <c r="BG579" i="3"/>
  <c r="BF579" i="3"/>
  <c r="BG578" i="3"/>
  <c r="BF578" i="3"/>
  <c r="BG577" i="3"/>
  <c r="BF577" i="3"/>
  <c r="BG576" i="3"/>
  <c r="BF576" i="3"/>
  <c r="BG575" i="3"/>
  <c r="BF575" i="3"/>
  <c r="BG574" i="3"/>
  <c r="BF574" i="3"/>
  <c r="BG573" i="3"/>
  <c r="BF573" i="3"/>
  <c r="BG572" i="3"/>
  <c r="BF572" i="3"/>
  <c r="BG571" i="3"/>
  <c r="BF571" i="3"/>
  <c r="BG570" i="3"/>
  <c r="BF570" i="3"/>
  <c r="BG569" i="3"/>
  <c r="BF569" i="3"/>
  <c r="BG568" i="3"/>
  <c r="BF568" i="3"/>
  <c r="BG567" i="3"/>
  <c r="BF567" i="3"/>
  <c r="BG566" i="3"/>
  <c r="BF566" i="3"/>
  <c r="BG565" i="3"/>
  <c r="BF565" i="3"/>
  <c r="BG564" i="3"/>
  <c r="BF564" i="3"/>
  <c r="BG563" i="3"/>
  <c r="BF563" i="3"/>
  <c r="BG562" i="3"/>
  <c r="BF562" i="3"/>
  <c r="BG561" i="3"/>
  <c r="BF561" i="3"/>
  <c r="BG560" i="3"/>
  <c r="BF560" i="3"/>
  <c r="BG559" i="3"/>
  <c r="BF559" i="3"/>
  <c r="BG558" i="3"/>
  <c r="BF558" i="3"/>
  <c r="BG557" i="3"/>
  <c r="BF557" i="3"/>
  <c r="BG556" i="3"/>
  <c r="BF556" i="3"/>
  <c r="BG555" i="3"/>
  <c r="BF555" i="3"/>
  <c r="BG554" i="3"/>
  <c r="BF554" i="3"/>
  <c r="BG553" i="3"/>
  <c r="BF553" i="3"/>
  <c r="BG552" i="3"/>
  <c r="BF552" i="3"/>
  <c r="BG551" i="3"/>
  <c r="BF551" i="3"/>
  <c r="BG550" i="3"/>
  <c r="BF550" i="3"/>
  <c r="BG549" i="3"/>
  <c r="BF549" i="3"/>
  <c r="BG548" i="3"/>
  <c r="BF548" i="3"/>
  <c r="BG547" i="3"/>
  <c r="BF547" i="3"/>
  <c r="BG546" i="3"/>
  <c r="BF546" i="3"/>
  <c r="BG545" i="3"/>
  <c r="BF545" i="3"/>
  <c r="BG544" i="3"/>
  <c r="BF544" i="3"/>
  <c r="BG543" i="3"/>
  <c r="BF543" i="3"/>
  <c r="BG542" i="3"/>
  <c r="BF542" i="3"/>
  <c r="BG541" i="3"/>
  <c r="BF541" i="3"/>
  <c r="BG540" i="3"/>
  <c r="BF540" i="3"/>
  <c r="BG539" i="3"/>
  <c r="BF539" i="3"/>
  <c r="BG538" i="3"/>
  <c r="BF538" i="3"/>
  <c r="BG537" i="3"/>
  <c r="BF537" i="3"/>
  <c r="BG536" i="3"/>
  <c r="BF536" i="3"/>
  <c r="BG535" i="3"/>
  <c r="BF535" i="3"/>
  <c r="BG534" i="3"/>
  <c r="BF534" i="3"/>
  <c r="BG533" i="3"/>
  <c r="BF533" i="3"/>
  <c r="BG532" i="3"/>
  <c r="BF532" i="3"/>
  <c r="BG531" i="3"/>
  <c r="BF531" i="3"/>
  <c r="BG530" i="3"/>
  <c r="BF530" i="3"/>
  <c r="BG529" i="3"/>
  <c r="BF529" i="3"/>
  <c r="BG528" i="3"/>
  <c r="BF528" i="3"/>
  <c r="BG527" i="3"/>
  <c r="BF527" i="3"/>
  <c r="BG526" i="3"/>
  <c r="BF526" i="3"/>
  <c r="BG525" i="3"/>
  <c r="BF525" i="3"/>
  <c r="BG524" i="3"/>
  <c r="BF524" i="3"/>
  <c r="BG523" i="3"/>
  <c r="BF523" i="3"/>
  <c r="BG522" i="3"/>
  <c r="BF522" i="3"/>
  <c r="BG521" i="3"/>
  <c r="BF521" i="3"/>
  <c r="BG520" i="3"/>
  <c r="BF520" i="3"/>
  <c r="BG519" i="3"/>
  <c r="BF519" i="3"/>
  <c r="BG518" i="3"/>
  <c r="BF518" i="3"/>
  <c r="BG517" i="3"/>
  <c r="BF517" i="3"/>
  <c r="BG516" i="3"/>
  <c r="BF516" i="3"/>
  <c r="BG515" i="3"/>
  <c r="BF515" i="3"/>
  <c r="BG514" i="3"/>
  <c r="BF514" i="3"/>
  <c r="BG513" i="3"/>
  <c r="BF513" i="3"/>
  <c r="BG512" i="3"/>
  <c r="BF512" i="3"/>
  <c r="BG511" i="3"/>
  <c r="BF511" i="3"/>
  <c r="BG510" i="3"/>
  <c r="BF510" i="3"/>
  <c r="BG509" i="3"/>
  <c r="BF509" i="3"/>
  <c r="BG508" i="3"/>
  <c r="BF508" i="3"/>
  <c r="BG507" i="3"/>
  <c r="BF507" i="3"/>
  <c r="BG506" i="3"/>
  <c r="BF506" i="3"/>
  <c r="BG505" i="3"/>
  <c r="BF505" i="3"/>
  <c r="BG504" i="3"/>
  <c r="BF504" i="3"/>
  <c r="BG503" i="3"/>
  <c r="BF503" i="3"/>
  <c r="BG502" i="3"/>
  <c r="BF502" i="3"/>
  <c r="BG501" i="3"/>
  <c r="BF501" i="3"/>
  <c r="BG500" i="3"/>
  <c r="BF500" i="3"/>
  <c r="BG499" i="3"/>
  <c r="BF499" i="3"/>
  <c r="BG498" i="3"/>
  <c r="BF498" i="3"/>
  <c r="BG497" i="3"/>
  <c r="BF497" i="3"/>
  <c r="BG496" i="3"/>
  <c r="BF496" i="3"/>
  <c r="BG495" i="3"/>
  <c r="BF495" i="3"/>
  <c r="BG494" i="3"/>
  <c r="BF494" i="3"/>
  <c r="BG493" i="3"/>
  <c r="BF493" i="3"/>
  <c r="BG492" i="3"/>
  <c r="BF492" i="3"/>
  <c r="BG491" i="3"/>
  <c r="BF491" i="3"/>
  <c r="BG490" i="3"/>
  <c r="BF490" i="3"/>
  <c r="BG489" i="3"/>
  <c r="BF489" i="3"/>
  <c r="BG488" i="3"/>
  <c r="BF488" i="3"/>
  <c r="BG487" i="3"/>
  <c r="BF487" i="3"/>
  <c r="BG486" i="3"/>
  <c r="BF486" i="3"/>
  <c r="BG485" i="3"/>
  <c r="BF485" i="3"/>
  <c r="BG484" i="3"/>
  <c r="BF484" i="3"/>
  <c r="BG483" i="3"/>
  <c r="BF483" i="3"/>
  <c r="BG482" i="3"/>
  <c r="BF482" i="3"/>
  <c r="BG481" i="3"/>
  <c r="BF481" i="3"/>
  <c r="BG480" i="3"/>
  <c r="BF480" i="3"/>
  <c r="BG479" i="3"/>
  <c r="BF479" i="3"/>
  <c r="BG478" i="3"/>
  <c r="BF478" i="3"/>
  <c r="BG477" i="3"/>
  <c r="BF477" i="3"/>
  <c r="BG476" i="3"/>
  <c r="BF476" i="3"/>
  <c r="BG475" i="3"/>
  <c r="BF475" i="3"/>
  <c r="BG474" i="3"/>
  <c r="BF474" i="3"/>
  <c r="BG473" i="3"/>
  <c r="BF473" i="3"/>
  <c r="BG472" i="3"/>
  <c r="BF472" i="3"/>
  <c r="BG471" i="3"/>
  <c r="BF471" i="3"/>
  <c r="BG470" i="3"/>
  <c r="BF470" i="3"/>
  <c r="BG469" i="3"/>
  <c r="BF469" i="3"/>
  <c r="BG468" i="3"/>
  <c r="BF468" i="3"/>
  <c r="BG467" i="3"/>
  <c r="BF467" i="3"/>
  <c r="BG466" i="3"/>
  <c r="BF466" i="3"/>
  <c r="BG465" i="3"/>
  <c r="BF465" i="3"/>
  <c r="BG464" i="3"/>
  <c r="BF464" i="3"/>
  <c r="BG463" i="3"/>
  <c r="BF463" i="3"/>
  <c r="BG462" i="3"/>
  <c r="BF462" i="3"/>
  <c r="BG461" i="3"/>
  <c r="BF461" i="3"/>
  <c r="BG460" i="3"/>
  <c r="BF460" i="3"/>
  <c r="BG459" i="3"/>
  <c r="BF459" i="3"/>
  <c r="BG458" i="3"/>
  <c r="BF458" i="3"/>
  <c r="BG457" i="3"/>
  <c r="BF457" i="3"/>
  <c r="BG456" i="3"/>
  <c r="BF456" i="3"/>
  <c r="BG455" i="3"/>
  <c r="BF455" i="3"/>
  <c r="BG454" i="3"/>
  <c r="BF454" i="3"/>
  <c r="BG453" i="3"/>
  <c r="BF453" i="3"/>
  <c r="BG452" i="3"/>
  <c r="BF452" i="3"/>
  <c r="BG451" i="3"/>
  <c r="BF451" i="3"/>
  <c r="BG450" i="3"/>
  <c r="BF450" i="3"/>
  <c r="BG449" i="3"/>
  <c r="BF449" i="3"/>
  <c r="BG448" i="3"/>
  <c r="BF448" i="3"/>
  <c r="BG447" i="3"/>
  <c r="BF447" i="3"/>
  <c r="BG446" i="3"/>
  <c r="BF446" i="3"/>
  <c r="BG445" i="3"/>
  <c r="BF445" i="3"/>
  <c r="BG444" i="3"/>
  <c r="BF444" i="3"/>
  <c r="BG443" i="3"/>
  <c r="BF443" i="3"/>
  <c r="BG442" i="3"/>
  <c r="BF442" i="3"/>
  <c r="BG441" i="3"/>
  <c r="BF441" i="3"/>
  <c r="BG440" i="3"/>
  <c r="BF440" i="3"/>
  <c r="BG439" i="3"/>
  <c r="BF439" i="3"/>
  <c r="BG438" i="3"/>
  <c r="BF438" i="3"/>
  <c r="BG437" i="3"/>
  <c r="BF437" i="3"/>
  <c r="BG436" i="3"/>
  <c r="BF436" i="3"/>
  <c r="BG435" i="3"/>
  <c r="BF435" i="3"/>
  <c r="BG434" i="3"/>
  <c r="BF434" i="3"/>
  <c r="BG433" i="3"/>
  <c r="BF433" i="3"/>
  <c r="BG432" i="3"/>
  <c r="BF432" i="3"/>
  <c r="BG431" i="3"/>
  <c r="BF431" i="3"/>
  <c r="BG430" i="3"/>
  <c r="BF430" i="3"/>
  <c r="BG429" i="3"/>
  <c r="BF429" i="3"/>
  <c r="BG428" i="3"/>
  <c r="BF428" i="3"/>
  <c r="BG427" i="3"/>
  <c r="BF427" i="3"/>
  <c r="BG426" i="3"/>
  <c r="BF426" i="3"/>
  <c r="BG425" i="3"/>
  <c r="BF425" i="3"/>
  <c r="BG424" i="3"/>
  <c r="BF424" i="3"/>
  <c r="BG423" i="3"/>
  <c r="BF423" i="3"/>
  <c r="BG422" i="3"/>
  <c r="BF422" i="3"/>
  <c r="BG421" i="3"/>
  <c r="BF421" i="3"/>
  <c r="BG420" i="3"/>
  <c r="BF420" i="3"/>
  <c r="BG419" i="3"/>
  <c r="BF419" i="3"/>
  <c r="BG418" i="3"/>
  <c r="BF418" i="3"/>
  <c r="BG417" i="3"/>
  <c r="BF417" i="3"/>
  <c r="BG416" i="3"/>
  <c r="BF416" i="3"/>
  <c r="BG415" i="3"/>
  <c r="BF415" i="3"/>
  <c r="BG414" i="3"/>
  <c r="BF414" i="3"/>
  <c r="BG413" i="3"/>
  <c r="BF413" i="3"/>
  <c r="BG412" i="3"/>
  <c r="BF412" i="3"/>
  <c r="BG411" i="3"/>
  <c r="BF411" i="3"/>
  <c r="BG410" i="3"/>
  <c r="BF410" i="3"/>
  <c r="BG409" i="3"/>
  <c r="BF409" i="3"/>
  <c r="BG408" i="3"/>
  <c r="BF408" i="3"/>
  <c r="BG407" i="3"/>
  <c r="BF407" i="3"/>
  <c r="BG406" i="3"/>
  <c r="BF406" i="3"/>
  <c r="BG405" i="3"/>
  <c r="BF405" i="3"/>
  <c r="BG404" i="3"/>
  <c r="BF404" i="3"/>
  <c r="BG403" i="3"/>
  <c r="BF403" i="3"/>
  <c r="BG402" i="3"/>
  <c r="BF402" i="3"/>
  <c r="BG401" i="3"/>
  <c r="BF401" i="3"/>
  <c r="BG400" i="3"/>
  <c r="BF400" i="3"/>
  <c r="BG399" i="3"/>
  <c r="BF399" i="3"/>
  <c r="BG398" i="3"/>
  <c r="BF398" i="3"/>
  <c r="BG397" i="3"/>
  <c r="BF397" i="3"/>
  <c r="BG396" i="3"/>
  <c r="BF396" i="3"/>
  <c r="BG395" i="3"/>
  <c r="BF395" i="3"/>
  <c r="BG394" i="3"/>
  <c r="BF394" i="3"/>
  <c r="BG393" i="3"/>
  <c r="BF393" i="3"/>
  <c r="BG392" i="3"/>
  <c r="BF392" i="3"/>
  <c r="BG391" i="3"/>
  <c r="BF391" i="3"/>
  <c r="BG390" i="3"/>
  <c r="BF390" i="3"/>
  <c r="BG389" i="3"/>
  <c r="BF389" i="3"/>
  <c r="BG388" i="3"/>
  <c r="BF388" i="3"/>
  <c r="BG387" i="3"/>
  <c r="BF387" i="3"/>
  <c r="BG386" i="3"/>
  <c r="BF386" i="3"/>
  <c r="BG385" i="3"/>
  <c r="BF385" i="3"/>
  <c r="BG384" i="3"/>
  <c r="BF384" i="3"/>
  <c r="BG383" i="3"/>
  <c r="BF383" i="3"/>
  <c r="BG382" i="3"/>
  <c r="BF382" i="3"/>
  <c r="BG381" i="3"/>
  <c r="BF381" i="3"/>
  <c r="BG380" i="3"/>
  <c r="BF380" i="3"/>
  <c r="BG379" i="3"/>
  <c r="BF379" i="3"/>
  <c r="BG378" i="3"/>
  <c r="BF378" i="3"/>
  <c r="BG377" i="3"/>
  <c r="BF377" i="3"/>
  <c r="BG376" i="3"/>
  <c r="BF376" i="3"/>
  <c r="BG375" i="3"/>
  <c r="BF375" i="3"/>
  <c r="BG374" i="3"/>
  <c r="BF374" i="3"/>
  <c r="BG373" i="3"/>
  <c r="BF373" i="3"/>
  <c r="BG372" i="3"/>
  <c r="BF372" i="3"/>
  <c r="BG371" i="3"/>
  <c r="BF371" i="3"/>
  <c r="BG370" i="3"/>
  <c r="BF370" i="3"/>
  <c r="BG369" i="3"/>
  <c r="BF369" i="3"/>
  <c r="BG368" i="3"/>
  <c r="BF368" i="3"/>
  <c r="BG367" i="3"/>
  <c r="BF367" i="3"/>
  <c r="BG366" i="3"/>
  <c r="BF366" i="3"/>
  <c r="BG365" i="3"/>
  <c r="BF365" i="3"/>
  <c r="BG364" i="3"/>
  <c r="BF364" i="3"/>
  <c r="BG363" i="3"/>
  <c r="BF363" i="3"/>
  <c r="BG362" i="3"/>
  <c r="BF362" i="3"/>
  <c r="BG361" i="3"/>
  <c r="BF361" i="3"/>
  <c r="BG360" i="3"/>
  <c r="BF360" i="3"/>
  <c r="BG359" i="3"/>
  <c r="BF359" i="3"/>
  <c r="BG358" i="3"/>
  <c r="BF358" i="3"/>
  <c r="BG357" i="3"/>
  <c r="BF357" i="3"/>
  <c r="BG356" i="3"/>
  <c r="BF356" i="3"/>
  <c r="BG355" i="3"/>
  <c r="BF355" i="3"/>
  <c r="BG354" i="3"/>
  <c r="BF354" i="3"/>
  <c r="BG353" i="3"/>
  <c r="BF353" i="3"/>
  <c r="BG352" i="3"/>
  <c r="BF352" i="3"/>
  <c r="BG351" i="3"/>
  <c r="BF351" i="3"/>
  <c r="BG350" i="3"/>
  <c r="BF350" i="3"/>
  <c r="BG349" i="3"/>
  <c r="BF349" i="3"/>
  <c r="BG348" i="3"/>
  <c r="BF348" i="3"/>
  <c r="BG347" i="3"/>
  <c r="BF347" i="3"/>
  <c r="BG346" i="3"/>
  <c r="BF346" i="3"/>
  <c r="BG345" i="3"/>
  <c r="BF345" i="3"/>
  <c r="BG344" i="3"/>
  <c r="BF344" i="3"/>
  <c r="BG343" i="3"/>
  <c r="BF343" i="3"/>
  <c r="BG342" i="3"/>
  <c r="BF342" i="3"/>
  <c r="BG341" i="3"/>
  <c r="BF341" i="3"/>
  <c r="BG340" i="3"/>
  <c r="BF340" i="3"/>
  <c r="BG339" i="3"/>
  <c r="BF339" i="3"/>
  <c r="BG338" i="3"/>
  <c r="BF338" i="3"/>
  <c r="BG337" i="3"/>
  <c r="BF337" i="3"/>
  <c r="BG336" i="3"/>
  <c r="BF336" i="3"/>
  <c r="BG335" i="3"/>
  <c r="BF335" i="3"/>
  <c r="BG334" i="3"/>
  <c r="BF334" i="3"/>
  <c r="BG333" i="3"/>
  <c r="BF333" i="3"/>
  <c r="BG332" i="3"/>
  <c r="BF332" i="3"/>
  <c r="BG331" i="3"/>
  <c r="BF331" i="3"/>
  <c r="BG330" i="3"/>
  <c r="BF330" i="3"/>
  <c r="BG329" i="3"/>
  <c r="BF329" i="3"/>
  <c r="BG328" i="3"/>
  <c r="BF328" i="3"/>
  <c r="BG327" i="3"/>
  <c r="BF327" i="3"/>
  <c r="BG326" i="3"/>
  <c r="BF326" i="3"/>
  <c r="BG325" i="3"/>
  <c r="BF325" i="3"/>
  <c r="BG324" i="3"/>
  <c r="BF324" i="3"/>
  <c r="BG323" i="3"/>
  <c r="BF323" i="3"/>
  <c r="BG322" i="3"/>
  <c r="BF322" i="3"/>
  <c r="BG321" i="3"/>
  <c r="BF321" i="3"/>
  <c r="BG320" i="3"/>
  <c r="BF320" i="3"/>
  <c r="BG319" i="3"/>
  <c r="BF319" i="3"/>
  <c r="BG318" i="3"/>
  <c r="BF318" i="3"/>
  <c r="BG317" i="3"/>
  <c r="BF317" i="3"/>
  <c r="BG316" i="3"/>
  <c r="BF316" i="3"/>
  <c r="BG315" i="3"/>
  <c r="BF315" i="3"/>
  <c r="BG314" i="3"/>
  <c r="BF314" i="3"/>
  <c r="BG313" i="3"/>
  <c r="BF313" i="3"/>
  <c r="BG312" i="3"/>
  <c r="BF312" i="3"/>
  <c r="BG311" i="3"/>
  <c r="BF311" i="3"/>
  <c r="BG310" i="3"/>
  <c r="BF310" i="3"/>
  <c r="BG309" i="3"/>
  <c r="BF309" i="3"/>
  <c r="BG308" i="3"/>
  <c r="BF308" i="3"/>
  <c r="BG307" i="3"/>
  <c r="BF307" i="3"/>
  <c r="BG306" i="3"/>
  <c r="BF306" i="3"/>
  <c r="BG305" i="3"/>
  <c r="BF305" i="3"/>
  <c r="BG304" i="3"/>
  <c r="BF304" i="3"/>
  <c r="BG303" i="3"/>
  <c r="BF303" i="3"/>
  <c r="BG302" i="3"/>
  <c r="BF302" i="3"/>
  <c r="BG301" i="3"/>
  <c r="BF301" i="3"/>
  <c r="BG300" i="3"/>
  <c r="BF300" i="3"/>
  <c r="BG299" i="3"/>
  <c r="BF299" i="3"/>
  <c r="BG298" i="3"/>
  <c r="BF298" i="3"/>
  <c r="BG297" i="3"/>
  <c r="BF297" i="3"/>
  <c r="BG296" i="3"/>
  <c r="BF296" i="3"/>
  <c r="BG295" i="3"/>
  <c r="BF295" i="3"/>
  <c r="BG294" i="3"/>
  <c r="BF294" i="3"/>
  <c r="BG293" i="3"/>
  <c r="BF293" i="3"/>
  <c r="BG292" i="3"/>
  <c r="BF292" i="3"/>
  <c r="BG291" i="3"/>
  <c r="BF291" i="3"/>
  <c r="BG290" i="3"/>
  <c r="BF290" i="3"/>
  <c r="BG289" i="3"/>
  <c r="BF289" i="3"/>
  <c r="BG288" i="3"/>
  <c r="BF288" i="3"/>
  <c r="BG287" i="3"/>
  <c r="BF287" i="3"/>
  <c r="BG286" i="3"/>
  <c r="BF286" i="3"/>
  <c r="BG285" i="3"/>
  <c r="BF285" i="3"/>
  <c r="BG284" i="3"/>
  <c r="BF284" i="3"/>
  <c r="BG283" i="3"/>
  <c r="BF283" i="3"/>
  <c r="BG282" i="3"/>
  <c r="BF282" i="3"/>
  <c r="BG281" i="3"/>
  <c r="BF281" i="3"/>
  <c r="BG280" i="3"/>
  <c r="BF280" i="3"/>
  <c r="BG279" i="3"/>
  <c r="BF279" i="3"/>
  <c r="BG278" i="3"/>
  <c r="BF278" i="3"/>
  <c r="BG277" i="3"/>
  <c r="BF277" i="3"/>
  <c r="BG276" i="3"/>
  <c r="BF276" i="3"/>
  <c r="BG275" i="3"/>
  <c r="BF275" i="3"/>
  <c r="BG274" i="3"/>
  <c r="BF274" i="3"/>
  <c r="BG273" i="3"/>
  <c r="BF273" i="3"/>
  <c r="BG272" i="3"/>
  <c r="BF272" i="3"/>
  <c r="BG271" i="3"/>
  <c r="BF271" i="3"/>
  <c r="BG270" i="3"/>
  <c r="BF270" i="3"/>
  <c r="BG269" i="3"/>
  <c r="BF269" i="3"/>
  <c r="BG268" i="3"/>
  <c r="BF268" i="3"/>
  <c r="BG267" i="3"/>
  <c r="BF267" i="3"/>
  <c r="BG266" i="3"/>
  <c r="BF266" i="3"/>
  <c r="BG265" i="3"/>
  <c r="BF265" i="3"/>
  <c r="BG264" i="3"/>
  <c r="BF264" i="3"/>
  <c r="BG263" i="3"/>
  <c r="BF263" i="3"/>
  <c r="BG262" i="3"/>
  <c r="BF262" i="3"/>
  <c r="BG261" i="3"/>
  <c r="BF261" i="3"/>
  <c r="BG260" i="3"/>
  <c r="BF260" i="3"/>
  <c r="BG259" i="3"/>
  <c r="BF259" i="3"/>
  <c r="BG258" i="3"/>
  <c r="BF258" i="3"/>
  <c r="BG257" i="3"/>
  <c r="BF257" i="3"/>
  <c r="BG256" i="3"/>
  <c r="BF256" i="3"/>
  <c r="BG255" i="3"/>
  <c r="BF255" i="3"/>
  <c r="BG254" i="3"/>
  <c r="BF254" i="3"/>
  <c r="BG253" i="3"/>
  <c r="BF253" i="3"/>
  <c r="BG252" i="3"/>
  <c r="BF252" i="3"/>
  <c r="BG251" i="3"/>
  <c r="BF251" i="3"/>
  <c r="BG250" i="3"/>
  <c r="BF250" i="3"/>
  <c r="BG249" i="3"/>
  <c r="BF249" i="3"/>
  <c r="BG248" i="3"/>
  <c r="BF248" i="3"/>
  <c r="BG247" i="3"/>
  <c r="BF247" i="3"/>
  <c r="BG246" i="3"/>
  <c r="BF246" i="3"/>
  <c r="BG245" i="3"/>
  <c r="BF245" i="3"/>
  <c r="BG244" i="3"/>
  <c r="BF244" i="3"/>
  <c r="BG243" i="3"/>
  <c r="BF243" i="3"/>
  <c r="BG242" i="3"/>
  <c r="BF242" i="3"/>
  <c r="BG241" i="3"/>
  <c r="BF241" i="3"/>
  <c r="BG240" i="3"/>
  <c r="BF240" i="3"/>
  <c r="BG239" i="3"/>
  <c r="BF239" i="3"/>
  <c r="BG238" i="3"/>
  <c r="BF238" i="3"/>
  <c r="BG237" i="3"/>
  <c r="BF237" i="3"/>
  <c r="BG236" i="3"/>
  <c r="BF236" i="3"/>
  <c r="BG235" i="3"/>
  <c r="BF235" i="3"/>
  <c r="BG234" i="3"/>
  <c r="BF234" i="3"/>
  <c r="BG233" i="3"/>
  <c r="BF233" i="3"/>
  <c r="BG232" i="3"/>
  <c r="BF232" i="3"/>
  <c r="BG231" i="3"/>
  <c r="BF231" i="3"/>
  <c r="BG230" i="3"/>
  <c r="BF230" i="3"/>
  <c r="BG229" i="3"/>
  <c r="BF229" i="3"/>
  <c r="BG228" i="3"/>
  <c r="BF228" i="3"/>
  <c r="BG227" i="3"/>
  <c r="BF227" i="3"/>
  <c r="BG226" i="3"/>
  <c r="BF226" i="3"/>
  <c r="BG225" i="3"/>
  <c r="BF225" i="3"/>
  <c r="BG224" i="3"/>
  <c r="BF224" i="3"/>
  <c r="BG223" i="3"/>
  <c r="BF223" i="3"/>
  <c r="BG222" i="3"/>
  <c r="BF222" i="3"/>
  <c r="BG221" i="3"/>
  <c r="BF221" i="3"/>
  <c r="BG220" i="3"/>
  <c r="BF220" i="3"/>
  <c r="BG219" i="3"/>
  <c r="BF219" i="3"/>
  <c r="BG218" i="3"/>
  <c r="BF218" i="3"/>
  <c r="BG217" i="3"/>
  <c r="BF217" i="3"/>
  <c r="BG216" i="3"/>
  <c r="BF216" i="3"/>
  <c r="BG215" i="3"/>
  <c r="BF215" i="3"/>
  <c r="BG214" i="3"/>
  <c r="BF214" i="3"/>
  <c r="BG213" i="3"/>
  <c r="BF213" i="3"/>
  <c r="BG212" i="3"/>
  <c r="BF212" i="3"/>
  <c r="BG211" i="3"/>
  <c r="BF211" i="3"/>
  <c r="BG210" i="3"/>
  <c r="BF210" i="3"/>
  <c r="BG209" i="3"/>
  <c r="BF209" i="3"/>
  <c r="BG208" i="3"/>
  <c r="BF208" i="3"/>
  <c r="BG207" i="3"/>
  <c r="BF207" i="3"/>
  <c r="BG206" i="3"/>
  <c r="BF206" i="3"/>
  <c r="BG205" i="3"/>
  <c r="BF205" i="3"/>
  <c r="BG204" i="3"/>
  <c r="BF204" i="3"/>
  <c r="BG203" i="3"/>
  <c r="BF203" i="3"/>
  <c r="BG202" i="3"/>
  <c r="BF202" i="3"/>
  <c r="BG201" i="3"/>
  <c r="BF201" i="3"/>
  <c r="BG200" i="3"/>
  <c r="BF200" i="3"/>
  <c r="BG199" i="3"/>
  <c r="BF199" i="3"/>
  <c r="BG198" i="3"/>
  <c r="BF198" i="3"/>
  <c r="BG197" i="3"/>
  <c r="BF197" i="3"/>
  <c r="BG196" i="3"/>
  <c r="BF196" i="3"/>
  <c r="BG195" i="3"/>
  <c r="BF195" i="3"/>
  <c r="BG194" i="3"/>
  <c r="BF194" i="3"/>
  <c r="BG193" i="3"/>
  <c r="BF193" i="3"/>
  <c r="BG192" i="3"/>
  <c r="BF192" i="3"/>
  <c r="BG191" i="3"/>
  <c r="BF191" i="3"/>
  <c r="BG190" i="3"/>
  <c r="BF190" i="3"/>
  <c r="BG189" i="3"/>
  <c r="BF189" i="3"/>
  <c r="BG188" i="3"/>
  <c r="BF188" i="3"/>
  <c r="BG187" i="3"/>
  <c r="BF187" i="3"/>
  <c r="BG186" i="3"/>
  <c r="BF186" i="3"/>
  <c r="BG185" i="3"/>
  <c r="BF185" i="3"/>
  <c r="BG184" i="3"/>
  <c r="BF184" i="3"/>
  <c r="BG183" i="3"/>
  <c r="BF183" i="3"/>
  <c r="BG182" i="3"/>
  <c r="BF182" i="3"/>
  <c r="BG181" i="3"/>
  <c r="BF181" i="3"/>
  <c r="BG180" i="3"/>
  <c r="BF180" i="3"/>
  <c r="BG179" i="3"/>
  <c r="BF179" i="3"/>
  <c r="BG178" i="3"/>
  <c r="BF178" i="3"/>
  <c r="BG177" i="3"/>
  <c r="BF177" i="3"/>
  <c r="BG176" i="3"/>
  <c r="BF176" i="3"/>
  <c r="BG175" i="3"/>
  <c r="BF175" i="3"/>
  <c r="BG174" i="3"/>
  <c r="BF174" i="3"/>
  <c r="BG173" i="3"/>
  <c r="BF173" i="3"/>
  <c r="BG172" i="3"/>
  <c r="BF172" i="3"/>
  <c r="BG171" i="3"/>
  <c r="BF171" i="3"/>
  <c r="BG170" i="3"/>
  <c r="BF170" i="3"/>
  <c r="BG169" i="3"/>
  <c r="BF169" i="3"/>
  <c r="BG168" i="3"/>
  <c r="BF168" i="3"/>
  <c r="BG167" i="3"/>
  <c r="BF167" i="3"/>
  <c r="BG166" i="3"/>
  <c r="BF166" i="3"/>
  <c r="BG165" i="3"/>
  <c r="BF165" i="3"/>
  <c r="BG164" i="3"/>
  <c r="BF164" i="3"/>
  <c r="BG163" i="3"/>
  <c r="BF163" i="3"/>
  <c r="BG162" i="3"/>
  <c r="BF162" i="3"/>
  <c r="BG161" i="3"/>
  <c r="BF161" i="3"/>
  <c r="BG160" i="3"/>
  <c r="BF160" i="3"/>
  <c r="BG159" i="3"/>
  <c r="BF159" i="3"/>
  <c r="BG158" i="3"/>
  <c r="BF158" i="3"/>
  <c r="BG157" i="3"/>
  <c r="BF157" i="3"/>
  <c r="BG156" i="3"/>
  <c r="BF156" i="3"/>
  <c r="BG155" i="3"/>
  <c r="BF155" i="3"/>
  <c r="BG154" i="3"/>
  <c r="BF154" i="3"/>
  <c r="BG153" i="3"/>
  <c r="BF153" i="3"/>
  <c r="BG152" i="3"/>
  <c r="BF152" i="3"/>
  <c r="BG151" i="3"/>
  <c r="BF151" i="3"/>
  <c r="BG150" i="3"/>
  <c r="BF150" i="3"/>
  <c r="BG149" i="3"/>
  <c r="BF149" i="3"/>
  <c r="BG148" i="3"/>
  <c r="BF148" i="3"/>
  <c r="BG147" i="3"/>
  <c r="BF147" i="3"/>
  <c r="BG146" i="3"/>
  <c r="BF146" i="3"/>
  <c r="BG145" i="3"/>
  <c r="BF145" i="3"/>
  <c r="BG144" i="3"/>
  <c r="BF144" i="3"/>
  <c r="BG143" i="3"/>
  <c r="BF143" i="3"/>
  <c r="BG142" i="3"/>
  <c r="BF142" i="3"/>
  <c r="BG141" i="3"/>
  <c r="BF141" i="3"/>
  <c r="BG140" i="3"/>
  <c r="BF140" i="3"/>
  <c r="BG139" i="3"/>
  <c r="BF139" i="3"/>
  <c r="BG138" i="3"/>
  <c r="BF138" i="3"/>
  <c r="BG137" i="3"/>
  <c r="BF137" i="3"/>
  <c r="BG136" i="3"/>
  <c r="BF136" i="3"/>
  <c r="BG135" i="3"/>
  <c r="BF135" i="3"/>
  <c r="BG134" i="3"/>
  <c r="BF134" i="3"/>
  <c r="BG133" i="3"/>
  <c r="BF133" i="3"/>
  <c r="BG132" i="3"/>
  <c r="BF132" i="3"/>
  <c r="BG131" i="3"/>
  <c r="BF131" i="3"/>
  <c r="BG130" i="3"/>
  <c r="BF130" i="3"/>
  <c r="BG129" i="3"/>
  <c r="BF129" i="3"/>
  <c r="BG128" i="3"/>
  <c r="BF128" i="3"/>
  <c r="BG127" i="3"/>
  <c r="BF127" i="3"/>
  <c r="BG126" i="3"/>
  <c r="BF126" i="3"/>
  <c r="BG125" i="3"/>
  <c r="BF125" i="3"/>
  <c r="BG124" i="3"/>
  <c r="BF124" i="3"/>
  <c r="BG123" i="3"/>
  <c r="BF123" i="3"/>
  <c r="BG122" i="3"/>
  <c r="BF122" i="3"/>
  <c r="BG121" i="3"/>
  <c r="BF121" i="3"/>
  <c r="BG120" i="3"/>
  <c r="BF120" i="3"/>
  <c r="BG119" i="3"/>
  <c r="BF119" i="3"/>
  <c r="BG118" i="3"/>
  <c r="BF118" i="3"/>
  <c r="BG117" i="3"/>
  <c r="BF117" i="3"/>
  <c r="BG116" i="3"/>
  <c r="BF116" i="3"/>
  <c r="BG115" i="3"/>
  <c r="BF115" i="3"/>
  <c r="BG114" i="3"/>
  <c r="BF114" i="3"/>
  <c r="BG113" i="3"/>
  <c r="BF113" i="3"/>
  <c r="BG112" i="3"/>
  <c r="BF112" i="3"/>
  <c r="BG111" i="3"/>
  <c r="BF111" i="3"/>
  <c r="BG110" i="3"/>
  <c r="BF110" i="3"/>
  <c r="BG109" i="3"/>
  <c r="BF109" i="3"/>
  <c r="BG108" i="3"/>
  <c r="BF108" i="3"/>
  <c r="BG107" i="3"/>
  <c r="BF107" i="3"/>
  <c r="BG106" i="3"/>
  <c r="BF106" i="3"/>
  <c r="BG105" i="3"/>
  <c r="BF105" i="3"/>
  <c r="BG104" i="3"/>
  <c r="BF104" i="3"/>
  <c r="BG103" i="3"/>
  <c r="BF103" i="3"/>
  <c r="BG102" i="3"/>
  <c r="BF102" i="3"/>
  <c r="BG101" i="3"/>
  <c r="BF101" i="3"/>
  <c r="BG100" i="3"/>
  <c r="BF100" i="3"/>
  <c r="BG99" i="3"/>
  <c r="BF99" i="3"/>
  <c r="BG98" i="3"/>
  <c r="BF98" i="3"/>
  <c r="BG97" i="3"/>
  <c r="BF97" i="3"/>
  <c r="BG96" i="3"/>
  <c r="BF96" i="3"/>
  <c r="BG95" i="3"/>
  <c r="BF95" i="3"/>
  <c r="BG94" i="3"/>
  <c r="BF94" i="3"/>
  <c r="BG93" i="3"/>
  <c r="BF93" i="3"/>
  <c r="BG92" i="3"/>
  <c r="BF92" i="3"/>
  <c r="BG91" i="3"/>
  <c r="BF91" i="3"/>
  <c r="BG90" i="3"/>
  <c r="BF90" i="3"/>
  <c r="BG89" i="3"/>
  <c r="BF89" i="3"/>
  <c r="BG88" i="3"/>
  <c r="BF88" i="3"/>
  <c r="BG87" i="3"/>
  <c r="BF87" i="3"/>
  <c r="BG86" i="3"/>
  <c r="BF86" i="3"/>
  <c r="BG85" i="3"/>
  <c r="BF85" i="3"/>
  <c r="BG84" i="3"/>
  <c r="BF84" i="3"/>
  <c r="BG83" i="3"/>
  <c r="BF83" i="3"/>
  <c r="BG82" i="3"/>
  <c r="BF82" i="3"/>
  <c r="BG81" i="3"/>
  <c r="BF81" i="3"/>
  <c r="BG80" i="3"/>
  <c r="BF80" i="3"/>
  <c r="BG79" i="3"/>
  <c r="BF79" i="3"/>
  <c r="BG78" i="3"/>
  <c r="BF78" i="3"/>
  <c r="BG77" i="3"/>
  <c r="BF77" i="3"/>
  <c r="BG76" i="3"/>
  <c r="BF76" i="3"/>
  <c r="BG75" i="3"/>
  <c r="BF75" i="3"/>
  <c r="BG74" i="3"/>
  <c r="BF74" i="3"/>
  <c r="BG73" i="3"/>
  <c r="BF73" i="3"/>
  <c r="BG72" i="3"/>
  <c r="BF72" i="3"/>
  <c r="BG71" i="3"/>
  <c r="BF71" i="3"/>
  <c r="BG70" i="3"/>
  <c r="BF70" i="3"/>
  <c r="BG69" i="3"/>
  <c r="BF69" i="3"/>
  <c r="BG68" i="3"/>
  <c r="BF68" i="3"/>
  <c r="BG67" i="3"/>
  <c r="BF67" i="3"/>
  <c r="BG66" i="3"/>
  <c r="BF66" i="3"/>
  <c r="BG65" i="3"/>
  <c r="BF65" i="3"/>
  <c r="BG64" i="3"/>
  <c r="BF64" i="3"/>
  <c r="BG63" i="3"/>
  <c r="BF63" i="3"/>
  <c r="BG62" i="3"/>
  <c r="BF62" i="3"/>
  <c r="BG61" i="3"/>
  <c r="BF61" i="3"/>
  <c r="BG60" i="3"/>
  <c r="BF60" i="3"/>
  <c r="BG59" i="3"/>
  <c r="BF59" i="3"/>
  <c r="BG58" i="3"/>
  <c r="BF58" i="3"/>
  <c r="BG57" i="3"/>
  <c r="BF57" i="3"/>
  <c r="BG56" i="3"/>
  <c r="BF56" i="3"/>
  <c r="BG55" i="3"/>
  <c r="BF55" i="3"/>
  <c r="BG54" i="3"/>
  <c r="BF54" i="3"/>
  <c r="BG53" i="3"/>
  <c r="BF53" i="3"/>
  <c r="BG52" i="3"/>
  <c r="BF52" i="3"/>
  <c r="BG51" i="3"/>
  <c r="BF51" i="3"/>
  <c r="BG50" i="3"/>
  <c r="BF50" i="3"/>
  <c r="BG49" i="3"/>
  <c r="BF49" i="3"/>
  <c r="BG48" i="3"/>
  <c r="BF48" i="3"/>
  <c r="BG47" i="3"/>
  <c r="BF47" i="3"/>
  <c r="BG46" i="3"/>
  <c r="BF46" i="3"/>
  <c r="BG45" i="3"/>
  <c r="BF45" i="3"/>
  <c r="BG44" i="3"/>
  <c r="BF44" i="3"/>
  <c r="BG43" i="3"/>
  <c r="BF43" i="3"/>
  <c r="BG42" i="3"/>
  <c r="BF42" i="3"/>
  <c r="BG41" i="3"/>
  <c r="BF41" i="3"/>
  <c r="BG40" i="3"/>
  <c r="BF40" i="3"/>
  <c r="BG39" i="3"/>
  <c r="BF39" i="3"/>
  <c r="BG38" i="3"/>
  <c r="BF38" i="3"/>
  <c r="BG37" i="3"/>
  <c r="BF37" i="3"/>
  <c r="BG36" i="3"/>
  <c r="BF36" i="3"/>
  <c r="BG35" i="3"/>
  <c r="BF35" i="3"/>
  <c r="BG34" i="3"/>
  <c r="BF34" i="3"/>
  <c r="BG33" i="3"/>
  <c r="BF33" i="3"/>
  <c r="BG32" i="3"/>
  <c r="BF32" i="3"/>
  <c r="BG31" i="3"/>
  <c r="BF31" i="3"/>
  <c r="BG30" i="3"/>
  <c r="BF30" i="3"/>
  <c r="BG29" i="3"/>
  <c r="BF29" i="3"/>
  <c r="BG28" i="3"/>
  <c r="BF28" i="3"/>
  <c r="BG27" i="3"/>
  <c r="BF27" i="3"/>
  <c r="BG26" i="3"/>
  <c r="BF26" i="3"/>
  <c r="BG25" i="3"/>
  <c r="BF25" i="3"/>
  <c r="BG24" i="3"/>
  <c r="BF24" i="3"/>
  <c r="BG23" i="3"/>
  <c r="BF23" i="3"/>
  <c r="BG22" i="3"/>
  <c r="BF22" i="3"/>
  <c r="BG21" i="3"/>
  <c r="BF21" i="3"/>
  <c r="BG20" i="3"/>
  <c r="BF20" i="3"/>
  <c r="BG19" i="3"/>
  <c r="BF19" i="3"/>
  <c r="BG18" i="3"/>
  <c r="BF18" i="3"/>
  <c r="BG17" i="3"/>
  <c r="BF17" i="3"/>
  <c r="BG16" i="3"/>
  <c r="BF16" i="3"/>
  <c r="BG15" i="3"/>
  <c r="BF15" i="3"/>
  <c r="BG14" i="3"/>
  <c r="BF14" i="3"/>
  <c r="BG13" i="3"/>
  <c r="BF13" i="3"/>
  <c r="BG12" i="3"/>
  <c r="BF12" i="3"/>
  <c r="BG11" i="3"/>
  <c r="BF11" i="3"/>
  <c r="BG10" i="3"/>
  <c r="BF10" i="3"/>
  <c r="BG9" i="3"/>
  <c r="BF9" i="3"/>
  <c r="BG8" i="3"/>
  <c r="BF8" i="3"/>
  <c r="BG7" i="3"/>
  <c r="BF7" i="3"/>
  <c r="BG6" i="3"/>
  <c r="BF6" i="3"/>
  <c r="BG5" i="3"/>
  <c r="BF5" i="3"/>
  <c r="BG4" i="3"/>
  <c r="BF4" i="3"/>
  <c r="BG3" i="3"/>
  <c r="BF3" i="3"/>
  <c r="BG2" i="3"/>
  <c r="BF2" i="3"/>
  <c r="BJ745" i="3"/>
  <c r="BI745" i="3"/>
  <c r="BJ744" i="3"/>
  <c r="BI744" i="3"/>
  <c r="BJ743" i="3"/>
  <c r="BI743" i="3"/>
  <c r="BJ742" i="3"/>
  <c r="BI742" i="3"/>
  <c r="BJ741" i="3"/>
  <c r="BI741" i="3"/>
  <c r="BJ740" i="3"/>
  <c r="BI740" i="3"/>
  <c r="BJ739" i="3"/>
  <c r="BI739" i="3"/>
  <c r="BJ738" i="3"/>
  <c r="BI738" i="3"/>
  <c r="BJ737" i="3"/>
  <c r="BI737" i="3"/>
  <c r="BJ736" i="3"/>
  <c r="BI736" i="3"/>
  <c r="BJ735" i="3"/>
  <c r="BI735" i="3"/>
  <c r="BJ734" i="3"/>
  <c r="BI734" i="3"/>
  <c r="BJ733" i="3"/>
  <c r="BI733" i="3"/>
  <c r="BJ732" i="3"/>
  <c r="BI732" i="3"/>
  <c r="BJ731" i="3"/>
  <c r="BI731" i="3"/>
  <c r="BJ730" i="3"/>
  <c r="BI730" i="3"/>
  <c r="BJ729" i="3"/>
  <c r="BI729" i="3"/>
  <c r="BJ728" i="3"/>
  <c r="BI728" i="3"/>
  <c r="BJ727" i="3"/>
  <c r="BI727" i="3"/>
  <c r="BJ726" i="3"/>
  <c r="BI726" i="3"/>
  <c r="BJ725" i="3"/>
  <c r="BI725" i="3"/>
  <c r="BJ724" i="3"/>
  <c r="BI724" i="3"/>
  <c r="BJ723" i="3"/>
  <c r="BI723" i="3"/>
  <c r="BJ722" i="3"/>
  <c r="BI722" i="3"/>
  <c r="BJ721" i="3"/>
  <c r="BI721" i="3"/>
  <c r="BJ720" i="3"/>
  <c r="BI720" i="3"/>
  <c r="BJ719" i="3"/>
  <c r="BI719" i="3"/>
  <c r="BJ718" i="3"/>
  <c r="BI718" i="3"/>
  <c r="BJ717" i="3"/>
  <c r="BI717" i="3"/>
  <c r="BJ716" i="3"/>
  <c r="BI716" i="3"/>
  <c r="BJ715" i="3"/>
  <c r="BI715" i="3"/>
  <c r="BJ714" i="3"/>
  <c r="BI714" i="3"/>
  <c r="BJ713" i="3"/>
  <c r="BI713" i="3"/>
  <c r="BJ712" i="3"/>
  <c r="BI712" i="3"/>
  <c r="BJ711" i="3"/>
  <c r="BI711" i="3"/>
  <c r="BJ710" i="3"/>
  <c r="BI710" i="3"/>
  <c r="BJ709" i="3"/>
  <c r="BI709" i="3"/>
  <c r="BJ708" i="3"/>
  <c r="BI708" i="3"/>
  <c r="BJ707" i="3"/>
  <c r="BI707" i="3"/>
  <c r="BJ706" i="3"/>
  <c r="BI706" i="3"/>
  <c r="BJ705" i="3"/>
  <c r="BI705" i="3"/>
  <c r="BJ704" i="3"/>
  <c r="BI704" i="3"/>
  <c r="BJ703" i="3"/>
  <c r="BI703" i="3"/>
  <c r="BJ702" i="3"/>
  <c r="BI702" i="3"/>
  <c r="BJ701" i="3"/>
  <c r="BI701" i="3"/>
  <c r="BJ700" i="3"/>
  <c r="BI700" i="3"/>
  <c r="BJ699" i="3"/>
  <c r="BI699" i="3"/>
  <c r="BJ698" i="3"/>
  <c r="BI698" i="3"/>
  <c r="BJ697" i="3"/>
  <c r="BI697" i="3"/>
  <c r="BJ696" i="3"/>
  <c r="BI696" i="3"/>
  <c r="BJ695" i="3"/>
  <c r="BI695" i="3"/>
  <c r="BJ694" i="3"/>
  <c r="BI694" i="3"/>
  <c r="BJ693" i="3"/>
  <c r="BI693" i="3"/>
  <c r="BJ692" i="3"/>
  <c r="BI692" i="3"/>
  <c r="BJ691" i="3"/>
  <c r="BI691" i="3"/>
  <c r="BJ690" i="3"/>
  <c r="BI690" i="3"/>
  <c r="BJ689" i="3"/>
  <c r="BI689" i="3"/>
  <c r="BJ688" i="3"/>
  <c r="BI688" i="3"/>
  <c r="BJ687" i="3"/>
  <c r="BI687" i="3"/>
  <c r="BJ686" i="3"/>
  <c r="BI686" i="3"/>
  <c r="BJ685" i="3"/>
  <c r="BI685" i="3"/>
  <c r="BJ684" i="3"/>
  <c r="BI684" i="3"/>
  <c r="BJ683" i="3"/>
  <c r="BI683" i="3"/>
  <c r="BJ682" i="3"/>
  <c r="BI682" i="3"/>
  <c r="BJ681" i="3"/>
  <c r="BI681" i="3"/>
  <c r="BJ680" i="3"/>
  <c r="BI680" i="3"/>
  <c r="BJ679" i="3"/>
  <c r="BI679" i="3"/>
  <c r="BJ678" i="3"/>
  <c r="BI678" i="3"/>
  <c r="BJ677" i="3"/>
  <c r="BI677" i="3"/>
  <c r="BJ676" i="3"/>
  <c r="BI676" i="3"/>
  <c r="BJ675" i="3"/>
  <c r="BI675" i="3"/>
  <c r="BJ674" i="3"/>
  <c r="BI674" i="3"/>
  <c r="BJ673" i="3"/>
  <c r="BI673" i="3"/>
  <c r="BJ672" i="3"/>
  <c r="BI672" i="3"/>
  <c r="BJ671" i="3"/>
  <c r="BI671" i="3"/>
  <c r="BJ670" i="3"/>
  <c r="BI670" i="3"/>
  <c r="BJ669" i="3"/>
  <c r="BI669" i="3"/>
  <c r="BJ668" i="3"/>
  <c r="BI668" i="3"/>
  <c r="BJ667" i="3"/>
  <c r="BI667" i="3"/>
  <c r="BJ666" i="3"/>
  <c r="BI666" i="3"/>
  <c r="BJ665" i="3"/>
  <c r="BI665" i="3"/>
  <c r="BJ664" i="3"/>
  <c r="BI664" i="3"/>
  <c r="BJ663" i="3"/>
  <c r="BI663" i="3"/>
  <c r="BJ662" i="3"/>
  <c r="BI662" i="3"/>
  <c r="BJ661" i="3"/>
  <c r="BI661" i="3"/>
  <c r="BJ660" i="3"/>
  <c r="BI660" i="3"/>
  <c r="BJ659" i="3"/>
  <c r="BI659" i="3"/>
  <c r="BJ658" i="3"/>
  <c r="BI658" i="3"/>
  <c r="BJ657" i="3"/>
  <c r="BI657" i="3"/>
  <c r="BJ656" i="3"/>
  <c r="BI656" i="3"/>
  <c r="BJ655" i="3"/>
  <c r="BI655" i="3"/>
  <c r="BJ654" i="3"/>
  <c r="BI654" i="3"/>
  <c r="BJ653" i="3"/>
  <c r="BI653" i="3"/>
  <c r="BJ652" i="3"/>
  <c r="BI652" i="3"/>
  <c r="BJ651" i="3"/>
  <c r="BI651" i="3"/>
  <c r="BJ650" i="3"/>
  <c r="BI650" i="3"/>
  <c r="BJ649" i="3"/>
  <c r="BI649" i="3"/>
  <c r="BJ648" i="3"/>
  <c r="BI648" i="3"/>
  <c r="BJ647" i="3"/>
  <c r="BI647" i="3"/>
  <c r="BJ646" i="3"/>
  <c r="BI646" i="3"/>
  <c r="BJ645" i="3"/>
  <c r="BI645" i="3"/>
  <c r="BJ644" i="3"/>
  <c r="BI644" i="3"/>
  <c r="BJ643" i="3"/>
  <c r="BI643" i="3"/>
  <c r="BJ642" i="3"/>
  <c r="BI642" i="3"/>
  <c r="BJ641" i="3"/>
  <c r="BI641" i="3"/>
  <c r="BJ640" i="3"/>
  <c r="BI640" i="3"/>
  <c r="BJ639" i="3"/>
  <c r="BI639" i="3"/>
  <c r="BJ638" i="3"/>
  <c r="BI638" i="3"/>
  <c r="BJ637" i="3"/>
  <c r="BI637" i="3"/>
  <c r="BJ636" i="3"/>
  <c r="BI636" i="3"/>
  <c r="BJ635" i="3"/>
  <c r="BI635" i="3"/>
  <c r="BJ634" i="3"/>
  <c r="BI634" i="3"/>
  <c r="BJ633" i="3"/>
  <c r="BI633" i="3"/>
  <c r="BJ632" i="3"/>
  <c r="BI632" i="3"/>
  <c r="BJ631" i="3"/>
  <c r="BI631" i="3"/>
  <c r="BJ630" i="3"/>
  <c r="BI630" i="3"/>
  <c r="BJ629" i="3"/>
  <c r="BI629" i="3"/>
  <c r="BJ628" i="3"/>
  <c r="BI628" i="3"/>
  <c r="BJ627" i="3"/>
  <c r="BI627" i="3"/>
  <c r="BJ626" i="3"/>
  <c r="BI626" i="3"/>
  <c r="BJ625" i="3"/>
  <c r="BI625" i="3"/>
  <c r="BJ624" i="3"/>
  <c r="BI624" i="3"/>
  <c r="BJ623" i="3"/>
  <c r="BI623" i="3"/>
  <c r="BJ622" i="3"/>
  <c r="BI622" i="3"/>
  <c r="BJ621" i="3"/>
  <c r="BI621" i="3"/>
  <c r="BJ620" i="3"/>
  <c r="BI620" i="3"/>
  <c r="BJ619" i="3"/>
  <c r="BI619" i="3"/>
  <c r="BJ618" i="3"/>
  <c r="BI618" i="3"/>
  <c r="BJ617" i="3"/>
  <c r="BI617" i="3"/>
  <c r="BJ616" i="3"/>
  <c r="BI616" i="3"/>
  <c r="BJ615" i="3"/>
  <c r="BI615" i="3"/>
  <c r="BJ614" i="3"/>
  <c r="BI614" i="3"/>
  <c r="BJ613" i="3"/>
  <c r="BI613" i="3"/>
  <c r="BJ612" i="3"/>
  <c r="BI612" i="3"/>
  <c r="BJ611" i="3"/>
  <c r="BI611" i="3"/>
  <c r="BJ610" i="3"/>
  <c r="BI610" i="3"/>
  <c r="BJ609" i="3"/>
  <c r="BI609" i="3"/>
  <c r="BJ608" i="3"/>
  <c r="BI608" i="3"/>
  <c r="BJ607" i="3"/>
  <c r="BI607" i="3"/>
  <c r="BJ606" i="3"/>
  <c r="BI606" i="3"/>
  <c r="BJ605" i="3"/>
  <c r="BI605" i="3"/>
  <c r="BJ604" i="3"/>
  <c r="BI604" i="3"/>
  <c r="BJ603" i="3"/>
  <c r="BI603" i="3"/>
  <c r="BJ602" i="3"/>
  <c r="BI602" i="3"/>
  <c r="BJ601" i="3"/>
  <c r="BI601" i="3"/>
  <c r="BJ600" i="3"/>
  <c r="BI600" i="3"/>
  <c r="BJ599" i="3"/>
  <c r="BI599" i="3"/>
  <c r="BJ598" i="3"/>
  <c r="BI598" i="3"/>
  <c r="BJ597" i="3"/>
  <c r="BI597" i="3"/>
  <c r="BJ596" i="3"/>
  <c r="BI596" i="3"/>
  <c r="BJ595" i="3"/>
  <c r="BI595" i="3"/>
  <c r="BJ594" i="3"/>
  <c r="BI594" i="3"/>
  <c r="BJ593" i="3"/>
  <c r="BI593" i="3"/>
  <c r="BJ592" i="3"/>
  <c r="BI592" i="3"/>
  <c r="BJ591" i="3"/>
  <c r="BI591" i="3"/>
  <c r="BJ590" i="3"/>
  <c r="BI590" i="3"/>
  <c r="BJ589" i="3"/>
  <c r="BI589" i="3"/>
  <c r="BJ588" i="3"/>
  <c r="BI588" i="3"/>
  <c r="BJ587" i="3"/>
  <c r="BI587" i="3"/>
  <c r="BJ586" i="3"/>
  <c r="BI586" i="3"/>
  <c r="BJ585" i="3"/>
  <c r="BI585" i="3"/>
  <c r="BJ584" i="3"/>
  <c r="BI584" i="3"/>
  <c r="BJ583" i="3"/>
  <c r="BI583" i="3"/>
  <c r="BJ582" i="3"/>
  <c r="BI582" i="3"/>
  <c r="BJ581" i="3"/>
  <c r="BI581" i="3"/>
  <c r="BJ580" i="3"/>
  <c r="BI580" i="3"/>
  <c r="BJ579" i="3"/>
  <c r="BI579" i="3"/>
  <c r="BJ578" i="3"/>
  <c r="BI578" i="3"/>
  <c r="BJ577" i="3"/>
  <c r="BI577" i="3"/>
  <c r="BJ576" i="3"/>
  <c r="BI576" i="3"/>
  <c r="BJ575" i="3"/>
  <c r="BI575" i="3"/>
  <c r="BJ574" i="3"/>
  <c r="BI574" i="3"/>
  <c r="BJ573" i="3"/>
  <c r="BI573" i="3"/>
  <c r="BJ572" i="3"/>
  <c r="BI572" i="3"/>
  <c r="BJ571" i="3"/>
  <c r="BI571" i="3"/>
  <c r="BJ570" i="3"/>
  <c r="BI570" i="3"/>
  <c r="BJ569" i="3"/>
  <c r="BI569" i="3"/>
  <c r="BJ568" i="3"/>
  <c r="BI568" i="3"/>
  <c r="BJ567" i="3"/>
  <c r="BI567" i="3"/>
  <c r="BJ566" i="3"/>
  <c r="BI566" i="3"/>
  <c r="BJ565" i="3"/>
  <c r="BI565" i="3"/>
  <c r="BJ564" i="3"/>
  <c r="BI564" i="3"/>
  <c r="BJ563" i="3"/>
  <c r="BI563" i="3"/>
  <c r="BJ562" i="3"/>
  <c r="BI562" i="3"/>
  <c r="BJ561" i="3"/>
  <c r="BI561" i="3"/>
  <c r="BJ560" i="3"/>
  <c r="BI560" i="3"/>
  <c r="BJ559" i="3"/>
  <c r="BI559" i="3"/>
  <c r="BJ558" i="3"/>
  <c r="BI558" i="3"/>
  <c r="BJ557" i="3"/>
  <c r="BI557" i="3"/>
  <c r="BJ556" i="3"/>
  <c r="BI556" i="3"/>
  <c r="BJ555" i="3"/>
  <c r="BI555" i="3"/>
  <c r="BJ554" i="3"/>
  <c r="BI554" i="3"/>
  <c r="BJ553" i="3"/>
  <c r="BI553" i="3"/>
  <c r="BJ552" i="3"/>
  <c r="BI552" i="3"/>
  <c r="BJ551" i="3"/>
  <c r="BI551" i="3"/>
  <c r="BJ550" i="3"/>
  <c r="BI550" i="3"/>
  <c r="BJ549" i="3"/>
  <c r="BI549" i="3"/>
  <c r="BJ548" i="3"/>
  <c r="BI548" i="3"/>
  <c r="BJ547" i="3"/>
  <c r="BI547" i="3"/>
  <c r="BJ546" i="3"/>
  <c r="BI546" i="3"/>
  <c r="BJ545" i="3"/>
  <c r="BI545" i="3"/>
  <c r="BJ544" i="3"/>
  <c r="BI544" i="3"/>
  <c r="BJ543" i="3"/>
  <c r="BI543" i="3"/>
  <c r="BJ542" i="3"/>
  <c r="BI542" i="3"/>
  <c r="BJ541" i="3"/>
  <c r="BI541" i="3"/>
  <c r="BJ540" i="3"/>
  <c r="BI540" i="3"/>
  <c r="BJ539" i="3"/>
  <c r="BI539" i="3"/>
  <c r="BJ538" i="3"/>
  <c r="BI538" i="3"/>
  <c r="BJ537" i="3"/>
  <c r="BI537" i="3"/>
  <c r="BJ536" i="3"/>
  <c r="BI536" i="3"/>
  <c r="BJ535" i="3"/>
  <c r="BI535" i="3"/>
  <c r="BJ534" i="3"/>
  <c r="BI534" i="3"/>
  <c r="BJ533" i="3"/>
  <c r="BI533" i="3"/>
  <c r="BJ532" i="3"/>
  <c r="BI532" i="3"/>
  <c r="BJ531" i="3"/>
  <c r="BI531" i="3"/>
  <c r="BJ530" i="3"/>
  <c r="BI530" i="3"/>
  <c r="BJ529" i="3"/>
  <c r="BI529" i="3"/>
  <c r="BJ528" i="3"/>
  <c r="BI528" i="3"/>
  <c r="BJ527" i="3"/>
  <c r="BI527" i="3"/>
  <c r="BJ526" i="3"/>
  <c r="BI526" i="3"/>
  <c r="BJ525" i="3"/>
  <c r="BI525" i="3"/>
  <c r="BJ524" i="3"/>
  <c r="BI524" i="3"/>
  <c r="BJ523" i="3"/>
  <c r="BI523" i="3"/>
  <c r="BJ522" i="3"/>
  <c r="BI522" i="3"/>
  <c r="BJ521" i="3"/>
  <c r="BI521" i="3"/>
  <c r="BJ520" i="3"/>
  <c r="BI520" i="3"/>
  <c r="BJ519" i="3"/>
  <c r="BI519" i="3"/>
  <c r="BJ518" i="3"/>
  <c r="BI518" i="3"/>
  <c r="BJ517" i="3"/>
  <c r="BI517" i="3"/>
  <c r="BJ516" i="3"/>
  <c r="BI516" i="3"/>
  <c r="BJ515" i="3"/>
  <c r="BI515" i="3"/>
  <c r="BJ514" i="3"/>
  <c r="BI514" i="3"/>
  <c r="BJ513" i="3"/>
  <c r="BI513" i="3"/>
  <c r="BJ512" i="3"/>
  <c r="BI512" i="3"/>
  <c r="BJ511" i="3"/>
  <c r="BI511" i="3"/>
  <c r="BJ510" i="3"/>
  <c r="BI510" i="3"/>
  <c r="BJ509" i="3"/>
  <c r="BI509" i="3"/>
  <c r="BJ508" i="3"/>
  <c r="BI508" i="3"/>
  <c r="BJ507" i="3"/>
  <c r="BI507" i="3"/>
  <c r="BJ506" i="3"/>
  <c r="BI506" i="3"/>
  <c r="BJ505" i="3"/>
  <c r="BI505" i="3"/>
  <c r="BJ504" i="3"/>
  <c r="BI504" i="3"/>
  <c r="BJ503" i="3"/>
  <c r="BI503" i="3"/>
  <c r="BJ502" i="3"/>
  <c r="BI502" i="3"/>
  <c r="BJ501" i="3"/>
  <c r="BI501" i="3"/>
  <c r="BJ500" i="3"/>
  <c r="BI500" i="3"/>
  <c r="BJ499" i="3"/>
  <c r="BI499" i="3"/>
  <c r="BJ498" i="3"/>
  <c r="BI498" i="3"/>
  <c r="BJ497" i="3"/>
  <c r="BI497" i="3"/>
  <c r="BJ496" i="3"/>
  <c r="BI496" i="3"/>
  <c r="BJ495" i="3"/>
  <c r="BI495" i="3"/>
  <c r="BJ494" i="3"/>
  <c r="BI494" i="3"/>
  <c r="BJ493" i="3"/>
  <c r="BI493" i="3"/>
  <c r="BJ492" i="3"/>
  <c r="BI492" i="3"/>
  <c r="BJ491" i="3"/>
  <c r="BI491" i="3"/>
  <c r="BJ490" i="3"/>
  <c r="BI490" i="3"/>
  <c r="BJ489" i="3"/>
  <c r="BI489" i="3"/>
  <c r="BJ488" i="3"/>
  <c r="BI488" i="3"/>
  <c r="BJ487" i="3"/>
  <c r="BI487" i="3"/>
  <c r="BJ486" i="3"/>
  <c r="BI486" i="3"/>
  <c r="BJ485" i="3"/>
  <c r="BI485" i="3"/>
  <c r="BJ484" i="3"/>
  <c r="BI484" i="3"/>
  <c r="BJ483" i="3"/>
  <c r="BI483" i="3"/>
  <c r="BJ482" i="3"/>
  <c r="BI482" i="3"/>
  <c r="BJ481" i="3"/>
  <c r="BI481" i="3"/>
  <c r="BJ480" i="3"/>
  <c r="BI480" i="3"/>
  <c r="BJ479" i="3"/>
  <c r="BI479" i="3"/>
  <c r="BJ478" i="3"/>
  <c r="BI478" i="3"/>
  <c r="BJ477" i="3"/>
  <c r="BI477" i="3"/>
  <c r="BJ476" i="3"/>
  <c r="BI476" i="3"/>
  <c r="BJ475" i="3"/>
  <c r="BI475" i="3"/>
  <c r="BJ474" i="3"/>
  <c r="BI474" i="3"/>
  <c r="BJ473" i="3"/>
  <c r="BI473" i="3"/>
  <c r="BJ472" i="3"/>
  <c r="BI472" i="3"/>
  <c r="BJ471" i="3"/>
  <c r="BI471" i="3"/>
  <c r="BJ470" i="3"/>
  <c r="BI470" i="3"/>
  <c r="BJ469" i="3"/>
  <c r="BI469" i="3"/>
  <c r="BJ468" i="3"/>
  <c r="BI468" i="3"/>
  <c r="BJ467" i="3"/>
  <c r="BI467" i="3"/>
  <c r="BJ466" i="3"/>
  <c r="BI466" i="3"/>
  <c r="BJ465" i="3"/>
  <c r="BI465" i="3"/>
  <c r="BJ464" i="3"/>
  <c r="BI464" i="3"/>
  <c r="BJ463" i="3"/>
  <c r="BI463" i="3"/>
  <c r="BJ462" i="3"/>
  <c r="BI462" i="3"/>
  <c r="BJ461" i="3"/>
  <c r="BI461" i="3"/>
  <c r="BJ460" i="3"/>
  <c r="BI460" i="3"/>
  <c r="BJ459" i="3"/>
  <c r="BI459" i="3"/>
  <c r="BJ458" i="3"/>
  <c r="BI458" i="3"/>
  <c r="BJ457" i="3"/>
  <c r="BI457" i="3"/>
  <c r="BJ456" i="3"/>
  <c r="BI456" i="3"/>
  <c r="BJ455" i="3"/>
  <c r="BI455" i="3"/>
  <c r="BJ454" i="3"/>
  <c r="BI454" i="3"/>
  <c r="BJ453" i="3"/>
  <c r="BI453" i="3"/>
  <c r="BJ452" i="3"/>
  <c r="BI452" i="3"/>
  <c r="BJ451" i="3"/>
  <c r="BI451" i="3"/>
  <c r="BJ450" i="3"/>
  <c r="BI450" i="3"/>
  <c r="BJ449" i="3"/>
  <c r="BI449" i="3"/>
  <c r="BJ448" i="3"/>
  <c r="BI448" i="3"/>
  <c r="BJ447" i="3"/>
  <c r="BI447" i="3"/>
  <c r="BJ446" i="3"/>
  <c r="BI446" i="3"/>
  <c r="BJ445" i="3"/>
  <c r="BI445" i="3"/>
  <c r="BJ444" i="3"/>
  <c r="BI444" i="3"/>
  <c r="BJ443" i="3"/>
  <c r="BI443" i="3"/>
  <c r="BJ442" i="3"/>
  <c r="BI442" i="3"/>
  <c r="BJ441" i="3"/>
  <c r="BI441" i="3"/>
  <c r="BJ440" i="3"/>
  <c r="BI440" i="3"/>
  <c r="BJ439" i="3"/>
  <c r="BI439" i="3"/>
  <c r="BJ438" i="3"/>
  <c r="BI438" i="3"/>
  <c r="BJ437" i="3"/>
  <c r="BI437" i="3"/>
  <c r="BJ436" i="3"/>
  <c r="BI436" i="3"/>
  <c r="BJ435" i="3"/>
  <c r="BI435" i="3"/>
  <c r="BJ434" i="3"/>
  <c r="BI434" i="3"/>
  <c r="BJ433" i="3"/>
  <c r="BI433" i="3"/>
  <c r="BJ432" i="3"/>
  <c r="BI432" i="3"/>
  <c r="BJ431" i="3"/>
  <c r="BI431" i="3"/>
  <c r="BJ430" i="3"/>
  <c r="BI430" i="3"/>
  <c r="BJ429" i="3"/>
  <c r="BI429" i="3"/>
  <c r="BJ428" i="3"/>
  <c r="BI428" i="3"/>
  <c r="BJ427" i="3"/>
  <c r="BI427" i="3"/>
  <c r="BJ426" i="3"/>
  <c r="BI426" i="3"/>
  <c r="BJ425" i="3"/>
  <c r="BI425" i="3"/>
  <c r="BJ424" i="3"/>
  <c r="BI424" i="3"/>
  <c r="BJ423" i="3"/>
  <c r="BI423" i="3"/>
  <c r="BJ422" i="3"/>
  <c r="BI422" i="3"/>
  <c r="BJ421" i="3"/>
  <c r="BI421" i="3"/>
  <c r="BJ420" i="3"/>
  <c r="BI420" i="3"/>
  <c r="BJ419" i="3"/>
  <c r="BI419" i="3"/>
  <c r="BJ418" i="3"/>
  <c r="BI418" i="3"/>
  <c r="BJ417" i="3"/>
  <c r="BI417" i="3"/>
  <c r="BJ416" i="3"/>
  <c r="BI416" i="3"/>
  <c r="BJ415" i="3"/>
  <c r="BI415" i="3"/>
  <c r="BJ414" i="3"/>
  <c r="BI414" i="3"/>
  <c r="BJ413" i="3"/>
  <c r="BI413" i="3"/>
  <c r="BJ412" i="3"/>
  <c r="BI412" i="3"/>
  <c r="BJ411" i="3"/>
  <c r="BI411" i="3"/>
  <c r="BJ410" i="3"/>
  <c r="BI410" i="3"/>
  <c r="BJ409" i="3"/>
  <c r="BI409" i="3"/>
  <c r="BJ408" i="3"/>
  <c r="BI408" i="3"/>
  <c r="BJ407" i="3"/>
  <c r="BI407" i="3"/>
  <c r="BJ406" i="3"/>
  <c r="BI406" i="3"/>
  <c r="BJ405" i="3"/>
  <c r="BI405" i="3"/>
  <c r="BJ404" i="3"/>
  <c r="BI404" i="3"/>
  <c r="BJ403" i="3"/>
  <c r="BI403" i="3"/>
  <c r="BJ402" i="3"/>
  <c r="BI402" i="3"/>
  <c r="BJ401" i="3"/>
  <c r="BI401" i="3"/>
  <c r="BJ400" i="3"/>
  <c r="BI400" i="3"/>
  <c r="BJ399" i="3"/>
  <c r="BI399" i="3"/>
  <c r="BJ398" i="3"/>
  <c r="BI398" i="3"/>
  <c r="BJ397" i="3"/>
  <c r="BI397" i="3"/>
  <c r="BJ396" i="3"/>
  <c r="BI396" i="3"/>
  <c r="BJ395" i="3"/>
  <c r="BI395" i="3"/>
  <c r="BJ394" i="3"/>
  <c r="BI394" i="3"/>
  <c r="BJ393" i="3"/>
  <c r="BI393" i="3"/>
  <c r="BJ392" i="3"/>
  <c r="BI392" i="3"/>
  <c r="BJ391" i="3"/>
  <c r="BI391" i="3"/>
  <c r="BJ390" i="3"/>
  <c r="BI390" i="3"/>
  <c r="BJ389" i="3"/>
  <c r="BI389" i="3"/>
  <c r="BJ388" i="3"/>
  <c r="BI388" i="3"/>
  <c r="BJ387" i="3"/>
  <c r="BI387" i="3"/>
  <c r="BJ386" i="3"/>
  <c r="BI386" i="3"/>
  <c r="BJ385" i="3"/>
  <c r="BI385" i="3"/>
  <c r="BJ384" i="3"/>
  <c r="BI384" i="3"/>
  <c r="BJ383" i="3"/>
  <c r="BI383" i="3"/>
  <c r="BJ382" i="3"/>
  <c r="BI382" i="3"/>
  <c r="BJ381" i="3"/>
  <c r="BI381" i="3"/>
  <c r="BJ380" i="3"/>
  <c r="BI380" i="3"/>
  <c r="BJ379" i="3"/>
  <c r="BI379" i="3"/>
  <c r="BJ378" i="3"/>
  <c r="BI378" i="3"/>
  <c r="BJ377" i="3"/>
  <c r="BI377" i="3"/>
  <c r="BJ376" i="3"/>
  <c r="BI376" i="3"/>
  <c r="BJ375" i="3"/>
  <c r="BI375" i="3"/>
  <c r="BJ374" i="3"/>
  <c r="BI374" i="3"/>
  <c r="BJ373" i="3"/>
  <c r="BI373" i="3"/>
  <c r="BJ372" i="3"/>
  <c r="BI372" i="3"/>
  <c r="BJ371" i="3"/>
  <c r="BI371" i="3"/>
  <c r="BJ370" i="3"/>
  <c r="BI370" i="3"/>
  <c r="BJ369" i="3"/>
  <c r="BI369" i="3"/>
  <c r="BJ368" i="3"/>
  <c r="BI368" i="3"/>
  <c r="BJ367" i="3"/>
  <c r="BI367" i="3"/>
  <c r="BJ366" i="3"/>
  <c r="BI366" i="3"/>
  <c r="BJ365" i="3"/>
  <c r="BI365" i="3"/>
  <c r="BJ364" i="3"/>
  <c r="BI364" i="3"/>
  <c r="BJ363" i="3"/>
  <c r="BI363" i="3"/>
  <c r="BJ362" i="3"/>
  <c r="BI362" i="3"/>
  <c r="BJ361" i="3"/>
  <c r="BI361" i="3"/>
  <c r="BJ360" i="3"/>
  <c r="BI360" i="3"/>
  <c r="BJ359" i="3"/>
  <c r="BI359" i="3"/>
  <c r="BJ358" i="3"/>
  <c r="BI358" i="3"/>
  <c r="BJ357" i="3"/>
  <c r="BI357" i="3"/>
  <c r="BJ356" i="3"/>
  <c r="BI356" i="3"/>
  <c r="BJ355" i="3"/>
  <c r="BI355" i="3"/>
  <c r="BJ354" i="3"/>
  <c r="BI354" i="3"/>
  <c r="BJ353" i="3"/>
  <c r="BI353" i="3"/>
  <c r="BJ352" i="3"/>
  <c r="BI352" i="3"/>
  <c r="BJ351" i="3"/>
  <c r="BI351" i="3"/>
  <c r="BJ350" i="3"/>
  <c r="BI350" i="3"/>
  <c r="BJ349" i="3"/>
  <c r="BI349" i="3"/>
  <c r="BJ348" i="3"/>
  <c r="BI348" i="3"/>
  <c r="BJ347" i="3"/>
  <c r="BI347" i="3"/>
  <c r="BJ346" i="3"/>
  <c r="BI346" i="3"/>
  <c r="BJ345" i="3"/>
  <c r="BI345" i="3"/>
  <c r="BJ344" i="3"/>
  <c r="BI344" i="3"/>
  <c r="BJ343" i="3"/>
  <c r="BI343" i="3"/>
  <c r="BJ342" i="3"/>
  <c r="BI342" i="3"/>
  <c r="BJ341" i="3"/>
  <c r="BI341" i="3"/>
  <c r="BJ340" i="3"/>
  <c r="BI340" i="3"/>
  <c r="BJ339" i="3"/>
  <c r="BI339" i="3"/>
  <c r="BJ338" i="3"/>
  <c r="BI338" i="3"/>
  <c r="BJ337" i="3"/>
  <c r="BI337" i="3"/>
  <c r="BJ336" i="3"/>
  <c r="BI336" i="3"/>
  <c r="BJ335" i="3"/>
  <c r="BI335" i="3"/>
  <c r="BJ334" i="3"/>
  <c r="BI334" i="3"/>
  <c r="BJ333" i="3"/>
  <c r="BI333" i="3"/>
  <c r="BJ332" i="3"/>
  <c r="BI332" i="3"/>
  <c r="BJ331" i="3"/>
  <c r="BI331" i="3"/>
  <c r="BJ330" i="3"/>
  <c r="BI330" i="3"/>
  <c r="BJ329" i="3"/>
  <c r="BI329" i="3"/>
  <c r="BJ328" i="3"/>
  <c r="BI328" i="3"/>
  <c r="BJ327" i="3"/>
  <c r="BI327" i="3"/>
  <c r="BJ326" i="3"/>
  <c r="BI326" i="3"/>
  <c r="BJ325" i="3"/>
  <c r="BI325" i="3"/>
  <c r="BJ324" i="3"/>
  <c r="BI324" i="3"/>
  <c r="BJ323" i="3"/>
  <c r="BI323" i="3"/>
  <c r="BJ322" i="3"/>
  <c r="BI322" i="3"/>
  <c r="BJ321" i="3"/>
  <c r="BI321" i="3"/>
  <c r="BJ320" i="3"/>
  <c r="BI320" i="3"/>
  <c r="BJ319" i="3"/>
  <c r="BI319" i="3"/>
  <c r="BJ318" i="3"/>
  <c r="BI318" i="3"/>
  <c r="BJ317" i="3"/>
  <c r="BI317" i="3"/>
  <c r="BJ316" i="3"/>
  <c r="BI316" i="3"/>
  <c r="BJ315" i="3"/>
  <c r="BI315" i="3"/>
  <c r="BJ314" i="3"/>
  <c r="BI314" i="3"/>
  <c r="BJ313" i="3"/>
  <c r="BI313" i="3"/>
  <c r="BJ312" i="3"/>
  <c r="BI312" i="3"/>
  <c r="BJ311" i="3"/>
  <c r="BI311" i="3"/>
  <c r="BJ310" i="3"/>
  <c r="BI310" i="3"/>
  <c r="BJ309" i="3"/>
  <c r="BI309" i="3"/>
  <c r="BJ308" i="3"/>
  <c r="BI308" i="3"/>
  <c r="BJ307" i="3"/>
  <c r="BI307" i="3"/>
  <c r="BJ306" i="3"/>
  <c r="BI306" i="3"/>
  <c r="BJ305" i="3"/>
  <c r="BI305" i="3"/>
  <c r="BJ304" i="3"/>
  <c r="BI304" i="3"/>
  <c r="BJ303" i="3"/>
  <c r="BI303" i="3"/>
  <c r="BJ302" i="3"/>
  <c r="BI302" i="3"/>
  <c r="BJ301" i="3"/>
  <c r="BI301" i="3"/>
  <c r="BJ300" i="3"/>
  <c r="BI300" i="3"/>
  <c r="BJ299" i="3"/>
  <c r="BI299" i="3"/>
  <c r="BJ298" i="3"/>
  <c r="BI298" i="3"/>
  <c r="BJ297" i="3"/>
  <c r="BI297" i="3"/>
  <c r="BJ296" i="3"/>
  <c r="BI296" i="3"/>
  <c r="BJ295" i="3"/>
  <c r="BI295" i="3"/>
  <c r="BJ294" i="3"/>
  <c r="BI294" i="3"/>
  <c r="BJ293" i="3"/>
  <c r="BI293" i="3"/>
  <c r="BJ292" i="3"/>
  <c r="BI292" i="3"/>
  <c r="BJ291" i="3"/>
  <c r="BI291" i="3"/>
  <c r="BJ290" i="3"/>
  <c r="BI290" i="3"/>
  <c r="BJ289" i="3"/>
  <c r="BI289" i="3"/>
  <c r="BJ288" i="3"/>
  <c r="BI288" i="3"/>
  <c r="BJ287" i="3"/>
  <c r="BI287" i="3"/>
  <c r="BJ286" i="3"/>
  <c r="BI286" i="3"/>
  <c r="BJ285" i="3"/>
  <c r="BI285" i="3"/>
  <c r="BJ284" i="3"/>
  <c r="BI284" i="3"/>
  <c r="BJ283" i="3"/>
  <c r="BI283" i="3"/>
  <c r="BJ282" i="3"/>
  <c r="BI282" i="3"/>
  <c r="BJ281" i="3"/>
  <c r="BI281" i="3"/>
  <c r="BJ280" i="3"/>
  <c r="BI280" i="3"/>
  <c r="BJ279" i="3"/>
  <c r="BI279" i="3"/>
  <c r="BJ278" i="3"/>
  <c r="BI278" i="3"/>
  <c r="BJ277" i="3"/>
  <c r="BI277" i="3"/>
  <c r="BJ276" i="3"/>
  <c r="BI276" i="3"/>
  <c r="BJ275" i="3"/>
  <c r="BI275" i="3"/>
  <c r="BJ274" i="3"/>
  <c r="BI274" i="3"/>
  <c r="BJ273" i="3"/>
  <c r="BI273" i="3"/>
  <c r="BJ272" i="3"/>
  <c r="BI272" i="3"/>
  <c r="BJ271" i="3"/>
  <c r="BI271" i="3"/>
  <c r="BJ270" i="3"/>
  <c r="BI270" i="3"/>
  <c r="BJ269" i="3"/>
  <c r="BI269" i="3"/>
  <c r="BJ268" i="3"/>
  <c r="BI268" i="3"/>
  <c r="BJ267" i="3"/>
  <c r="BI267" i="3"/>
  <c r="BJ266" i="3"/>
  <c r="BI266" i="3"/>
  <c r="BJ265" i="3"/>
  <c r="BI265" i="3"/>
  <c r="BJ264" i="3"/>
  <c r="BI264" i="3"/>
  <c r="BJ263" i="3"/>
  <c r="BI263" i="3"/>
  <c r="BJ262" i="3"/>
  <c r="BI262" i="3"/>
  <c r="BJ261" i="3"/>
  <c r="BI261" i="3"/>
  <c r="BJ260" i="3"/>
  <c r="BI260" i="3"/>
  <c r="BJ259" i="3"/>
  <c r="BI259" i="3"/>
  <c r="BJ258" i="3"/>
  <c r="BI258" i="3"/>
  <c r="BJ257" i="3"/>
  <c r="BI257" i="3"/>
  <c r="BJ256" i="3"/>
  <c r="BI256" i="3"/>
  <c r="BJ255" i="3"/>
  <c r="BI255" i="3"/>
  <c r="BJ254" i="3"/>
  <c r="BI254" i="3"/>
  <c r="BJ253" i="3"/>
  <c r="BI253" i="3"/>
  <c r="BJ252" i="3"/>
  <c r="BI252" i="3"/>
  <c r="BJ251" i="3"/>
  <c r="BI251" i="3"/>
  <c r="BJ250" i="3"/>
  <c r="BI250" i="3"/>
  <c r="BJ249" i="3"/>
  <c r="BI249" i="3"/>
  <c r="BJ248" i="3"/>
  <c r="BI248" i="3"/>
  <c r="BJ247" i="3"/>
  <c r="BI247" i="3"/>
  <c r="BJ246" i="3"/>
  <c r="BI246" i="3"/>
  <c r="BJ245" i="3"/>
  <c r="BI245" i="3"/>
  <c r="BJ244" i="3"/>
  <c r="BI244" i="3"/>
  <c r="BJ243" i="3"/>
  <c r="BI243" i="3"/>
  <c r="BJ242" i="3"/>
  <c r="BI242" i="3"/>
  <c r="BJ241" i="3"/>
  <c r="BI241" i="3"/>
  <c r="BJ240" i="3"/>
  <c r="BI240" i="3"/>
  <c r="BJ239" i="3"/>
  <c r="BI239" i="3"/>
  <c r="BJ238" i="3"/>
  <c r="BI238" i="3"/>
  <c r="BJ237" i="3"/>
  <c r="BI237" i="3"/>
  <c r="BJ236" i="3"/>
  <c r="BI236" i="3"/>
  <c r="BJ235" i="3"/>
  <c r="BI235" i="3"/>
  <c r="BJ234" i="3"/>
  <c r="BI234" i="3"/>
  <c r="BJ233" i="3"/>
  <c r="BI233" i="3"/>
  <c r="BJ232" i="3"/>
  <c r="BI232" i="3"/>
  <c r="BJ231" i="3"/>
  <c r="BI231" i="3"/>
  <c r="BJ230" i="3"/>
  <c r="BI230" i="3"/>
  <c r="BJ229" i="3"/>
  <c r="BI229" i="3"/>
  <c r="BJ228" i="3"/>
  <c r="BI228" i="3"/>
  <c r="BJ227" i="3"/>
  <c r="BI227" i="3"/>
  <c r="BJ226" i="3"/>
  <c r="BI226" i="3"/>
  <c r="BJ225" i="3"/>
  <c r="BI225" i="3"/>
  <c r="BJ224" i="3"/>
  <c r="BI224" i="3"/>
  <c r="BJ223" i="3"/>
  <c r="BI223" i="3"/>
  <c r="BJ222" i="3"/>
  <c r="BI222" i="3"/>
  <c r="BJ221" i="3"/>
  <c r="BI221" i="3"/>
  <c r="BJ220" i="3"/>
  <c r="BI220" i="3"/>
  <c r="BJ219" i="3"/>
  <c r="BI219" i="3"/>
  <c r="BJ218" i="3"/>
  <c r="BI218" i="3"/>
  <c r="BJ217" i="3"/>
  <c r="BI217" i="3"/>
  <c r="BJ216" i="3"/>
  <c r="BI216" i="3"/>
  <c r="BJ215" i="3"/>
  <c r="BI215" i="3"/>
  <c r="BJ214" i="3"/>
  <c r="BI214" i="3"/>
  <c r="BJ213" i="3"/>
  <c r="BI213" i="3"/>
  <c r="BJ212" i="3"/>
  <c r="BI212" i="3"/>
  <c r="BJ211" i="3"/>
  <c r="BI211" i="3"/>
  <c r="BJ210" i="3"/>
  <c r="BI210" i="3"/>
  <c r="BJ209" i="3"/>
  <c r="BI209" i="3"/>
  <c r="BJ208" i="3"/>
  <c r="BI208" i="3"/>
  <c r="BJ207" i="3"/>
  <c r="BI207" i="3"/>
  <c r="BJ206" i="3"/>
  <c r="BI206" i="3"/>
  <c r="BJ205" i="3"/>
  <c r="BI205" i="3"/>
  <c r="BJ204" i="3"/>
  <c r="BI204" i="3"/>
  <c r="BJ203" i="3"/>
  <c r="BI203" i="3"/>
  <c r="BJ202" i="3"/>
  <c r="BI202" i="3"/>
  <c r="BJ201" i="3"/>
  <c r="BI201" i="3"/>
  <c r="BJ200" i="3"/>
  <c r="BI200" i="3"/>
  <c r="BJ199" i="3"/>
  <c r="BI199" i="3"/>
  <c r="BJ198" i="3"/>
  <c r="BI198" i="3"/>
  <c r="BJ197" i="3"/>
  <c r="BI197" i="3"/>
  <c r="BJ196" i="3"/>
  <c r="BI196" i="3"/>
  <c r="BJ195" i="3"/>
  <c r="BI195" i="3"/>
  <c r="BJ194" i="3"/>
  <c r="BI194" i="3"/>
  <c r="BJ193" i="3"/>
  <c r="BI193" i="3"/>
  <c r="BJ192" i="3"/>
  <c r="BI192" i="3"/>
  <c r="BJ191" i="3"/>
  <c r="BI191" i="3"/>
  <c r="BJ190" i="3"/>
  <c r="BI190" i="3"/>
  <c r="BJ189" i="3"/>
  <c r="BI189" i="3"/>
  <c r="BJ188" i="3"/>
  <c r="BI188" i="3"/>
  <c r="BJ187" i="3"/>
  <c r="BI187" i="3"/>
  <c r="BJ186" i="3"/>
  <c r="BI186" i="3"/>
  <c r="BJ185" i="3"/>
  <c r="BI185" i="3"/>
  <c r="BJ184" i="3"/>
  <c r="BI184" i="3"/>
  <c r="BJ183" i="3"/>
  <c r="BI183" i="3"/>
  <c r="BJ182" i="3"/>
  <c r="BI182" i="3"/>
  <c r="BJ181" i="3"/>
  <c r="BI181" i="3"/>
  <c r="BJ180" i="3"/>
  <c r="BI180" i="3"/>
  <c r="BJ179" i="3"/>
  <c r="BI179" i="3"/>
  <c r="BJ178" i="3"/>
  <c r="BI178" i="3"/>
  <c r="BJ177" i="3"/>
  <c r="BI177" i="3"/>
  <c r="BJ176" i="3"/>
  <c r="BI176" i="3"/>
  <c r="BJ175" i="3"/>
  <c r="BI175" i="3"/>
  <c r="BJ174" i="3"/>
  <c r="BI174" i="3"/>
  <c r="BJ173" i="3"/>
  <c r="BI173" i="3"/>
  <c r="BJ172" i="3"/>
  <c r="BI172" i="3"/>
  <c r="BJ171" i="3"/>
  <c r="BI171" i="3"/>
  <c r="BJ170" i="3"/>
  <c r="BI170" i="3"/>
  <c r="BJ169" i="3"/>
  <c r="BI169" i="3"/>
  <c r="BJ168" i="3"/>
  <c r="BI168" i="3"/>
  <c r="BJ167" i="3"/>
  <c r="BI167" i="3"/>
  <c r="BJ166" i="3"/>
  <c r="BI166" i="3"/>
  <c r="BJ165" i="3"/>
  <c r="BI165" i="3"/>
  <c r="BJ164" i="3"/>
  <c r="BI164" i="3"/>
  <c r="BJ163" i="3"/>
  <c r="BI163" i="3"/>
  <c r="BJ162" i="3"/>
  <c r="BI162" i="3"/>
  <c r="BJ161" i="3"/>
  <c r="BI161" i="3"/>
  <c r="BJ160" i="3"/>
  <c r="BI160" i="3"/>
  <c r="BJ159" i="3"/>
  <c r="BI159" i="3"/>
  <c r="BJ158" i="3"/>
  <c r="BI158" i="3"/>
  <c r="BJ157" i="3"/>
  <c r="BI157" i="3"/>
  <c r="BJ156" i="3"/>
  <c r="BI156" i="3"/>
  <c r="BJ155" i="3"/>
  <c r="BI155" i="3"/>
  <c r="BJ154" i="3"/>
  <c r="BI154" i="3"/>
  <c r="BJ153" i="3"/>
  <c r="BI153" i="3"/>
  <c r="BJ152" i="3"/>
  <c r="BI152" i="3"/>
  <c r="BJ151" i="3"/>
  <c r="BI151" i="3"/>
  <c r="BJ150" i="3"/>
  <c r="BI150" i="3"/>
  <c r="BJ149" i="3"/>
  <c r="BI149" i="3"/>
  <c r="BJ148" i="3"/>
  <c r="BI148" i="3"/>
  <c r="BJ147" i="3"/>
  <c r="BI147" i="3"/>
  <c r="BJ146" i="3"/>
  <c r="BI146" i="3"/>
  <c r="BJ145" i="3"/>
  <c r="BI145" i="3"/>
  <c r="BJ144" i="3"/>
  <c r="BI144" i="3"/>
  <c r="BJ143" i="3"/>
  <c r="BI143" i="3"/>
  <c r="BJ142" i="3"/>
  <c r="BI142" i="3"/>
  <c r="BJ141" i="3"/>
  <c r="BI141" i="3"/>
  <c r="BJ140" i="3"/>
  <c r="BI140" i="3"/>
  <c r="BJ139" i="3"/>
  <c r="BI139" i="3"/>
  <c r="BJ138" i="3"/>
  <c r="BI138" i="3"/>
  <c r="BJ137" i="3"/>
  <c r="BI137" i="3"/>
  <c r="BJ136" i="3"/>
  <c r="BI136" i="3"/>
  <c r="BJ135" i="3"/>
  <c r="BI135" i="3"/>
  <c r="BJ134" i="3"/>
  <c r="BI134" i="3"/>
  <c r="BJ133" i="3"/>
  <c r="BI133" i="3"/>
  <c r="BJ132" i="3"/>
  <c r="BI132" i="3"/>
  <c r="BJ131" i="3"/>
  <c r="BI131" i="3"/>
  <c r="BJ130" i="3"/>
  <c r="BI130" i="3"/>
  <c r="BJ129" i="3"/>
  <c r="BI129" i="3"/>
  <c r="BJ128" i="3"/>
  <c r="BI128" i="3"/>
  <c r="BJ127" i="3"/>
  <c r="BI127" i="3"/>
  <c r="BJ126" i="3"/>
  <c r="BI126" i="3"/>
  <c r="BJ125" i="3"/>
  <c r="BI125" i="3"/>
  <c r="BJ124" i="3"/>
  <c r="BI124" i="3"/>
  <c r="BJ123" i="3"/>
  <c r="BI123" i="3"/>
  <c r="BJ122" i="3"/>
  <c r="BI122" i="3"/>
  <c r="BJ121" i="3"/>
  <c r="BI121" i="3"/>
  <c r="BJ120" i="3"/>
  <c r="BI120" i="3"/>
  <c r="BJ119" i="3"/>
  <c r="BI119" i="3"/>
  <c r="BJ118" i="3"/>
  <c r="BI118" i="3"/>
  <c r="BJ117" i="3"/>
  <c r="BI117" i="3"/>
  <c r="BJ116" i="3"/>
  <c r="BI116" i="3"/>
  <c r="BJ115" i="3"/>
  <c r="BI115" i="3"/>
  <c r="BJ114" i="3"/>
  <c r="BI114" i="3"/>
  <c r="BJ113" i="3"/>
  <c r="BI113" i="3"/>
  <c r="BJ112" i="3"/>
  <c r="BI112" i="3"/>
  <c r="BJ111" i="3"/>
  <c r="BI111" i="3"/>
  <c r="BJ110" i="3"/>
  <c r="BI110" i="3"/>
  <c r="BJ109" i="3"/>
  <c r="BI109" i="3"/>
  <c r="BJ108" i="3"/>
  <c r="BI108" i="3"/>
  <c r="BJ107" i="3"/>
  <c r="BI107" i="3"/>
  <c r="BJ106" i="3"/>
  <c r="BI106" i="3"/>
  <c r="BJ105" i="3"/>
  <c r="BI105" i="3"/>
  <c r="BJ104" i="3"/>
  <c r="BI104" i="3"/>
  <c r="BJ103" i="3"/>
  <c r="BI103" i="3"/>
  <c r="BJ102" i="3"/>
  <c r="BI102" i="3"/>
  <c r="BJ101" i="3"/>
  <c r="BI101" i="3"/>
  <c r="BJ100" i="3"/>
  <c r="BI100" i="3"/>
  <c r="BJ99" i="3"/>
  <c r="BI99" i="3"/>
  <c r="BJ98" i="3"/>
  <c r="BI98" i="3"/>
  <c r="BJ97" i="3"/>
  <c r="BI97" i="3"/>
  <c r="BJ96" i="3"/>
  <c r="BI96" i="3"/>
  <c r="BJ95" i="3"/>
  <c r="BI95" i="3"/>
  <c r="BJ94" i="3"/>
  <c r="BI94" i="3"/>
  <c r="BJ93" i="3"/>
  <c r="BI93" i="3"/>
  <c r="BJ92" i="3"/>
  <c r="BI92" i="3"/>
  <c r="BJ91" i="3"/>
  <c r="BI91" i="3"/>
  <c r="BJ90" i="3"/>
  <c r="BI90" i="3"/>
  <c r="BJ89" i="3"/>
  <c r="BI89" i="3"/>
  <c r="BJ88" i="3"/>
  <c r="BI88" i="3"/>
  <c r="BJ87" i="3"/>
  <c r="BI87" i="3"/>
  <c r="BJ86" i="3"/>
  <c r="BI86" i="3"/>
  <c r="BJ85" i="3"/>
  <c r="BI85" i="3"/>
  <c r="BJ84" i="3"/>
  <c r="BI84" i="3"/>
  <c r="BJ83" i="3"/>
  <c r="BI83" i="3"/>
  <c r="BJ82" i="3"/>
  <c r="BI82" i="3"/>
  <c r="BJ81" i="3"/>
  <c r="BI81" i="3"/>
  <c r="BJ80" i="3"/>
  <c r="BI80" i="3"/>
  <c r="BJ79" i="3"/>
  <c r="BI79" i="3"/>
  <c r="BJ78" i="3"/>
  <c r="BI78" i="3"/>
  <c r="BJ77" i="3"/>
  <c r="BI77" i="3"/>
  <c r="BJ76" i="3"/>
  <c r="BI76" i="3"/>
  <c r="BJ75" i="3"/>
  <c r="BI75" i="3"/>
  <c r="BJ74" i="3"/>
  <c r="BI74" i="3"/>
  <c r="BJ73" i="3"/>
  <c r="BI73" i="3"/>
  <c r="BJ72" i="3"/>
  <c r="BI72" i="3"/>
  <c r="BJ71" i="3"/>
  <c r="BI71" i="3"/>
  <c r="BJ70" i="3"/>
  <c r="BI70" i="3"/>
  <c r="BJ69" i="3"/>
  <c r="BI69" i="3"/>
  <c r="BJ68" i="3"/>
  <c r="BI68" i="3"/>
  <c r="BJ67" i="3"/>
  <c r="BI67" i="3"/>
  <c r="BJ66" i="3"/>
  <c r="BI66" i="3"/>
  <c r="BJ65" i="3"/>
  <c r="BI65" i="3"/>
  <c r="BJ64" i="3"/>
  <c r="BI64" i="3"/>
  <c r="BJ63" i="3"/>
  <c r="BI63" i="3"/>
  <c r="BJ62" i="3"/>
  <c r="BI62" i="3"/>
  <c r="BJ61" i="3"/>
  <c r="BI61" i="3"/>
  <c r="BJ60" i="3"/>
  <c r="BI60" i="3"/>
  <c r="BJ59" i="3"/>
  <c r="BI59" i="3"/>
  <c r="BJ58" i="3"/>
  <c r="BI58" i="3"/>
  <c r="BJ57" i="3"/>
  <c r="BI57" i="3"/>
  <c r="BJ56" i="3"/>
  <c r="BI56" i="3"/>
  <c r="BJ55" i="3"/>
  <c r="BI55" i="3"/>
  <c r="BJ54" i="3"/>
  <c r="BI54" i="3"/>
  <c r="BJ53" i="3"/>
  <c r="BI53" i="3"/>
  <c r="BJ52" i="3"/>
  <c r="BI52" i="3"/>
  <c r="BJ51" i="3"/>
  <c r="BI51" i="3"/>
  <c r="BJ50" i="3"/>
  <c r="BI50" i="3"/>
  <c r="BJ49" i="3"/>
  <c r="BI49" i="3"/>
  <c r="BJ48" i="3"/>
  <c r="BI48" i="3"/>
  <c r="BJ47" i="3"/>
  <c r="BI47" i="3"/>
  <c r="BJ46" i="3"/>
  <c r="BI46" i="3"/>
  <c r="BJ45" i="3"/>
  <c r="BI45" i="3"/>
  <c r="BJ44" i="3"/>
  <c r="BI44" i="3"/>
  <c r="BJ43" i="3"/>
  <c r="BI43" i="3"/>
  <c r="BJ42" i="3"/>
  <c r="BI42" i="3"/>
  <c r="BJ41" i="3"/>
  <c r="BI41" i="3"/>
  <c r="BJ40" i="3"/>
  <c r="BI40" i="3"/>
  <c r="BJ39" i="3"/>
  <c r="BI39" i="3"/>
  <c r="BJ38" i="3"/>
  <c r="BI38" i="3"/>
  <c r="BJ37" i="3"/>
  <c r="BI37" i="3"/>
  <c r="BJ36" i="3"/>
  <c r="BI36" i="3"/>
  <c r="BJ35" i="3"/>
  <c r="BI35" i="3"/>
  <c r="BJ34" i="3"/>
  <c r="BI34" i="3"/>
  <c r="BJ33" i="3"/>
  <c r="BI33" i="3"/>
  <c r="BJ32" i="3"/>
  <c r="BI32" i="3"/>
  <c r="BJ31" i="3"/>
  <c r="BI31" i="3"/>
  <c r="BJ30" i="3"/>
  <c r="BI30" i="3"/>
  <c r="BJ29" i="3"/>
  <c r="BI29" i="3"/>
  <c r="BJ28" i="3"/>
  <c r="BI28" i="3"/>
  <c r="BJ27" i="3"/>
  <c r="BI27" i="3"/>
  <c r="BJ26" i="3"/>
  <c r="BI26" i="3"/>
  <c r="BJ25" i="3"/>
  <c r="BI25" i="3"/>
  <c r="BJ24" i="3"/>
  <c r="BI24" i="3"/>
  <c r="BJ23" i="3"/>
  <c r="BI23" i="3"/>
  <c r="BJ22" i="3"/>
  <c r="BI22" i="3"/>
  <c r="BJ21" i="3"/>
  <c r="BI21" i="3"/>
  <c r="BJ20" i="3"/>
  <c r="BI20" i="3"/>
  <c r="BJ19" i="3"/>
  <c r="BI19" i="3"/>
  <c r="BJ18" i="3"/>
  <c r="BI18" i="3"/>
  <c r="BJ17" i="3"/>
  <c r="BI17" i="3"/>
  <c r="BJ16" i="3"/>
  <c r="BI16" i="3"/>
  <c r="BJ15" i="3"/>
  <c r="BI15" i="3"/>
  <c r="BJ14" i="3"/>
  <c r="BI14" i="3"/>
  <c r="BJ13" i="3"/>
  <c r="BI13" i="3"/>
  <c r="BJ12" i="3"/>
  <c r="BI12" i="3"/>
  <c r="BJ11" i="3"/>
  <c r="BI11" i="3"/>
  <c r="BJ10" i="3"/>
  <c r="BI10" i="3"/>
  <c r="BJ9" i="3"/>
  <c r="BI9" i="3"/>
  <c r="BJ8" i="3"/>
  <c r="BI8" i="3"/>
  <c r="BJ7" i="3"/>
  <c r="BI7" i="3"/>
  <c r="BJ6" i="3"/>
  <c r="BI6" i="3"/>
  <c r="BJ5" i="3"/>
  <c r="BI5" i="3"/>
  <c r="BJ4" i="3"/>
  <c r="BI4" i="3"/>
  <c r="BJ3" i="3"/>
  <c r="BI3" i="3"/>
  <c r="BJ2" i="3"/>
  <c r="BI2" i="3"/>
  <c r="BM745" i="3"/>
  <c r="BL745" i="3"/>
  <c r="BM744" i="3"/>
  <c r="BL744" i="3"/>
  <c r="BM743" i="3"/>
  <c r="BL743" i="3"/>
  <c r="BM742" i="3"/>
  <c r="BL742" i="3"/>
  <c r="BM741" i="3"/>
  <c r="BL741" i="3"/>
  <c r="BM740" i="3"/>
  <c r="BL740" i="3"/>
  <c r="BM739" i="3"/>
  <c r="BL739" i="3"/>
  <c r="BM738" i="3"/>
  <c r="BL738" i="3"/>
  <c r="BM737" i="3"/>
  <c r="BL737" i="3"/>
  <c r="BM736" i="3"/>
  <c r="BL736" i="3"/>
  <c r="BM735" i="3"/>
  <c r="BL735" i="3"/>
  <c r="BM734" i="3"/>
  <c r="BL734" i="3"/>
  <c r="BM733" i="3"/>
  <c r="BL733" i="3"/>
  <c r="BM732" i="3"/>
  <c r="BL732" i="3"/>
  <c r="BM731" i="3"/>
  <c r="BL731" i="3"/>
  <c r="BM730" i="3"/>
  <c r="BL730" i="3"/>
  <c r="BM729" i="3"/>
  <c r="BL729" i="3"/>
  <c r="BM728" i="3"/>
  <c r="BL728" i="3"/>
  <c r="BM727" i="3"/>
  <c r="BL727" i="3"/>
  <c r="BM726" i="3"/>
  <c r="BL726" i="3"/>
  <c r="BM725" i="3"/>
  <c r="BL725" i="3"/>
  <c r="BM724" i="3"/>
  <c r="BL724" i="3"/>
  <c r="BM723" i="3"/>
  <c r="BL723" i="3"/>
  <c r="BM722" i="3"/>
  <c r="BL722" i="3"/>
  <c r="BM721" i="3"/>
  <c r="BL721" i="3"/>
  <c r="BM720" i="3"/>
  <c r="BL720" i="3"/>
  <c r="BM719" i="3"/>
  <c r="BL719" i="3"/>
  <c r="BM718" i="3"/>
  <c r="BL718" i="3"/>
  <c r="BM717" i="3"/>
  <c r="BL717" i="3"/>
  <c r="BM716" i="3"/>
  <c r="BL716" i="3"/>
  <c r="BM715" i="3"/>
  <c r="BL715" i="3"/>
  <c r="BM714" i="3"/>
  <c r="BL714" i="3"/>
  <c r="BM713" i="3"/>
  <c r="BL713" i="3"/>
  <c r="BM712" i="3"/>
  <c r="BL712" i="3"/>
  <c r="BM711" i="3"/>
  <c r="BL711" i="3"/>
  <c r="BM710" i="3"/>
  <c r="BL710" i="3"/>
  <c r="BM709" i="3"/>
  <c r="BL709" i="3"/>
  <c r="BM708" i="3"/>
  <c r="BL708" i="3"/>
  <c r="BM707" i="3"/>
  <c r="BL707" i="3"/>
  <c r="BM706" i="3"/>
  <c r="BL706" i="3"/>
  <c r="BM705" i="3"/>
  <c r="BL705" i="3"/>
  <c r="BM704" i="3"/>
  <c r="BL704" i="3"/>
  <c r="BM703" i="3"/>
  <c r="BL703" i="3"/>
  <c r="BM702" i="3"/>
  <c r="BL702" i="3"/>
  <c r="BM701" i="3"/>
  <c r="BL701" i="3"/>
  <c r="BM700" i="3"/>
  <c r="BL700" i="3"/>
  <c r="BM699" i="3"/>
  <c r="BL699" i="3"/>
  <c r="BM698" i="3"/>
  <c r="BL698" i="3"/>
  <c r="BM697" i="3"/>
  <c r="BL697" i="3"/>
  <c r="BM696" i="3"/>
  <c r="BL696" i="3"/>
  <c r="BM695" i="3"/>
  <c r="BL695" i="3"/>
  <c r="BM694" i="3"/>
  <c r="BL694" i="3"/>
  <c r="BM693" i="3"/>
  <c r="BL693" i="3"/>
  <c r="BM692" i="3"/>
  <c r="BL692" i="3"/>
  <c r="BM691" i="3"/>
  <c r="BL691" i="3"/>
  <c r="BM690" i="3"/>
  <c r="BL690" i="3"/>
  <c r="BM689" i="3"/>
  <c r="BL689" i="3"/>
  <c r="BM688" i="3"/>
  <c r="BL688" i="3"/>
  <c r="BM687" i="3"/>
  <c r="BL687" i="3"/>
  <c r="BM686" i="3"/>
  <c r="BL686" i="3"/>
  <c r="BM685" i="3"/>
  <c r="BL685" i="3"/>
  <c r="BM684" i="3"/>
  <c r="BL684" i="3"/>
  <c r="BM683" i="3"/>
  <c r="BL683" i="3"/>
  <c r="BM682" i="3"/>
  <c r="BL682" i="3"/>
  <c r="BM681" i="3"/>
  <c r="BL681" i="3"/>
  <c r="BM680" i="3"/>
  <c r="BL680" i="3"/>
  <c r="BM679" i="3"/>
  <c r="BL679" i="3"/>
  <c r="BM678" i="3"/>
  <c r="BL678" i="3"/>
  <c r="BM677" i="3"/>
  <c r="BL677" i="3"/>
  <c r="BM676" i="3"/>
  <c r="BL676" i="3"/>
  <c r="BM675" i="3"/>
  <c r="BL675" i="3"/>
  <c r="BM674" i="3"/>
  <c r="BL674" i="3"/>
  <c r="BM673" i="3"/>
  <c r="BL673" i="3"/>
  <c r="BM672" i="3"/>
  <c r="BL672" i="3"/>
  <c r="BM671" i="3"/>
  <c r="BL671" i="3"/>
  <c r="BM670" i="3"/>
  <c r="BL670" i="3"/>
  <c r="BM669" i="3"/>
  <c r="BL669" i="3"/>
  <c r="BM668" i="3"/>
  <c r="BL668" i="3"/>
  <c r="BM667" i="3"/>
  <c r="BL667" i="3"/>
  <c r="BM666" i="3"/>
  <c r="BL666" i="3"/>
  <c r="BM665" i="3"/>
  <c r="BL665" i="3"/>
  <c r="BM664" i="3"/>
  <c r="BL664" i="3"/>
  <c r="BM663" i="3"/>
  <c r="BL663" i="3"/>
  <c r="BM662" i="3"/>
  <c r="BL662" i="3"/>
  <c r="BM661" i="3"/>
  <c r="BL661" i="3"/>
  <c r="BM660" i="3"/>
  <c r="BL660" i="3"/>
  <c r="BM659" i="3"/>
  <c r="BL659" i="3"/>
  <c r="BM658" i="3"/>
  <c r="BL658" i="3"/>
  <c r="BM657" i="3"/>
  <c r="BL657" i="3"/>
  <c r="BM656" i="3"/>
  <c r="BL656" i="3"/>
  <c r="BM655" i="3"/>
  <c r="BL655" i="3"/>
  <c r="BM654" i="3"/>
  <c r="BL654" i="3"/>
  <c r="BM653" i="3"/>
  <c r="BL653" i="3"/>
  <c r="BM652" i="3"/>
  <c r="BL652" i="3"/>
  <c r="BM651" i="3"/>
  <c r="BL651" i="3"/>
  <c r="BM650" i="3"/>
  <c r="BL650" i="3"/>
  <c r="BM649" i="3"/>
  <c r="BL649" i="3"/>
  <c r="BM648" i="3"/>
  <c r="BL648" i="3"/>
  <c r="BM647" i="3"/>
  <c r="BL647" i="3"/>
  <c r="BM646" i="3"/>
  <c r="BL646" i="3"/>
  <c r="BM645" i="3"/>
  <c r="BL645" i="3"/>
  <c r="BM644" i="3"/>
  <c r="BL644" i="3"/>
  <c r="BM643" i="3"/>
  <c r="BL643" i="3"/>
  <c r="BM642" i="3"/>
  <c r="BL642" i="3"/>
  <c r="BM641" i="3"/>
  <c r="BL641" i="3"/>
  <c r="BM640" i="3"/>
  <c r="BL640" i="3"/>
  <c r="BM639" i="3"/>
  <c r="BL639" i="3"/>
  <c r="BM638" i="3"/>
  <c r="BL638" i="3"/>
  <c r="BM637" i="3"/>
  <c r="BL637" i="3"/>
  <c r="BM636" i="3"/>
  <c r="BL636" i="3"/>
  <c r="BM635" i="3"/>
  <c r="BL635" i="3"/>
  <c r="BM634" i="3"/>
  <c r="BL634" i="3"/>
  <c r="BM633" i="3"/>
  <c r="BL633" i="3"/>
  <c r="BM632" i="3"/>
  <c r="BL632" i="3"/>
  <c r="BM631" i="3"/>
  <c r="BL631" i="3"/>
  <c r="BM630" i="3"/>
  <c r="BL630" i="3"/>
  <c r="BM629" i="3"/>
  <c r="BL629" i="3"/>
  <c r="BM628" i="3"/>
  <c r="BL628" i="3"/>
  <c r="BM627" i="3"/>
  <c r="BL627" i="3"/>
  <c r="BM626" i="3"/>
  <c r="BL626" i="3"/>
  <c r="BM625" i="3"/>
  <c r="BL625" i="3"/>
  <c r="BM624" i="3"/>
  <c r="BL624" i="3"/>
  <c r="BM623" i="3"/>
  <c r="BL623" i="3"/>
  <c r="BM622" i="3"/>
  <c r="BL622" i="3"/>
  <c r="BM621" i="3"/>
  <c r="BL621" i="3"/>
  <c r="BM620" i="3"/>
  <c r="BL620" i="3"/>
  <c r="BM619" i="3"/>
  <c r="BL619" i="3"/>
  <c r="BM618" i="3"/>
  <c r="BL618" i="3"/>
  <c r="BM617" i="3"/>
  <c r="BL617" i="3"/>
  <c r="BM616" i="3"/>
  <c r="BL616" i="3"/>
  <c r="BM615" i="3"/>
  <c r="BL615" i="3"/>
  <c r="BM614" i="3"/>
  <c r="BL614" i="3"/>
  <c r="BM613" i="3"/>
  <c r="BL613" i="3"/>
  <c r="BM612" i="3"/>
  <c r="BL612" i="3"/>
  <c r="BM611" i="3"/>
  <c r="BL611" i="3"/>
  <c r="BM610" i="3"/>
  <c r="BL610" i="3"/>
  <c r="BM609" i="3"/>
  <c r="BL609" i="3"/>
  <c r="BM608" i="3"/>
  <c r="BL608" i="3"/>
  <c r="BM607" i="3"/>
  <c r="BL607" i="3"/>
  <c r="BM606" i="3"/>
  <c r="BL606" i="3"/>
  <c r="BM605" i="3"/>
  <c r="BL605" i="3"/>
  <c r="BM604" i="3"/>
  <c r="BL604" i="3"/>
  <c r="BM603" i="3"/>
  <c r="BL603" i="3"/>
  <c r="BM602" i="3"/>
  <c r="BL602" i="3"/>
  <c r="BM601" i="3"/>
  <c r="BL601" i="3"/>
  <c r="BM600" i="3"/>
  <c r="BL600" i="3"/>
  <c r="BM599" i="3"/>
  <c r="BL599" i="3"/>
  <c r="BM598" i="3"/>
  <c r="BL598" i="3"/>
  <c r="BM597" i="3"/>
  <c r="BL597" i="3"/>
  <c r="BM596" i="3"/>
  <c r="BL596" i="3"/>
  <c r="BM595" i="3"/>
  <c r="BL595" i="3"/>
  <c r="BM594" i="3"/>
  <c r="BL594" i="3"/>
  <c r="BM593" i="3"/>
  <c r="BL593" i="3"/>
  <c r="BM592" i="3"/>
  <c r="BL592" i="3"/>
  <c r="BM591" i="3"/>
  <c r="BL591" i="3"/>
  <c r="BM590" i="3"/>
  <c r="BL590" i="3"/>
  <c r="BM589" i="3"/>
  <c r="BL589" i="3"/>
  <c r="BM588" i="3"/>
  <c r="BL588" i="3"/>
  <c r="BM587" i="3"/>
  <c r="BL587" i="3"/>
  <c r="BM586" i="3"/>
  <c r="BL586" i="3"/>
  <c r="BM585" i="3"/>
  <c r="BL585" i="3"/>
  <c r="BM584" i="3"/>
  <c r="BL584" i="3"/>
  <c r="BM583" i="3"/>
  <c r="BL583" i="3"/>
  <c r="BM582" i="3"/>
  <c r="BL582" i="3"/>
  <c r="BM581" i="3"/>
  <c r="BL581" i="3"/>
  <c r="BM580" i="3"/>
  <c r="BL580" i="3"/>
  <c r="BM579" i="3"/>
  <c r="BL579" i="3"/>
  <c r="BM578" i="3"/>
  <c r="BL578" i="3"/>
  <c r="BM577" i="3"/>
  <c r="BL577" i="3"/>
  <c r="BM576" i="3"/>
  <c r="BL576" i="3"/>
  <c r="BM575" i="3"/>
  <c r="BL575" i="3"/>
  <c r="BM574" i="3"/>
  <c r="BL574" i="3"/>
  <c r="BM573" i="3"/>
  <c r="BL573" i="3"/>
  <c r="BM572" i="3"/>
  <c r="BL572" i="3"/>
  <c r="BM571" i="3"/>
  <c r="BL571" i="3"/>
  <c r="BM570" i="3"/>
  <c r="BL570" i="3"/>
  <c r="BM569" i="3"/>
  <c r="BL569" i="3"/>
  <c r="BM568" i="3"/>
  <c r="BL568" i="3"/>
  <c r="BM567" i="3"/>
  <c r="BL567" i="3"/>
  <c r="BM566" i="3"/>
  <c r="BL566" i="3"/>
  <c r="BM565" i="3"/>
  <c r="BL565" i="3"/>
  <c r="BM564" i="3"/>
  <c r="BL564" i="3"/>
  <c r="BM563" i="3"/>
  <c r="BL563" i="3"/>
  <c r="BM562" i="3"/>
  <c r="BL562" i="3"/>
  <c r="BM561" i="3"/>
  <c r="BL561" i="3"/>
  <c r="BM560" i="3"/>
  <c r="BL560" i="3"/>
  <c r="BM559" i="3"/>
  <c r="BL559" i="3"/>
  <c r="BM558" i="3"/>
  <c r="BL558" i="3"/>
  <c r="BM557" i="3"/>
  <c r="BL557" i="3"/>
  <c r="BM556" i="3"/>
  <c r="BL556" i="3"/>
  <c r="BM555" i="3"/>
  <c r="BL555" i="3"/>
  <c r="BM554" i="3"/>
  <c r="BL554" i="3"/>
  <c r="BM553" i="3"/>
  <c r="BL553" i="3"/>
  <c r="BM552" i="3"/>
  <c r="BL552" i="3"/>
  <c r="BM551" i="3"/>
  <c r="BL551" i="3"/>
  <c r="BM550" i="3"/>
  <c r="BL550" i="3"/>
  <c r="BM549" i="3"/>
  <c r="BL549" i="3"/>
  <c r="BM548" i="3"/>
  <c r="BL548" i="3"/>
  <c r="BM547" i="3"/>
  <c r="BL547" i="3"/>
  <c r="BM546" i="3"/>
  <c r="BL546" i="3"/>
  <c r="BM545" i="3"/>
  <c r="BL545" i="3"/>
  <c r="BM544" i="3"/>
  <c r="BL544" i="3"/>
  <c r="BM543" i="3"/>
  <c r="BL543" i="3"/>
  <c r="BM542" i="3"/>
  <c r="BL542" i="3"/>
  <c r="BM541" i="3"/>
  <c r="BL541" i="3"/>
  <c r="BM540" i="3"/>
  <c r="BL540" i="3"/>
  <c r="BM539" i="3"/>
  <c r="BL539" i="3"/>
  <c r="BM538" i="3"/>
  <c r="BL538" i="3"/>
  <c r="BM537" i="3"/>
  <c r="BL537" i="3"/>
  <c r="BM536" i="3"/>
  <c r="BL536" i="3"/>
  <c r="BM535" i="3"/>
  <c r="BL535" i="3"/>
  <c r="BM534" i="3"/>
  <c r="BL534" i="3"/>
  <c r="BM533" i="3"/>
  <c r="BL533" i="3"/>
  <c r="BM532" i="3"/>
  <c r="BL532" i="3"/>
  <c r="BM531" i="3"/>
  <c r="BL531" i="3"/>
  <c r="BM530" i="3"/>
  <c r="BL530" i="3"/>
  <c r="BM529" i="3"/>
  <c r="BL529" i="3"/>
  <c r="BM528" i="3"/>
  <c r="BL528" i="3"/>
  <c r="BM527" i="3"/>
  <c r="BL527" i="3"/>
  <c r="BM526" i="3"/>
  <c r="BL526" i="3"/>
  <c r="BM525" i="3"/>
  <c r="BL525" i="3"/>
  <c r="BM524" i="3"/>
  <c r="BL524" i="3"/>
  <c r="BM523" i="3"/>
  <c r="BL523" i="3"/>
  <c r="BM522" i="3"/>
  <c r="BL522" i="3"/>
  <c r="BM521" i="3"/>
  <c r="BL521" i="3"/>
  <c r="BM520" i="3"/>
  <c r="BL520" i="3"/>
  <c r="BM519" i="3"/>
  <c r="BL519" i="3"/>
  <c r="BM518" i="3"/>
  <c r="BL518" i="3"/>
  <c r="BM517" i="3"/>
  <c r="BL517" i="3"/>
  <c r="BM516" i="3"/>
  <c r="BL516" i="3"/>
  <c r="BM515" i="3"/>
  <c r="BL515" i="3"/>
  <c r="BM514" i="3"/>
  <c r="BL514" i="3"/>
  <c r="BM513" i="3"/>
  <c r="BL513" i="3"/>
  <c r="BM512" i="3"/>
  <c r="BL512" i="3"/>
  <c r="BM511" i="3"/>
  <c r="BL511" i="3"/>
  <c r="BM510" i="3"/>
  <c r="BL510" i="3"/>
  <c r="BM509" i="3"/>
  <c r="BL509" i="3"/>
  <c r="BM508" i="3"/>
  <c r="BL508" i="3"/>
  <c r="BM507" i="3"/>
  <c r="BL507" i="3"/>
  <c r="BM506" i="3"/>
  <c r="BL506" i="3"/>
  <c r="BM505" i="3"/>
  <c r="BL505" i="3"/>
  <c r="BM504" i="3"/>
  <c r="BL504" i="3"/>
  <c r="BM503" i="3"/>
  <c r="BL503" i="3"/>
  <c r="BM502" i="3"/>
  <c r="BL502" i="3"/>
  <c r="BM501" i="3"/>
  <c r="BL501" i="3"/>
  <c r="BM500" i="3"/>
  <c r="BL500" i="3"/>
  <c r="BM499" i="3"/>
  <c r="BL499" i="3"/>
  <c r="BM498" i="3"/>
  <c r="BL498" i="3"/>
  <c r="BM497" i="3"/>
  <c r="BL497" i="3"/>
  <c r="BM496" i="3"/>
  <c r="BL496" i="3"/>
  <c r="BM495" i="3"/>
  <c r="BL495" i="3"/>
  <c r="BM494" i="3"/>
  <c r="BL494" i="3"/>
  <c r="BM493" i="3"/>
  <c r="BL493" i="3"/>
  <c r="BM492" i="3"/>
  <c r="BL492" i="3"/>
  <c r="BM491" i="3"/>
  <c r="BL491" i="3"/>
  <c r="BM490" i="3"/>
  <c r="BL490" i="3"/>
  <c r="BM489" i="3"/>
  <c r="BL489" i="3"/>
  <c r="BM488" i="3"/>
  <c r="BL488" i="3"/>
  <c r="BM487" i="3"/>
  <c r="BL487" i="3"/>
  <c r="BM486" i="3"/>
  <c r="BL486" i="3"/>
  <c r="BM485" i="3"/>
  <c r="BL485" i="3"/>
  <c r="BM484" i="3"/>
  <c r="BL484" i="3"/>
  <c r="BM483" i="3"/>
  <c r="BL483" i="3"/>
  <c r="BM482" i="3"/>
  <c r="BL482" i="3"/>
  <c r="BM481" i="3"/>
  <c r="BL481" i="3"/>
  <c r="BM480" i="3"/>
  <c r="BL480" i="3"/>
  <c r="BM479" i="3"/>
  <c r="BL479" i="3"/>
  <c r="BM478" i="3"/>
  <c r="BL478" i="3"/>
  <c r="BM477" i="3"/>
  <c r="BL477" i="3"/>
  <c r="BM476" i="3"/>
  <c r="BL476" i="3"/>
  <c r="BM475" i="3"/>
  <c r="BL475" i="3"/>
  <c r="BM474" i="3"/>
  <c r="BL474" i="3"/>
  <c r="BM473" i="3"/>
  <c r="BL473" i="3"/>
  <c r="BM472" i="3"/>
  <c r="BL472" i="3"/>
  <c r="BM471" i="3"/>
  <c r="BL471" i="3"/>
  <c r="BM470" i="3"/>
  <c r="BL470" i="3"/>
  <c r="BM469" i="3"/>
  <c r="BL469" i="3"/>
  <c r="BM468" i="3"/>
  <c r="BL468" i="3"/>
  <c r="BM467" i="3"/>
  <c r="BL467" i="3"/>
  <c r="BM466" i="3"/>
  <c r="BL466" i="3"/>
  <c r="BM465" i="3"/>
  <c r="BL465" i="3"/>
  <c r="BM464" i="3"/>
  <c r="BL464" i="3"/>
  <c r="BM463" i="3"/>
  <c r="BL463" i="3"/>
  <c r="BM462" i="3"/>
  <c r="BL462" i="3"/>
  <c r="BM461" i="3"/>
  <c r="BL461" i="3"/>
  <c r="BM460" i="3"/>
  <c r="BL460" i="3"/>
  <c r="BM459" i="3"/>
  <c r="BL459" i="3"/>
  <c r="BM458" i="3"/>
  <c r="BL458" i="3"/>
  <c r="BM457" i="3"/>
  <c r="BL457" i="3"/>
  <c r="BM456" i="3"/>
  <c r="BL456" i="3"/>
  <c r="BM455" i="3"/>
  <c r="BL455" i="3"/>
  <c r="BM454" i="3"/>
  <c r="BL454" i="3"/>
  <c r="BM453" i="3"/>
  <c r="BL453" i="3"/>
  <c r="BM452" i="3"/>
  <c r="BL452" i="3"/>
  <c r="BM451" i="3"/>
  <c r="BL451" i="3"/>
  <c r="BM450" i="3"/>
  <c r="BL450" i="3"/>
  <c r="BM449" i="3"/>
  <c r="BL449" i="3"/>
  <c r="BM448" i="3"/>
  <c r="BL448" i="3"/>
  <c r="BM447" i="3"/>
  <c r="BL447" i="3"/>
  <c r="BM446" i="3"/>
  <c r="BL446" i="3"/>
  <c r="BM445" i="3"/>
  <c r="BL445" i="3"/>
  <c r="BM444" i="3"/>
  <c r="BL444" i="3"/>
  <c r="BM443" i="3"/>
  <c r="BL443" i="3"/>
  <c r="BM442" i="3"/>
  <c r="BL442" i="3"/>
  <c r="BM441" i="3"/>
  <c r="BL441" i="3"/>
  <c r="BM440" i="3"/>
  <c r="BL440" i="3"/>
  <c r="BM439" i="3"/>
  <c r="BL439" i="3"/>
  <c r="BM438" i="3"/>
  <c r="BL438" i="3"/>
  <c r="BM437" i="3"/>
  <c r="BL437" i="3"/>
  <c r="BM436" i="3"/>
  <c r="BL436" i="3"/>
  <c r="BM435" i="3"/>
  <c r="BL435" i="3"/>
  <c r="BM434" i="3"/>
  <c r="BL434" i="3"/>
  <c r="BM433" i="3"/>
  <c r="BL433" i="3"/>
  <c r="BM432" i="3"/>
  <c r="BL432" i="3"/>
  <c r="BM431" i="3"/>
  <c r="BL431" i="3"/>
  <c r="BM430" i="3"/>
  <c r="BL430" i="3"/>
  <c r="BM429" i="3"/>
  <c r="BL429" i="3"/>
  <c r="BM428" i="3"/>
  <c r="BL428" i="3"/>
  <c r="BM427" i="3"/>
  <c r="BL427" i="3"/>
  <c r="BM426" i="3"/>
  <c r="BL426" i="3"/>
  <c r="BM425" i="3"/>
  <c r="BL425" i="3"/>
  <c r="BM424" i="3"/>
  <c r="BL424" i="3"/>
  <c r="BM423" i="3"/>
  <c r="BL423" i="3"/>
  <c r="BM422" i="3"/>
  <c r="BL422" i="3"/>
  <c r="BM421" i="3"/>
  <c r="BL421" i="3"/>
  <c r="BM420" i="3"/>
  <c r="BL420" i="3"/>
  <c r="BM419" i="3"/>
  <c r="BL419" i="3"/>
  <c r="BM418" i="3"/>
  <c r="BL418" i="3"/>
  <c r="BM417" i="3"/>
  <c r="BL417" i="3"/>
  <c r="BM416" i="3"/>
  <c r="BL416" i="3"/>
  <c r="BM415" i="3"/>
  <c r="BL415" i="3"/>
  <c r="BM414" i="3"/>
  <c r="BL414" i="3"/>
  <c r="BM413" i="3"/>
  <c r="BL413" i="3"/>
  <c r="BM412" i="3"/>
  <c r="BL412" i="3"/>
  <c r="BM411" i="3"/>
  <c r="BL411" i="3"/>
  <c r="BM410" i="3"/>
  <c r="BL410" i="3"/>
  <c r="BM409" i="3"/>
  <c r="BL409" i="3"/>
  <c r="BM408" i="3"/>
  <c r="BL408" i="3"/>
  <c r="BM407" i="3"/>
  <c r="BL407" i="3"/>
  <c r="BM406" i="3"/>
  <c r="BL406" i="3"/>
  <c r="BM405" i="3"/>
  <c r="BL405" i="3"/>
  <c r="BM404" i="3"/>
  <c r="BL404" i="3"/>
  <c r="BM403" i="3"/>
  <c r="BL403" i="3"/>
  <c r="BM402" i="3"/>
  <c r="BL402" i="3"/>
  <c r="BM401" i="3"/>
  <c r="BL401" i="3"/>
  <c r="BM400" i="3"/>
  <c r="BL400" i="3"/>
  <c r="BM399" i="3"/>
  <c r="BL399" i="3"/>
  <c r="BM398" i="3"/>
  <c r="BL398" i="3"/>
  <c r="BM397" i="3"/>
  <c r="BL397" i="3"/>
  <c r="BM396" i="3"/>
  <c r="BL396" i="3"/>
  <c r="BM395" i="3"/>
  <c r="BL395" i="3"/>
  <c r="BM394" i="3"/>
  <c r="BL394" i="3"/>
  <c r="BM393" i="3"/>
  <c r="BL393" i="3"/>
  <c r="BM392" i="3"/>
  <c r="BL392" i="3"/>
  <c r="BM391" i="3"/>
  <c r="BL391" i="3"/>
  <c r="BM390" i="3"/>
  <c r="BL390" i="3"/>
  <c r="BM389" i="3"/>
  <c r="BL389" i="3"/>
  <c r="BM388" i="3"/>
  <c r="BL388" i="3"/>
  <c r="BM387" i="3"/>
  <c r="BL387" i="3"/>
  <c r="BM386" i="3"/>
  <c r="BL386" i="3"/>
  <c r="BM385" i="3"/>
  <c r="BL385" i="3"/>
  <c r="BM384" i="3"/>
  <c r="BL384" i="3"/>
  <c r="BM383" i="3"/>
  <c r="BL383" i="3"/>
  <c r="BM382" i="3"/>
  <c r="BL382" i="3"/>
  <c r="BM381" i="3"/>
  <c r="BL381" i="3"/>
  <c r="BM380" i="3"/>
  <c r="BL380" i="3"/>
  <c r="BM379" i="3"/>
  <c r="BL379" i="3"/>
  <c r="BM378" i="3"/>
  <c r="BL378" i="3"/>
  <c r="BM377" i="3"/>
  <c r="BL377" i="3"/>
  <c r="BM376" i="3"/>
  <c r="BL376" i="3"/>
  <c r="BM375" i="3"/>
  <c r="BL375" i="3"/>
  <c r="BM374" i="3"/>
  <c r="BL374" i="3"/>
  <c r="BM373" i="3"/>
  <c r="BL373" i="3"/>
  <c r="BM372" i="3"/>
  <c r="BL372" i="3"/>
  <c r="BM371" i="3"/>
  <c r="BL371" i="3"/>
  <c r="BM370" i="3"/>
  <c r="BL370" i="3"/>
  <c r="BM369" i="3"/>
  <c r="BL369" i="3"/>
  <c r="BM368" i="3"/>
  <c r="BL368" i="3"/>
  <c r="BM367" i="3"/>
  <c r="BL367" i="3"/>
  <c r="BM366" i="3"/>
  <c r="BL366" i="3"/>
  <c r="BM365" i="3"/>
  <c r="BL365" i="3"/>
  <c r="BM364" i="3"/>
  <c r="BL364" i="3"/>
  <c r="BM363" i="3"/>
  <c r="BL363" i="3"/>
  <c r="BM362" i="3"/>
  <c r="BL362" i="3"/>
  <c r="BM361" i="3"/>
  <c r="BL361" i="3"/>
  <c r="BM360" i="3"/>
  <c r="BL360" i="3"/>
  <c r="BM359" i="3"/>
  <c r="BL359" i="3"/>
  <c r="BM358" i="3"/>
  <c r="BL358" i="3"/>
  <c r="BM357" i="3"/>
  <c r="BL357" i="3"/>
  <c r="BM356" i="3"/>
  <c r="BL356" i="3"/>
  <c r="BM355" i="3"/>
  <c r="BL355" i="3"/>
  <c r="BM354" i="3"/>
  <c r="BL354" i="3"/>
  <c r="BM353" i="3"/>
  <c r="BL353" i="3"/>
  <c r="BM352" i="3"/>
  <c r="BL352" i="3"/>
  <c r="BM351" i="3"/>
  <c r="BL351" i="3"/>
  <c r="BM350" i="3"/>
  <c r="BL350" i="3"/>
  <c r="BM349" i="3"/>
  <c r="BL349" i="3"/>
  <c r="BM348" i="3"/>
  <c r="BL348" i="3"/>
  <c r="BM347" i="3"/>
  <c r="BL347" i="3"/>
  <c r="BM346" i="3"/>
  <c r="BL346" i="3"/>
  <c r="BM345" i="3"/>
  <c r="BL345" i="3"/>
  <c r="BM344" i="3"/>
  <c r="BL344" i="3"/>
  <c r="BM343" i="3"/>
  <c r="BL343" i="3"/>
  <c r="BM342" i="3"/>
  <c r="BL342" i="3"/>
  <c r="BM341" i="3"/>
  <c r="BL341" i="3"/>
  <c r="BM340" i="3"/>
  <c r="BL340" i="3"/>
  <c r="BM339" i="3"/>
  <c r="BL339" i="3"/>
  <c r="BM338" i="3"/>
  <c r="BL338" i="3"/>
  <c r="BM337" i="3"/>
  <c r="BL337" i="3"/>
  <c r="BM336" i="3"/>
  <c r="BL336" i="3"/>
  <c r="BM335" i="3"/>
  <c r="BL335" i="3"/>
  <c r="BM334" i="3"/>
  <c r="BL334" i="3"/>
  <c r="BM333" i="3"/>
  <c r="BL333" i="3"/>
  <c r="BM332" i="3"/>
  <c r="BL332" i="3"/>
  <c r="BM331" i="3"/>
  <c r="BL331" i="3"/>
  <c r="BM330" i="3"/>
  <c r="BL330" i="3"/>
  <c r="BM329" i="3"/>
  <c r="BL329" i="3"/>
  <c r="BM328" i="3"/>
  <c r="BL328" i="3"/>
  <c r="BM327" i="3"/>
  <c r="BL327" i="3"/>
  <c r="BM326" i="3"/>
  <c r="BL326" i="3"/>
  <c r="BM325" i="3"/>
  <c r="BL325" i="3"/>
  <c r="BM324" i="3"/>
  <c r="BL324" i="3"/>
  <c r="BM323" i="3"/>
  <c r="BL323" i="3"/>
  <c r="BM322" i="3"/>
  <c r="BL322" i="3"/>
  <c r="BM321" i="3"/>
  <c r="BL321" i="3"/>
  <c r="BM320" i="3"/>
  <c r="BL320" i="3"/>
  <c r="BM319" i="3"/>
  <c r="BL319" i="3"/>
  <c r="BM318" i="3"/>
  <c r="BL318" i="3"/>
  <c r="BM317" i="3"/>
  <c r="BL317" i="3"/>
  <c r="BM316" i="3"/>
  <c r="BL316" i="3"/>
  <c r="BM315" i="3"/>
  <c r="BL315" i="3"/>
  <c r="BM314" i="3"/>
  <c r="BL314" i="3"/>
  <c r="BM313" i="3"/>
  <c r="BL313" i="3"/>
  <c r="BM312" i="3"/>
  <c r="BL312" i="3"/>
  <c r="BM311" i="3"/>
  <c r="BL311" i="3"/>
  <c r="BM310" i="3"/>
  <c r="BL310" i="3"/>
  <c r="BM309" i="3"/>
  <c r="BL309" i="3"/>
  <c r="BM308" i="3"/>
  <c r="BL308" i="3"/>
  <c r="BM307" i="3"/>
  <c r="BL307" i="3"/>
  <c r="BM306" i="3"/>
  <c r="BL306" i="3"/>
  <c r="BM305" i="3"/>
  <c r="BL305" i="3"/>
  <c r="BM304" i="3"/>
  <c r="BL304" i="3"/>
  <c r="BM303" i="3"/>
  <c r="BL303" i="3"/>
  <c r="BM302" i="3"/>
  <c r="BL302" i="3"/>
  <c r="BM301" i="3"/>
  <c r="BL301" i="3"/>
  <c r="BM300" i="3"/>
  <c r="BL300" i="3"/>
  <c r="BM299" i="3"/>
  <c r="BL299" i="3"/>
  <c r="BM298" i="3"/>
  <c r="BL298" i="3"/>
  <c r="BM297" i="3"/>
  <c r="BL297" i="3"/>
  <c r="BM296" i="3"/>
  <c r="BL296" i="3"/>
  <c r="BM295" i="3"/>
  <c r="BL295" i="3"/>
  <c r="BM294" i="3"/>
  <c r="BL294" i="3"/>
  <c r="BM293" i="3"/>
  <c r="BL293" i="3"/>
  <c r="BM292" i="3"/>
  <c r="BL292" i="3"/>
  <c r="BM291" i="3"/>
  <c r="BL291" i="3"/>
  <c r="BM290" i="3"/>
  <c r="BL290" i="3"/>
  <c r="BM289" i="3"/>
  <c r="BL289" i="3"/>
  <c r="BM288" i="3"/>
  <c r="BL288" i="3"/>
  <c r="BM287" i="3"/>
  <c r="BL287" i="3"/>
  <c r="BM286" i="3"/>
  <c r="BL286" i="3"/>
  <c r="BM285" i="3"/>
  <c r="BL285" i="3"/>
  <c r="BM284" i="3"/>
  <c r="BL284" i="3"/>
  <c r="BM283" i="3"/>
  <c r="BL283" i="3"/>
  <c r="BM282" i="3"/>
  <c r="BL282" i="3"/>
  <c r="BM281" i="3"/>
  <c r="BL281" i="3"/>
  <c r="BM280" i="3"/>
  <c r="BL280" i="3"/>
  <c r="BM279" i="3"/>
  <c r="BL279" i="3"/>
  <c r="BM278" i="3"/>
  <c r="BL278" i="3"/>
  <c r="BM277" i="3"/>
  <c r="BL277" i="3"/>
  <c r="BM276" i="3"/>
  <c r="BL276" i="3"/>
  <c r="BM275" i="3"/>
  <c r="BL275" i="3"/>
  <c r="BM274" i="3"/>
  <c r="BL274" i="3"/>
  <c r="BM273" i="3"/>
  <c r="BL273" i="3"/>
  <c r="BM272" i="3"/>
  <c r="BL272" i="3"/>
  <c r="BM271" i="3"/>
  <c r="BL271" i="3"/>
  <c r="BM270" i="3"/>
  <c r="BL270" i="3"/>
  <c r="BM269" i="3"/>
  <c r="BL269" i="3"/>
  <c r="BM268" i="3"/>
  <c r="BL268" i="3"/>
  <c r="BM267" i="3"/>
  <c r="BL267" i="3"/>
  <c r="BM266" i="3"/>
  <c r="BL266" i="3"/>
  <c r="BM265" i="3"/>
  <c r="BL265" i="3"/>
  <c r="BM264" i="3"/>
  <c r="BL264" i="3"/>
  <c r="BM263" i="3"/>
  <c r="BL263" i="3"/>
  <c r="BM262" i="3"/>
  <c r="BL262" i="3"/>
  <c r="BM261" i="3"/>
  <c r="BL261" i="3"/>
  <c r="BM260" i="3"/>
  <c r="BL260" i="3"/>
  <c r="BM259" i="3"/>
  <c r="BL259" i="3"/>
  <c r="BM258" i="3"/>
  <c r="BL258" i="3"/>
  <c r="BM257" i="3"/>
  <c r="BL257" i="3"/>
  <c r="BM256" i="3"/>
  <c r="BL256" i="3"/>
  <c r="BM255" i="3"/>
  <c r="BL255" i="3"/>
  <c r="BM254" i="3"/>
  <c r="BL254" i="3"/>
  <c r="BM253" i="3"/>
  <c r="BL253" i="3"/>
  <c r="BM252" i="3"/>
  <c r="BL252" i="3"/>
  <c r="BM251" i="3"/>
  <c r="BL251" i="3"/>
  <c r="BM250" i="3"/>
  <c r="BL250" i="3"/>
  <c r="BM249" i="3"/>
  <c r="BL249" i="3"/>
  <c r="BM248" i="3"/>
  <c r="BL248" i="3"/>
  <c r="BM247" i="3"/>
  <c r="BL247" i="3"/>
  <c r="BM246" i="3"/>
  <c r="BL246" i="3"/>
  <c r="BM245" i="3"/>
  <c r="BL245" i="3"/>
  <c r="BM244" i="3"/>
  <c r="BL244" i="3"/>
  <c r="BM243" i="3"/>
  <c r="BL243" i="3"/>
  <c r="BM242" i="3"/>
  <c r="BL242" i="3"/>
  <c r="BM241" i="3"/>
  <c r="BL241" i="3"/>
  <c r="BM240" i="3"/>
  <c r="BL240" i="3"/>
  <c r="BM239" i="3"/>
  <c r="BL239" i="3"/>
  <c r="BM238" i="3"/>
  <c r="BL238" i="3"/>
  <c r="BM237" i="3"/>
  <c r="BL237" i="3"/>
  <c r="BM236" i="3"/>
  <c r="BL236" i="3"/>
  <c r="BM235" i="3"/>
  <c r="BL235" i="3"/>
  <c r="BM234" i="3"/>
  <c r="BL234" i="3"/>
  <c r="BM233" i="3"/>
  <c r="BL233" i="3"/>
  <c r="BM232" i="3"/>
  <c r="BL232" i="3"/>
  <c r="BM231" i="3"/>
  <c r="BL231" i="3"/>
  <c r="BM230" i="3"/>
  <c r="BL230" i="3"/>
  <c r="BM229" i="3"/>
  <c r="BL229" i="3"/>
  <c r="BM228" i="3"/>
  <c r="BL228" i="3"/>
  <c r="BM227" i="3"/>
  <c r="BL227" i="3"/>
  <c r="BM226" i="3"/>
  <c r="BL226" i="3"/>
  <c r="BM225" i="3"/>
  <c r="BL225" i="3"/>
  <c r="BM224" i="3"/>
  <c r="BL224" i="3"/>
  <c r="BM223" i="3"/>
  <c r="BL223" i="3"/>
  <c r="BM222" i="3"/>
  <c r="BL222" i="3"/>
  <c r="BM221" i="3"/>
  <c r="BL221" i="3"/>
  <c r="BM220" i="3"/>
  <c r="BL220" i="3"/>
  <c r="BM219" i="3"/>
  <c r="BL219" i="3"/>
  <c r="BM218" i="3"/>
  <c r="BL218" i="3"/>
  <c r="BM217" i="3"/>
  <c r="BL217" i="3"/>
  <c r="BM216" i="3"/>
  <c r="BL216" i="3"/>
  <c r="BM215" i="3"/>
  <c r="BL215" i="3"/>
  <c r="BM214" i="3"/>
  <c r="BL214" i="3"/>
  <c r="BM213" i="3"/>
  <c r="BL213" i="3"/>
  <c r="BM212" i="3"/>
  <c r="BL212" i="3"/>
  <c r="BM211" i="3"/>
  <c r="BL211" i="3"/>
  <c r="BM210" i="3"/>
  <c r="BL210" i="3"/>
  <c r="BM209" i="3"/>
  <c r="BL209" i="3"/>
  <c r="BM208" i="3"/>
  <c r="BL208" i="3"/>
  <c r="BM207" i="3"/>
  <c r="BL207" i="3"/>
  <c r="BM206" i="3"/>
  <c r="BL206" i="3"/>
  <c r="BM205" i="3"/>
  <c r="BL205" i="3"/>
  <c r="BM204" i="3"/>
  <c r="BL204" i="3"/>
  <c r="BM203" i="3"/>
  <c r="BL203" i="3"/>
  <c r="BM202" i="3"/>
  <c r="BL202" i="3"/>
  <c r="BM201" i="3"/>
  <c r="BL201" i="3"/>
  <c r="BM200" i="3"/>
  <c r="BL200" i="3"/>
  <c r="BM199" i="3"/>
  <c r="BL199" i="3"/>
  <c r="BM198" i="3"/>
  <c r="BL198" i="3"/>
  <c r="BM197" i="3"/>
  <c r="BL197" i="3"/>
  <c r="BM196" i="3"/>
  <c r="BL196" i="3"/>
  <c r="BM195" i="3"/>
  <c r="BL195" i="3"/>
  <c r="BM194" i="3"/>
  <c r="BL194" i="3"/>
  <c r="BM193" i="3"/>
  <c r="BL193" i="3"/>
  <c r="BM192" i="3"/>
  <c r="BL192" i="3"/>
  <c r="BM191" i="3"/>
  <c r="BL191" i="3"/>
  <c r="BM190" i="3"/>
  <c r="BL190" i="3"/>
  <c r="BM189" i="3"/>
  <c r="BL189" i="3"/>
  <c r="BM188" i="3"/>
  <c r="BL188" i="3"/>
  <c r="BM187" i="3"/>
  <c r="BL187" i="3"/>
  <c r="BM186" i="3"/>
  <c r="BL186" i="3"/>
  <c r="BM185" i="3"/>
  <c r="BL185" i="3"/>
  <c r="BM184" i="3"/>
  <c r="BL184" i="3"/>
  <c r="BM183" i="3"/>
  <c r="BL183" i="3"/>
  <c r="BM182" i="3"/>
  <c r="BL182" i="3"/>
  <c r="BM181" i="3"/>
  <c r="BL181" i="3"/>
  <c r="BM180" i="3"/>
  <c r="BL180" i="3"/>
  <c r="BM179" i="3"/>
  <c r="BL179" i="3"/>
  <c r="BM178" i="3"/>
  <c r="BL178" i="3"/>
  <c r="BM177" i="3"/>
  <c r="BL177" i="3"/>
  <c r="BM176" i="3"/>
  <c r="BL176" i="3"/>
  <c r="BM175" i="3"/>
  <c r="BL175" i="3"/>
  <c r="BM174" i="3"/>
  <c r="BL174" i="3"/>
  <c r="BM173" i="3"/>
  <c r="BL173" i="3"/>
  <c r="BM172" i="3"/>
  <c r="BL172" i="3"/>
  <c r="BM171" i="3"/>
  <c r="BL171" i="3"/>
  <c r="BM170" i="3"/>
  <c r="BL170" i="3"/>
  <c r="BM169" i="3"/>
  <c r="BL169" i="3"/>
  <c r="BM168" i="3"/>
  <c r="BL168" i="3"/>
  <c r="BM167" i="3"/>
  <c r="BL167" i="3"/>
  <c r="BM166" i="3"/>
  <c r="BL166" i="3"/>
  <c r="BM165" i="3"/>
  <c r="BL165" i="3"/>
  <c r="BM164" i="3"/>
  <c r="BL164" i="3"/>
  <c r="BM163" i="3"/>
  <c r="BL163" i="3"/>
  <c r="BM162" i="3"/>
  <c r="BL162" i="3"/>
  <c r="BM161" i="3"/>
  <c r="BL161" i="3"/>
  <c r="BM160" i="3"/>
  <c r="BL160" i="3"/>
  <c r="BM159" i="3"/>
  <c r="BL159" i="3"/>
  <c r="BM158" i="3"/>
  <c r="BL158" i="3"/>
  <c r="BM157" i="3"/>
  <c r="BL157" i="3"/>
  <c r="BM156" i="3"/>
  <c r="BL156" i="3"/>
  <c r="BM155" i="3"/>
  <c r="BL155" i="3"/>
  <c r="BM154" i="3"/>
  <c r="BL154" i="3"/>
  <c r="BM153" i="3"/>
  <c r="BL153" i="3"/>
  <c r="BM152" i="3"/>
  <c r="BL152" i="3"/>
  <c r="BM151" i="3"/>
  <c r="BL151" i="3"/>
  <c r="BM150" i="3"/>
  <c r="BL150" i="3"/>
  <c r="BM149" i="3"/>
  <c r="BL149" i="3"/>
  <c r="BM148" i="3"/>
  <c r="BL148" i="3"/>
  <c r="BM147" i="3"/>
  <c r="BL147" i="3"/>
  <c r="BM146" i="3"/>
  <c r="BL146" i="3"/>
  <c r="BM145" i="3"/>
  <c r="BL145" i="3"/>
  <c r="BM144" i="3"/>
  <c r="BL144" i="3"/>
  <c r="BM143" i="3"/>
  <c r="BL143" i="3"/>
  <c r="BM142" i="3"/>
  <c r="BL142" i="3"/>
  <c r="BM141" i="3"/>
  <c r="BL141" i="3"/>
  <c r="BM140" i="3"/>
  <c r="BL140" i="3"/>
  <c r="BM139" i="3"/>
  <c r="BL139" i="3"/>
  <c r="BM138" i="3"/>
  <c r="BL138" i="3"/>
  <c r="BM137" i="3"/>
  <c r="BL137" i="3"/>
  <c r="BM136" i="3"/>
  <c r="BL136" i="3"/>
  <c r="BM135" i="3"/>
  <c r="BL135" i="3"/>
  <c r="BM134" i="3"/>
  <c r="BL134" i="3"/>
  <c r="BM133" i="3"/>
  <c r="BL133" i="3"/>
  <c r="BM132" i="3"/>
  <c r="BL132" i="3"/>
  <c r="BM131" i="3"/>
  <c r="BL131" i="3"/>
  <c r="BM130" i="3"/>
  <c r="BL130" i="3"/>
  <c r="BM129" i="3"/>
  <c r="BL129" i="3"/>
  <c r="BM128" i="3"/>
  <c r="BL128" i="3"/>
  <c r="BM127" i="3"/>
  <c r="BL127" i="3"/>
  <c r="BM126" i="3"/>
  <c r="BL126" i="3"/>
  <c r="BM125" i="3"/>
  <c r="BL125" i="3"/>
  <c r="BM124" i="3"/>
  <c r="BL124" i="3"/>
  <c r="BM123" i="3"/>
  <c r="BL123" i="3"/>
  <c r="BM122" i="3"/>
  <c r="BL122" i="3"/>
  <c r="BM121" i="3"/>
  <c r="BL121" i="3"/>
  <c r="BM120" i="3"/>
  <c r="BL120" i="3"/>
  <c r="BM119" i="3"/>
  <c r="BL119" i="3"/>
  <c r="BM118" i="3"/>
  <c r="BL118" i="3"/>
  <c r="BM117" i="3"/>
  <c r="BL117" i="3"/>
  <c r="BM116" i="3"/>
  <c r="BL116" i="3"/>
  <c r="BM115" i="3"/>
  <c r="BL115" i="3"/>
  <c r="BM114" i="3"/>
  <c r="BL114" i="3"/>
  <c r="BM113" i="3"/>
  <c r="BL113" i="3"/>
  <c r="BM112" i="3"/>
  <c r="BL112" i="3"/>
  <c r="BM111" i="3"/>
  <c r="BL111" i="3"/>
  <c r="BM110" i="3"/>
  <c r="BL110" i="3"/>
  <c r="BM109" i="3"/>
  <c r="BL109" i="3"/>
  <c r="BM108" i="3"/>
  <c r="BL108" i="3"/>
  <c r="BM107" i="3"/>
  <c r="BL107" i="3"/>
  <c r="BM106" i="3"/>
  <c r="BL106" i="3"/>
  <c r="BM105" i="3"/>
  <c r="BL105" i="3"/>
  <c r="BM104" i="3"/>
  <c r="BL104" i="3"/>
  <c r="BM103" i="3"/>
  <c r="BL103" i="3"/>
  <c r="BM102" i="3"/>
  <c r="BL102" i="3"/>
  <c r="BM101" i="3"/>
  <c r="BL101" i="3"/>
  <c r="BM100" i="3"/>
  <c r="BL100" i="3"/>
  <c r="BM99" i="3"/>
  <c r="BL99" i="3"/>
  <c r="BM98" i="3"/>
  <c r="BL98" i="3"/>
  <c r="BM97" i="3"/>
  <c r="BL97" i="3"/>
  <c r="BM96" i="3"/>
  <c r="BL96" i="3"/>
  <c r="BM95" i="3"/>
  <c r="BL95" i="3"/>
  <c r="BM94" i="3"/>
  <c r="BL94" i="3"/>
  <c r="BM93" i="3"/>
  <c r="BL93" i="3"/>
  <c r="BM92" i="3"/>
  <c r="BL92" i="3"/>
  <c r="BM91" i="3"/>
  <c r="BL91" i="3"/>
  <c r="BM90" i="3"/>
  <c r="BL90" i="3"/>
  <c r="BM89" i="3"/>
  <c r="BL89" i="3"/>
  <c r="BM88" i="3"/>
  <c r="BL88" i="3"/>
  <c r="BM87" i="3"/>
  <c r="BL87" i="3"/>
  <c r="BM86" i="3"/>
  <c r="BL86" i="3"/>
  <c r="BM85" i="3"/>
  <c r="BL85" i="3"/>
  <c r="BM84" i="3"/>
  <c r="BL84" i="3"/>
  <c r="BM83" i="3"/>
  <c r="BL83" i="3"/>
  <c r="BM82" i="3"/>
  <c r="BL82" i="3"/>
  <c r="BM81" i="3"/>
  <c r="BL81" i="3"/>
  <c r="BM80" i="3"/>
  <c r="BL80" i="3"/>
  <c r="BM79" i="3"/>
  <c r="BL79" i="3"/>
  <c r="BM78" i="3"/>
  <c r="BL78" i="3"/>
  <c r="BM77" i="3"/>
  <c r="BL77" i="3"/>
  <c r="BM76" i="3"/>
  <c r="BL76" i="3"/>
  <c r="BM75" i="3"/>
  <c r="BL75" i="3"/>
  <c r="BM74" i="3"/>
  <c r="BL74" i="3"/>
  <c r="BM73" i="3"/>
  <c r="BL73" i="3"/>
  <c r="BM72" i="3"/>
  <c r="BL72" i="3"/>
  <c r="BM71" i="3"/>
  <c r="BL71" i="3"/>
  <c r="BM70" i="3"/>
  <c r="BL70" i="3"/>
  <c r="BM69" i="3"/>
  <c r="BL69" i="3"/>
  <c r="BM68" i="3"/>
  <c r="BL68" i="3"/>
  <c r="BM67" i="3"/>
  <c r="BL67" i="3"/>
  <c r="BM66" i="3"/>
  <c r="BL66" i="3"/>
  <c r="BM65" i="3"/>
  <c r="BL65" i="3"/>
  <c r="BM64" i="3"/>
  <c r="BL64" i="3"/>
  <c r="BM63" i="3"/>
  <c r="BL63" i="3"/>
  <c r="BM62" i="3"/>
  <c r="BL62" i="3"/>
  <c r="BM61" i="3"/>
  <c r="BL61" i="3"/>
  <c r="BM60" i="3"/>
  <c r="BL60" i="3"/>
  <c r="BM59" i="3"/>
  <c r="BL59" i="3"/>
  <c r="BM58" i="3"/>
  <c r="BL58" i="3"/>
  <c r="BM57" i="3"/>
  <c r="BL57" i="3"/>
  <c r="BM56" i="3"/>
  <c r="BL56" i="3"/>
  <c r="BM55" i="3"/>
  <c r="BL55" i="3"/>
  <c r="BM54" i="3"/>
  <c r="BL54" i="3"/>
  <c r="BM53" i="3"/>
  <c r="BL53" i="3"/>
  <c r="BM52" i="3"/>
  <c r="BL52" i="3"/>
  <c r="BM51" i="3"/>
  <c r="BL51" i="3"/>
  <c r="BM50" i="3"/>
  <c r="BL50" i="3"/>
  <c r="BM49" i="3"/>
  <c r="BL49" i="3"/>
  <c r="BM48" i="3"/>
  <c r="BL48" i="3"/>
  <c r="BM47" i="3"/>
  <c r="BL47" i="3"/>
  <c r="BM46" i="3"/>
  <c r="BL46" i="3"/>
  <c r="BM45" i="3"/>
  <c r="BL45" i="3"/>
  <c r="BM44" i="3"/>
  <c r="BL44" i="3"/>
  <c r="BM43" i="3"/>
  <c r="BL43" i="3"/>
  <c r="BM42" i="3"/>
  <c r="BL42" i="3"/>
  <c r="BM41" i="3"/>
  <c r="BL41" i="3"/>
  <c r="BM40" i="3"/>
  <c r="BL40" i="3"/>
  <c r="BM39" i="3"/>
  <c r="BL39" i="3"/>
  <c r="BM38" i="3"/>
  <c r="BL38" i="3"/>
  <c r="BM37" i="3"/>
  <c r="BL37" i="3"/>
  <c r="BM36" i="3"/>
  <c r="BL36" i="3"/>
  <c r="BM35" i="3"/>
  <c r="BL35" i="3"/>
  <c r="BM34" i="3"/>
  <c r="BL34" i="3"/>
  <c r="BM33" i="3"/>
  <c r="BL33" i="3"/>
  <c r="BM32" i="3"/>
  <c r="BL32" i="3"/>
  <c r="BM31" i="3"/>
  <c r="BL31" i="3"/>
  <c r="BM30" i="3"/>
  <c r="BL30" i="3"/>
  <c r="BM29" i="3"/>
  <c r="BL29" i="3"/>
  <c r="BM28" i="3"/>
  <c r="BL28" i="3"/>
  <c r="BM27" i="3"/>
  <c r="BL27" i="3"/>
  <c r="BM26" i="3"/>
  <c r="BL26" i="3"/>
  <c r="BM25" i="3"/>
  <c r="BL25" i="3"/>
  <c r="BM24" i="3"/>
  <c r="BL24" i="3"/>
  <c r="BM23" i="3"/>
  <c r="BL23" i="3"/>
  <c r="BM22" i="3"/>
  <c r="BL22" i="3"/>
  <c r="BM21" i="3"/>
  <c r="BL21" i="3"/>
  <c r="BM20" i="3"/>
  <c r="BL20" i="3"/>
  <c r="BM19" i="3"/>
  <c r="BL19" i="3"/>
  <c r="BM18" i="3"/>
  <c r="BL18" i="3"/>
  <c r="BM17" i="3"/>
  <c r="BL17" i="3"/>
  <c r="BM16" i="3"/>
  <c r="BL16" i="3"/>
  <c r="BM15" i="3"/>
  <c r="BL15" i="3"/>
  <c r="BM14" i="3"/>
  <c r="BL14" i="3"/>
  <c r="BM13" i="3"/>
  <c r="BL13" i="3"/>
  <c r="BM12" i="3"/>
  <c r="BL12" i="3"/>
  <c r="BM11" i="3"/>
  <c r="BL11" i="3"/>
  <c r="BM10" i="3"/>
  <c r="BL10" i="3"/>
  <c r="BM9" i="3"/>
  <c r="BL9" i="3"/>
  <c r="BM8" i="3"/>
  <c r="BL8" i="3"/>
  <c r="BM7" i="3"/>
  <c r="BL7" i="3"/>
  <c r="BM6" i="3"/>
  <c r="BL6" i="3"/>
  <c r="BM5" i="3"/>
  <c r="BL5" i="3"/>
  <c r="BM4" i="3"/>
  <c r="BL4" i="3"/>
  <c r="BM3" i="3"/>
  <c r="BL3" i="3"/>
  <c r="BM2" i="3"/>
  <c r="BL2" i="3"/>
  <c r="BP745" i="3"/>
  <c r="BO745" i="3"/>
  <c r="BP744" i="3"/>
  <c r="BO744" i="3"/>
  <c r="BP743" i="3"/>
  <c r="BO743" i="3"/>
  <c r="BP742" i="3"/>
  <c r="BO742" i="3"/>
  <c r="BP741" i="3"/>
  <c r="BO741" i="3"/>
  <c r="BP740" i="3"/>
  <c r="BO740" i="3"/>
  <c r="BP739" i="3"/>
  <c r="BO739" i="3"/>
  <c r="BP738" i="3"/>
  <c r="BO738" i="3"/>
  <c r="BP737" i="3"/>
  <c r="BO737" i="3"/>
  <c r="BP736" i="3"/>
  <c r="BO736" i="3"/>
  <c r="BP735" i="3"/>
  <c r="BO735" i="3"/>
  <c r="BP734" i="3"/>
  <c r="BO734" i="3"/>
  <c r="BP733" i="3"/>
  <c r="BO733" i="3"/>
  <c r="BP732" i="3"/>
  <c r="BO732" i="3"/>
  <c r="BP731" i="3"/>
  <c r="BO731" i="3"/>
  <c r="BP730" i="3"/>
  <c r="BO730" i="3"/>
  <c r="BP729" i="3"/>
  <c r="BO729" i="3"/>
  <c r="BP728" i="3"/>
  <c r="BO728" i="3"/>
  <c r="BP727" i="3"/>
  <c r="BO727" i="3"/>
  <c r="BP726" i="3"/>
  <c r="BO726" i="3"/>
  <c r="BP725" i="3"/>
  <c r="BO725" i="3"/>
  <c r="BP724" i="3"/>
  <c r="BO724" i="3"/>
  <c r="BP723" i="3"/>
  <c r="BO723" i="3"/>
  <c r="BP722" i="3"/>
  <c r="BO722" i="3"/>
  <c r="BP721" i="3"/>
  <c r="BO721" i="3"/>
  <c r="BP720" i="3"/>
  <c r="BO720" i="3"/>
  <c r="BP719" i="3"/>
  <c r="BO719" i="3"/>
  <c r="BP718" i="3"/>
  <c r="BO718" i="3"/>
  <c r="BP717" i="3"/>
  <c r="BO717" i="3"/>
  <c r="BP716" i="3"/>
  <c r="BO716" i="3"/>
  <c r="BP715" i="3"/>
  <c r="BO715" i="3"/>
  <c r="BP714" i="3"/>
  <c r="BO714" i="3"/>
  <c r="BP713" i="3"/>
  <c r="BO713" i="3"/>
  <c r="BP712" i="3"/>
  <c r="BO712" i="3"/>
  <c r="BP711" i="3"/>
  <c r="BO711" i="3"/>
  <c r="BP710" i="3"/>
  <c r="BO710" i="3"/>
  <c r="BP709" i="3"/>
  <c r="BO709" i="3"/>
  <c r="BP708" i="3"/>
  <c r="BO708" i="3"/>
  <c r="BP707" i="3"/>
  <c r="BO707" i="3"/>
  <c r="BP706" i="3"/>
  <c r="BO706" i="3"/>
  <c r="BP705" i="3"/>
  <c r="BO705" i="3"/>
  <c r="BP704" i="3"/>
  <c r="BO704" i="3"/>
  <c r="BP703" i="3"/>
  <c r="BO703" i="3"/>
  <c r="BP702" i="3"/>
  <c r="BO702" i="3"/>
  <c r="BP701" i="3"/>
  <c r="BO701" i="3"/>
  <c r="BP700" i="3"/>
  <c r="BO700" i="3"/>
  <c r="BP699" i="3"/>
  <c r="BO699" i="3"/>
  <c r="BP698" i="3"/>
  <c r="BO698" i="3"/>
  <c r="BP697" i="3"/>
  <c r="BO697" i="3"/>
  <c r="BP696" i="3"/>
  <c r="BO696" i="3"/>
  <c r="BP695" i="3"/>
  <c r="BO695" i="3"/>
  <c r="BP694" i="3"/>
  <c r="BO694" i="3"/>
  <c r="BP693" i="3"/>
  <c r="BO693" i="3"/>
  <c r="BP692" i="3"/>
  <c r="BO692" i="3"/>
  <c r="BP691" i="3"/>
  <c r="BO691" i="3"/>
  <c r="BP690" i="3"/>
  <c r="BO690" i="3"/>
  <c r="BP689" i="3"/>
  <c r="BO689" i="3"/>
  <c r="BP688" i="3"/>
  <c r="BO688" i="3"/>
  <c r="BP687" i="3"/>
  <c r="BO687" i="3"/>
  <c r="BP686" i="3"/>
  <c r="BO686" i="3"/>
  <c r="BP685" i="3"/>
  <c r="BO685" i="3"/>
  <c r="BP684" i="3"/>
  <c r="BO684" i="3"/>
  <c r="BP683" i="3"/>
  <c r="BO683" i="3"/>
  <c r="BP682" i="3"/>
  <c r="BO682" i="3"/>
  <c r="BP681" i="3"/>
  <c r="BO681" i="3"/>
  <c r="BP680" i="3"/>
  <c r="BO680" i="3"/>
  <c r="BP679" i="3"/>
  <c r="BO679" i="3"/>
  <c r="BP678" i="3"/>
  <c r="BO678" i="3"/>
  <c r="BP677" i="3"/>
  <c r="BO677" i="3"/>
  <c r="BP676" i="3"/>
  <c r="BO676" i="3"/>
  <c r="BP675" i="3"/>
  <c r="BO675" i="3"/>
  <c r="BP674" i="3"/>
  <c r="BO674" i="3"/>
  <c r="BP673" i="3"/>
  <c r="BO673" i="3"/>
  <c r="BP672" i="3"/>
  <c r="BO672" i="3"/>
  <c r="BP671" i="3"/>
  <c r="BO671" i="3"/>
  <c r="BP670" i="3"/>
  <c r="BO670" i="3"/>
  <c r="BP669" i="3"/>
  <c r="BO669" i="3"/>
  <c r="BP668" i="3"/>
  <c r="BO668" i="3"/>
  <c r="BP667" i="3"/>
  <c r="BO667" i="3"/>
  <c r="BP666" i="3"/>
  <c r="BO666" i="3"/>
  <c r="BP665" i="3"/>
  <c r="BO665" i="3"/>
  <c r="BP664" i="3"/>
  <c r="BO664" i="3"/>
  <c r="BP663" i="3"/>
  <c r="BO663" i="3"/>
  <c r="BP662" i="3"/>
  <c r="BO662" i="3"/>
  <c r="BP661" i="3"/>
  <c r="BO661" i="3"/>
  <c r="BP660" i="3"/>
  <c r="BO660" i="3"/>
  <c r="BP659" i="3"/>
  <c r="BO659" i="3"/>
  <c r="BP658" i="3"/>
  <c r="BO658" i="3"/>
  <c r="BP657" i="3"/>
  <c r="BO657" i="3"/>
  <c r="BP656" i="3"/>
  <c r="BO656" i="3"/>
  <c r="BP655" i="3"/>
  <c r="BO655" i="3"/>
  <c r="BP654" i="3"/>
  <c r="BO654" i="3"/>
  <c r="BP653" i="3"/>
  <c r="BO653" i="3"/>
  <c r="BP652" i="3"/>
  <c r="BO652" i="3"/>
  <c r="BP651" i="3"/>
  <c r="BO651" i="3"/>
  <c r="BP650" i="3"/>
  <c r="BO650" i="3"/>
  <c r="BP649" i="3"/>
  <c r="BO649" i="3"/>
  <c r="BP648" i="3"/>
  <c r="BO648" i="3"/>
  <c r="BP647" i="3"/>
  <c r="BO647" i="3"/>
  <c r="BP646" i="3"/>
  <c r="BO646" i="3"/>
  <c r="BP645" i="3"/>
  <c r="BO645" i="3"/>
  <c r="BP644" i="3"/>
  <c r="BO644" i="3"/>
  <c r="BP643" i="3"/>
  <c r="BO643" i="3"/>
  <c r="BP642" i="3"/>
  <c r="BO642" i="3"/>
  <c r="BP641" i="3"/>
  <c r="BO641" i="3"/>
  <c r="BP640" i="3"/>
  <c r="BO640" i="3"/>
  <c r="BP639" i="3"/>
  <c r="BO639" i="3"/>
  <c r="BP638" i="3"/>
  <c r="BO638" i="3"/>
  <c r="BP637" i="3"/>
  <c r="BO637" i="3"/>
  <c r="BP636" i="3"/>
  <c r="BO636" i="3"/>
  <c r="BP635" i="3"/>
  <c r="BO635" i="3"/>
  <c r="BP634" i="3"/>
  <c r="BO634" i="3"/>
  <c r="BP633" i="3"/>
  <c r="BO633" i="3"/>
  <c r="BP632" i="3"/>
  <c r="BO632" i="3"/>
  <c r="BP631" i="3"/>
  <c r="BO631" i="3"/>
  <c r="BP630" i="3"/>
  <c r="BO630" i="3"/>
  <c r="BP629" i="3"/>
  <c r="BO629" i="3"/>
  <c r="BP628" i="3"/>
  <c r="BO628" i="3"/>
  <c r="BP627" i="3"/>
  <c r="BO627" i="3"/>
  <c r="BP626" i="3"/>
  <c r="BO626" i="3"/>
  <c r="BP625" i="3"/>
  <c r="BO625" i="3"/>
  <c r="BP624" i="3"/>
  <c r="BO624" i="3"/>
  <c r="BP623" i="3"/>
  <c r="BO623" i="3"/>
  <c r="BP622" i="3"/>
  <c r="BO622" i="3"/>
  <c r="BP621" i="3"/>
  <c r="BO621" i="3"/>
  <c r="BP620" i="3"/>
  <c r="BO620" i="3"/>
  <c r="BP619" i="3"/>
  <c r="BO619" i="3"/>
  <c r="BP618" i="3"/>
  <c r="BO618" i="3"/>
  <c r="BP617" i="3"/>
  <c r="BO617" i="3"/>
  <c r="BP616" i="3"/>
  <c r="BO616" i="3"/>
  <c r="BP615" i="3"/>
  <c r="BO615" i="3"/>
  <c r="BP614" i="3"/>
  <c r="BO614" i="3"/>
  <c r="BP613" i="3"/>
  <c r="BO613" i="3"/>
  <c r="BP612" i="3"/>
  <c r="BO612" i="3"/>
  <c r="BP611" i="3"/>
  <c r="BO611" i="3"/>
  <c r="BP610" i="3"/>
  <c r="BO610" i="3"/>
  <c r="BP609" i="3"/>
  <c r="BO609" i="3"/>
  <c r="BP608" i="3"/>
  <c r="BO608" i="3"/>
  <c r="BP607" i="3"/>
  <c r="BO607" i="3"/>
  <c r="BP606" i="3"/>
  <c r="BO606" i="3"/>
  <c r="BP605" i="3"/>
  <c r="BO605" i="3"/>
  <c r="BP604" i="3"/>
  <c r="BO604" i="3"/>
  <c r="BP603" i="3"/>
  <c r="BO603" i="3"/>
  <c r="BP602" i="3"/>
  <c r="BO602" i="3"/>
  <c r="BP601" i="3"/>
  <c r="BO601" i="3"/>
  <c r="BP600" i="3"/>
  <c r="BO600" i="3"/>
  <c r="BP599" i="3"/>
  <c r="BO599" i="3"/>
  <c r="BP598" i="3"/>
  <c r="BO598" i="3"/>
  <c r="BP597" i="3"/>
  <c r="BO597" i="3"/>
  <c r="BP596" i="3"/>
  <c r="BO596" i="3"/>
  <c r="BP595" i="3"/>
  <c r="BO595" i="3"/>
  <c r="BP594" i="3"/>
  <c r="BO594" i="3"/>
  <c r="BP593" i="3"/>
  <c r="BO593" i="3"/>
  <c r="BP592" i="3"/>
  <c r="BO592" i="3"/>
  <c r="BP591" i="3"/>
  <c r="BO591" i="3"/>
  <c r="BP590" i="3"/>
  <c r="BO590" i="3"/>
  <c r="BP589" i="3"/>
  <c r="BO589" i="3"/>
  <c r="BP588" i="3"/>
  <c r="BO588" i="3"/>
  <c r="BP587" i="3"/>
  <c r="BO587" i="3"/>
  <c r="BP586" i="3"/>
  <c r="BO586" i="3"/>
  <c r="BP585" i="3"/>
  <c r="BO585" i="3"/>
  <c r="BP584" i="3"/>
  <c r="BO584" i="3"/>
  <c r="BP583" i="3"/>
  <c r="BO583" i="3"/>
  <c r="BP582" i="3"/>
  <c r="BO582" i="3"/>
  <c r="BP581" i="3"/>
  <c r="BO581" i="3"/>
  <c r="BP580" i="3"/>
  <c r="BO580" i="3"/>
  <c r="BP579" i="3"/>
  <c r="BO579" i="3"/>
  <c r="BP578" i="3"/>
  <c r="BO578" i="3"/>
  <c r="BP577" i="3"/>
  <c r="BO577" i="3"/>
  <c r="BP576" i="3"/>
  <c r="BO576" i="3"/>
  <c r="BP575" i="3"/>
  <c r="BO575" i="3"/>
  <c r="BP574" i="3"/>
  <c r="BO574" i="3"/>
  <c r="BP573" i="3"/>
  <c r="BO573" i="3"/>
  <c r="BP572" i="3"/>
  <c r="BO572" i="3"/>
  <c r="BP571" i="3"/>
  <c r="BO571" i="3"/>
  <c r="BP570" i="3"/>
  <c r="BO570" i="3"/>
  <c r="BP569" i="3"/>
  <c r="BO569" i="3"/>
  <c r="BP568" i="3"/>
  <c r="BO568" i="3"/>
  <c r="BP567" i="3"/>
  <c r="BO567" i="3"/>
  <c r="BP566" i="3"/>
  <c r="BO566" i="3"/>
  <c r="BP565" i="3"/>
  <c r="BO565" i="3"/>
  <c r="BP564" i="3"/>
  <c r="BO564" i="3"/>
  <c r="BP563" i="3"/>
  <c r="BO563" i="3"/>
  <c r="BP562" i="3"/>
  <c r="BO562" i="3"/>
  <c r="BP561" i="3"/>
  <c r="BO561" i="3"/>
  <c r="BP560" i="3"/>
  <c r="BO560" i="3"/>
  <c r="BP559" i="3"/>
  <c r="BO559" i="3"/>
  <c r="BP558" i="3"/>
  <c r="BO558" i="3"/>
  <c r="BP557" i="3"/>
  <c r="BO557" i="3"/>
  <c r="BP556" i="3"/>
  <c r="BO556" i="3"/>
  <c r="BP555" i="3"/>
  <c r="BO555" i="3"/>
  <c r="BP554" i="3"/>
  <c r="BO554" i="3"/>
  <c r="BP553" i="3"/>
  <c r="BO553" i="3"/>
  <c r="BP552" i="3"/>
  <c r="BO552" i="3"/>
  <c r="BP551" i="3"/>
  <c r="BO551" i="3"/>
  <c r="BP550" i="3"/>
  <c r="BO550" i="3"/>
  <c r="BP549" i="3"/>
  <c r="BO549" i="3"/>
  <c r="BP548" i="3"/>
  <c r="BO548" i="3"/>
  <c r="BP547" i="3"/>
  <c r="BO547" i="3"/>
  <c r="BP546" i="3"/>
  <c r="BO546" i="3"/>
  <c r="BP545" i="3"/>
  <c r="BO545" i="3"/>
  <c r="BP544" i="3"/>
  <c r="BO544" i="3"/>
  <c r="BP543" i="3"/>
  <c r="BO543" i="3"/>
  <c r="BP542" i="3"/>
  <c r="BO542" i="3"/>
  <c r="BP541" i="3"/>
  <c r="BO541" i="3"/>
  <c r="BP540" i="3"/>
  <c r="BO540" i="3"/>
  <c r="BP539" i="3"/>
  <c r="BO539" i="3"/>
  <c r="BP538" i="3"/>
  <c r="BO538" i="3"/>
  <c r="BP537" i="3"/>
  <c r="BO537" i="3"/>
  <c r="BP536" i="3"/>
  <c r="BO536" i="3"/>
  <c r="BP535" i="3"/>
  <c r="BO535" i="3"/>
  <c r="BP534" i="3"/>
  <c r="BO534" i="3"/>
  <c r="BP533" i="3"/>
  <c r="BO533" i="3"/>
  <c r="BP532" i="3"/>
  <c r="BO532" i="3"/>
  <c r="BP531" i="3"/>
  <c r="BO531" i="3"/>
  <c r="BP530" i="3"/>
  <c r="BO530" i="3"/>
  <c r="BP529" i="3"/>
  <c r="BO529" i="3"/>
  <c r="BP528" i="3"/>
  <c r="BO528" i="3"/>
  <c r="BP527" i="3"/>
  <c r="BO527" i="3"/>
  <c r="BP526" i="3"/>
  <c r="BO526" i="3"/>
  <c r="BP525" i="3"/>
  <c r="BO525" i="3"/>
  <c r="BP524" i="3"/>
  <c r="BO524" i="3"/>
  <c r="BP523" i="3"/>
  <c r="BO523" i="3"/>
  <c r="BP522" i="3"/>
  <c r="BO522" i="3"/>
  <c r="BP521" i="3"/>
  <c r="BO521" i="3"/>
  <c r="BP520" i="3"/>
  <c r="BO520" i="3"/>
  <c r="BP519" i="3"/>
  <c r="BO519" i="3"/>
  <c r="BP518" i="3"/>
  <c r="BO518" i="3"/>
  <c r="BP517" i="3"/>
  <c r="BO517" i="3"/>
  <c r="BP516" i="3"/>
  <c r="BO516" i="3"/>
  <c r="BP515" i="3"/>
  <c r="BO515" i="3"/>
  <c r="BP514" i="3"/>
  <c r="BO514" i="3"/>
  <c r="BP513" i="3"/>
  <c r="BO513" i="3"/>
  <c r="BP512" i="3"/>
  <c r="BO512" i="3"/>
  <c r="BP511" i="3"/>
  <c r="BO511" i="3"/>
  <c r="BP510" i="3"/>
  <c r="BO510" i="3"/>
  <c r="BP509" i="3"/>
  <c r="BO509" i="3"/>
  <c r="BP508" i="3"/>
  <c r="BO508" i="3"/>
  <c r="BP507" i="3"/>
  <c r="BO507" i="3"/>
  <c r="BP506" i="3"/>
  <c r="BO506" i="3"/>
  <c r="BP505" i="3"/>
  <c r="BO505" i="3"/>
  <c r="BP504" i="3"/>
  <c r="BO504" i="3"/>
  <c r="BP503" i="3"/>
  <c r="BO503" i="3"/>
  <c r="BP502" i="3"/>
  <c r="BO502" i="3"/>
  <c r="BP501" i="3"/>
  <c r="BO501" i="3"/>
  <c r="BP500" i="3"/>
  <c r="BO500" i="3"/>
  <c r="BP499" i="3"/>
  <c r="BO499" i="3"/>
  <c r="BP498" i="3"/>
  <c r="BO498" i="3"/>
  <c r="BP497" i="3"/>
  <c r="BO497" i="3"/>
  <c r="BP496" i="3"/>
  <c r="BO496" i="3"/>
  <c r="BP495" i="3"/>
  <c r="BO495" i="3"/>
  <c r="BP494" i="3"/>
  <c r="BO494" i="3"/>
  <c r="BP493" i="3"/>
  <c r="BO493" i="3"/>
  <c r="BP492" i="3"/>
  <c r="BO492" i="3"/>
  <c r="BP491" i="3"/>
  <c r="BO491" i="3"/>
  <c r="BP490" i="3"/>
  <c r="BO490" i="3"/>
  <c r="BP489" i="3"/>
  <c r="BO489" i="3"/>
  <c r="BP488" i="3"/>
  <c r="BO488" i="3"/>
  <c r="BP487" i="3"/>
  <c r="BO487" i="3"/>
  <c r="BP486" i="3"/>
  <c r="BO486" i="3"/>
  <c r="BP485" i="3"/>
  <c r="BO485" i="3"/>
  <c r="BP484" i="3"/>
  <c r="BO484" i="3"/>
  <c r="BP483" i="3"/>
  <c r="BO483" i="3"/>
  <c r="BP482" i="3"/>
  <c r="BO482" i="3"/>
  <c r="BP481" i="3"/>
  <c r="BO481" i="3"/>
  <c r="BP480" i="3"/>
  <c r="BO480" i="3"/>
  <c r="BP479" i="3"/>
  <c r="BO479" i="3"/>
  <c r="BP478" i="3"/>
  <c r="BO478" i="3"/>
  <c r="BP477" i="3"/>
  <c r="BO477" i="3"/>
  <c r="BP476" i="3"/>
  <c r="BO476" i="3"/>
  <c r="BP475" i="3"/>
  <c r="BO475" i="3"/>
  <c r="BP474" i="3"/>
  <c r="BO474" i="3"/>
  <c r="BP473" i="3"/>
  <c r="BO473" i="3"/>
  <c r="BP472" i="3"/>
  <c r="BO472" i="3"/>
  <c r="BP471" i="3"/>
  <c r="BO471" i="3"/>
  <c r="BP470" i="3"/>
  <c r="BO470" i="3"/>
  <c r="BP469" i="3"/>
  <c r="BO469" i="3"/>
  <c r="BP468" i="3"/>
  <c r="BO468" i="3"/>
  <c r="BP467" i="3"/>
  <c r="BO467" i="3"/>
  <c r="BP466" i="3"/>
  <c r="BO466" i="3"/>
  <c r="BP465" i="3"/>
  <c r="BO465" i="3"/>
  <c r="BP464" i="3"/>
  <c r="BO464" i="3"/>
  <c r="BP463" i="3"/>
  <c r="BO463" i="3"/>
  <c r="BP462" i="3"/>
  <c r="BO462" i="3"/>
  <c r="BP461" i="3"/>
  <c r="BO461" i="3"/>
  <c r="BP460" i="3"/>
  <c r="BO460" i="3"/>
  <c r="BP459" i="3"/>
  <c r="BO459" i="3"/>
  <c r="BP458" i="3"/>
  <c r="BO458" i="3"/>
  <c r="BP457" i="3"/>
  <c r="BO457" i="3"/>
  <c r="BP456" i="3"/>
  <c r="BO456" i="3"/>
  <c r="BP455" i="3"/>
  <c r="BO455" i="3"/>
  <c r="BP454" i="3"/>
  <c r="BO454" i="3"/>
  <c r="BP453" i="3"/>
  <c r="BO453" i="3"/>
  <c r="BP452" i="3"/>
  <c r="BO452" i="3"/>
  <c r="BP451" i="3"/>
  <c r="BO451" i="3"/>
  <c r="BP450" i="3"/>
  <c r="BO450" i="3"/>
  <c r="BP449" i="3"/>
  <c r="BO449" i="3"/>
  <c r="BP448" i="3"/>
  <c r="BO448" i="3"/>
  <c r="BP447" i="3"/>
  <c r="BO447" i="3"/>
  <c r="BP446" i="3"/>
  <c r="BO446" i="3"/>
  <c r="BP445" i="3"/>
  <c r="BO445" i="3"/>
  <c r="BP444" i="3"/>
  <c r="BO444" i="3"/>
  <c r="BP443" i="3"/>
  <c r="BO443" i="3"/>
  <c r="BP442" i="3"/>
  <c r="BO442" i="3"/>
  <c r="BP441" i="3"/>
  <c r="BO441" i="3"/>
  <c r="BP440" i="3"/>
  <c r="BO440" i="3"/>
  <c r="BP439" i="3"/>
  <c r="BO439" i="3"/>
  <c r="BP438" i="3"/>
  <c r="BO438" i="3"/>
  <c r="BP437" i="3"/>
  <c r="BO437" i="3"/>
  <c r="BP436" i="3"/>
  <c r="BO436" i="3"/>
  <c r="BP435" i="3"/>
  <c r="BO435" i="3"/>
  <c r="BP434" i="3"/>
  <c r="BO434" i="3"/>
  <c r="BP433" i="3"/>
  <c r="BO433" i="3"/>
  <c r="BP432" i="3"/>
  <c r="BO432" i="3"/>
  <c r="BP431" i="3"/>
  <c r="BO431" i="3"/>
  <c r="BP430" i="3"/>
  <c r="BO430" i="3"/>
  <c r="BP429" i="3"/>
  <c r="BO429" i="3"/>
  <c r="BP428" i="3"/>
  <c r="BO428" i="3"/>
  <c r="BP427" i="3"/>
  <c r="BO427" i="3"/>
  <c r="BP426" i="3"/>
  <c r="BO426" i="3"/>
  <c r="BP425" i="3"/>
  <c r="BO425" i="3"/>
  <c r="BP424" i="3"/>
  <c r="BO424" i="3"/>
  <c r="BP423" i="3"/>
  <c r="BO423" i="3"/>
  <c r="BP422" i="3"/>
  <c r="BO422" i="3"/>
  <c r="BP421" i="3"/>
  <c r="BO421" i="3"/>
  <c r="BP420" i="3"/>
  <c r="BO420" i="3"/>
  <c r="BP419" i="3"/>
  <c r="BO419" i="3"/>
  <c r="BP418" i="3"/>
  <c r="BO418" i="3"/>
  <c r="BP417" i="3"/>
  <c r="BO417" i="3"/>
  <c r="BP416" i="3"/>
  <c r="BO416" i="3"/>
  <c r="BP415" i="3"/>
  <c r="BO415" i="3"/>
  <c r="BP414" i="3"/>
  <c r="BO414" i="3"/>
  <c r="BP413" i="3"/>
  <c r="BO413" i="3"/>
  <c r="BP412" i="3"/>
  <c r="BO412" i="3"/>
  <c r="BP411" i="3"/>
  <c r="BO411" i="3"/>
  <c r="BP410" i="3"/>
  <c r="BO410" i="3"/>
  <c r="BP409" i="3"/>
  <c r="BO409" i="3"/>
  <c r="BP408" i="3"/>
  <c r="BO408" i="3"/>
  <c r="BP407" i="3"/>
  <c r="BO407" i="3"/>
  <c r="BP406" i="3"/>
  <c r="BO406" i="3"/>
  <c r="BP405" i="3"/>
  <c r="BO405" i="3"/>
  <c r="BP404" i="3"/>
  <c r="BO404" i="3"/>
  <c r="BP403" i="3"/>
  <c r="BO403" i="3"/>
  <c r="BP402" i="3"/>
  <c r="BO402" i="3"/>
  <c r="BP401" i="3"/>
  <c r="BO401" i="3"/>
  <c r="BP400" i="3"/>
  <c r="BO400" i="3"/>
  <c r="BP399" i="3"/>
  <c r="BO399" i="3"/>
  <c r="BP398" i="3"/>
  <c r="BO398" i="3"/>
  <c r="BP397" i="3"/>
  <c r="BO397" i="3"/>
  <c r="BP396" i="3"/>
  <c r="BO396" i="3"/>
  <c r="BP395" i="3"/>
  <c r="BO395" i="3"/>
  <c r="BP394" i="3"/>
  <c r="BO394" i="3"/>
  <c r="BP393" i="3"/>
  <c r="BO393" i="3"/>
  <c r="BP392" i="3"/>
  <c r="BO392" i="3"/>
  <c r="BP391" i="3"/>
  <c r="BO391" i="3"/>
  <c r="BP390" i="3"/>
  <c r="BO390" i="3"/>
  <c r="BP389" i="3"/>
  <c r="BO389" i="3"/>
  <c r="BP388" i="3"/>
  <c r="BO388" i="3"/>
  <c r="BP387" i="3"/>
  <c r="BO387" i="3"/>
  <c r="BP386" i="3"/>
  <c r="BO386" i="3"/>
  <c r="BP385" i="3"/>
  <c r="BO385" i="3"/>
  <c r="BP384" i="3"/>
  <c r="BO384" i="3"/>
  <c r="BP383" i="3"/>
  <c r="BO383" i="3"/>
  <c r="BP382" i="3"/>
  <c r="BO382" i="3"/>
  <c r="BP381" i="3"/>
  <c r="BO381" i="3"/>
  <c r="BP380" i="3"/>
  <c r="BO380" i="3"/>
  <c r="BP379" i="3"/>
  <c r="BO379" i="3"/>
  <c r="BP378" i="3"/>
  <c r="BO378" i="3"/>
  <c r="BP377" i="3"/>
  <c r="BO377" i="3"/>
  <c r="BP376" i="3"/>
  <c r="BO376" i="3"/>
  <c r="BP375" i="3"/>
  <c r="BO375" i="3"/>
  <c r="BP374" i="3"/>
  <c r="BO374" i="3"/>
  <c r="BP373" i="3"/>
  <c r="BO373" i="3"/>
  <c r="BP372" i="3"/>
  <c r="BO372" i="3"/>
  <c r="BP371" i="3"/>
  <c r="BO371" i="3"/>
  <c r="BP370" i="3"/>
  <c r="BO370" i="3"/>
  <c r="BP369" i="3"/>
  <c r="BO369" i="3"/>
  <c r="BP368" i="3"/>
  <c r="BO368" i="3"/>
  <c r="BP367" i="3"/>
  <c r="BO367" i="3"/>
  <c r="BP366" i="3"/>
  <c r="BO366" i="3"/>
  <c r="BP365" i="3"/>
  <c r="BO365" i="3"/>
  <c r="BP364" i="3"/>
  <c r="BO364" i="3"/>
  <c r="BP363" i="3"/>
  <c r="BO363" i="3"/>
  <c r="BP362" i="3"/>
  <c r="BO362" i="3"/>
  <c r="BP361" i="3"/>
  <c r="BO361" i="3"/>
  <c r="BP360" i="3"/>
  <c r="BO360" i="3"/>
  <c r="BP359" i="3"/>
  <c r="BO359" i="3"/>
  <c r="BP358" i="3"/>
  <c r="BO358" i="3"/>
  <c r="BP357" i="3"/>
  <c r="BO357" i="3"/>
  <c r="BP356" i="3"/>
  <c r="BO356" i="3"/>
  <c r="BP355" i="3"/>
  <c r="BO355" i="3"/>
  <c r="BP354" i="3"/>
  <c r="BO354" i="3"/>
  <c r="BP353" i="3"/>
  <c r="BO353" i="3"/>
  <c r="BP352" i="3"/>
  <c r="BO352" i="3"/>
  <c r="BP351" i="3"/>
  <c r="BO351" i="3"/>
  <c r="BP350" i="3"/>
  <c r="BO350" i="3"/>
  <c r="BP349" i="3"/>
  <c r="BO349" i="3"/>
  <c r="BP348" i="3"/>
  <c r="BO348" i="3"/>
  <c r="BP347" i="3"/>
  <c r="BO347" i="3"/>
  <c r="BP346" i="3"/>
  <c r="BO346" i="3"/>
  <c r="BP345" i="3"/>
  <c r="BO345" i="3"/>
  <c r="BP344" i="3"/>
  <c r="BO344" i="3"/>
  <c r="BP343" i="3"/>
  <c r="BO343" i="3"/>
  <c r="BP342" i="3"/>
  <c r="BO342" i="3"/>
  <c r="BP341" i="3"/>
  <c r="BO341" i="3"/>
  <c r="BP340" i="3"/>
  <c r="BO340" i="3"/>
  <c r="BP339" i="3"/>
  <c r="BO339" i="3"/>
  <c r="BP338" i="3"/>
  <c r="BO338" i="3"/>
  <c r="BP337" i="3"/>
  <c r="BO337" i="3"/>
  <c r="BP336" i="3"/>
  <c r="BO336" i="3"/>
  <c r="BP335" i="3"/>
  <c r="BO335" i="3"/>
  <c r="BP334" i="3"/>
  <c r="BO334" i="3"/>
  <c r="BP333" i="3"/>
  <c r="BO333" i="3"/>
  <c r="BP332" i="3"/>
  <c r="BO332" i="3"/>
  <c r="BP331" i="3"/>
  <c r="BO331" i="3"/>
  <c r="BP330" i="3"/>
  <c r="BO330" i="3"/>
  <c r="BP329" i="3"/>
  <c r="BO329" i="3"/>
  <c r="BP328" i="3"/>
  <c r="BO328" i="3"/>
  <c r="BP327" i="3"/>
  <c r="BO327" i="3"/>
  <c r="BP326" i="3"/>
  <c r="BO326" i="3"/>
  <c r="BP325" i="3"/>
  <c r="BO325" i="3"/>
  <c r="BP324" i="3"/>
  <c r="BO324" i="3"/>
  <c r="BP323" i="3"/>
  <c r="BO323" i="3"/>
  <c r="BP322" i="3"/>
  <c r="BO322" i="3"/>
  <c r="BP321" i="3"/>
  <c r="BO321" i="3"/>
  <c r="BP320" i="3"/>
  <c r="BO320" i="3"/>
  <c r="BP319" i="3"/>
  <c r="BO319" i="3"/>
  <c r="BP318" i="3"/>
  <c r="BO318" i="3"/>
  <c r="BP317" i="3"/>
  <c r="BO317" i="3"/>
  <c r="BP316" i="3"/>
  <c r="BO316" i="3"/>
  <c r="BP315" i="3"/>
  <c r="BO315" i="3"/>
  <c r="BP314" i="3"/>
  <c r="BO314" i="3"/>
  <c r="BP313" i="3"/>
  <c r="BO313" i="3"/>
  <c r="BP312" i="3"/>
  <c r="BO312" i="3"/>
  <c r="BP311" i="3"/>
  <c r="BO311" i="3"/>
  <c r="BP310" i="3"/>
  <c r="BO310" i="3"/>
  <c r="BP309" i="3"/>
  <c r="BO309" i="3"/>
  <c r="BP308" i="3"/>
  <c r="BO308" i="3"/>
  <c r="BP307" i="3"/>
  <c r="BO307" i="3"/>
  <c r="BP306" i="3"/>
  <c r="BO306" i="3"/>
  <c r="BP305" i="3"/>
  <c r="BO305" i="3"/>
  <c r="BP304" i="3"/>
  <c r="BO304" i="3"/>
  <c r="BP303" i="3"/>
  <c r="BO303" i="3"/>
  <c r="BP302" i="3"/>
  <c r="BO302" i="3"/>
  <c r="BP301" i="3"/>
  <c r="BO301" i="3"/>
  <c r="BP300" i="3"/>
  <c r="BO300" i="3"/>
  <c r="BP299" i="3"/>
  <c r="BO299" i="3"/>
  <c r="BP298" i="3"/>
  <c r="BO298" i="3"/>
  <c r="BP297" i="3"/>
  <c r="BO297" i="3"/>
  <c r="BP296" i="3"/>
  <c r="BO296" i="3"/>
  <c r="BP295" i="3"/>
  <c r="BO295" i="3"/>
  <c r="BP294" i="3"/>
  <c r="BO294" i="3"/>
  <c r="BP293" i="3"/>
  <c r="BO293" i="3"/>
  <c r="BP292" i="3"/>
  <c r="BO292" i="3"/>
  <c r="BP291" i="3"/>
  <c r="BO291" i="3"/>
  <c r="BP290" i="3"/>
  <c r="BO290" i="3"/>
  <c r="BP289" i="3"/>
  <c r="BO289" i="3"/>
  <c r="BP288" i="3"/>
  <c r="BO288" i="3"/>
  <c r="BP287" i="3"/>
  <c r="BO287" i="3"/>
  <c r="BP286" i="3"/>
  <c r="BO286" i="3"/>
  <c r="BP285" i="3"/>
  <c r="BO285" i="3"/>
  <c r="BP284" i="3"/>
  <c r="BO284" i="3"/>
  <c r="BP283" i="3"/>
  <c r="BO283" i="3"/>
  <c r="BP282" i="3"/>
  <c r="BO282" i="3"/>
  <c r="BP281" i="3"/>
  <c r="BO281" i="3"/>
  <c r="BP280" i="3"/>
  <c r="BO280" i="3"/>
  <c r="BP279" i="3"/>
  <c r="BO279" i="3"/>
  <c r="BP278" i="3"/>
  <c r="BO278" i="3"/>
  <c r="BP277" i="3"/>
  <c r="BO277" i="3"/>
  <c r="BP276" i="3"/>
  <c r="BO276" i="3"/>
  <c r="BP275" i="3"/>
  <c r="BO275" i="3"/>
  <c r="BP274" i="3"/>
  <c r="BO274" i="3"/>
  <c r="BP273" i="3"/>
  <c r="BO273" i="3"/>
  <c r="BP272" i="3"/>
  <c r="BO272" i="3"/>
  <c r="BP271" i="3"/>
  <c r="BO271" i="3"/>
  <c r="BP270" i="3"/>
  <c r="BO270" i="3"/>
  <c r="BP269" i="3"/>
  <c r="BO269" i="3"/>
  <c r="BP268" i="3"/>
  <c r="BO268" i="3"/>
  <c r="BP267" i="3"/>
  <c r="BO267" i="3"/>
  <c r="BP266" i="3"/>
  <c r="BO266" i="3"/>
  <c r="BP265" i="3"/>
  <c r="BO265" i="3"/>
  <c r="BP264" i="3"/>
  <c r="BO264" i="3"/>
  <c r="BP263" i="3"/>
  <c r="BO263" i="3"/>
  <c r="BP262" i="3"/>
  <c r="BO262" i="3"/>
  <c r="BP261" i="3"/>
  <c r="BO261" i="3"/>
  <c r="BP260" i="3"/>
  <c r="BO260" i="3"/>
  <c r="BP259" i="3"/>
  <c r="BO259" i="3"/>
  <c r="BP258" i="3"/>
  <c r="BO258" i="3"/>
  <c r="BP257" i="3"/>
  <c r="BO257" i="3"/>
  <c r="BP256" i="3"/>
  <c r="BO256" i="3"/>
  <c r="BP255" i="3"/>
  <c r="BO255" i="3"/>
  <c r="BP254" i="3"/>
  <c r="BO254" i="3"/>
  <c r="BP253" i="3"/>
  <c r="BO253" i="3"/>
  <c r="BP252" i="3"/>
  <c r="BO252" i="3"/>
  <c r="BP251" i="3"/>
  <c r="BO251" i="3"/>
  <c r="BP250" i="3"/>
  <c r="BO250" i="3"/>
  <c r="BP249" i="3"/>
  <c r="BO249" i="3"/>
  <c r="BP248" i="3"/>
  <c r="BO248" i="3"/>
  <c r="BP247" i="3"/>
  <c r="BO247" i="3"/>
  <c r="BP246" i="3"/>
  <c r="BO246" i="3"/>
  <c r="BP245" i="3"/>
  <c r="BO245" i="3"/>
  <c r="BP244" i="3"/>
  <c r="BO244" i="3"/>
  <c r="BP243" i="3"/>
  <c r="BO243" i="3"/>
  <c r="BP242" i="3"/>
  <c r="BO242" i="3"/>
  <c r="BP241" i="3"/>
  <c r="BO241" i="3"/>
  <c r="BP240" i="3"/>
  <c r="BO240" i="3"/>
  <c r="BP239" i="3"/>
  <c r="BO239" i="3"/>
  <c r="BP238" i="3"/>
  <c r="BO238" i="3"/>
  <c r="BP237" i="3"/>
  <c r="BO237" i="3"/>
  <c r="BP236" i="3"/>
  <c r="BO236" i="3"/>
  <c r="BP235" i="3"/>
  <c r="BO235" i="3"/>
  <c r="BP234" i="3"/>
  <c r="BO234" i="3"/>
  <c r="BP233" i="3"/>
  <c r="BO233" i="3"/>
  <c r="BP232" i="3"/>
  <c r="BO232" i="3"/>
  <c r="BP231" i="3"/>
  <c r="BO231" i="3"/>
  <c r="BP230" i="3"/>
  <c r="BO230" i="3"/>
  <c r="BP229" i="3"/>
  <c r="BO229" i="3"/>
  <c r="BP228" i="3"/>
  <c r="BO228" i="3"/>
  <c r="BP227" i="3"/>
  <c r="BO227" i="3"/>
  <c r="BP226" i="3"/>
  <c r="BO226" i="3"/>
  <c r="BP225" i="3"/>
  <c r="BO225" i="3"/>
  <c r="BP224" i="3"/>
  <c r="BO224" i="3"/>
  <c r="BP223" i="3"/>
  <c r="BO223" i="3"/>
  <c r="BP222" i="3"/>
  <c r="BO222" i="3"/>
  <c r="BP221" i="3"/>
  <c r="BO221" i="3"/>
  <c r="BP220" i="3"/>
  <c r="BO220" i="3"/>
  <c r="BP219" i="3"/>
  <c r="BO219" i="3"/>
  <c r="BP218" i="3"/>
  <c r="BO218" i="3"/>
  <c r="BP217" i="3"/>
  <c r="BO217" i="3"/>
  <c r="BP216" i="3"/>
  <c r="BO216" i="3"/>
  <c r="BP215" i="3"/>
  <c r="BO215" i="3"/>
  <c r="BP214" i="3"/>
  <c r="BO214" i="3"/>
  <c r="BP213" i="3"/>
  <c r="BO213" i="3"/>
  <c r="BP212" i="3"/>
  <c r="BO212" i="3"/>
  <c r="BP211" i="3"/>
  <c r="BO211" i="3"/>
  <c r="BP210" i="3"/>
  <c r="BO210" i="3"/>
  <c r="BP209" i="3"/>
  <c r="BO209" i="3"/>
  <c r="BP208" i="3"/>
  <c r="BO208" i="3"/>
  <c r="BP207" i="3"/>
  <c r="BO207" i="3"/>
  <c r="BP206" i="3"/>
  <c r="BO206" i="3"/>
  <c r="BP205" i="3"/>
  <c r="BO205" i="3"/>
  <c r="BP204" i="3"/>
  <c r="BO204" i="3"/>
  <c r="BP203" i="3"/>
  <c r="BO203" i="3"/>
  <c r="BP202" i="3"/>
  <c r="BO202" i="3"/>
  <c r="BP201" i="3"/>
  <c r="BO201" i="3"/>
  <c r="BP200" i="3"/>
  <c r="BO200" i="3"/>
  <c r="BP199" i="3"/>
  <c r="BO199" i="3"/>
  <c r="BP198" i="3"/>
  <c r="BO198" i="3"/>
  <c r="BP197" i="3"/>
  <c r="BO197" i="3"/>
  <c r="BP196" i="3"/>
  <c r="BO196" i="3"/>
  <c r="BP195" i="3"/>
  <c r="BO195" i="3"/>
  <c r="BP194" i="3"/>
  <c r="BO194" i="3"/>
  <c r="BP193" i="3"/>
  <c r="BO193" i="3"/>
  <c r="BP192" i="3"/>
  <c r="BO192" i="3"/>
  <c r="BP191" i="3"/>
  <c r="BO191" i="3"/>
  <c r="BP190" i="3"/>
  <c r="BO190" i="3"/>
  <c r="BP189" i="3"/>
  <c r="BO189" i="3"/>
  <c r="BP188" i="3"/>
  <c r="BO188" i="3"/>
  <c r="BP187" i="3"/>
  <c r="BO187" i="3"/>
  <c r="BP186" i="3"/>
  <c r="BO186" i="3"/>
  <c r="BP185" i="3"/>
  <c r="BO185" i="3"/>
  <c r="BP184" i="3"/>
  <c r="BO184" i="3"/>
  <c r="BP183" i="3"/>
  <c r="BO183" i="3"/>
  <c r="BP182" i="3"/>
  <c r="BO182" i="3"/>
  <c r="BP181" i="3"/>
  <c r="BO181" i="3"/>
  <c r="BP180" i="3"/>
  <c r="BO180" i="3"/>
  <c r="BP179" i="3"/>
  <c r="BO179" i="3"/>
  <c r="BP178" i="3"/>
  <c r="BO178" i="3"/>
  <c r="BP177" i="3"/>
  <c r="BO177" i="3"/>
  <c r="BP176" i="3"/>
  <c r="BO176" i="3"/>
  <c r="BP175" i="3"/>
  <c r="BO175" i="3"/>
  <c r="BP174" i="3"/>
  <c r="BO174" i="3"/>
  <c r="BP173" i="3"/>
  <c r="BO173" i="3"/>
  <c r="BP172" i="3"/>
  <c r="BO172" i="3"/>
  <c r="BP171" i="3"/>
  <c r="BO171" i="3"/>
  <c r="BP170" i="3"/>
  <c r="BO170" i="3"/>
  <c r="BP169" i="3"/>
  <c r="BO169" i="3"/>
  <c r="BP168" i="3"/>
  <c r="BO168" i="3"/>
  <c r="BP167" i="3"/>
  <c r="BO167" i="3"/>
  <c r="BP166" i="3"/>
  <c r="BO166" i="3"/>
  <c r="BP165" i="3"/>
  <c r="BO165" i="3"/>
  <c r="BP164" i="3"/>
  <c r="BO164" i="3"/>
  <c r="BP163" i="3"/>
  <c r="BO163" i="3"/>
  <c r="BP162" i="3"/>
  <c r="BO162" i="3"/>
  <c r="BP161" i="3"/>
  <c r="BO161" i="3"/>
  <c r="BP160" i="3"/>
  <c r="BO160" i="3"/>
  <c r="BP159" i="3"/>
  <c r="BO159" i="3"/>
  <c r="BP158" i="3"/>
  <c r="BO158" i="3"/>
  <c r="BP157" i="3"/>
  <c r="BO157" i="3"/>
  <c r="BP156" i="3"/>
  <c r="BO156" i="3"/>
  <c r="BP155" i="3"/>
  <c r="BO155" i="3"/>
  <c r="BP154" i="3"/>
  <c r="BO154" i="3"/>
  <c r="BP153" i="3"/>
  <c r="BO153" i="3"/>
  <c r="BP152" i="3"/>
  <c r="BO152" i="3"/>
  <c r="BP151" i="3"/>
  <c r="BO151" i="3"/>
  <c r="BP150" i="3"/>
  <c r="BO150" i="3"/>
  <c r="BP149" i="3"/>
  <c r="BO149" i="3"/>
  <c r="BP148" i="3"/>
  <c r="BO148" i="3"/>
  <c r="BP147" i="3"/>
  <c r="BO147" i="3"/>
  <c r="BP146" i="3"/>
  <c r="BO146" i="3"/>
  <c r="BP145" i="3"/>
  <c r="BO145" i="3"/>
  <c r="BP144" i="3"/>
  <c r="BO144" i="3"/>
  <c r="BP143" i="3"/>
  <c r="BO143" i="3"/>
  <c r="BP142" i="3"/>
  <c r="BO142" i="3"/>
  <c r="BP141" i="3"/>
  <c r="BO141" i="3"/>
  <c r="BP140" i="3"/>
  <c r="BO140" i="3"/>
  <c r="BP139" i="3"/>
  <c r="BO139" i="3"/>
  <c r="BP138" i="3"/>
  <c r="BO138" i="3"/>
  <c r="BP137" i="3"/>
  <c r="BO137" i="3"/>
  <c r="BP136" i="3"/>
  <c r="BO136" i="3"/>
  <c r="BP135" i="3"/>
  <c r="BO135" i="3"/>
  <c r="BP134" i="3"/>
  <c r="BO134" i="3"/>
  <c r="BP133" i="3"/>
  <c r="BO133" i="3"/>
  <c r="BP132" i="3"/>
  <c r="BO132" i="3"/>
  <c r="BP131" i="3"/>
  <c r="BO131" i="3"/>
  <c r="BP130" i="3"/>
  <c r="BO130" i="3"/>
  <c r="BP129" i="3"/>
  <c r="BO129" i="3"/>
  <c r="BP128" i="3"/>
  <c r="BO128" i="3"/>
  <c r="BP127" i="3"/>
  <c r="BO127" i="3"/>
  <c r="BP126" i="3"/>
  <c r="BO126" i="3"/>
  <c r="BP125" i="3"/>
  <c r="BO125" i="3"/>
  <c r="BP124" i="3"/>
  <c r="BO124" i="3"/>
  <c r="BP123" i="3"/>
  <c r="BO123" i="3"/>
  <c r="BP122" i="3"/>
  <c r="BO122" i="3"/>
  <c r="BP121" i="3"/>
  <c r="BO121" i="3"/>
  <c r="BP120" i="3"/>
  <c r="BO120" i="3"/>
  <c r="BP119" i="3"/>
  <c r="BO119" i="3"/>
  <c r="BP118" i="3"/>
  <c r="BO118" i="3"/>
  <c r="BP117" i="3"/>
  <c r="BO117" i="3"/>
  <c r="BP116" i="3"/>
  <c r="BO116" i="3"/>
  <c r="BP115" i="3"/>
  <c r="BO115" i="3"/>
  <c r="BP114" i="3"/>
  <c r="BO114" i="3"/>
  <c r="BP113" i="3"/>
  <c r="BO113" i="3"/>
  <c r="BP112" i="3"/>
  <c r="BO112" i="3"/>
  <c r="BP111" i="3"/>
  <c r="BO111" i="3"/>
  <c r="BP110" i="3"/>
  <c r="BO110" i="3"/>
  <c r="BP109" i="3"/>
  <c r="BO109" i="3"/>
  <c r="BP108" i="3"/>
  <c r="BO108" i="3"/>
  <c r="BP107" i="3"/>
  <c r="BO107" i="3"/>
  <c r="BP106" i="3"/>
  <c r="BO106" i="3"/>
  <c r="BP105" i="3"/>
  <c r="BO105" i="3"/>
  <c r="BP104" i="3"/>
  <c r="BO104" i="3"/>
  <c r="BP103" i="3"/>
  <c r="BO103" i="3"/>
  <c r="BP102" i="3"/>
  <c r="BO102" i="3"/>
  <c r="BP101" i="3"/>
  <c r="BO101" i="3"/>
  <c r="BP100" i="3"/>
  <c r="BO100" i="3"/>
  <c r="BP99" i="3"/>
  <c r="BO99" i="3"/>
  <c r="BP98" i="3"/>
  <c r="BO98" i="3"/>
  <c r="BP97" i="3"/>
  <c r="BO97" i="3"/>
  <c r="BP96" i="3"/>
  <c r="BO96" i="3"/>
  <c r="BP95" i="3"/>
  <c r="BO95" i="3"/>
  <c r="BP94" i="3"/>
  <c r="BO94" i="3"/>
  <c r="BP93" i="3"/>
  <c r="BO93" i="3"/>
  <c r="BP92" i="3"/>
  <c r="BO92" i="3"/>
  <c r="BP91" i="3"/>
  <c r="BO91" i="3"/>
  <c r="BP90" i="3"/>
  <c r="BO90" i="3"/>
  <c r="BP89" i="3"/>
  <c r="BO89" i="3"/>
  <c r="BP88" i="3"/>
  <c r="BO88" i="3"/>
  <c r="BP87" i="3"/>
  <c r="BO87" i="3"/>
  <c r="BP86" i="3"/>
  <c r="BO86" i="3"/>
  <c r="BP85" i="3"/>
  <c r="BO85" i="3"/>
  <c r="BP84" i="3"/>
  <c r="BO84" i="3"/>
  <c r="BP83" i="3"/>
  <c r="BO83" i="3"/>
  <c r="BP82" i="3"/>
  <c r="BO82" i="3"/>
  <c r="BP81" i="3"/>
  <c r="BO81" i="3"/>
  <c r="BP80" i="3"/>
  <c r="BO80" i="3"/>
  <c r="BP79" i="3"/>
  <c r="BO79" i="3"/>
  <c r="BP78" i="3"/>
  <c r="BO78" i="3"/>
  <c r="BP77" i="3"/>
  <c r="BO77" i="3"/>
  <c r="BP76" i="3"/>
  <c r="BO76" i="3"/>
  <c r="BP75" i="3"/>
  <c r="BO75" i="3"/>
  <c r="BP74" i="3"/>
  <c r="BO74" i="3"/>
  <c r="BP73" i="3"/>
  <c r="BO73" i="3"/>
  <c r="BP72" i="3"/>
  <c r="BO72" i="3"/>
  <c r="BP71" i="3"/>
  <c r="BO71" i="3"/>
  <c r="BP70" i="3"/>
  <c r="BO70" i="3"/>
  <c r="BP69" i="3"/>
  <c r="BO69" i="3"/>
  <c r="BP68" i="3"/>
  <c r="BO68" i="3"/>
  <c r="BP67" i="3"/>
  <c r="BO67" i="3"/>
  <c r="BP66" i="3"/>
  <c r="BO66" i="3"/>
  <c r="BP65" i="3"/>
  <c r="BO65" i="3"/>
  <c r="BP64" i="3"/>
  <c r="BO64" i="3"/>
  <c r="BP63" i="3"/>
  <c r="BO63" i="3"/>
  <c r="BP62" i="3"/>
  <c r="BO62" i="3"/>
  <c r="BP61" i="3"/>
  <c r="BO61" i="3"/>
  <c r="BP60" i="3"/>
  <c r="BO60" i="3"/>
  <c r="BP59" i="3"/>
  <c r="BO59" i="3"/>
  <c r="BP58" i="3"/>
  <c r="BO58" i="3"/>
  <c r="BP57" i="3"/>
  <c r="BO57" i="3"/>
  <c r="BP56" i="3"/>
  <c r="BO56" i="3"/>
  <c r="BP55" i="3"/>
  <c r="BO55" i="3"/>
  <c r="BP54" i="3"/>
  <c r="BO54" i="3"/>
  <c r="BP53" i="3"/>
  <c r="BO53" i="3"/>
  <c r="BP52" i="3"/>
  <c r="BO52" i="3"/>
  <c r="BP51" i="3"/>
  <c r="BO51" i="3"/>
  <c r="BP50" i="3"/>
  <c r="BO50" i="3"/>
  <c r="BP49" i="3"/>
  <c r="BO49" i="3"/>
  <c r="BP48" i="3"/>
  <c r="BO48" i="3"/>
  <c r="BP47" i="3"/>
  <c r="BO47" i="3"/>
  <c r="BP46" i="3"/>
  <c r="BO46" i="3"/>
  <c r="BP45" i="3"/>
  <c r="BO45" i="3"/>
  <c r="BP44" i="3"/>
  <c r="BO44" i="3"/>
  <c r="BP43" i="3"/>
  <c r="BO43" i="3"/>
  <c r="BP42" i="3"/>
  <c r="BO42" i="3"/>
  <c r="BP41" i="3"/>
  <c r="BO41" i="3"/>
  <c r="BP40" i="3"/>
  <c r="BO40" i="3"/>
  <c r="BP39" i="3"/>
  <c r="BO39" i="3"/>
  <c r="BP38" i="3"/>
  <c r="BO38" i="3"/>
  <c r="BP37" i="3"/>
  <c r="BO37" i="3"/>
  <c r="BP36" i="3"/>
  <c r="BO36" i="3"/>
  <c r="BP35" i="3"/>
  <c r="BO35" i="3"/>
  <c r="BP34" i="3"/>
  <c r="BO34" i="3"/>
  <c r="BP33" i="3"/>
  <c r="BO33" i="3"/>
  <c r="BP32" i="3"/>
  <c r="BO32" i="3"/>
  <c r="BP31" i="3"/>
  <c r="BO31" i="3"/>
  <c r="BP30" i="3"/>
  <c r="BO30" i="3"/>
  <c r="BP29" i="3"/>
  <c r="BO29" i="3"/>
  <c r="BP28" i="3"/>
  <c r="BO28" i="3"/>
  <c r="BP27" i="3"/>
  <c r="BO27" i="3"/>
  <c r="BP26" i="3"/>
  <c r="BO26" i="3"/>
  <c r="BP25" i="3"/>
  <c r="BO25" i="3"/>
  <c r="BP24" i="3"/>
  <c r="BO24" i="3"/>
  <c r="BP23" i="3"/>
  <c r="BO23" i="3"/>
  <c r="BP22" i="3"/>
  <c r="BO22" i="3"/>
  <c r="BP21" i="3"/>
  <c r="BO21" i="3"/>
  <c r="BP20" i="3"/>
  <c r="BO20" i="3"/>
  <c r="BP19" i="3"/>
  <c r="BO19" i="3"/>
  <c r="BP18" i="3"/>
  <c r="BO18" i="3"/>
  <c r="BP17" i="3"/>
  <c r="BO17" i="3"/>
  <c r="BP16" i="3"/>
  <c r="BO16" i="3"/>
  <c r="BP15" i="3"/>
  <c r="BO15" i="3"/>
  <c r="BP14" i="3"/>
  <c r="BO14" i="3"/>
  <c r="BP13" i="3"/>
  <c r="BO13" i="3"/>
  <c r="BP12" i="3"/>
  <c r="BO12" i="3"/>
  <c r="BP11" i="3"/>
  <c r="BO11" i="3"/>
  <c r="BP10" i="3"/>
  <c r="BO10" i="3"/>
  <c r="BP9" i="3"/>
  <c r="BO9" i="3"/>
  <c r="BP8" i="3"/>
  <c r="BO8" i="3"/>
  <c r="BP7" i="3"/>
  <c r="BO7" i="3"/>
  <c r="BP6" i="3"/>
  <c r="BO6" i="3"/>
  <c r="BP5" i="3"/>
  <c r="BO5" i="3"/>
  <c r="BP4" i="3"/>
  <c r="BO4" i="3"/>
  <c r="BP3" i="3"/>
  <c r="BO3" i="3"/>
  <c r="BP2" i="3"/>
  <c r="BO2" i="3"/>
  <c r="A898" i="7"/>
  <c r="A834" i="7"/>
  <c r="A770" i="7"/>
  <c r="A706" i="7"/>
  <c r="A642" i="7"/>
  <c r="A578" i="7"/>
  <c r="A514" i="7"/>
  <c r="A452" i="7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C72" i="5"/>
  <c r="C105" i="5" s="1"/>
  <c r="D72" i="5"/>
  <c r="D105" i="5" s="1"/>
  <c r="E72" i="5"/>
  <c r="E105" i="5" s="1"/>
  <c r="F72" i="5"/>
  <c r="F105" i="5" s="1"/>
  <c r="G72" i="5"/>
  <c r="G105" i="5" s="1"/>
  <c r="H72" i="5"/>
  <c r="H105" i="5" s="1"/>
  <c r="I72" i="5"/>
  <c r="I105" i="5" s="1"/>
  <c r="J72" i="5"/>
  <c r="J105" i="5" s="1"/>
  <c r="K72" i="5"/>
  <c r="K105" i="5" s="1"/>
  <c r="L72" i="5"/>
  <c r="L105" i="5" s="1"/>
  <c r="M72" i="5"/>
  <c r="M105" i="5" s="1"/>
  <c r="N72" i="5"/>
  <c r="N105" i="5" s="1"/>
  <c r="O72" i="5"/>
  <c r="O105" i="5" s="1"/>
  <c r="P72" i="5"/>
  <c r="P105" i="5" s="1"/>
  <c r="Q72" i="5"/>
  <c r="Q105" i="5" s="1"/>
  <c r="R72" i="5"/>
  <c r="R105" i="5" s="1"/>
  <c r="S72" i="5"/>
  <c r="S105" i="5" s="1"/>
  <c r="T72" i="5"/>
  <c r="T105" i="5" s="1"/>
  <c r="U72" i="5"/>
  <c r="U105" i="5" s="1"/>
  <c r="V72" i="5"/>
  <c r="V105" i="5" s="1"/>
  <c r="W72" i="5"/>
  <c r="W105" i="5" s="1"/>
  <c r="X72" i="5"/>
  <c r="X105" i="5" s="1"/>
  <c r="Y72" i="5"/>
  <c r="Y105" i="5" s="1"/>
  <c r="Z72" i="5"/>
  <c r="Z105" i="5" s="1"/>
  <c r="AA72" i="5"/>
  <c r="AA105" i="5" s="1"/>
  <c r="AB72" i="5"/>
  <c r="AB105" i="5" s="1"/>
  <c r="AC72" i="5"/>
  <c r="AC105" i="5" s="1"/>
  <c r="AD72" i="5"/>
  <c r="AD105" i="5" s="1"/>
  <c r="AE72" i="5"/>
  <c r="AE105" i="5" s="1"/>
  <c r="AF72" i="5"/>
  <c r="AF105" i="5" s="1"/>
  <c r="AG72" i="5"/>
  <c r="AG105" i="5" s="1"/>
  <c r="D73" i="5"/>
  <c r="D106" i="5" s="1"/>
  <c r="E73" i="5"/>
  <c r="E106" i="5" s="1"/>
  <c r="F73" i="5"/>
  <c r="F106" i="5" s="1"/>
  <c r="G73" i="5"/>
  <c r="G106" i="5" s="1"/>
  <c r="H73" i="5"/>
  <c r="H106" i="5" s="1"/>
  <c r="I73" i="5"/>
  <c r="I106" i="5" s="1"/>
  <c r="J73" i="5"/>
  <c r="J106" i="5" s="1"/>
  <c r="K73" i="5"/>
  <c r="K106" i="5" s="1"/>
  <c r="L73" i="5"/>
  <c r="L106" i="5" s="1"/>
  <c r="M73" i="5"/>
  <c r="M106" i="5" s="1"/>
  <c r="N73" i="5"/>
  <c r="N106" i="5" s="1"/>
  <c r="O73" i="5"/>
  <c r="O106" i="5" s="1"/>
  <c r="P73" i="5"/>
  <c r="P106" i="5" s="1"/>
  <c r="Q73" i="5"/>
  <c r="Q106" i="5" s="1"/>
  <c r="R73" i="5"/>
  <c r="R106" i="5" s="1"/>
  <c r="S73" i="5"/>
  <c r="S106" i="5" s="1"/>
  <c r="T73" i="5"/>
  <c r="T106" i="5" s="1"/>
  <c r="U73" i="5"/>
  <c r="U106" i="5" s="1"/>
  <c r="V73" i="5"/>
  <c r="V106" i="5" s="1"/>
  <c r="W73" i="5"/>
  <c r="W106" i="5" s="1"/>
  <c r="X73" i="5"/>
  <c r="X106" i="5" s="1"/>
  <c r="Y73" i="5"/>
  <c r="Y106" i="5" s="1"/>
  <c r="Z73" i="5"/>
  <c r="Z106" i="5" s="1"/>
  <c r="AA73" i="5"/>
  <c r="AA106" i="5" s="1"/>
  <c r="AB73" i="5"/>
  <c r="AB106" i="5" s="1"/>
  <c r="AC73" i="5"/>
  <c r="AC106" i="5" s="1"/>
  <c r="AD73" i="5"/>
  <c r="AD106" i="5" s="1"/>
  <c r="AE73" i="5"/>
  <c r="AE106" i="5" s="1"/>
  <c r="AF73" i="5"/>
  <c r="AF106" i="5" s="1"/>
  <c r="AG73" i="5"/>
  <c r="AG106" i="5" s="1"/>
  <c r="D74" i="5"/>
  <c r="D107" i="5" s="1"/>
  <c r="E74" i="5"/>
  <c r="E107" i="5" s="1"/>
  <c r="F74" i="5"/>
  <c r="F107" i="5" s="1"/>
  <c r="G74" i="5"/>
  <c r="G107" i="5" s="1"/>
  <c r="H74" i="5"/>
  <c r="H107" i="5" s="1"/>
  <c r="I74" i="5"/>
  <c r="I107" i="5" s="1"/>
  <c r="J74" i="5"/>
  <c r="J107" i="5" s="1"/>
  <c r="K74" i="5"/>
  <c r="K107" i="5" s="1"/>
  <c r="L74" i="5"/>
  <c r="L107" i="5" s="1"/>
  <c r="M74" i="5"/>
  <c r="M107" i="5" s="1"/>
  <c r="N74" i="5"/>
  <c r="N107" i="5" s="1"/>
  <c r="O74" i="5"/>
  <c r="O107" i="5" s="1"/>
  <c r="P74" i="5"/>
  <c r="P107" i="5" s="1"/>
  <c r="Q74" i="5"/>
  <c r="Q107" i="5" s="1"/>
  <c r="R74" i="5"/>
  <c r="R107" i="5" s="1"/>
  <c r="S74" i="5"/>
  <c r="S107" i="5" s="1"/>
  <c r="T74" i="5"/>
  <c r="T107" i="5" s="1"/>
  <c r="U74" i="5"/>
  <c r="U107" i="5" s="1"/>
  <c r="V74" i="5"/>
  <c r="V107" i="5" s="1"/>
  <c r="W74" i="5"/>
  <c r="W107" i="5" s="1"/>
  <c r="X74" i="5"/>
  <c r="X107" i="5" s="1"/>
  <c r="Y74" i="5"/>
  <c r="Y107" i="5" s="1"/>
  <c r="Z74" i="5"/>
  <c r="Z107" i="5" s="1"/>
  <c r="AA74" i="5"/>
  <c r="AA107" i="5" s="1"/>
  <c r="AB74" i="5"/>
  <c r="AB107" i="5" s="1"/>
  <c r="AC74" i="5"/>
  <c r="AC107" i="5" s="1"/>
  <c r="AD74" i="5"/>
  <c r="AD107" i="5" s="1"/>
  <c r="AE74" i="5"/>
  <c r="AE107" i="5" s="1"/>
  <c r="AF74" i="5"/>
  <c r="AF107" i="5" s="1"/>
  <c r="AG74" i="5"/>
  <c r="AG107" i="5" s="1"/>
  <c r="D75" i="5"/>
  <c r="D108" i="5" s="1"/>
  <c r="E75" i="5"/>
  <c r="E108" i="5" s="1"/>
  <c r="F75" i="5"/>
  <c r="F108" i="5" s="1"/>
  <c r="G75" i="5"/>
  <c r="G108" i="5" s="1"/>
  <c r="H75" i="5"/>
  <c r="H108" i="5" s="1"/>
  <c r="I75" i="5"/>
  <c r="I108" i="5" s="1"/>
  <c r="J75" i="5"/>
  <c r="J108" i="5" s="1"/>
  <c r="K75" i="5"/>
  <c r="K108" i="5" s="1"/>
  <c r="L75" i="5"/>
  <c r="L108" i="5" s="1"/>
  <c r="M75" i="5"/>
  <c r="M108" i="5" s="1"/>
  <c r="N75" i="5"/>
  <c r="N108" i="5" s="1"/>
  <c r="O75" i="5"/>
  <c r="O108" i="5" s="1"/>
  <c r="P75" i="5"/>
  <c r="P108" i="5" s="1"/>
  <c r="Q75" i="5"/>
  <c r="Q108" i="5" s="1"/>
  <c r="R75" i="5"/>
  <c r="R108" i="5" s="1"/>
  <c r="S75" i="5"/>
  <c r="S108" i="5" s="1"/>
  <c r="T75" i="5"/>
  <c r="T108" i="5" s="1"/>
  <c r="U75" i="5"/>
  <c r="U108" i="5" s="1"/>
  <c r="V75" i="5"/>
  <c r="V108" i="5" s="1"/>
  <c r="W75" i="5"/>
  <c r="W108" i="5" s="1"/>
  <c r="X75" i="5"/>
  <c r="X108" i="5" s="1"/>
  <c r="Y75" i="5"/>
  <c r="Y108" i="5" s="1"/>
  <c r="Z75" i="5"/>
  <c r="Z108" i="5" s="1"/>
  <c r="AA75" i="5"/>
  <c r="AA108" i="5" s="1"/>
  <c r="AB75" i="5"/>
  <c r="AB108" i="5" s="1"/>
  <c r="AC75" i="5"/>
  <c r="AC108" i="5" s="1"/>
  <c r="AD75" i="5"/>
  <c r="AD108" i="5" s="1"/>
  <c r="AE75" i="5"/>
  <c r="AE108" i="5" s="1"/>
  <c r="AF75" i="5"/>
  <c r="AF108" i="5" s="1"/>
  <c r="AG75" i="5"/>
  <c r="AG108" i="5" s="1"/>
  <c r="D76" i="5"/>
  <c r="D109" i="5" s="1"/>
  <c r="E76" i="5"/>
  <c r="E109" i="5" s="1"/>
  <c r="F76" i="5"/>
  <c r="F109" i="5" s="1"/>
  <c r="G76" i="5"/>
  <c r="G109" i="5" s="1"/>
  <c r="H76" i="5"/>
  <c r="H109" i="5" s="1"/>
  <c r="I76" i="5"/>
  <c r="I109" i="5" s="1"/>
  <c r="J76" i="5"/>
  <c r="J109" i="5" s="1"/>
  <c r="K76" i="5"/>
  <c r="K109" i="5" s="1"/>
  <c r="L76" i="5"/>
  <c r="L109" i="5" s="1"/>
  <c r="M76" i="5"/>
  <c r="M109" i="5" s="1"/>
  <c r="N76" i="5"/>
  <c r="N109" i="5" s="1"/>
  <c r="O76" i="5"/>
  <c r="O109" i="5" s="1"/>
  <c r="P76" i="5"/>
  <c r="P109" i="5" s="1"/>
  <c r="Q76" i="5"/>
  <c r="Q109" i="5" s="1"/>
  <c r="R76" i="5"/>
  <c r="R109" i="5" s="1"/>
  <c r="S76" i="5"/>
  <c r="S109" i="5" s="1"/>
  <c r="T76" i="5"/>
  <c r="T109" i="5" s="1"/>
  <c r="U76" i="5"/>
  <c r="U109" i="5" s="1"/>
  <c r="V76" i="5"/>
  <c r="V109" i="5" s="1"/>
  <c r="W76" i="5"/>
  <c r="W109" i="5" s="1"/>
  <c r="X76" i="5"/>
  <c r="X109" i="5" s="1"/>
  <c r="Y76" i="5"/>
  <c r="Y109" i="5" s="1"/>
  <c r="Z76" i="5"/>
  <c r="Z109" i="5" s="1"/>
  <c r="AA76" i="5"/>
  <c r="AA109" i="5" s="1"/>
  <c r="AB76" i="5"/>
  <c r="AB109" i="5" s="1"/>
  <c r="AC76" i="5"/>
  <c r="AC109" i="5" s="1"/>
  <c r="AD76" i="5"/>
  <c r="AD109" i="5" s="1"/>
  <c r="AE76" i="5"/>
  <c r="AE109" i="5" s="1"/>
  <c r="AF76" i="5"/>
  <c r="AF109" i="5" s="1"/>
  <c r="AG76" i="5"/>
  <c r="AG109" i="5" s="1"/>
  <c r="D77" i="5"/>
  <c r="D110" i="5" s="1"/>
  <c r="E77" i="5"/>
  <c r="E110" i="5" s="1"/>
  <c r="F77" i="5"/>
  <c r="F110" i="5" s="1"/>
  <c r="G77" i="5"/>
  <c r="G110" i="5" s="1"/>
  <c r="H77" i="5"/>
  <c r="H110" i="5" s="1"/>
  <c r="I77" i="5"/>
  <c r="I110" i="5" s="1"/>
  <c r="J77" i="5"/>
  <c r="J110" i="5" s="1"/>
  <c r="K77" i="5"/>
  <c r="K110" i="5" s="1"/>
  <c r="L77" i="5"/>
  <c r="L110" i="5" s="1"/>
  <c r="M77" i="5"/>
  <c r="M110" i="5" s="1"/>
  <c r="N77" i="5"/>
  <c r="N110" i="5" s="1"/>
  <c r="O77" i="5"/>
  <c r="O110" i="5" s="1"/>
  <c r="P77" i="5"/>
  <c r="P110" i="5" s="1"/>
  <c r="Q77" i="5"/>
  <c r="Q110" i="5" s="1"/>
  <c r="R77" i="5"/>
  <c r="R110" i="5" s="1"/>
  <c r="S77" i="5"/>
  <c r="S110" i="5" s="1"/>
  <c r="T77" i="5"/>
  <c r="T110" i="5" s="1"/>
  <c r="U77" i="5"/>
  <c r="U110" i="5" s="1"/>
  <c r="V77" i="5"/>
  <c r="V110" i="5" s="1"/>
  <c r="W77" i="5"/>
  <c r="W110" i="5" s="1"/>
  <c r="X77" i="5"/>
  <c r="X110" i="5" s="1"/>
  <c r="Y77" i="5"/>
  <c r="Y110" i="5" s="1"/>
  <c r="Z77" i="5"/>
  <c r="Z110" i="5" s="1"/>
  <c r="AA77" i="5"/>
  <c r="AA110" i="5" s="1"/>
  <c r="AB77" i="5"/>
  <c r="AB110" i="5" s="1"/>
  <c r="AC77" i="5"/>
  <c r="AC110" i="5" s="1"/>
  <c r="AD77" i="5"/>
  <c r="AD110" i="5" s="1"/>
  <c r="AE77" i="5"/>
  <c r="AE110" i="5" s="1"/>
  <c r="AF77" i="5"/>
  <c r="AF110" i="5" s="1"/>
  <c r="AG77" i="5"/>
  <c r="AG110" i="5" s="1"/>
  <c r="D78" i="5"/>
  <c r="D111" i="5" s="1"/>
  <c r="E78" i="5"/>
  <c r="E111" i="5" s="1"/>
  <c r="F78" i="5"/>
  <c r="F111" i="5" s="1"/>
  <c r="G78" i="5"/>
  <c r="G111" i="5" s="1"/>
  <c r="H78" i="5"/>
  <c r="H111" i="5" s="1"/>
  <c r="I78" i="5"/>
  <c r="I111" i="5" s="1"/>
  <c r="J78" i="5"/>
  <c r="J111" i="5" s="1"/>
  <c r="K78" i="5"/>
  <c r="K111" i="5" s="1"/>
  <c r="L78" i="5"/>
  <c r="L111" i="5" s="1"/>
  <c r="M78" i="5"/>
  <c r="M111" i="5" s="1"/>
  <c r="N78" i="5"/>
  <c r="N111" i="5" s="1"/>
  <c r="O78" i="5"/>
  <c r="O111" i="5" s="1"/>
  <c r="P78" i="5"/>
  <c r="P111" i="5" s="1"/>
  <c r="Q78" i="5"/>
  <c r="Q111" i="5" s="1"/>
  <c r="R78" i="5"/>
  <c r="R111" i="5" s="1"/>
  <c r="S78" i="5"/>
  <c r="S111" i="5" s="1"/>
  <c r="T78" i="5"/>
  <c r="T111" i="5" s="1"/>
  <c r="U78" i="5"/>
  <c r="U111" i="5" s="1"/>
  <c r="V78" i="5"/>
  <c r="V111" i="5" s="1"/>
  <c r="W78" i="5"/>
  <c r="W111" i="5" s="1"/>
  <c r="X78" i="5"/>
  <c r="X111" i="5" s="1"/>
  <c r="Y78" i="5"/>
  <c r="Y111" i="5" s="1"/>
  <c r="Z78" i="5"/>
  <c r="Z111" i="5" s="1"/>
  <c r="AA78" i="5"/>
  <c r="AA111" i="5" s="1"/>
  <c r="AB78" i="5"/>
  <c r="AB111" i="5" s="1"/>
  <c r="AC78" i="5"/>
  <c r="AC111" i="5" s="1"/>
  <c r="AD78" i="5"/>
  <c r="AD111" i="5" s="1"/>
  <c r="AE78" i="5"/>
  <c r="AE111" i="5" s="1"/>
  <c r="AF78" i="5"/>
  <c r="AF111" i="5" s="1"/>
  <c r="AG78" i="5"/>
  <c r="AG111" i="5" s="1"/>
  <c r="D79" i="5"/>
  <c r="D112" i="5" s="1"/>
  <c r="E79" i="5"/>
  <c r="E112" i="5" s="1"/>
  <c r="F79" i="5"/>
  <c r="F112" i="5" s="1"/>
  <c r="G79" i="5"/>
  <c r="G112" i="5" s="1"/>
  <c r="H79" i="5"/>
  <c r="H112" i="5" s="1"/>
  <c r="I79" i="5"/>
  <c r="I112" i="5" s="1"/>
  <c r="J79" i="5"/>
  <c r="J112" i="5" s="1"/>
  <c r="K79" i="5"/>
  <c r="K112" i="5" s="1"/>
  <c r="L79" i="5"/>
  <c r="L112" i="5" s="1"/>
  <c r="M79" i="5"/>
  <c r="M112" i="5" s="1"/>
  <c r="N79" i="5"/>
  <c r="N112" i="5" s="1"/>
  <c r="O79" i="5"/>
  <c r="O112" i="5" s="1"/>
  <c r="P79" i="5"/>
  <c r="P112" i="5" s="1"/>
  <c r="Q79" i="5"/>
  <c r="Q112" i="5" s="1"/>
  <c r="R79" i="5"/>
  <c r="R112" i="5" s="1"/>
  <c r="S79" i="5"/>
  <c r="S112" i="5" s="1"/>
  <c r="T79" i="5"/>
  <c r="T112" i="5" s="1"/>
  <c r="U79" i="5"/>
  <c r="U112" i="5" s="1"/>
  <c r="V79" i="5"/>
  <c r="V112" i="5" s="1"/>
  <c r="W79" i="5"/>
  <c r="W112" i="5" s="1"/>
  <c r="X79" i="5"/>
  <c r="X112" i="5" s="1"/>
  <c r="Y79" i="5"/>
  <c r="Y112" i="5" s="1"/>
  <c r="Z79" i="5"/>
  <c r="Z112" i="5" s="1"/>
  <c r="AA79" i="5"/>
  <c r="AA112" i="5" s="1"/>
  <c r="AB79" i="5"/>
  <c r="AB112" i="5" s="1"/>
  <c r="AC79" i="5"/>
  <c r="AC112" i="5" s="1"/>
  <c r="AD79" i="5"/>
  <c r="AD112" i="5" s="1"/>
  <c r="AE79" i="5"/>
  <c r="AE112" i="5" s="1"/>
  <c r="AF79" i="5"/>
  <c r="AF112" i="5" s="1"/>
  <c r="AG79" i="5"/>
  <c r="AG112" i="5" s="1"/>
  <c r="D80" i="5"/>
  <c r="D113" i="5" s="1"/>
  <c r="E80" i="5"/>
  <c r="E113" i="5" s="1"/>
  <c r="F80" i="5"/>
  <c r="F113" i="5" s="1"/>
  <c r="G80" i="5"/>
  <c r="G113" i="5" s="1"/>
  <c r="H80" i="5"/>
  <c r="H113" i="5" s="1"/>
  <c r="I80" i="5"/>
  <c r="I113" i="5" s="1"/>
  <c r="J80" i="5"/>
  <c r="J113" i="5" s="1"/>
  <c r="K80" i="5"/>
  <c r="K113" i="5" s="1"/>
  <c r="L80" i="5"/>
  <c r="L113" i="5" s="1"/>
  <c r="M80" i="5"/>
  <c r="M113" i="5" s="1"/>
  <c r="N80" i="5"/>
  <c r="N113" i="5" s="1"/>
  <c r="O80" i="5"/>
  <c r="O113" i="5" s="1"/>
  <c r="P80" i="5"/>
  <c r="P113" i="5" s="1"/>
  <c r="Q80" i="5"/>
  <c r="Q113" i="5" s="1"/>
  <c r="R80" i="5"/>
  <c r="R113" i="5" s="1"/>
  <c r="S80" i="5"/>
  <c r="S113" i="5" s="1"/>
  <c r="T80" i="5"/>
  <c r="T113" i="5" s="1"/>
  <c r="U80" i="5"/>
  <c r="U113" i="5" s="1"/>
  <c r="V80" i="5"/>
  <c r="V113" i="5" s="1"/>
  <c r="W80" i="5"/>
  <c r="W113" i="5" s="1"/>
  <c r="X80" i="5"/>
  <c r="X113" i="5" s="1"/>
  <c r="Y80" i="5"/>
  <c r="Y113" i="5" s="1"/>
  <c r="Z80" i="5"/>
  <c r="Z113" i="5" s="1"/>
  <c r="AA80" i="5"/>
  <c r="AA113" i="5" s="1"/>
  <c r="AB80" i="5"/>
  <c r="AB113" i="5" s="1"/>
  <c r="AC80" i="5"/>
  <c r="AC113" i="5" s="1"/>
  <c r="AD80" i="5"/>
  <c r="AD113" i="5" s="1"/>
  <c r="AE80" i="5"/>
  <c r="AE113" i="5" s="1"/>
  <c r="AF80" i="5"/>
  <c r="AF113" i="5" s="1"/>
  <c r="AG80" i="5"/>
  <c r="AG113" i="5" s="1"/>
  <c r="D81" i="5"/>
  <c r="D114" i="5" s="1"/>
  <c r="E81" i="5"/>
  <c r="E114" i="5" s="1"/>
  <c r="F81" i="5"/>
  <c r="F114" i="5" s="1"/>
  <c r="G81" i="5"/>
  <c r="G114" i="5" s="1"/>
  <c r="H81" i="5"/>
  <c r="H114" i="5" s="1"/>
  <c r="I81" i="5"/>
  <c r="I114" i="5" s="1"/>
  <c r="J81" i="5"/>
  <c r="J114" i="5" s="1"/>
  <c r="K81" i="5"/>
  <c r="K114" i="5" s="1"/>
  <c r="L81" i="5"/>
  <c r="L114" i="5" s="1"/>
  <c r="M81" i="5"/>
  <c r="M114" i="5" s="1"/>
  <c r="N81" i="5"/>
  <c r="N114" i="5" s="1"/>
  <c r="O81" i="5"/>
  <c r="O114" i="5" s="1"/>
  <c r="P81" i="5"/>
  <c r="P114" i="5" s="1"/>
  <c r="Q81" i="5"/>
  <c r="Q114" i="5" s="1"/>
  <c r="R81" i="5"/>
  <c r="R114" i="5" s="1"/>
  <c r="S81" i="5"/>
  <c r="S114" i="5" s="1"/>
  <c r="T81" i="5"/>
  <c r="T114" i="5" s="1"/>
  <c r="U81" i="5"/>
  <c r="U114" i="5" s="1"/>
  <c r="V81" i="5"/>
  <c r="V114" i="5" s="1"/>
  <c r="W81" i="5"/>
  <c r="W114" i="5" s="1"/>
  <c r="X81" i="5"/>
  <c r="X114" i="5" s="1"/>
  <c r="Y81" i="5"/>
  <c r="Y114" i="5" s="1"/>
  <c r="Z81" i="5"/>
  <c r="Z114" i="5" s="1"/>
  <c r="AA81" i="5"/>
  <c r="AA114" i="5" s="1"/>
  <c r="AB81" i="5"/>
  <c r="AB114" i="5" s="1"/>
  <c r="AC81" i="5"/>
  <c r="AC114" i="5" s="1"/>
  <c r="AD81" i="5"/>
  <c r="AD114" i="5" s="1"/>
  <c r="AE81" i="5"/>
  <c r="AE114" i="5" s="1"/>
  <c r="AF81" i="5"/>
  <c r="AF114" i="5" s="1"/>
  <c r="AG81" i="5"/>
  <c r="AG114" i="5" s="1"/>
  <c r="D82" i="5"/>
  <c r="D115" i="5" s="1"/>
  <c r="E82" i="5"/>
  <c r="E115" i="5" s="1"/>
  <c r="F82" i="5"/>
  <c r="F115" i="5" s="1"/>
  <c r="G82" i="5"/>
  <c r="G115" i="5" s="1"/>
  <c r="H82" i="5"/>
  <c r="H115" i="5" s="1"/>
  <c r="I82" i="5"/>
  <c r="I115" i="5" s="1"/>
  <c r="J82" i="5"/>
  <c r="J115" i="5" s="1"/>
  <c r="K82" i="5"/>
  <c r="K115" i="5" s="1"/>
  <c r="L82" i="5"/>
  <c r="L115" i="5" s="1"/>
  <c r="M82" i="5"/>
  <c r="M115" i="5" s="1"/>
  <c r="N82" i="5"/>
  <c r="N115" i="5" s="1"/>
  <c r="O82" i="5"/>
  <c r="O115" i="5" s="1"/>
  <c r="P82" i="5"/>
  <c r="P115" i="5" s="1"/>
  <c r="Q82" i="5"/>
  <c r="Q115" i="5" s="1"/>
  <c r="R82" i="5"/>
  <c r="R115" i="5" s="1"/>
  <c r="S82" i="5"/>
  <c r="S115" i="5" s="1"/>
  <c r="T82" i="5"/>
  <c r="T115" i="5" s="1"/>
  <c r="U82" i="5"/>
  <c r="U115" i="5" s="1"/>
  <c r="V82" i="5"/>
  <c r="V115" i="5" s="1"/>
  <c r="W82" i="5"/>
  <c r="W115" i="5" s="1"/>
  <c r="X82" i="5"/>
  <c r="X115" i="5" s="1"/>
  <c r="Y82" i="5"/>
  <c r="Y115" i="5" s="1"/>
  <c r="Z82" i="5"/>
  <c r="Z115" i="5" s="1"/>
  <c r="AA82" i="5"/>
  <c r="AA115" i="5" s="1"/>
  <c r="AB82" i="5"/>
  <c r="AB115" i="5" s="1"/>
  <c r="AC82" i="5"/>
  <c r="AC115" i="5" s="1"/>
  <c r="AD82" i="5"/>
  <c r="AD115" i="5" s="1"/>
  <c r="AE82" i="5"/>
  <c r="AE115" i="5" s="1"/>
  <c r="AF82" i="5"/>
  <c r="AF115" i="5" s="1"/>
  <c r="AG82" i="5"/>
  <c r="AG115" i="5" s="1"/>
  <c r="D83" i="5"/>
  <c r="D116" i="5" s="1"/>
  <c r="E83" i="5"/>
  <c r="E116" i="5" s="1"/>
  <c r="F83" i="5"/>
  <c r="F116" i="5" s="1"/>
  <c r="G83" i="5"/>
  <c r="G116" i="5" s="1"/>
  <c r="H83" i="5"/>
  <c r="H116" i="5" s="1"/>
  <c r="I83" i="5"/>
  <c r="I116" i="5" s="1"/>
  <c r="J83" i="5"/>
  <c r="J116" i="5" s="1"/>
  <c r="K83" i="5"/>
  <c r="K116" i="5" s="1"/>
  <c r="L83" i="5"/>
  <c r="L116" i="5" s="1"/>
  <c r="M83" i="5"/>
  <c r="M116" i="5" s="1"/>
  <c r="N83" i="5"/>
  <c r="N116" i="5" s="1"/>
  <c r="O83" i="5"/>
  <c r="O116" i="5" s="1"/>
  <c r="P83" i="5"/>
  <c r="P116" i="5" s="1"/>
  <c r="Q83" i="5"/>
  <c r="Q116" i="5" s="1"/>
  <c r="R83" i="5"/>
  <c r="R116" i="5" s="1"/>
  <c r="S83" i="5"/>
  <c r="S116" i="5" s="1"/>
  <c r="T83" i="5"/>
  <c r="T116" i="5" s="1"/>
  <c r="U83" i="5"/>
  <c r="U116" i="5" s="1"/>
  <c r="V83" i="5"/>
  <c r="V116" i="5" s="1"/>
  <c r="W83" i="5"/>
  <c r="W116" i="5" s="1"/>
  <c r="X83" i="5"/>
  <c r="X116" i="5" s="1"/>
  <c r="Y83" i="5"/>
  <c r="Y116" i="5" s="1"/>
  <c r="Z83" i="5"/>
  <c r="Z116" i="5" s="1"/>
  <c r="AA83" i="5"/>
  <c r="AA116" i="5" s="1"/>
  <c r="AB83" i="5"/>
  <c r="AB116" i="5" s="1"/>
  <c r="AC83" i="5"/>
  <c r="AC116" i="5" s="1"/>
  <c r="AD83" i="5"/>
  <c r="AD116" i="5" s="1"/>
  <c r="AE83" i="5"/>
  <c r="AE116" i="5" s="1"/>
  <c r="AF83" i="5"/>
  <c r="AF116" i="5" s="1"/>
  <c r="AG83" i="5"/>
  <c r="AG116" i="5" s="1"/>
  <c r="D84" i="5"/>
  <c r="D117" i="5" s="1"/>
  <c r="E84" i="5"/>
  <c r="E117" i="5" s="1"/>
  <c r="F84" i="5"/>
  <c r="F117" i="5" s="1"/>
  <c r="G84" i="5"/>
  <c r="G117" i="5" s="1"/>
  <c r="H84" i="5"/>
  <c r="H117" i="5" s="1"/>
  <c r="I84" i="5"/>
  <c r="I117" i="5" s="1"/>
  <c r="J84" i="5"/>
  <c r="J117" i="5" s="1"/>
  <c r="K84" i="5"/>
  <c r="K117" i="5" s="1"/>
  <c r="L84" i="5"/>
  <c r="L117" i="5" s="1"/>
  <c r="M84" i="5"/>
  <c r="M117" i="5" s="1"/>
  <c r="N84" i="5"/>
  <c r="N117" i="5" s="1"/>
  <c r="O84" i="5"/>
  <c r="O117" i="5" s="1"/>
  <c r="P84" i="5"/>
  <c r="P117" i="5" s="1"/>
  <c r="Q84" i="5"/>
  <c r="Q117" i="5" s="1"/>
  <c r="R84" i="5"/>
  <c r="R117" i="5" s="1"/>
  <c r="S84" i="5"/>
  <c r="S117" i="5" s="1"/>
  <c r="T84" i="5"/>
  <c r="T117" i="5" s="1"/>
  <c r="U84" i="5"/>
  <c r="U117" i="5" s="1"/>
  <c r="V84" i="5"/>
  <c r="V117" i="5" s="1"/>
  <c r="W84" i="5"/>
  <c r="W117" i="5" s="1"/>
  <c r="X84" i="5"/>
  <c r="X117" i="5" s="1"/>
  <c r="Y84" i="5"/>
  <c r="Y117" i="5" s="1"/>
  <c r="Z84" i="5"/>
  <c r="Z117" i="5" s="1"/>
  <c r="AA84" i="5"/>
  <c r="AA117" i="5" s="1"/>
  <c r="AB84" i="5"/>
  <c r="AB117" i="5" s="1"/>
  <c r="AC84" i="5"/>
  <c r="AC117" i="5" s="1"/>
  <c r="AD84" i="5"/>
  <c r="AD117" i="5" s="1"/>
  <c r="AE84" i="5"/>
  <c r="AE117" i="5" s="1"/>
  <c r="AF84" i="5"/>
  <c r="AF117" i="5" s="1"/>
  <c r="AG84" i="5"/>
  <c r="AG117" i="5" s="1"/>
  <c r="D85" i="5"/>
  <c r="D118" i="5" s="1"/>
  <c r="E85" i="5"/>
  <c r="E118" i="5" s="1"/>
  <c r="F85" i="5"/>
  <c r="F118" i="5" s="1"/>
  <c r="G85" i="5"/>
  <c r="G118" i="5" s="1"/>
  <c r="H85" i="5"/>
  <c r="H118" i="5" s="1"/>
  <c r="I85" i="5"/>
  <c r="I118" i="5" s="1"/>
  <c r="J85" i="5"/>
  <c r="J118" i="5" s="1"/>
  <c r="K85" i="5"/>
  <c r="K118" i="5" s="1"/>
  <c r="L85" i="5"/>
  <c r="L118" i="5" s="1"/>
  <c r="M85" i="5"/>
  <c r="M118" i="5" s="1"/>
  <c r="N85" i="5"/>
  <c r="N118" i="5" s="1"/>
  <c r="O85" i="5"/>
  <c r="O118" i="5" s="1"/>
  <c r="P85" i="5"/>
  <c r="P118" i="5" s="1"/>
  <c r="Q85" i="5"/>
  <c r="Q118" i="5" s="1"/>
  <c r="R85" i="5"/>
  <c r="R118" i="5" s="1"/>
  <c r="S85" i="5"/>
  <c r="S118" i="5" s="1"/>
  <c r="T85" i="5"/>
  <c r="T118" i="5" s="1"/>
  <c r="U85" i="5"/>
  <c r="U118" i="5" s="1"/>
  <c r="V85" i="5"/>
  <c r="V118" i="5" s="1"/>
  <c r="W85" i="5"/>
  <c r="W118" i="5" s="1"/>
  <c r="X85" i="5"/>
  <c r="X118" i="5" s="1"/>
  <c r="Y85" i="5"/>
  <c r="Y118" i="5" s="1"/>
  <c r="Z85" i="5"/>
  <c r="Z118" i="5" s="1"/>
  <c r="AA85" i="5"/>
  <c r="AA118" i="5" s="1"/>
  <c r="AB85" i="5"/>
  <c r="AB118" i="5" s="1"/>
  <c r="AC85" i="5"/>
  <c r="AC118" i="5" s="1"/>
  <c r="AD85" i="5"/>
  <c r="AD118" i="5" s="1"/>
  <c r="AE85" i="5"/>
  <c r="AE118" i="5" s="1"/>
  <c r="AF85" i="5"/>
  <c r="AF118" i="5" s="1"/>
  <c r="AG85" i="5"/>
  <c r="AG118" i="5" s="1"/>
  <c r="D86" i="5"/>
  <c r="D119" i="5" s="1"/>
  <c r="E86" i="5"/>
  <c r="E119" i="5" s="1"/>
  <c r="F86" i="5"/>
  <c r="F119" i="5" s="1"/>
  <c r="G86" i="5"/>
  <c r="G119" i="5" s="1"/>
  <c r="H86" i="5"/>
  <c r="H119" i="5" s="1"/>
  <c r="I86" i="5"/>
  <c r="I119" i="5" s="1"/>
  <c r="J86" i="5"/>
  <c r="J119" i="5" s="1"/>
  <c r="K86" i="5"/>
  <c r="K119" i="5" s="1"/>
  <c r="L86" i="5"/>
  <c r="L119" i="5" s="1"/>
  <c r="M86" i="5"/>
  <c r="M119" i="5" s="1"/>
  <c r="N86" i="5"/>
  <c r="N119" i="5" s="1"/>
  <c r="O86" i="5"/>
  <c r="O119" i="5" s="1"/>
  <c r="P86" i="5"/>
  <c r="P119" i="5" s="1"/>
  <c r="Q86" i="5"/>
  <c r="Q119" i="5" s="1"/>
  <c r="R86" i="5"/>
  <c r="R119" i="5" s="1"/>
  <c r="S86" i="5"/>
  <c r="S119" i="5" s="1"/>
  <c r="T86" i="5"/>
  <c r="T119" i="5" s="1"/>
  <c r="U86" i="5"/>
  <c r="U119" i="5" s="1"/>
  <c r="V86" i="5"/>
  <c r="V119" i="5" s="1"/>
  <c r="W86" i="5"/>
  <c r="W119" i="5" s="1"/>
  <c r="X86" i="5"/>
  <c r="X119" i="5" s="1"/>
  <c r="Y86" i="5"/>
  <c r="Y119" i="5" s="1"/>
  <c r="Z86" i="5"/>
  <c r="Z119" i="5" s="1"/>
  <c r="AA86" i="5"/>
  <c r="AA119" i="5" s="1"/>
  <c r="AB86" i="5"/>
  <c r="AB119" i="5" s="1"/>
  <c r="AC86" i="5"/>
  <c r="AC119" i="5" s="1"/>
  <c r="AD86" i="5"/>
  <c r="AD119" i="5" s="1"/>
  <c r="AE86" i="5"/>
  <c r="AE119" i="5" s="1"/>
  <c r="AF86" i="5"/>
  <c r="AF119" i="5" s="1"/>
  <c r="AG86" i="5"/>
  <c r="AG119" i="5" s="1"/>
  <c r="D87" i="5"/>
  <c r="D120" i="5" s="1"/>
  <c r="E87" i="5"/>
  <c r="E120" i="5" s="1"/>
  <c r="F87" i="5"/>
  <c r="F120" i="5" s="1"/>
  <c r="G87" i="5"/>
  <c r="G120" i="5" s="1"/>
  <c r="H87" i="5"/>
  <c r="H120" i="5" s="1"/>
  <c r="I87" i="5"/>
  <c r="I120" i="5" s="1"/>
  <c r="J87" i="5"/>
  <c r="J120" i="5" s="1"/>
  <c r="K87" i="5"/>
  <c r="K120" i="5" s="1"/>
  <c r="L87" i="5"/>
  <c r="L120" i="5" s="1"/>
  <c r="M87" i="5"/>
  <c r="M120" i="5" s="1"/>
  <c r="N87" i="5"/>
  <c r="N120" i="5" s="1"/>
  <c r="O87" i="5"/>
  <c r="O120" i="5" s="1"/>
  <c r="P87" i="5"/>
  <c r="P120" i="5" s="1"/>
  <c r="Q87" i="5"/>
  <c r="Q120" i="5" s="1"/>
  <c r="R87" i="5"/>
  <c r="R120" i="5" s="1"/>
  <c r="S87" i="5"/>
  <c r="S120" i="5" s="1"/>
  <c r="T87" i="5"/>
  <c r="T120" i="5" s="1"/>
  <c r="U87" i="5"/>
  <c r="U120" i="5" s="1"/>
  <c r="V87" i="5"/>
  <c r="V120" i="5" s="1"/>
  <c r="W87" i="5"/>
  <c r="W120" i="5" s="1"/>
  <c r="X87" i="5"/>
  <c r="X120" i="5" s="1"/>
  <c r="Y87" i="5"/>
  <c r="Y120" i="5" s="1"/>
  <c r="Z87" i="5"/>
  <c r="Z120" i="5" s="1"/>
  <c r="AA87" i="5"/>
  <c r="AA120" i="5" s="1"/>
  <c r="AB87" i="5"/>
  <c r="AB120" i="5" s="1"/>
  <c r="AC87" i="5"/>
  <c r="AC120" i="5" s="1"/>
  <c r="AD87" i="5"/>
  <c r="AD120" i="5" s="1"/>
  <c r="AE87" i="5"/>
  <c r="AE120" i="5" s="1"/>
  <c r="AF87" i="5"/>
  <c r="AF120" i="5" s="1"/>
  <c r="AG87" i="5"/>
  <c r="AG120" i="5" s="1"/>
  <c r="D88" i="5"/>
  <c r="D121" i="5" s="1"/>
  <c r="E88" i="5"/>
  <c r="E121" i="5" s="1"/>
  <c r="F88" i="5"/>
  <c r="F121" i="5" s="1"/>
  <c r="G88" i="5"/>
  <c r="G121" i="5" s="1"/>
  <c r="H88" i="5"/>
  <c r="H121" i="5" s="1"/>
  <c r="I88" i="5"/>
  <c r="I121" i="5" s="1"/>
  <c r="J88" i="5"/>
  <c r="J121" i="5" s="1"/>
  <c r="K88" i="5"/>
  <c r="K121" i="5" s="1"/>
  <c r="L88" i="5"/>
  <c r="L121" i="5" s="1"/>
  <c r="M88" i="5"/>
  <c r="M121" i="5" s="1"/>
  <c r="N88" i="5"/>
  <c r="N121" i="5" s="1"/>
  <c r="O88" i="5"/>
  <c r="O121" i="5" s="1"/>
  <c r="P88" i="5"/>
  <c r="P121" i="5" s="1"/>
  <c r="Q88" i="5"/>
  <c r="Q121" i="5" s="1"/>
  <c r="R88" i="5"/>
  <c r="R121" i="5" s="1"/>
  <c r="S88" i="5"/>
  <c r="S121" i="5" s="1"/>
  <c r="T88" i="5"/>
  <c r="T121" i="5" s="1"/>
  <c r="U88" i="5"/>
  <c r="U121" i="5" s="1"/>
  <c r="V88" i="5"/>
  <c r="V121" i="5" s="1"/>
  <c r="W88" i="5"/>
  <c r="W121" i="5" s="1"/>
  <c r="X88" i="5"/>
  <c r="X121" i="5" s="1"/>
  <c r="Y88" i="5"/>
  <c r="Y121" i="5" s="1"/>
  <c r="Z88" i="5"/>
  <c r="Z121" i="5" s="1"/>
  <c r="AA88" i="5"/>
  <c r="AA121" i="5" s="1"/>
  <c r="AB88" i="5"/>
  <c r="AB121" i="5" s="1"/>
  <c r="AC88" i="5"/>
  <c r="AC121" i="5" s="1"/>
  <c r="AD88" i="5"/>
  <c r="AD121" i="5" s="1"/>
  <c r="AE88" i="5"/>
  <c r="AE121" i="5" s="1"/>
  <c r="AF88" i="5"/>
  <c r="AF121" i="5" s="1"/>
  <c r="AG88" i="5"/>
  <c r="AG121" i="5" s="1"/>
  <c r="D89" i="5"/>
  <c r="D122" i="5" s="1"/>
  <c r="E89" i="5"/>
  <c r="E122" i="5" s="1"/>
  <c r="F89" i="5"/>
  <c r="F122" i="5" s="1"/>
  <c r="G89" i="5"/>
  <c r="G122" i="5" s="1"/>
  <c r="H89" i="5"/>
  <c r="H122" i="5" s="1"/>
  <c r="I89" i="5"/>
  <c r="I122" i="5" s="1"/>
  <c r="J89" i="5"/>
  <c r="J122" i="5" s="1"/>
  <c r="K89" i="5"/>
  <c r="K122" i="5" s="1"/>
  <c r="L89" i="5"/>
  <c r="L122" i="5" s="1"/>
  <c r="M89" i="5"/>
  <c r="M122" i="5" s="1"/>
  <c r="N89" i="5"/>
  <c r="N122" i="5" s="1"/>
  <c r="O89" i="5"/>
  <c r="O122" i="5" s="1"/>
  <c r="P89" i="5"/>
  <c r="P122" i="5" s="1"/>
  <c r="Q89" i="5"/>
  <c r="Q122" i="5" s="1"/>
  <c r="R89" i="5"/>
  <c r="R122" i="5" s="1"/>
  <c r="S89" i="5"/>
  <c r="S122" i="5" s="1"/>
  <c r="T89" i="5"/>
  <c r="T122" i="5" s="1"/>
  <c r="U89" i="5"/>
  <c r="U122" i="5" s="1"/>
  <c r="V89" i="5"/>
  <c r="V122" i="5" s="1"/>
  <c r="W89" i="5"/>
  <c r="W122" i="5" s="1"/>
  <c r="X89" i="5"/>
  <c r="X122" i="5" s="1"/>
  <c r="Y89" i="5"/>
  <c r="Y122" i="5" s="1"/>
  <c r="Z89" i="5"/>
  <c r="Z122" i="5" s="1"/>
  <c r="AA89" i="5"/>
  <c r="AA122" i="5" s="1"/>
  <c r="AB89" i="5"/>
  <c r="AB122" i="5" s="1"/>
  <c r="AC89" i="5"/>
  <c r="AC122" i="5" s="1"/>
  <c r="AD89" i="5"/>
  <c r="AD122" i="5" s="1"/>
  <c r="AE89" i="5"/>
  <c r="AE122" i="5" s="1"/>
  <c r="AF89" i="5"/>
  <c r="AF122" i="5" s="1"/>
  <c r="AG89" i="5"/>
  <c r="AG122" i="5" s="1"/>
  <c r="D90" i="5"/>
  <c r="D123" i="5" s="1"/>
  <c r="E90" i="5"/>
  <c r="E123" i="5" s="1"/>
  <c r="F90" i="5"/>
  <c r="F123" i="5" s="1"/>
  <c r="G90" i="5"/>
  <c r="G123" i="5" s="1"/>
  <c r="H90" i="5"/>
  <c r="H123" i="5" s="1"/>
  <c r="I90" i="5"/>
  <c r="I123" i="5" s="1"/>
  <c r="J90" i="5"/>
  <c r="J123" i="5" s="1"/>
  <c r="K90" i="5"/>
  <c r="K123" i="5" s="1"/>
  <c r="L90" i="5"/>
  <c r="L123" i="5" s="1"/>
  <c r="M90" i="5"/>
  <c r="M123" i="5" s="1"/>
  <c r="N90" i="5"/>
  <c r="N123" i="5" s="1"/>
  <c r="O90" i="5"/>
  <c r="O123" i="5" s="1"/>
  <c r="P90" i="5"/>
  <c r="P123" i="5" s="1"/>
  <c r="Q90" i="5"/>
  <c r="Q123" i="5" s="1"/>
  <c r="R90" i="5"/>
  <c r="R123" i="5" s="1"/>
  <c r="S90" i="5"/>
  <c r="S123" i="5" s="1"/>
  <c r="T90" i="5"/>
  <c r="T123" i="5" s="1"/>
  <c r="U90" i="5"/>
  <c r="U123" i="5" s="1"/>
  <c r="V90" i="5"/>
  <c r="V123" i="5" s="1"/>
  <c r="W90" i="5"/>
  <c r="W123" i="5" s="1"/>
  <c r="X90" i="5"/>
  <c r="X123" i="5" s="1"/>
  <c r="Y90" i="5"/>
  <c r="Y123" i="5" s="1"/>
  <c r="Z90" i="5"/>
  <c r="Z123" i="5" s="1"/>
  <c r="AA90" i="5"/>
  <c r="AA123" i="5" s="1"/>
  <c r="AB90" i="5"/>
  <c r="AB123" i="5" s="1"/>
  <c r="AC90" i="5"/>
  <c r="AC123" i="5" s="1"/>
  <c r="AD90" i="5"/>
  <c r="AD123" i="5" s="1"/>
  <c r="AE90" i="5"/>
  <c r="AE123" i="5" s="1"/>
  <c r="AF90" i="5"/>
  <c r="AF123" i="5" s="1"/>
  <c r="AG90" i="5"/>
  <c r="AG123" i="5" s="1"/>
  <c r="D91" i="5"/>
  <c r="D124" i="5" s="1"/>
  <c r="E91" i="5"/>
  <c r="E124" i="5" s="1"/>
  <c r="F91" i="5"/>
  <c r="F124" i="5" s="1"/>
  <c r="G91" i="5"/>
  <c r="G124" i="5" s="1"/>
  <c r="H91" i="5"/>
  <c r="H124" i="5" s="1"/>
  <c r="I91" i="5"/>
  <c r="I124" i="5" s="1"/>
  <c r="J91" i="5"/>
  <c r="J124" i="5" s="1"/>
  <c r="K91" i="5"/>
  <c r="K124" i="5" s="1"/>
  <c r="L91" i="5"/>
  <c r="L124" i="5" s="1"/>
  <c r="M91" i="5"/>
  <c r="M124" i="5" s="1"/>
  <c r="N91" i="5"/>
  <c r="N124" i="5" s="1"/>
  <c r="O91" i="5"/>
  <c r="O124" i="5" s="1"/>
  <c r="P91" i="5"/>
  <c r="P124" i="5" s="1"/>
  <c r="Q91" i="5"/>
  <c r="Q124" i="5" s="1"/>
  <c r="R91" i="5"/>
  <c r="R124" i="5" s="1"/>
  <c r="S91" i="5"/>
  <c r="S124" i="5" s="1"/>
  <c r="T91" i="5"/>
  <c r="T124" i="5" s="1"/>
  <c r="U91" i="5"/>
  <c r="U124" i="5" s="1"/>
  <c r="V91" i="5"/>
  <c r="V124" i="5" s="1"/>
  <c r="W91" i="5"/>
  <c r="W124" i="5" s="1"/>
  <c r="X91" i="5"/>
  <c r="X124" i="5" s="1"/>
  <c r="Y91" i="5"/>
  <c r="Y124" i="5" s="1"/>
  <c r="Z91" i="5"/>
  <c r="Z124" i="5" s="1"/>
  <c r="AA91" i="5"/>
  <c r="AA124" i="5" s="1"/>
  <c r="AB91" i="5"/>
  <c r="AB124" i="5" s="1"/>
  <c r="AC91" i="5"/>
  <c r="AC124" i="5" s="1"/>
  <c r="AD91" i="5"/>
  <c r="AD124" i="5" s="1"/>
  <c r="AE91" i="5"/>
  <c r="AE124" i="5" s="1"/>
  <c r="AF91" i="5"/>
  <c r="AF124" i="5" s="1"/>
  <c r="AG91" i="5"/>
  <c r="AG124" i="5" s="1"/>
  <c r="D92" i="5"/>
  <c r="D125" i="5" s="1"/>
  <c r="E92" i="5"/>
  <c r="E125" i="5" s="1"/>
  <c r="F92" i="5"/>
  <c r="F125" i="5" s="1"/>
  <c r="G92" i="5"/>
  <c r="G125" i="5" s="1"/>
  <c r="H92" i="5"/>
  <c r="H125" i="5" s="1"/>
  <c r="I92" i="5"/>
  <c r="I125" i="5" s="1"/>
  <c r="J92" i="5"/>
  <c r="J125" i="5" s="1"/>
  <c r="K92" i="5"/>
  <c r="K125" i="5" s="1"/>
  <c r="L92" i="5"/>
  <c r="L125" i="5" s="1"/>
  <c r="M92" i="5"/>
  <c r="M125" i="5" s="1"/>
  <c r="N92" i="5"/>
  <c r="N125" i="5" s="1"/>
  <c r="O92" i="5"/>
  <c r="O125" i="5" s="1"/>
  <c r="P92" i="5"/>
  <c r="P125" i="5" s="1"/>
  <c r="Q92" i="5"/>
  <c r="Q125" i="5" s="1"/>
  <c r="R92" i="5"/>
  <c r="R125" i="5" s="1"/>
  <c r="S92" i="5"/>
  <c r="S125" i="5" s="1"/>
  <c r="T92" i="5"/>
  <c r="T125" i="5" s="1"/>
  <c r="U92" i="5"/>
  <c r="U125" i="5" s="1"/>
  <c r="V92" i="5"/>
  <c r="V125" i="5" s="1"/>
  <c r="W92" i="5"/>
  <c r="W125" i="5" s="1"/>
  <c r="X92" i="5"/>
  <c r="X125" i="5" s="1"/>
  <c r="Y92" i="5"/>
  <c r="Y125" i="5" s="1"/>
  <c r="Z92" i="5"/>
  <c r="Z125" i="5" s="1"/>
  <c r="AA92" i="5"/>
  <c r="AA125" i="5" s="1"/>
  <c r="AB92" i="5"/>
  <c r="AB125" i="5" s="1"/>
  <c r="AC92" i="5"/>
  <c r="AC125" i="5" s="1"/>
  <c r="AD92" i="5"/>
  <c r="AD125" i="5" s="1"/>
  <c r="AE92" i="5"/>
  <c r="AE125" i="5" s="1"/>
  <c r="AF92" i="5"/>
  <c r="AF125" i="5" s="1"/>
  <c r="AG92" i="5"/>
  <c r="AG125" i="5" s="1"/>
  <c r="D93" i="5"/>
  <c r="D126" i="5" s="1"/>
  <c r="E93" i="5"/>
  <c r="E126" i="5" s="1"/>
  <c r="F93" i="5"/>
  <c r="F126" i="5" s="1"/>
  <c r="G93" i="5"/>
  <c r="G126" i="5" s="1"/>
  <c r="H93" i="5"/>
  <c r="H126" i="5" s="1"/>
  <c r="I93" i="5"/>
  <c r="I126" i="5" s="1"/>
  <c r="J93" i="5"/>
  <c r="J126" i="5" s="1"/>
  <c r="K93" i="5"/>
  <c r="K126" i="5" s="1"/>
  <c r="L93" i="5"/>
  <c r="L126" i="5" s="1"/>
  <c r="M93" i="5"/>
  <c r="M126" i="5" s="1"/>
  <c r="N93" i="5"/>
  <c r="N126" i="5" s="1"/>
  <c r="O93" i="5"/>
  <c r="O126" i="5" s="1"/>
  <c r="P93" i="5"/>
  <c r="P126" i="5" s="1"/>
  <c r="Q93" i="5"/>
  <c r="Q126" i="5" s="1"/>
  <c r="R93" i="5"/>
  <c r="R126" i="5" s="1"/>
  <c r="S93" i="5"/>
  <c r="S126" i="5" s="1"/>
  <c r="T93" i="5"/>
  <c r="T126" i="5" s="1"/>
  <c r="U93" i="5"/>
  <c r="U126" i="5" s="1"/>
  <c r="V93" i="5"/>
  <c r="V126" i="5" s="1"/>
  <c r="W93" i="5"/>
  <c r="W126" i="5" s="1"/>
  <c r="X93" i="5"/>
  <c r="X126" i="5" s="1"/>
  <c r="Y93" i="5"/>
  <c r="Y126" i="5" s="1"/>
  <c r="Z93" i="5"/>
  <c r="Z126" i="5" s="1"/>
  <c r="AA93" i="5"/>
  <c r="AA126" i="5" s="1"/>
  <c r="AB93" i="5"/>
  <c r="AB126" i="5" s="1"/>
  <c r="AC93" i="5"/>
  <c r="AC126" i="5" s="1"/>
  <c r="AD93" i="5"/>
  <c r="AD126" i="5" s="1"/>
  <c r="AE93" i="5"/>
  <c r="AE126" i="5" s="1"/>
  <c r="AF93" i="5"/>
  <c r="AF126" i="5" s="1"/>
  <c r="AG93" i="5"/>
  <c r="AG126" i="5" s="1"/>
  <c r="D94" i="5"/>
  <c r="D127" i="5" s="1"/>
  <c r="E94" i="5"/>
  <c r="E127" i="5" s="1"/>
  <c r="F94" i="5"/>
  <c r="F127" i="5" s="1"/>
  <c r="G94" i="5"/>
  <c r="G127" i="5" s="1"/>
  <c r="H94" i="5"/>
  <c r="H127" i="5" s="1"/>
  <c r="I94" i="5"/>
  <c r="I127" i="5" s="1"/>
  <c r="J94" i="5"/>
  <c r="J127" i="5" s="1"/>
  <c r="K94" i="5"/>
  <c r="K127" i="5" s="1"/>
  <c r="L94" i="5"/>
  <c r="L127" i="5" s="1"/>
  <c r="M94" i="5"/>
  <c r="M127" i="5" s="1"/>
  <c r="N94" i="5"/>
  <c r="N127" i="5" s="1"/>
  <c r="O94" i="5"/>
  <c r="O127" i="5" s="1"/>
  <c r="P94" i="5"/>
  <c r="P127" i="5" s="1"/>
  <c r="Q94" i="5"/>
  <c r="Q127" i="5" s="1"/>
  <c r="R94" i="5"/>
  <c r="R127" i="5" s="1"/>
  <c r="S94" i="5"/>
  <c r="S127" i="5" s="1"/>
  <c r="T94" i="5"/>
  <c r="T127" i="5" s="1"/>
  <c r="U94" i="5"/>
  <c r="U127" i="5" s="1"/>
  <c r="V94" i="5"/>
  <c r="V127" i="5" s="1"/>
  <c r="W94" i="5"/>
  <c r="W127" i="5" s="1"/>
  <c r="X94" i="5"/>
  <c r="X127" i="5" s="1"/>
  <c r="Y94" i="5"/>
  <c r="Y127" i="5" s="1"/>
  <c r="Z94" i="5"/>
  <c r="Z127" i="5" s="1"/>
  <c r="AA94" i="5"/>
  <c r="AA127" i="5" s="1"/>
  <c r="AB94" i="5"/>
  <c r="AB127" i="5" s="1"/>
  <c r="AC94" i="5"/>
  <c r="AC127" i="5" s="1"/>
  <c r="AD94" i="5"/>
  <c r="AD127" i="5" s="1"/>
  <c r="AE94" i="5"/>
  <c r="AE127" i="5" s="1"/>
  <c r="AF94" i="5"/>
  <c r="AF127" i="5" s="1"/>
  <c r="AG94" i="5"/>
  <c r="AG127" i="5" s="1"/>
  <c r="D95" i="5"/>
  <c r="D128" i="5" s="1"/>
  <c r="E95" i="5"/>
  <c r="E128" i="5" s="1"/>
  <c r="F95" i="5"/>
  <c r="F128" i="5" s="1"/>
  <c r="G95" i="5"/>
  <c r="G128" i="5" s="1"/>
  <c r="H95" i="5"/>
  <c r="H128" i="5" s="1"/>
  <c r="I95" i="5"/>
  <c r="I128" i="5" s="1"/>
  <c r="J95" i="5"/>
  <c r="J128" i="5" s="1"/>
  <c r="K95" i="5"/>
  <c r="K128" i="5" s="1"/>
  <c r="L95" i="5"/>
  <c r="L128" i="5" s="1"/>
  <c r="M95" i="5"/>
  <c r="M128" i="5" s="1"/>
  <c r="N95" i="5"/>
  <c r="N128" i="5" s="1"/>
  <c r="O95" i="5"/>
  <c r="O128" i="5" s="1"/>
  <c r="P95" i="5"/>
  <c r="P128" i="5" s="1"/>
  <c r="Q95" i="5"/>
  <c r="Q128" i="5" s="1"/>
  <c r="R95" i="5"/>
  <c r="R128" i="5" s="1"/>
  <c r="S95" i="5"/>
  <c r="S128" i="5" s="1"/>
  <c r="T95" i="5"/>
  <c r="T128" i="5" s="1"/>
  <c r="U95" i="5"/>
  <c r="U128" i="5" s="1"/>
  <c r="V95" i="5"/>
  <c r="V128" i="5" s="1"/>
  <c r="W95" i="5"/>
  <c r="W128" i="5" s="1"/>
  <c r="X95" i="5"/>
  <c r="X128" i="5" s="1"/>
  <c r="Y95" i="5"/>
  <c r="Y128" i="5" s="1"/>
  <c r="Z95" i="5"/>
  <c r="Z128" i="5" s="1"/>
  <c r="AA95" i="5"/>
  <c r="AA128" i="5" s="1"/>
  <c r="AB95" i="5"/>
  <c r="AB128" i="5" s="1"/>
  <c r="AC95" i="5"/>
  <c r="AC128" i="5" s="1"/>
  <c r="AD95" i="5"/>
  <c r="AD128" i="5" s="1"/>
  <c r="AE95" i="5"/>
  <c r="AE128" i="5" s="1"/>
  <c r="AF95" i="5"/>
  <c r="AF128" i="5" s="1"/>
  <c r="AG95" i="5"/>
  <c r="AG128" i="5" s="1"/>
  <c r="C73" i="5"/>
  <c r="C106" i="5" s="1"/>
  <c r="C74" i="5"/>
  <c r="C107" i="5" s="1"/>
  <c r="C75" i="5"/>
  <c r="C108" i="5" s="1"/>
  <c r="C76" i="5"/>
  <c r="C109" i="5" s="1"/>
  <c r="C77" i="5"/>
  <c r="C110" i="5" s="1"/>
  <c r="C78" i="5"/>
  <c r="C111" i="5" s="1"/>
  <c r="C79" i="5"/>
  <c r="C112" i="5" s="1"/>
  <c r="C80" i="5"/>
  <c r="C113" i="5" s="1"/>
  <c r="C81" i="5"/>
  <c r="C114" i="5" s="1"/>
  <c r="C82" i="5"/>
  <c r="C115" i="5" s="1"/>
  <c r="C83" i="5"/>
  <c r="C116" i="5" s="1"/>
  <c r="C84" i="5"/>
  <c r="C117" i="5" s="1"/>
  <c r="C85" i="5"/>
  <c r="C118" i="5" s="1"/>
  <c r="C86" i="5"/>
  <c r="C119" i="5" s="1"/>
  <c r="C87" i="5"/>
  <c r="C120" i="5" s="1"/>
  <c r="C88" i="5"/>
  <c r="C121" i="5" s="1"/>
  <c r="C89" i="5"/>
  <c r="C122" i="5" s="1"/>
  <c r="C90" i="5"/>
  <c r="C123" i="5" s="1"/>
  <c r="C91" i="5"/>
  <c r="C124" i="5" s="1"/>
  <c r="C92" i="5"/>
  <c r="C125" i="5" s="1"/>
  <c r="C93" i="5"/>
  <c r="C126" i="5" s="1"/>
  <c r="C94" i="5"/>
  <c r="C127" i="5" s="1"/>
  <c r="C95" i="5"/>
  <c r="C128" i="5" s="1"/>
  <c r="C930" i="7"/>
  <c r="BP1" i="3" s="1"/>
  <c r="AH926" i="7"/>
  <c r="AH957" i="7" s="1"/>
  <c r="AG926" i="7"/>
  <c r="AG957" i="7" s="1"/>
  <c r="AF926" i="7"/>
  <c r="AF957" i="7" s="1"/>
  <c r="AE926" i="7"/>
  <c r="AE957" i="7" s="1"/>
  <c r="AD926" i="7"/>
  <c r="AD957" i="7" s="1"/>
  <c r="AC926" i="7"/>
  <c r="AC957" i="7" s="1"/>
  <c r="AB926" i="7"/>
  <c r="AB957" i="7" s="1"/>
  <c r="AA926" i="7"/>
  <c r="AA957" i="7" s="1"/>
  <c r="Z926" i="7"/>
  <c r="Z957" i="7" s="1"/>
  <c r="Y926" i="7"/>
  <c r="Y957" i="7" s="1"/>
  <c r="X926" i="7"/>
  <c r="X957" i="7" s="1"/>
  <c r="W926" i="7"/>
  <c r="W957" i="7" s="1"/>
  <c r="V926" i="7"/>
  <c r="V957" i="7" s="1"/>
  <c r="U926" i="7"/>
  <c r="U957" i="7" s="1"/>
  <c r="T926" i="7"/>
  <c r="T957" i="7" s="1"/>
  <c r="S926" i="7"/>
  <c r="S957" i="7" s="1"/>
  <c r="R926" i="7"/>
  <c r="R957" i="7" s="1"/>
  <c r="Q926" i="7"/>
  <c r="Q957" i="7" s="1"/>
  <c r="P926" i="7"/>
  <c r="P957" i="7" s="1"/>
  <c r="O926" i="7"/>
  <c r="O957" i="7" s="1"/>
  <c r="N926" i="7"/>
  <c r="N957" i="7" s="1"/>
  <c r="M926" i="7"/>
  <c r="M957" i="7" s="1"/>
  <c r="L926" i="7"/>
  <c r="L957" i="7" s="1"/>
  <c r="K926" i="7"/>
  <c r="K957" i="7" s="1"/>
  <c r="J926" i="7"/>
  <c r="J957" i="7" s="1"/>
  <c r="I926" i="7"/>
  <c r="I957" i="7" s="1"/>
  <c r="H926" i="7"/>
  <c r="H957" i="7" s="1"/>
  <c r="G926" i="7"/>
  <c r="G957" i="7" s="1"/>
  <c r="F926" i="7"/>
  <c r="F957" i="7" s="1"/>
  <c r="E926" i="7"/>
  <c r="E957" i="7" s="1"/>
  <c r="D926" i="7"/>
  <c r="D957" i="7" s="1"/>
  <c r="C899" i="7"/>
  <c r="BO1" i="3" s="1"/>
  <c r="C866" i="7"/>
  <c r="BM1" i="3" s="1"/>
  <c r="AH862" i="7"/>
  <c r="AH893" i="7" s="1"/>
  <c r="AG862" i="7"/>
  <c r="AG893" i="7" s="1"/>
  <c r="AF862" i="7"/>
  <c r="AF893" i="7" s="1"/>
  <c r="AE862" i="7"/>
  <c r="AE893" i="7" s="1"/>
  <c r="AD862" i="7"/>
  <c r="AD893" i="7" s="1"/>
  <c r="AC862" i="7"/>
  <c r="AC893" i="7" s="1"/>
  <c r="AB862" i="7"/>
  <c r="AB893" i="7" s="1"/>
  <c r="AA862" i="7"/>
  <c r="AA893" i="7" s="1"/>
  <c r="Z862" i="7"/>
  <c r="Z893" i="7" s="1"/>
  <c r="Y862" i="7"/>
  <c r="Y893" i="7" s="1"/>
  <c r="X862" i="7"/>
  <c r="X893" i="7" s="1"/>
  <c r="W862" i="7"/>
  <c r="W893" i="7" s="1"/>
  <c r="V862" i="7"/>
  <c r="V893" i="7" s="1"/>
  <c r="U862" i="7"/>
  <c r="U893" i="7" s="1"/>
  <c r="T862" i="7"/>
  <c r="T893" i="7" s="1"/>
  <c r="S862" i="7"/>
  <c r="S893" i="7" s="1"/>
  <c r="R862" i="7"/>
  <c r="R893" i="7" s="1"/>
  <c r="Q862" i="7"/>
  <c r="Q893" i="7" s="1"/>
  <c r="P862" i="7"/>
  <c r="P893" i="7" s="1"/>
  <c r="O862" i="7"/>
  <c r="O893" i="7" s="1"/>
  <c r="N862" i="7"/>
  <c r="N893" i="7" s="1"/>
  <c r="M862" i="7"/>
  <c r="M893" i="7" s="1"/>
  <c r="L862" i="7"/>
  <c r="L893" i="7" s="1"/>
  <c r="K862" i="7"/>
  <c r="K893" i="7" s="1"/>
  <c r="J862" i="7"/>
  <c r="J893" i="7" s="1"/>
  <c r="I862" i="7"/>
  <c r="I893" i="7" s="1"/>
  <c r="H862" i="7"/>
  <c r="H893" i="7" s="1"/>
  <c r="G862" i="7"/>
  <c r="G893" i="7" s="1"/>
  <c r="F862" i="7"/>
  <c r="F893" i="7" s="1"/>
  <c r="E862" i="7"/>
  <c r="E893" i="7" s="1"/>
  <c r="D862" i="7"/>
  <c r="D893" i="7" s="1"/>
  <c r="C835" i="7"/>
  <c r="BL1" i="3" s="1"/>
  <c r="C802" i="7"/>
  <c r="BJ1" i="3" s="1"/>
  <c r="AH798" i="7"/>
  <c r="AH829" i="7" s="1"/>
  <c r="AG798" i="7"/>
  <c r="AG829" i="7" s="1"/>
  <c r="AF798" i="7"/>
  <c r="AF829" i="7" s="1"/>
  <c r="AE798" i="7"/>
  <c r="AE829" i="7" s="1"/>
  <c r="AD798" i="7"/>
  <c r="AD829" i="7" s="1"/>
  <c r="AC798" i="7"/>
  <c r="AC829" i="7" s="1"/>
  <c r="AB798" i="7"/>
  <c r="AB829" i="7" s="1"/>
  <c r="AA798" i="7"/>
  <c r="AA829" i="7" s="1"/>
  <c r="Z798" i="7"/>
  <c r="Z829" i="7" s="1"/>
  <c r="Y798" i="7"/>
  <c r="Y829" i="7" s="1"/>
  <c r="X798" i="7"/>
  <c r="X829" i="7" s="1"/>
  <c r="W798" i="7"/>
  <c r="W829" i="7" s="1"/>
  <c r="V798" i="7"/>
  <c r="V829" i="7" s="1"/>
  <c r="U798" i="7"/>
  <c r="U829" i="7" s="1"/>
  <c r="T798" i="7"/>
  <c r="T829" i="7" s="1"/>
  <c r="S798" i="7"/>
  <c r="S829" i="7" s="1"/>
  <c r="R798" i="7"/>
  <c r="R829" i="7" s="1"/>
  <c r="Q798" i="7"/>
  <c r="Q829" i="7" s="1"/>
  <c r="P798" i="7"/>
  <c r="P829" i="7" s="1"/>
  <c r="O798" i="7"/>
  <c r="O829" i="7" s="1"/>
  <c r="N798" i="7"/>
  <c r="N829" i="7" s="1"/>
  <c r="M798" i="7"/>
  <c r="M829" i="7" s="1"/>
  <c r="L798" i="7"/>
  <c r="L829" i="7" s="1"/>
  <c r="K798" i="7"/>
  <c r="K829" i="7" s="1"/>
  <c r="J798" i="7"/>
  <c r="J829" i="7" s="1"/>
  <c r="I798" i="7"/>
  <c r="I829" i="7" s="1"/>
  <c r="H798" i="7"/>
  <c r="H829" i="7" s="1"/>
  <c r="G798" i="7"/>
  <c r="G829" i="7" s="1"/>
  <c r="F798" i="7"/>
  <c r="F829" i="7" s="1"/>
  <c r="E798" i="7"/>
  <c r="E829" i="7" s="1"/>
  <c r="D798" i="7"/>
  <c r="D829" i="7" s="1"/>
  <c r="C771" i="7"/>
  <c r="BI1" i="3" s="1"/>
  <c r="C738" i="7"/>
  <c r="BG1" i="3" s="1"/>
  <c r="AH734" i="7"/>
  <c r="AH765" i="7" s="1"/>
  <c r="AG734" i="7"/>
  <c r="AG765" i="7" s="1"/>
  <c r="AF734" i="7"/>
  <c r="AF765" i="7" s="1"/>
  <c r="AE734" i="7"/>
  <c r="AE765" i="7" s="1"/>
  <c r="AD734" i="7"/>
  <c r="AD765" i="7" s="1"/>
  <c r="AC734" i="7"/>
  <c r="AC765" i="7" s="1"/>
  <c r="AB734" i="7"/>
  <c r="AB765" i="7" s="1"/>
  <c r="AA734" i="7"/>
  <c r="AA765" i="7" s="1"/>
  <c r="Z734" i="7"/>
  <c r="Z765" i="7" s="1"/>
  <c r="Y734" i="7"/>
  <c r="Y765" i="7" s="1"/>
  <c r="X734" i="7"/>
  <c r="X765" i="7" s="1"/>
  <c r="W734" i="7"/>
  <c r="W765" i="7" s="1"/>
  <c r="V734" i="7"/>
  <c r="V765" i="7" s="1"/>
  <c r="U734" i="7"/>
  <c r="U765" i="7" s="1"/>
  <c r="T734" i="7"/>
  <c r="T765" i="7" s="1"/>
  <c r="S734" i="7"/>
  <c r="S765" i="7" s="1"/>
  <c r="R734" i="7"/>
  <c r="R765" i="7" s="1"/>
  <c r="Q734" i="7"/>
  <c r="Q765" i="7" s="1"/>
  <c r="P734" i="7"/>
  <c r="P765" i="7" s="1"/>
  <c r="O734" i="7"/>
  <c r="O765" i="7" s="1"/>
  <c r="N734" i="7"/>
  <c r="N765" i="7" s="1"/>
  <c r="M734" i="7"/>
  <c r="M765" i="7" s="1"/>
  <c r="L734" i="7"/>
  <c r="L765" i="7" s="1"/>
  <c r="K734" i="7"/>
  <c r="K765" i="7" s="1"/>
  <c r="J734" i="7"/>
  <c r="J765" i="7" s="1"/>
  <c r="I734" i="7"/>
  <c r="I765" i="7" s="1"/>
  <c r="H734" i="7"/>
  <c r="H765" i="7" s="1"/>
  <c r="G734" i="7"/>
  <c r="G765" i="7" s="1"/>
  <c r="F734" i="7"/>
  <c r="F765" i="7" s="1"/>
  <c r="E734" i="7"/>
  <c r="E765" i="7" s="1"/>
  <c r="D734" i="7"/>
  <c r="D765" i="7" s="1"/>
  <c r="C707" i="7"/>
  <c r="BF1" i="3" s="1"/>
  <c r="C674" i="7"/>
  <c r="BD1" i="3" s="1"/>
  <c r="AH670" i="7"/>
  <c r="AH701" i="7" s="1"/>
  <c r="AG670" i="7"/>
  <c r="AG701" i="7" s="1"/>
  <c r="AF670" i="7"/>
  <c r="AF701" i="7" s="1"/>
  <c r="AE670" i="7"/>
  <c r="AE701" i="7" s="1"/>
  <c r="AD670" i="7"/>
  <c r="AD701" i="7" s="1"/>
  <c r="AC670" i="7"/>
  <c r="AC701" i="7" s="1"/>
  <c r="AB670" i="7"/>
  <c r="AB701" i="7" s="1"/>
  <c r="AA670" i="7"/>
  <c r="AA701" i="7" s="1"/>
  <c r="Z670" i="7"/>
  <c r="Z701" i="7" s="1"/>
  <c r="Y670" i="7"/>
  <c r="Y701" i="7" s="1"/>
  <c r="X670" i="7"/>
  <c r="X701" i="7" s="1"/>
  <c r="W670" i="7"/>
  <c r="W701" i="7" s="1"/>
  <c r="V670" i="7"/>
  <c r="V701" i="7" s="1"/>
  <c r="U670" i="7"/>
  <c r="U701" i="7" s="1"/>
  <c r="T670" i="7"/>
  <c r="T701" i="7" s="1"/>
  <c r="S670" i="7"/>
  <c r="S701" i="7" s="1"/>
  <c r="R670" i="7"/>
  <c r="R701" i="7" s="1"/>
  <c r="Q670" i="7"/>
  <c r="Q701" i="7" s="1"/>
  <c r="P670" i="7"/>
  <c r="P701" i="7" s="1"/>
  <c r="O670" i="7"/>
  <c r="O701" i="7" s="1"/>
  <c r="N670" i="7"/>
  <c r="N701" i="7" s="1"/>
  <c r="M670" i="7"/>
  <c r="M701" i="7" s="1"/>
  <c r="L670" i="7"/>
  <c r="L701" i="7" s="1"/>
  <c r="K670" i="7"/>
  <c r="K701" i="7" s="1"/>
  <c r="J670" i="7"/>
  <c r="J701" i="7" s="1"/>
  <c r="I670" i="7"/>
  <c r="I701" i="7" s="1"/>
  <c r="H670" i="7"/>
  <c r="H701" i="7" s="1"/>
  <c r="G670" i="7"/>
  <c r="G701" i="7" s="1"/>
  <c r="F670" i="7"/>
  <c r="E670" i="7"/>
  <c r="E701" i="7" s="1"/>
  <c r="D670" i="7"/>
  <c r="D701" i="7" s="1"/>
  <c r="C643" i="7"/>
  <c r="BC1" i="3" s="1"/>
  <c r="C610" i="7"/>
  <c r="BA1" i="3" s="1"/>
  <c r="AH606" i="7"/>
  <c r="AH637" i="7" s="1"/>
  <c r="AG606" i="7"/>
  <c r="AG637" i="7" s="1"/>
  <c r="AF606" i="7"/>
  <c r="AF637" i="7" s="1"/>
  <c r="AE606" i="7"/>
  <c r="AE637" i="7" s="1"/>
  <c r="AD606" i="7"/>
  <c r="AD637" i="7" s="1"/>
  <c r="AC606" i="7"/>
  <c r="AC637" i="7" s="1"/>
  <c r="AB606" i="7"/>
  <c r="AB637" i="7" s="1"/>
  <c r="AA606" i="7"/>
  <c r="AA637" i="7" s="1"/>
  <c r="Z606" i="7"/>
  <c r="Z637" i="7" s="1"/>
  <c r="Y606" i="7"/>
  <c r="Y637" i="7" s="1"/>
  <c r="X606" i="7"/>
  <c r="X637" i="7" s="1"/>
  <c r="W606" i="7"/>
  <c r="W637" i="7" s="1"/>
  <c r="V606" i="7"/>
  <c r="V637" i="7" s="1"/>
  <c r="U606" i="7"/>
  <c r="U637" i="7" s="1"/>
  <c r="T606" i="7"/>
  <c r="T637" i="7" s="1"/>
  <c r="S606" i="7"/>
  <c r="S637" i="7" s="1"/>
  <c r="R606" i="7"/>
  <c r="R637" i="7" s="1"/>
  <c r="Q606" i="7"/>
  <c r="Q637" i="7" s="1"/>
  <c r="P606" i="7"/>
  <c r="P637" i="7" s="1"/>
  <c r="O606" i="7"/>
  <c r="O637" i="7" s="1"/>
  <c r="N606" i="7"/>
  <c r="N637" i="7" s="1"/>
  <c r="M606" i="7"/>
  <c r="M637" i="7" s="1"/>
  <c r="L606" i="7"/>
  <c r="L637" i="7" s="1"/>
  <c r="K606" i="7"/>
  <c r="K637" i="7" s="1"/>
  <c r="J606" i="7"/>
  <c r="J637" i="7" s="1"/>
  <c r="I606" i="7"/>
  <c r="I637" i="7" s="1"/>
  <c r="H606" i="7"/>
  <c r="H637" i="7" s="1"/>
  <c r="G606" i="7"/>
  <c r="G637" i="7" s="1"/>
  <c r="F606" i="7"/>
  <c r="F637" i="7" s="1"/>
  <c r="E606" i="7"/>
  <c r="E637" i="7" s="1"/>
  <c r="D606" i="7"/>
  <c r="D637" i="7" s="1"/>
  <c r="C579" i="7"/>
  <c r="AZ1" i="3" s="1"/>
  <c r="B8" i="1"/>
  <c r="BH2" i="3" l="1"/>
  <c r="AV493" i="3"/>
  <c r="AV500" i="3"/>
  <c r="C65" i="5"/>
  <c r="AV621" i="3"/>
  <c r="AY308" i="3"/>
  <c r="AY322" i="3"/>
  <c r="AY686" i="3"/>
  <c r="AY700" i="3"/>
  <c r="AV25" i="3"/>
  <c r="AV39" i="3"/>
  <c r="AV67" i="3"/>
  <c r="AV81" i="3"/>
  <c r="AV251" i="3"/>
  <c r="AV266" i="3"/>
  <c r="AV350" i="3"/>
  <c r="AV406" i="3"/>
  <c r="AV420" i="3"/>
  <c r="AV714" i="3"/>
  <c r="AV23" i="3"/>
  <c r="AV37" i="3"/>
  <c r="AV51" i="3"/>
  <c r="AV65" i="3"/>
  <c r="AV107" i="3"/>
  <c r="AV121" i="3"/>
  <c r="AV135" i="3"/>
  <c r="AV149" i="3"/>
  <c r="AV191" i="3"/>
  <c r="AV275" i="3"/>
  <c r="AV289" i="3"/>
  <c r="AV303" i="3"/>
  <c r="AV513" i="3"/>
  <c r="AV569" i="3"/>
  <c r="AV611" i="3"/>
  <c r="BK1" i="3"/>
  <c r="B35" i="1" s="1"/>
  <c r="B63" i="1" s="1"/>
  <c r="AV68" i="3"/>
  <c r="AV75" i="3"/>
  <c r="AV89" i="3"/>
  <c r="AV103" i="3"/>
  <c r="AV110" i="3"/>
  <c r="AV117" i="3"/>
  <c r="AV124" i="3"/>
  <c r="AV131" i="3"/>
  <c r="AV306" i="3"/>
  <c r="AV313" i="3"/>
  <c r="BN1" i="3"/>
  <c r="B36" i="1" s="1"/>
  <c r="B64" i="1" s="1"/>
  <c r="AV83" i="3"/>
  <c r="AV139" i="3"/>
  <c r="BH1" i="3"/>
  <c r="B34" i="1" s="1"/>
  <c r="B62" i="1" s="1"/>
  <c r="BQ1" i="3"/>
  <c r="B37" i="1" s="1"/>
  <c r="B65" i="1" s="1"/>
  <c r="AV246" i="3"/>
  <c r="BE1" i="3"/>
  <c r="B33" i="1" s="1"/>
  <c r="B61" i="1" s="1"/>
  <c r="BB1" i="3"/>
  <c r="B32" i="1" s="1"/>
  <c r="B60" i="1" s="1"/>
  <c r="AV241" i="3"/>
  <c r="AV563" i="3"/>
  <c r="AY252" i="3"/>
  <c r="AV320" i="3"/>
  <c r="AV341" i="3"/>
  <c r="AV348" i="3"/>
  <c r="AV293" i="3"/>
  <c r="AV238" i="3"/>
  <c r="AV667" i="3"/>
  <c r="AV723" i="3"/>
  <c r="AV737" i="3"/>
  <c r="AV744" i="3"/>
  <c r="AY230" i="3"/>
  <c r="AY546" i="3"/>
  <c r="AV515" i="3"/>
  <c r="AV599" i="3"/>
  <c r="AV627" i="3"/>
  <c r="AV641" i="3"/>
  <c r="AV655" i="3"/>
  <c r="AV669" i="3"/>
  <c r="AV683" i="3"/>
  <c r="AV697" i="3"/>
  <c r="AV711" i="3"/>
  <c r="AV195" i="3"/>
  <c r="AV411" i="3"/>
  <c r="AV252" i="3"/>
  <c r="AV15" i="3"/>
  <c r="AV22" i="3"/>
  <c r="AV36" i="3"/>
  <c r="AV50" i="3"/>
  <c r="AV99" i="3"/>
  <c r="AV120" i="3"/>
  <c r="AV127" i="3"/>
  <c r="AV183" i="3"/>
  <c r="AV190" i="3"/>
  <c r="AV204" i="3"/>
  <c r="AV448" i="3"/>
  <c r="AV504" i="3"/>
  <c r="AV77" i="3"/>
  <c r="AV182" i="3"/>
  <c r="AV224" i="3"/>
  <c r="AV231" i="3"/>
  <c r="AY272" i="3"/>
  <c r="AV66" i="3"/>
  <c r="AV249" i="3"/>
  <c r="AV263" i="3"/>
  <c r="AV277" i="3"/>
  <c r="AV305" i="3"/>
  <c r="AV425" i="3"/>
  <c r="AV725" i="3"/>
  <c r="AV92" i="3"/>
  <c r="AV279" i="3"/>
  <c r="AV467" i="3"/>
  <c r="AY28" i="3"/>
  <c r="AY56" i="3"/>
  <c r="AY70" i="3"/>
  <c r="AY84" i="3"/>
  <c r="AY91" i="3"/>
  <c r="AY98" i="3"/>
  <c r="AY126" i="3"/>
  <c r="AY286" i="3"/>
  <c r="AY300" i="3"/>
  <c r="AY314" i="3"/>
  <c r="AY328" i="3"/>
  <c r="AY356" i="3"/>
  <c r="AY363" i="3"/>
  <c r="AY370" i="3"/>
  <c r="AY398" i="3"/>
  <c r="AY454" i="3"/>
  <c r="AY531" i="3"/>
  <c r="AY538" i="3"/>
  <c r="AY552" i="3"/>
  <c r="AY559" i="3"/>
  <c r="AY608" i="3"/>
  <c r="AY650" i="3"/>
  <c r="AV3" i="3"/>
  <c r="AV10" i="3"/>
  <c r="AV31" i="3"/>
  <c r="AV38" i="3"/>
  <c r="AV45" i="3"/>
  <c r="AV240" i="3"/>
  <c r="AV336" i="3"/>
  <c r="AV364" i="3"/>
  <c r="AV434" i="3"/>
  <c r="AV545" i="3"/>
  <c r="AY259" i="3"/>
  <c r="AY266" i="3"/>
  <c r="AV87" i="3"/>
  <c r="AV101" i="3"/>
  <c r="AV122" i="3"/>
  <c r="AV143" i="3"/>
  <c r="AV185" i="3"/>
  <c r="AV199" i="3"/>
  <c r="AV206" i="3"/>
  <c r="AV288" i="3"/>
  <c r="AV302" i="3"/>
  <c r="AV455" i="3"/>
  <c r="AV490" i="3"/>
  <c r="BB339" i="3"/>
  <c r="BB423" i="3"/>
  <c r="BB444" i="3"/>
  <c r="BB619" i="3"/>
  <c r="BB668" i="3"/>
  <c r="BB703" i="3"/>
  <c r="BB710" i="3"/>
  <c r="BB724" i="3"/>
  <c r="BB731" i="3"/>
  <c r="AV330" i="3"/>
  <c r="AV358" i="3"/>
  <c r="AV372" i="3"/>
  <c r="AV414" i="3"/>
  <c r="AV511" i="3"/>
  <c r="AV518" i="3"/>
  <c r="AV525" i="3"/>
  <c r="AV546" i="3"/>
  <c r="AV623" i="3"/>
  <c r="AV644" i="3"/>
  <c r="AV651" i="3"/>
  <c r="AV728" i="3"/>
  <c r="AV301" i="3"/>
  <c r="AV454" i="3"/>
  <c r="AV228" i="3"/>
  <c r="AV470" i="3"/>
  <c r="AY247" i="3"/>
  <c r="AY302" i="3"/>
  <c r="AV5" i="3"/>
  <c r="AV290" i="3"/>
  <c r="AV297" i="3"/>
  <c r="AV394" i="3"/>
  <c r="AV408" i="3"/>
  <c r="AV436" i="3"/>
  <c r="AV457" i="3"/>
  <c r="AV499" i="3"/>
  <c r="AV512" i="3"/>
  <c r="AV526" i="3"/>
  <c r="AV540" i="3"/>
  <c r="AV342" i="3"/>
  <c r="AV509" i="3"/>
  <c r="AV523" i="3"/>
  <c r="AV635" i="3"/>
  <c r="AV55" i="3"/>
  <c r="AV44" i="3"/>
  <c r="AV239" i="3"/>
  <c r="AV328" i="3"/>
  <c r="AV516" i="3"/>
  <c r="AV572" i="3"/>
  <c r="AV42" i="3"/>
  <c r="AV56" i="3"/>
  <c r="AV181" i="3"/>
  <c r="AV284" i="3"/>
  <c r="AV347" i="3"/>
  <c r="AV389" i="3"/>
  <c r="AV403" i="3"/>
  <c r="AV431" i="3"/>
  <c r="AV445" i="3"/>
  <c r="AV535" i="3"/>
  <c r="AV626" i="3"/>
  <c r="AV738" i="3"/>
  <c r="AV473" i="3"/>
  <c r="AV501" i="3"/>
  <c r="AV262" i="3"/>
  <c r="AV311" i="3"/>
  <c r="AV582" i="3"/>
  <c r="AV137" i="3"/>
  <c r="AV247" i="3"/>
  <c r="AV344" i="3"/>
  <c r="AV400" i="3"/>
  <c r="AV560" i="3"/>
  <c r="AV573" i="3"/>
  <c r="AV616" i="3"/>
  <c r="AV666" i="3"/>
  <c r="AV248" i="3"/>
  <c r="AV317" i="3"/>
  <c r="AV331" i="3"/>
  <c r="AV359" i="3"/>
  <c r="AV415" i="3"/>
  <c r="AV484" i="3"/>
  <c r="AV554" i="3"/>
  <c r="AV602" i="3"/>
  <c r="AV742" i="3"/>
  <c r="AV283" i="3"/>
  <c r="AV8" i="3"/>
  <c r="AV97" i="3"/>
  <c r="AV153" i="3"/>
  <c r="AV167" i="3"/>
  <c r="AV325" i="3"/>
  <c r="AV346" i="3"/>
  <c r="AV353" i="3"/>
  <c r="AV416" i="3"/>
  <c r="AV437" i="3"/>
  <c r="AV208" i="3"/>
  <c r="AV236" i="3"/>
  <c r="AV610" i="3"/>
  <c r="AV84" i="3"/>
  <c r="AV590" i="3"/>
  <c r="AV646" i="3"/>
  <c r="AV660" i="3"/>
  <c r="AV716" i="3"/>
  <c r="AV112" i="3"/>
  <c r="AV119" i="3"/>
  <c r="AV126" i="3"/>
  <c r="AV147" i="3"/>
  <c r="AV161" i="3"/>
  <c r="AV528" i="3"/>
  <c r="AV549" i="3"/>
  <c r="AV556" i="3"/>
  <c r="BB2" i="3"/>
  <c r="AV577" i="3"/>
  <c r="AV605" i="3"/>
  <c r="AV619" i="3"/>
  <c r="AV647" i="3"/>
  <c r="AV661" i="3"/>
  <c r="AV724" i="3"/>
  <c r="AV596" i="3"/>
  <c r="AV86" i="3"/>
  <c r="AV722" i="3"/>
  <c r="BB276" i="3"/>
  <c r="AV736" i="3"/>
  <c r="AV17" i="3"/>
  <c r="AV24" i="3"/>
  <c r="AV273" i="3"/>
  <c r="AV280" i="3"/>
  <c r="AV503" i="3"/>
  <c r="AV192" i="3"/>
  <c r="AV462" i="3"/>
  <c r="AV428" i="3"/>
  <c r="AV373" i="3"/>
  <c r="AV387" i="3"/>
  <c r="AV700" i="3"/>
  <c r="AV172" i="3"/>
  <c r="AV111" i="3"/>
  <c r="AV360" i="3"/>
  <c r="AV465" i="3"/>
  <c r="AV64" i="3"/>
  <c r="AV530" i="3"/>
  <c r="AV624" i="3"/>
  <c r="AV672" i="3"/>
  <c r="AV686" i="3"/>
  <c r="AY106" i="3"/>
  <c r="AY134" i="3"/>
  <c r="AY148" i="3"/>
  <c r="AY176" i="3"/>
  <c r="AY190" i="3"/>
  <c r="AY239" i="3"/>
  <c r="AY246" i="3"/>
  <c r="AV4" i="3"/>
  <c r="AV71" i="3"/>
  <c r="AV78" i="3"/>
  <c r="AV98" i="3"/>
  <c r="AV125" i="3"/>
  <c r="AV159" i="3"/>
  <c r="AV227" i="3"/>
  <c r="AV260" i="3"/>
  <c r="AV327" i="3"/>
  <c r="AV340" i="3"/>
  <c r="AV354" i="3"/>
  <c r="AV442" i="3"/>
  <c r="AV469" i="3"/>
  <c r="AV476" i="3"/>
  <c r="AV517" i="3"/>
  <c r="AV524" i="3"/>
  <c r="AV591" i="3"/>
  <c r="AV604" i="3"/>
  <c r="AV638" i="3"/>
  <c r="AV645" i="3"/>
  <c r="AV652" i="3"/>
  <c r="AV740" i="3"/>
  <c r="AY156" i="3"/>
  <c r="AY414" i="3"/>
  <c r="AY470" i="3"/>
  <c r="AY610" i="3"/>
  <c r="AY624" i="3"/>
  <c r="AY666" i="3"/>
  <c r="AY694" i="3"/>
  <c r="AV32" i="3"/>
  <c r="AV52" i="3"/>
  <c r="AV79" i="3"/>
  <c r="AV105" i="3"/>
  <c r="AV173" i="3"/>
  <c r="AV200" i="3"/>
  <c r="AV221" i="3"/>
  <c r="AV235" i="3"/>
  <c r="AV261" i="3"/>
  <c r="AV267" i="3"/>
  <c r="AV274" i="3"/>
  <c r="AV294" i="3"/>
  <c r="AV308" i="3"/>
  <c r="AV321" i="3"/>
  <c r="AV334" i="3"/>
  <c r="AV361" i="3"/>
  <c r="AV367" i="3"/>
  <c r="AV374" i="3"/>
  <c r="AV395" i="3"/>
  <c r="AV402" i="3"/>
  <c r="AV409" i="3"/>
  <c r="AV429" i="3"/>
  <c r="AV443" i="3"/>
  <c r="AV449" i="3"/>
  <c r="AV456" i="3"/>
  <c r="AV463" i="3"/>
  <c r="AV531" i="3"/>
  <c r="AV551" i="3"/>
  <c r="AV578" i="3"/>
  <c r="AV585" i="3"/>
  <c r="AV598" i="3"/>
  <c r="AV639" i="3"/>
  <c r="AV653" i="3"/>
  <c r="AV680" i="3"/>
  <c r="AV694" i="3"/>
  <c r="AV708" i="3"/>
  <c r="AV734" i="3"/>
  <c r="AV537" i="3"/>
  <c r="AV679" i="3"/>
  <c r="AV733" i="3"/>
  <c r="AY324" i="3"/>
  <c r="AY352" i="3"/>
  <c r="AY394" i="3"/>
  <c r="AY450" i="3"/>
  <c r="AY478" i="3"/>
  <c r="AY520" i="3"/>
  <c r="AY576" i="3"/>
  <c r="AY590" i="3"/>
  <c r="AY702" i="3"/>
  <c r="AY730" i="3"/>
  <c r="AY744" i="3"/>
  <c r="AV12" i="3"/>
  <c r="AV40" i="3"/>
  <c r="AV53" i="3"/>
  <c r="AV73" i="3"/>
  <c r="AV93" i="3"/>
  <c r="AV106" i="3"/>
  <c r="AV133" i="3"/>
  <c r="AV140" i="3"/>
  <c r="AV154" i="3"/>
  <c r="AV201" i="3"/>
  <c r="AV255" i="3"/>
  <c r="AV282" i="3"/>
  <c r="AV295" i="3"/>
  <c r="AV315" i="3"/>
  <c r="AV322" i="3"/>
  <c r="AV382" i="3"/>
  <c r="AV417" i="3"/>
  <c r="AV423" i="3"/>
  <c r="AV430" i="3"/>
  <c r="AV450" i="3"/>
  <c r="AV498" i="3"/>
  <c r="AV532" i="3"/>
  <c r="AV539" i="3"/>
  <c r="AV579" i="3"/>
  <c r="AV633" i="3"/>
  <c r="AV709" i="3"/>
  <c r="AV41" i="3"/>
  <c r="AV316" i="3"/>
  <c r="AV451" i="3"/>
  <c r="AV148" i="3"/>
  <c r="AV243" i="3"/>
  <c r="AV479" i="3"/>
  <c r="AV506" i="3"/>
  <c r="AV703" i="3"/>
  <c r="BE410" i="3"/>
  <c r="AV14" i="3"/>
  <c r="AV28" i="3"/>
  <c r="AV35" i="3"/>
  <c r="AV88" i="3"/>
  <c r="AV115" i="3"/>
  <c r="AV169" i="3"/>
  <c r="AV176" i="3"/>
  <c r="AV189" i="3"/>
  <c r="AV196" i="3"/>
  <c r="AV203" i="3"/>
  <c r="AV210" i="3"/>
  <c r="AV304" i="3"/>
  <c r="AV324" i="3"/>
  <c r="AV377" i="3"/>
  <c r="AV561" i="3"/>
  <c r="AV601" i="3"/>
  <c r="AV47" i="3"/>
  <c r="AV134" i="3"/>
  <c r="AV168" i="3"/>
  <c r="AV269" i="3"/>
  <c r="AV376" i="3"/>
  <c r="AV155" i="3"/>
  <c r="AV237" i="3"/>
  <c r="AV574" i="3"/>
  <c r="AV109" i="3"/>
  <c r="AV129" i="3"/>
  <c r="AV136" i="3"/>
  <c r="AV177" i="3"/>
  <c r="AV439" i="3"/>
  <c r="AV507" i="3"/>
  <c r="AV514" i="3"/>
  <c r="AV521" i="3"/>
  <c r="AV568" i="3"/>
  <c r="AV588" i="3"/>
  <c r="AV595" i="3"/>
  <c r="AV649" i="3"/>
  <c r="AV656" i="3"/>
  <c r="AV717" i="3"/>
  <c r="AV264" i="3"/>
  <c r="AV271" i="3"/>
  <c r="AV318" i="3"/>
  <c r="AV378" i="3"/>
  <c r="AV392" i="3"/>
  <c r="AV426" i="3"/>
  <c r="AV453" i="3"/>
  <c r="AV548" i="3"/>
  <c r="AV622" i="3"/>
  <c r="AV670" i="3"/>
  <c r="AV677" i="3"/>
  <c r="AV698" i="3"/>
  <c r="AV731" i="3"/>
  <c r="AV13" i="3"/>
  <c r="AV404" i="3"/>
  <c r="AV533" i="3"/>
  <c r="AV580" i="3"/>
  <c r="AV689" i="3"/>
  <c r="AV162" i="3"/>
  <c r="AV223" i="3"/>
  <c r="AV256" i="3"/>
  <c r="AV486" i="3"/>
  <c r="AV607" i="3"/>
  <c r="AV662" i="3"/>
  <c r="AY530" i="3"/>
  <c r="AY537" i="3"/>
  <c r="AV43" i="3"/>
  <c r="AV69" i="3"/>
  <c r="AV96" i="3"/>
  <c r="AV150" i="3"/>
  <c r="AV157" i="3"/>
  <c r="AV211" i="3"/>
  <c r="AV218" i="3"/>
  <c r="AV232" i="3"/>
  <c r="AV285" i="3"/>
  <c r="AV352" i="3"/>
  <c r="AV413" i="3"/>
  <c r="AV447" i="3"/>
  <c r="AV488" i="3"/>
  <c r="AV542" i="3"/>
  <c r="AV576" i="3"/>
  <c r="AV609" i="3"/>
  <c r="AV705" i="3"/>
  <c r="AV712" i="3"/>
  <c r="AV27" i="3"/>
  <c r="AV60" i="3"/>
  <c r="AV175" i="3"/>
  <c r="AV383" i="3"/>
  <c r="AV675" i="3"/>
  <c r="AV7" i="3"/>
  <c r="AV209" i="3"/>
  <c r="AV310" i="3"/>
  <c r="AV710" i="3"/>
  <c r="AY112" i="3"/>
  <c r="AY154" i="3"/>
  <c r="AV70" i="3"/>
  <c r="AV151" i="3"/>
  <c r="AV165" i="3"/>
  <c r="AV219" i="3"/>
  <c r="AV233" i="3"/>
  <c r="AV265" i="3"/>
  <c r="AV292" i="3"/>
  <c r="AV339" i="3"/>
  <c r="AV386" i="3"/>
  <c r="AV536" i="3"/>
  <c r="AV543" i="3"/>
  <c r="AV583" i="3"/>
  <c r="AV630" i="3"/>
  <c r="AV658" i="3"/>
  <c r="AV671" i="3"/>
  <c r="AV739" i="3"/>
  <c r="AV745" i="3"/>
  <c r="AY132" i="3"/>
  <c r="AY146" i="3"/>
  <c r="AY641" i="3"/>
  <c r="AY669" i="3"/>
  <c r="AY718" i="3"/>
  <c r="AV72" i="3"/>
  <c r="AV114" i="3"/>
  <c r="AV138" i="3"/>
  <c r="AV197" i="3"/>
  <c r="AV268" i="3"/>
  <c r="AV371" i="3"/>
  <c r="AV390" i="3"/>
  <c r="AV396" i="3"/>
  <c r="AV433" i="3"/>
  <c r="AV587" i="3"/>
  <c r="AV593" i="3"/>
  <c r="AV642" i="3"/>
  <c r="AV654" i="3"/>
  <c r="AV673" i="3"/>
  <c r="AV19" i="3"/>
  <c r="AV49" i="3"/>
  <c r="AV61" i="3"/>
  <c r="AV91" i="3"/>
  <c r="AV144" i="3"/>
  <c r="AV180" i="3"/>
  <c r="AV215" i="3"/>
  <c r="AV245" i="3"/>
  <c r="AV257" i="3"/>
  <c r="AV287" i="3"/>
  <c r="AV329" i="3"/>
  <c r="AV335" i="3"/>
  <c r="AV365" i="3"/>
  <c r="AV384" i="3"/>
  <c r="AV427" i="3"/>
  <c r="AV464" i="3"/>
  <c r="AV489" i="3"/>
  <c r="AV495" i="3"/>
  <c r="AV562" i="3"/>
  <c r="AV581" i="3"/>
  <c r="AV618" i="3"/>
  <c r="AV699" i="3"/>
  <c r="AV729" i="3"/>
  <c r="AV735" i="3"/>
  <c r="AV741" i="3"/>
  <c r="BE111" i="3"/>
  <c r="AV2" i="3"/>
  <c r="AV26" i="3"/>
  <c r="AV85" i="3"/>
  <c r="AV156" i="3"/>
  <c r="AV198" i="3"/>
  <c r="AV222" i="3"/>
  <c r="AV281" i="3"/>
  <c r="AV391" i="3"/>
  <c r="AV397" i="3"/>
  <c r="AV446" i="3"/>
  <c r="AV458" i="3"/>
  <c r="AV483" i="3"/>
  <c r="AV502" i="3"/>
  <c r="AV520" i="3"/>
  <c r="AV538" i="3"/>
  <c r="AV544" i="3"/>
  <c r="AV550" i="3"/>
  <c r="AV600" i="3"/>
  <c r="AV612" i="3"/>
  <c r="AV643" i="3"/>
  <c r="AV674" i="3"/>
  <c r="AV693" i="3"/>
  <c r="BE469" i="3"/>
  <c r="BE497" i="3"/>
  <c r="BE595" i="3"/>
  <c r="BE623" i="3"/>
  <c r="BE665" i="3"/>
  <c r="BE679" i="3"/>
  <c r="BE693" i="3"/>
  <c r="BE721" i="3"/>
  <c r="AY36" i="3"/>
  <c r="AY78" i="3"/>
  <c r="AY524" i="3"/>
  <c r="AY734" i="3"/>
  <c r="AV9" i="3"/>
  <c r="AV80" i="3"/>
  <c r="AV145" i="3"/>
  <c r="AV163" i="3"/>
  <c r="AV193" i="3"/>
  <c r="AV205" i="3"/>
  <c r="AV276" i="3"/>
  <c r="AV299" i="3"/>
  <c r="AV366" i="3"/>
  <c r="AV385" i="3"/>
  <c r="AV422" i="3"/>
  <c r="AV459" i="3"/>
  <c r="AV471" i="3"/>
  <c r="AV477" i="3"/>
  <c r="AV527" i="3"/>
  <c r="AV557" i="3"/>
  <c r="AV613" i="3"/>
  <c r="AV625" i="3"/>
  <c r="AV631" i="3"/>
  <c r="AV637" i="3"/>
  <c r="AV668" i="3"/>
  <c r="AV681" i="3"/>
  <c r="AV687" i="3"/>
  <c r="AV730" i="3"/>
  <c r="AY280" i="3"/>
  <c r="AY287" i="3"/>
  <c r="AY294" i="3"/>
  <c r="AV21" i="3"/>
  <c r="AV33" i="3"/>
  <c r="AV63" i="3"/>
  <c r="AV116" i="3"/>
  <c r="AV152" i="3"/>
  <c r="AV187" i="3"/>
  <c r="AV217" i="3"/>
  <c r="AV229" i="3"/>
  <c r="AV259" i="3"/>
  <c r="AV435" i="3"/>
  <c r="AV441" i="3"/>
  <c r="AV478" i="3"/>
  <c r="AV497" i="3"/>
  <c r="AV570" i="3"/>
  <c r="AV632" i="3"/>
  <c r="AV650" i="3"/>
  <c r="AV688" i="3"/>
  <c r="AY51" i="3"/>
  <c r="AY378" i="3"/>
  <c r="AY392" i="3"/>
  <c r="AY448" i="3"/>
  <c r="AY511" i="3"/>
  <c r="AY518" i="3"/>
  <c r="AY574" i="3"/>
  <c r="AV57" i="3"/>
  <c r="AV123" i="3"/>
  <c r="AV128" i="3"/>
  <c r="AV170" i="3"/>
  <c r="AV194" i="3"/>
  <c r="AV253" i="3"/>
  <c r="AV307" i="3"/>
  <c r="AV319" i="3"/>
  <c r="AV337" i="3"/>
  <c r="AV343" i="3"/>
  <c r="AV349" i="3"/>
  <c r="AV355" i="3"/>
  <c r="AV380" i="3"/>
  <c r="AV399" i="3"/>
  <c r="AV405" i="3"/>
  <c r="AV460" i="3"/>
  <c r="AV466" i="3"/>
  <c r="AV472" i="3"/>
  <c r="AV485" i="3"/>
  <c r="AV491" i="3"/>
  <c r="AV534" i="3"/>
  <c r="AV552" i="3"/>
  <c r="AV558" i="3"/>
  <c r="AV564" i="3"/>
  <c r="AV571" i="3"/>
  <c r="AV614" i="3"/>
  <c r="AV657" i="3"/>
  <c r="AV663" i="3"/>
  <c r="AV682" i="3"/>
  <c r="AV695" i="3"/>
  <c r="AV707" i="3"/>
  <c r="AV713" i="3"/>
  <c r="AV719" i="3"/>
  <c r="AY24" i="3"/>
  <c r="AY87" i="3"/>
  <c r="AY94" i="3"/>
  <c r="AY101" i="3"/>
  <c r="AY192" i="3"/>
  <c r="AY220" i="3"/>
  <c r="AY309" i="3"/>
  <c r="AY316" i="3"/>
  <c r="AY701" i="3"/>
  <c r="AY708" i="3"/>
  <c r="AV11" i="3"/>
  <c r="AV16" i="3"/>
  <c r="AV58" i="3"/>
  <c r="AV82" i="3"/>
  <c r="AV141" i="3"/>
  <c r="AV207" i="3"/>
  <c r="AV212" i="3"/>
  <c r="AV254" i="3"/>
  <c r="AV278" i="3"/>
  <c r="AV338" i="3"/>
  <c r="AV356" i="3"/>
  <c r="AV362" i="3"/>
  <c r="AV368" i="3"/>
  <c r="AV375" i="3"/>
  <c r="AV418" i="3"/>
  <c r="AV461" i="3"/>
  <c r="AV492" i="3"/>
  <c r="AV529" i="3"/>
  <c r="AV541" i="3"/>
  <c r="AV553" i="3"/>
  <c r="AV559" i="3"/>
  <c r="AV565" i="3"/>
  <c r="AV584" i="3"/>
  <c r="AV597" i="3"/>
  <c r="AV615" i="3"/>
  <c r="AV696" i="3"/>
  <c r="AV702" i="3"/>
  <c r="AV720" i="3"/>
  <c r="AV726" i="3"/>
  <c r="AV732" i="3"/>
  <c r="BE416" i="3"/>
  <c r="BB35" i="3"/>
  <c r="BB42" i="3"/>
  <c r="BB133" i="3"/>
  <c r="BB140" i="3"/>
  <c r="AY32" i="3"/>
  <c r="AV29" i="3"/>
  <c r="AV95" i="3"/>
  <c r="AV100" i="3"/>
  <c r="AV142" i="3"/>
  <c r="AV166" i="3"/>
  <c r="AV225" i="3"/>
  <c r="AV291" i="3"/>
  <c r="AV296" i="3"/>
  <c r="AV333" i="3"/>
  <c r="AV345" i="3"/>
  <c r="AV357" i="3"/>
  <c r="AV363" i="3"/>
  <c r="AV369" i="3"/>
  <c r="AV388" i="3"/>
  <c r="AV401" i="3"/>
  <c r="AV419" i="3"/>
  <c r="AV474" i="3"/>
  <c r="AV487" i="3"/>
  <c r="AV566" i="3"/>
  <c r="AV628" i="3"/>
  <c r="AV634" i="3"/>
  <c r="AV640" i="3"/>
  <c r="AV665" i="3"/>
  <c r="AV684" i="3"/>
  <c r="AV721" i="3"/>
  <c r="AV727" i="3"/>
  <c r="AV659" i="3"/>
  <c r="AY346" i="3"/>
  <c r="AY353" i="3"/>
  <c r="AY360" i="3"/>
  <c r="AY367" i="3"/>
  <c r="AY388" i="3"/>
  <c r="AY724" i="3"/>
  <c r="AY745" i="3"/>
  <c r="AV30" i="3"/>
  <c r="AV54" i="3"/>
  <c r="AV113" i="3"/>
  <c r="AV179" i="3"/>
  <c r="AV184" i="3"/>
  <c r="AV226" i="3"/>
  <c r="AV250" i="3"/>
  <c r="AV370" i="3"/>
  <c r="AV432" i="3"/>
  <c r="AV438" i="3"/>
  <c r="AV444" i="3"/>
  <c r="AV475" i="3"/>
  <c r="AV481" i="3"/>
  <c r="AV555" i="3"/>
  <c r="AV567" i="3"/>
  <c r="AV586" i="3"/>
  <c r="AV592" i="3"/>
  <c r="AV629" i="3"/>
  <c r="AV685" i="3"/>
  <c r="AV691" i="3"/>
  <c r="AV606" i="3"/>
  <c r="AV701" i="3"/>
  <c r="AV6" i="3"/>
  <c r="AV146" i="3"/>
  <c r="AV309" i="3"/>
  <c r="AV379" i="3"/>
  <c r="AV468" i="3"/>
  <c r="AV480" i="3"/>
  <c r="AV575" i="3"/>
  <c r="AV664" i="3"/>
  <c r="AV676" i="3"/>
  <c r="AV90" i="3"/>
  <c r="AV314" i="3"/>
  <c r="AV326" i="3"/>
  <c r="AV421" i="3"/>
  <c r="AV510" i="3"/>
  <c r="AV522" i="3"/>
  <c r="AV617" i="3"/>
  <c r="AV706" i="3"/>
  <c r="AV718" i="3"/>
  <c r="AV202" i="3"/>
  <c r="AV410" i="3"/>
  <c r="AV594" i="3"/>
  <c r="AV636" i="3"/>
  <c r="AV18" i="3"/>
  <c r="AV46" i="3"/>
  <c r="AV74" i="3"/>
  <c r="AV102" i="3"/>
  <c r="AV130" i="3"/>
  <c r="AV158" i="3"/>
  <c r="AV186" i="3"/>
  <c r="AV214" i="3"/>
  <c r="AV242" i="3"/>
  <c r="AV270" i="3"/>
  <c r="AV298" i="3"/>
  <c r="AV393" i="3"/>
  <c r="AV482" i="3"/>
  <c r="AV494" i="3"/>
  <c r="AV589" i="3"/>
  <c r="AV678" i="3"/>
  <c r="AV690" i="3"/>
  <c r="AV258" i="3"/>
  <c r="AV286" i="3"/>
  <c r="AV440" i="3"/>
  <c r="AV62" i="3"/>
  <c r="AV118" i="3"/>
  <c r="AV230" i="3"/>
  <c r="AV351" i="3"/>
  <c r="AV452" i="3"/>
  <c r="AV547" i="3"/>
  <c r="AV648" i="3"/>
  <c r="AV323" i="3"/>
  <c r="AV412" i="3"/>
  <c r="AV424" i="3"/>
  <c r="AV519" i="3"/>
  <c r="AV608" i="3"/>
  <c r="AV620" i="3"/>
  <c r="AV715" i="3"/>
  <c r="AV174" i="3"/>
  <c r="AV34" i="3"/>
  <c r="AV398" i="3"/>
  <c r="AV505" i="3"/>
  <c r="AV743" i="3"/>
  <c r="AV20" i="3"/>
  <c r="AV48" i="3"/>
  <c r="AV76" i="3"/>
  <c r="AV104" i="3"/>
  <c r="AV132" i="3"/>
  <c r="AV160" i="3"/>
  <c r="AV188" i="3"/>
  <c r="AV216" i="3"/>
  <c r="AV244" i="3"/>
  <c r="AV272" i="3"/>
  <c r="AV300" i="3"/>
  <c r="AV312" i="3"/>
  <c r="AV407" i="3"/>
  <c r="AV496" i="3"/>
  <c r="AV508" i="3"/>
  <c r="AV603" i="3"/>
  <c r="AV692" i="3"/>
  <c r="AV704" i="3"/>
  <c r="BE443" i="3"/>
  <c r="AY142" i="3"/>
  <c r="AY384" i="3"/>
  <c r="AY426" i="3"/>
  <c r="AY544" i="3"/>
  <c r="BB196" i="3"/>
  <c r="BB392" i="3"/>
  <c r="BB560" i="3"/>
  <c r="BB665" i="3"/>
  <c r="BB679" i="3"/>
  <c r="BB693" i="3"/>
  <c r="BB707" i="3"/>
  <c r="BB721" i="3"/>
  <c r="BB728" i="3"/>
  <c r="AY108" i="3"/>
  <c r="AY205" i="3"/>
  <c r="AY260" i="3"/>
  <c r="AY274" i="3"/>
  <c r="AY350" i="3"/>
  <c r="AY461" i="3"/>
  <c r="AY468" i="3"/>
  <c r="AY482" i="3"/>
  <c r="AY496" i="3"/>
  <c r="AY503" i="3"/>
  <c r="AY510" i="3"/>
  <c r="AY517" i="3"/>
  <c r="AY579" i="3"/>
  <c r="AY593" i="3"/>
  <c r="AY642" i="3"/>
  <c r="AY656" i="3"/>
  <c r="AY663" i="3"/>
  <c r="AY670" i="3"/>
  <c r="AY254" i="3"/>
  <c r="AY490" i="3"/>
  <c r="AY580" i="3"/>
  <c r="AY594" i="3"/>
  <c r="AY622" i="3"/>
  <c r="BB484" i="3"/>
  <c r="AY5" i="3"/>
  <c r="AY372" i="3"/>
  <c r="AY151" i="3"/>
  <c r="AY158" i="3"/>
  <c r="AY165" i="3"/>
  <c r="AY262" i="3"/>
  <c r="AY498" i="3"/>
  <c r="AY581" i="3"/>
  <c r="AY588" i="3"/>
  <c r="AY644" i="3"/>
  <c r="BB204" i="3"/>
  <c r="BB414" i="3"/>
  <c r="BB456" i="3"/>
  <c r="BB477" i="3"/>
  <c r="BB596" i="3"/>
  <c r="AY289" i="3"/>
  <c r="AY400" i="3"/>
  <c r="AY720" i="3"/>
  <c r="BB128" i="3"/>
  <c r="AY13" i="3"/>
  <c r="AY41" i="3"/>
  <c r="AY48" i="3"/>
  <c r="AY62" i="3"/>
  <c r="AY76" i="3"/>
  <c r="AY138" i="3"/>
  <c r="AY145" i="3"/>
  <c r="AY249" i="3"/>
  <c r="AY373" i="3"/>
  <c r="AY401" i="3"/>
  <c r="AY429" i="3"/>
  <c r="AY526" i="3"/>
  <c r="AY540" i="3"/>
  <c r="AY547" i="3"/>
  <c r="AY554" i="3"/>
  <c r="AY561" i="3"/>
  <c r="AY568" i="3"/>
  <c r="AY714" i="3"/>
  <c r="AY728" i="3"/>
  <c r="AY742" i="3"/>
  <c r="AY125" i="3"/>
  <c r="AY180" i="3"/>
  <c r="AY208" i="3"/>
  <c r="AY215" i="3"/>
  <c r="AY222" i="3"/>
  <c r="AY499" i="3"/>
  <c r="AY534" i="3"/>
  <c r="AY548" i="3"/>
  <c r="AY638" i="3"/>
  <c r="AY736" i="3"/>
  <c r="BB449" i="3"/>
  <c r="BB470" i="3"/>
  <c r="BB505" i="3"/>
  <c r="AY344" i="3"/>
  <c r="AY442" i="3"/>
  <c r="AY195" i="3"/>
  <c r="AY202" i="3"/>
  <c r="BB463" i="3"/>
  <c r="BB498" i="3"/>
  <c r="AY435" i="3"/>
  <c r="AY50" i="3"/>
  <c r="AY64" i="3"/>
  <c r="AY347" i="3"/>
  <c r="AY354" i="3"/>
  <c r="AY403" i="3"/>
  <c r="AY410" i="3"/>
  <c r="AY417" i="3"/>
  <c r="AY424" i="3"/>
  <c r="BB54" i="3"/>
  <c r="BB152" i="3"/>
  <c r="BB348" i="3"/>
  <c r="BB488" i="3"/>
  <c r="BB572" i="3"/>
  <c r="BB684" i="3"/>
  <c r="BB712" i="3"/>
  <c r="AY2" i="3"/>
  <c r="AY16" i="3"/>
  <c r="AY58" i="3"/>
  <c r="AY86" i="3"/>
  <c r="AY113" i="3"/>
  <c r="AY120" i="3"/>
  <c r="AY182" i="3"/>
  <c r="AY196" i="3"/>
  <c r="AY224" i="3"/>
  <c r="AY258" i="3"/>
  <c r="AY306" i="3"/>
  <c r="AY313" i="3"/>
  <c r="AY612" i="3"/>
  <c r="AY619" i="3"/>
  <c r="AY626" i="3"/>
  <c r="AY661" i="3"/>
  <c r="AY675" i="3"/>
  <c r="AY682" i="3"/>
  <c r="AY689" i="3"/>
  <c r="BB4" i="3"/>
  <c r="AY7" i="3"/>
  <c r="AY14" i="3"/>
  <c r="AY68" i="3"/>
  <c r="AY81" i="3"/>
  <c r="AY88" i="3"/>
  <c r="AY102" i="3"/>
  <c r="AY135" i="3"/>
  <c r="AY162" i="3"/>
  <c r="AY169" i="3"/>
  <c r="AY189" i="3"/>
  <c r="AY243" i="3"/>
  <c r="AY256" i="3"/>
  <c r="AY269" i="3"/>
  <c r="AY329" i="3"/>
  <c r="AY336" i="3"/>
  <c r="AY397" i="3"/>
  <c r="AY445" i="3"/>
  <c r="AY465" i="3"/>
  <c r="AY479" i="3"/>
  <c r="AY486" i="3"/>
  <c r="AY493" i="3"/>
  <c r="AY602" i="3"/>
  <c r="AY616" i="3"/>
  <c r="AY623" i="3"/>
  <c r="AY630" i="3"/>
  <c r="AY637" i="3"/>
  <c r="AY698" i="3"/>
  <c r="AY732" i="3"/>
  <c r="AY739" i="3"/>
  <c r="AY42" i="3"/>
  <c r="AY49" i="3"/>
  <c r="AY75" i="3"/>
  <c r="AY129" i="3"/>
  <c r="AY209" i="3"/>
  <c r="AY216" i="3"/>
  <c r="AY283" i="3"/>
  <c r="AY290" i="3"/>
  <c r="AY297" i="3"/>
  <c r="AY303" i="3"/>
  <c r="AY357" i="3"/>
  <c r="AY364" i="3"/>
  <c r="AY391" i="3"/>
  <c r="AY404" i="3"/>
  <c r="AY411" i="3"/>
  <c r="AY439" i="3"/>
  <c r="AY527" i="3"/>
  <c r="AY555" i="3"/>
  <c r="AY575" i="3"/>
  <c r="AY582" i="3"/>
  <c r="AY657" i="3"/>
  <c r="AY664" i="3"/>
  <c r="AY678" i="3"/>
  <c r="AY8" i="3"/>
  <c r="AY15" i="3"/>
  <c r="AY22" i="3"/>
  <c r="AY69" i="3"/>
  <c r="AY82" i="3"/>
  <c r="AY89" i="3"/>
  <c r="AY136" i="3"/>
  <c r="AY163" i="3"/>
  <c r="AY183" i="3"/>
  <c r="AY237" i="3"/>
  <c r="AY244" i="3"/>
  <c r="AY330" i="3"/>
  <c r="AY446" i="3"/>
  <c r="AY473" i="3"/>
  <c r="AY480" i="3"/>
  <c r="AY521" i="3"/>
  <c r="AY569" i="3"/>
  <c r="AY596" i="3"/>
  <c r="AY603" i="3"/>
  <c r="AY631" i="3"/>
  <c r="AY699" i="3"/>
  <c r="AY706" i="3"/>
  <c r="AY713" i="3"/>
  <c r="AY726" i="3"/>
  <c r="AY733" i="3"/>
  <c r="AY740" i="3"/>
  <c r="BB180" i="3"/>
  <c r="AY43" i="3"/>
  <c r="AY110" i="3"/>
  <c r="AY130" i="3"/>
  <c r="AY177" i="3"/>
  <c r="AY203" i="3"/>
  <c r="AY210" i="3"/>
  <c r="AY264" i="3"/>
  <c r="AY277" i="3"/>
  <c r="AY284" i="3"/>
  <c r="AY358" i="3"/>
  <c r="AY365" i="3"/>
  <c r="AY385" i="3"/>
  <c r="AY405" i="3"/>
  <c r="AY412" i="3"/>
  <c r="AY440" i="3"/>
  <c r="AY528" i="3"/>
  <c r="AY542" i="3"/>
  <c r="AY549" i="3"/>
  <c r="AY556" i="3"/>
  <c r="AY563" i="3"/>
  <c r="AY651" i="3"/>
  <c r="AY658" i="3"/>
  <c r="AY672" i="3"/>
  <c r="AY679" i="3"/>
  <c r="AY9" i="3"/>
  <c r="AY63" i="3"/>
  <c r="AY83" i="3"/>
  <c r="AY90" i="3"/>
  <c r="AY104" i="3"/>
  <c r="AY144" i="3"/>
  <c r="AY150" i="3"/>
  <c r="AY157" i="3"/>
  <c r="AY164" i="3"/>
  <c r="AY171" i="3"/>
  <c r="AY238" i="3"/>
  <c r="AY245" i="3"/>
  <c r="AY271" i="3"/>
  <c r="AY331" i="3"/>
  <c r="AY460" i="3"/>
  <c r="AY467" i="3"/>
  <c r="AY474" i="3"/>
  <c r="AY522" i="3"/>
  <c r="AY625" i="3"/>
  <c r="AY707" i="3"/>
  <c r="AY727" i="3"/>
  <c r="BB370" i="3"/>
  <c r="BB377" i="3"/>
  <c r="AY3" i="3"/>
  <c r="AY37" i="3"/>
  <c r="AY57" i="3"/>
  <c r="AY111" i="3"/>
  <c r="AY118" i="3"/>
  <c r="AY198" i="3"/>
  <c r="AY204" i="3"/>
  <c r="AY211" i="3"/>
  <c r="AY218" i="3"/>
  <c r="AY232" i="3"/>
  <c r="AY265" i="3"/>
  <c r="AY278" i="3"/>
  <c r="AY285" i="3"/>
  <c r="AY325" i="3"/>
  <c r="AY359" i="3"/>
  <c r="AY379" i="3"/>
  <c r="AY386" i="3"/>
  <c r="AY406" i="3"/>
  <c r="AY420" i="3"/>
  <c r="AY427" i="3"/>
  <c r="AY434" i="3"/>
  <c r="AY441" i="3"/>
  <c r="AY502" i="3"/>
  <c r="AY536" i="3"/>
  <c r="AY543" i="3"/>
  <c r="AY550" i="3"/>
  <c r="AY584" i="3"/>
  <c r="AY646" i="3"/>
  <c r="AY652" i="3"/>
  <c r="AY680" i="3"/>
  <c r="AY692" i="3"/>
  <c r="AY380" i="3"/>
  <c r="AY428" i="3"/>
  <c r="AY674" i="3"/>
  <c r="BB147" i="3"/>
  <c r="BB154" i="3"/>
  <c r="BB168" i="3"/>
  <c r="AY31" i="3"/>
  <c r="AY38" i="3"/>
  <c r="AY45" i="3"/>
  <c r="AY119" i="3"/>
  <c r="AY407" i="3"/>
  <c r="AY578" i="3"/>
  <c r="AY585" i="3"/>
  <c r="AY667" i="3"/>
  <c r="AY681" i="3"/>
  <c r="AY11" i="3"/>
  <c r="AY18" i="3"/>
  <c r="AY25" i="3"/>
  <c r="AY92" i="3"/>
  <c r="AY139" i="3"/>
  <c r="AY152" i="3"/>
  <c r="AY159" i="3"/>
  <c r="AY186" i="3"/>
  <c r="AY199" i="3"/>
  <c r="AY233" i="3"/>
  <c r="AY253" i="3"/>
  <c r="AY340" i="3"/>
  <c r="AY408" i="3"/>
  <c r="AY455" i="3"/>
  <c r="AY462" i="3"/>
  <c r="AY476" i="3"/>
  <c r="AY483" i="3"/>
  <c r="AY504" i="3"/>
  <c r="AY566" i="3"/>
  <c r="AY599" i="3"/>
  <c r="AY606" i="3"/>
  <c r="AY620" i="3"/>
  <c r="AY695" i="3"/>
  <c r="AY716" i="3"/>
  <c r="AY722" i="3"/>
  <c r="AY743" i="3"/>
  <c r="BB16" i="3"/>
  <c r="BB30" i="3"/>
  <c r="BB100" i="3"/>
  <c r="AY12" i="3"/>
  <c r="AY19" i="3"/>
  <c r="AY26" i="3"/>
  <c r="AY53" i="3"/>
  <c r="AY66" i="3"/>
  <c r="AY79" i="3"/>
  <c r="AY93" i="3"/>
  <c r="AY133" i="3"/>
  <c r="AY140" i="3"/>
  <c r="AY160" i="3"/>
  <c r="AY167" i="3"/>
  <c r="AY174" i="3"/>
  <c r="AY227" i="3"/>
  <c r="AY234" i="3"/>
  <c r="AY241" i="3"/>
  <c r="AY321" i="3"/>
  <c r="AY334" i="3"/>
  <c r="AY341" i="3"/>
  <c r="AY395" i="3"/>
  <c r="AY456" i="3"/>
  <c r="AY484" i="3"/>
  <c r="AY600" i="3"/>
  <c r="AY607" i="3"/>
  <c r="AY635" i="3"/>
  <c r="AY723" i="3"/>
  <c r="AY737" i="3"/>
  <c r="BB135" i="3"/>
  <c r="BB142" i="3"/>
  <c r="BB303" i="3"/>
  <c r="BB415" i="3"/>
  <c r="BB457" i="3"/>
  <c r="BB471" i="3"/>
  <c r="BB478" i="3"/>
  <c r="BB499" i="3"/>
  <c r="BB520" i="3"/>
  <c r="BB534" i="3"/>
  <c r="BB583" i="3"/>
  <c r="BB646" i="3"/>
  <c r="BB653" i="3"/>
  <c r="BB667" i="3"/>
  <c r="BB674" i="3"/>
  <c r="BB695" i="3"/>
  <c r="BB716" i="3"/>
  <c r="AY47" i="3"/>
  <c r="AY60" i="3"/>
  <c r="AY73" i="3"/>
  <c r="AY107" i="3"/>
  <c r="AY127" i="3"/>
  <c r="AY207" i="3"/>
  <c r="AY214" i="3"/>
  <c r="AY221" i="3"/>
  <c r="AY288" i="3"/>
  <c r="AY315" i="3"/>
  <c r="AY348" i="3"/>
  <c r="AY382" i="3"/>
  <c r="AY416" i="3"/>
  <c r="AY423" i="3"/>
  <c r="AY430" i="3"/>
  <c r="AY505" i="3"/>
  <c r="AY512" i="3"/>
  <c r="AY532" i="3"/>
  <c r="AY560" i="3"/>
  <c r="AY587" i="3"/>
  <c r="AY676" i="3"/>
  <c r="AY717" i="3"/>
  <c r="AY20" i="3"/>
  <c r="AY34" i="3"/>
  <c r="AY128" i="3"/>
  <c r="AY161" i="3"/>
  <c r="AY168" i="3"/>
  <c r="AY201" i="3"/>
  <c r="AY228" i="3"/>
  <c r="AY282" i="3"/>
  <c r="AY335" i="3"/>
  <c r="AY342" i="3"/>
  <c r="AY376" i="3"/>
  <c r="AY471" i="3"/>
  <c r="AY485" i="3"/>
  <c r="AY506" i="3"/>
  <c r="AY636" i="3"/>
  <c r="BB184" i="3"/>
  <c r="BB198" i="3"/>
  <c r="BB380" i="3"/>
  <c r="BB394" i="3"/>
  <c r="AY170" i="3"/>
  <c r="AY366" i="3"/>
  <c r="AY562" i="3"/>
  <c r="AY44" i="3"/>
  <c r="AY240" i="3"/>
  <c r="AY436" i="3"/>
  <c r="AY632" i="3"/>
  <c r="AY114" i="3"/>
  <c r="AY310" i="3"/>
  <c r="AY613" i="3"/>
  <c r="BE652" i="3"/>
  <c r="BE722" i="3"/>
  <c r="AY95" i="3"/>
  <c r="AY184" i="3"/>
  <c r="AY291" i="3"/>
  <c r="AY449" i="3"/>
  <c r="AY481" i="3"/>
  <c r="AY487" i="3"/>
  <c r="AY525" i="3"/>
  <c r="AY601" i="3"/>
  <c r="AY645" i="3"/>
  <c r="AY677" i="3"/>
  <c r="AY683" i="3"/>
  <c r="AY721" i="3"/>
  <c r="AY279" i="3"/>
  <c r="AY298" i="3"/>
  <c r="AY304" i="3"/>
  <c r="AY323" i="3"/>
  <c r="AY355" i="3"/>
  <c r="AY361" i="3"/>
  <c r="AY399" i="3"/>
  <c r="AY418" i="3"/>
  <c r="AY437" i="3"/>
  <c r="AY443" i="3"/>
  <c r="AY475" i="3"/>
  <c r="AY494" i="3"/>
  <c r="AY500" i="3"/>
  <c r="AY519" i="3"/>
  <c r="AY551" i="3"/>
  <c r="AY557" i="3"/>
  <c r="AY595" i="3"/>
  <c r="AY614" i="3"/>
  <c r="AY633" i="3"/>
  <c r="AY639" i="3"/>
  <c r="AY671" i="3"/>
  <c r="AY690" i="3"/>
  <c r="AY696" i="3"/>
  <c r="AY715" i="3"/>
  <c r="AY741" i="3"/>
  <c r="BB96" i="3"/>
  <c r="BB110" i="3"/>
  <c r="BB124" i="3"/>
  <c r="BB221" i="3"/>
  <c r="BB228" i="3"/>
  <c r="BB242" i="3"/>
  <c r="BB389" i="3"/>
  <c r="BB396" i="3"/>
  <c r="AY33" i="3"/>
  <c r="AY39" i="3"/>
  <c r="AY77" i="3"/>
  <c r="AY96" i="3"/>
  <c r="AY115" i="3"/>
  <c r="AY121" i="3"/>
  <c r="AY153" i="3"/>
  <c r="AY172" i="3"/>
  <c r="AY178" i="3"/>
  <c r="AY197" i="3"/>
  <c r="AY229" i="3"/>
  <c r="AY235" i="3"/>
  <c r="AY273" i="3"/>
  <c r="AY292" i="3"/>
  <c r="AY311" i="3"/>
  <c r="AY317" i="3"/>
  <c r="AY349" i="3"/>
  <c r="AY368" i="3"/>
  <c r="AY374" i="3"/>
  <c r="AY393" i="3"/>
  <c r="AY425" i="3"/>
  <c r="AY431" i="3"/>
  <c r="AY469" i="3"/>
  <c r="AY488" i="3"/>
  <c r="AY507" i="3"/>
  <c r="AY513" i="3"/>
  <c r="AY545" i="3"/>
  <c r="AY564" i="3"/>
  <c r="AY570" i="3"/>
  <c r="AY589" i="3"/>
  <c r="AY621" i="3"/>
  <c r="AY627" i="3"/>
  <c r="AY665" i="3"/>
  <c r="AY684" i="3"/>
  <c r="AY703" i="3"/>
  <c r="AY709" i="3"/>
  <c r="AY735" i="3"/>
  <c r="BB166" i="3"/>
  <c r="AY27" i="3"/>
  <c r="AY46" i="3"/>
  <c r="AY52" i="3"/>
  <c r="AY71" i="3"/>
  <c r="AY103" i="3"/>
  <c r="AY109" i="3"/>
  <c r="AY147" i="3"/>
  <c r="AY166" i="3"/>
  <c r="AY185" i="3"/>
  <c r="AY191" i="3"/>
  <c r="AY223" i="3"/>
  <c r="AY242" i="3"/>
  <c r="AY248" i="3"/>
  <c r="AY267" i="3"/>
  <c r="AY299" i="3"/>
  <c r="AY305" i="3"/>
  <c r="AY343" i="3"/>
  <c r="AY362" i="3"/>
  <c r="AY381" i="3"/>
  <c r="AY387" i="3"/>
  <c r="AY419" i="3"/>
  <c r="AY438" i="3"/>
  <c r="AY444" i="3"/>
  <c r="AY463" i="3"/>
  <c r="AY495" i="3"/>
  <c r="AY501" i="3"/>
  <c r="AY539" i="3"/>
  <c r="AY558" i="3"/>
  <c r="AY577" i="3"/>
  <c r="AY583" i="3"/>
  <c r="AY615" i="3"/>
  <c r="AY634" i="3"/>
  <c r="AY640" i="3"/>
  <c r="AY659" i="3"/>
  <c r="AY691" i="3"/>
  <c r="AY697" i="3"/>
  <c r="BE206" i="3"/>
  <c r="BE304" i="3"/>
  <c r="BE339" i="3"/>
  <c r="BE353" i="3"/>
  <c r="BE381" i="3"/>
  <c r="BE409" i="3"/>
  <c r="BB48" i="3"/>
  <c r="BB90" i="3"/>
  <c r="BB104" i="3"/>
  <c r="BB362" i="3"/>
  <c r="BB404" i="3"/>
  <c r="AY21" i="3"/>
  <c r="AY40" i="3"/>
  <c r="AY59" i="3"/>
  <c r="AY65" i="3"/>
  <c r="AY72" i="3"/>
  <c r="AY97" i="3"/>
  <c r="AY116" i="3"/>
  <c r="AY122" i="3"/>
  <c r="AY141" i="3"/>
  <c r="AY173" i="3"/>
  <c r="AY179" i="3"/>
  <c r="AY217" i="3"/>
  <c r="AY236" i="3"/>
  <c r="AY255" i="3"/>
  <c r="AY261" i="3"/>
  <c r="AY268" i="3"/>
  <c r="AY293" i="3"/>
  <c r="AY312" i="3"/>
  <c r="AY318" i="3"/>
  <c r="AY337" i="3"/>
  <c r="AY369" i="3"/>
  <c r="AY375" i="3"/>
  <c r="AY413" i="3"/>
  <c r="AY432" i="3"/>
  <c r="AY451" i="3"/>
  <c r="AY457" i="3"/>
  <c r="AY464" i="3"/>
  <c r="AY489" i="3"/>
  <c r="AY508" i="3"/>
  <c r="AY514" i="3"/>
  <c r="AY533" i="3"/>
  <c r="AY565" i="3"/>
  <c r="AY571" i="3"/>
  <c r="AY609" i="3"/>
  <c r="AY628" i="3"/>
  <c r="AY647" i="3"/>
  <c r="AY653" i="3"/>
  <c r="AY660" i="3"/>
  <c r="AY685" i="3"/>
  <c r="AY704" i="3"/>
  <c r="AY710" i="3"/>
  <c r="AY729" i="3"/>
  <c r="AY338" i="3"/>
  <c r="BB398" i="3"/>
  <c r="AY85" i="3"/>
  <c r="AY117" i="3"/>
  <c r="AY123" i="3"/>
  <c r="AY212" i="3"/>
  <c r="AY281" i="3"/>
  <c r="AY319" i="3"/>
  <c r="AY433" i="3"/>
  <c r="AY452" i="3"/>
  <c r="AY458" i="3"/>
  <c r="AY477" i="3"/>
  <c r="AY509" i="3"/>
  <c r="AY515" i="3"/>
  <c r="AY553" i="3"/>
  <c r="AY572" i="3"/>
  <c r="AY591" i="3"/>
  <c r="AY597" i="3"/>
  <c r="AY604" i="3"/>
  <c r="AY629" i="3"/>
  <c r="AY648" i="3"/>
  <c r="AY654" i="3"/>
  <c r="AY673" i="3"/>
  <c r="AY705" i="3"/>
  <c r="AY711" i="3"/>
  <c r="AY35" i="3"/>
  <c r="AY54" i="3"/>
  <c r="AY155" i="3"/>
  <c r="AY187" i="3"/>
  <c r="AY193" i="3"/>
  <c r="AY231" i="3"/>
  <c r="AY250" i="3"/>
  <c r="AY275" i="3"/>
  <c r="AY307" i="3"/>
  <c r="AY326" i="3"/>
  <c r="AY332" i="3"/>
  <c r="AY351" i="3"/>
  <c r="AY383" i="3"/>
  <c r="AY389" i="3"/>
  <c r="BB92" i="3"/>
  <c r="BB210" i="3"/>
  <c r="AY4" i="3"/>
  <c r="AY10" i="3"/>
  <c r="AY29" i="3"/>
  <c r="AY61" i="3"/>
  <c r="AY67" i="3"/>
  <c r="AY105" i="3"/>
  <c r="AY124" i="3"/>
  <c r="AY143" i="3"/>
  <c r="AY149" i="3"/>
  <c r="AY181" i="3"/>
  <c r="AY200" i="3"/>
  <c r="AY206" i="3"/>
  <c r="AY225" i="3"/>
  <c r="AY257" i="3"/>
  <c r="AY263" i="3"/>
  <c r="AY301" i="3"/>
  <c r="AY320" i="3"/>
  <c r="AY339" i="3"/>
  <c r="AY345" i="3"/>
  <c r="AY377" i="3"/>
  <c r="AY396" i="3"/>
  <c r="AY402" i="3"/>
  <c r="AY421" i="3"/>
  <c r="AY453" i="3"/>
  <c r="AY459" i="3"/>
  <c r="AY497" i="3"/>
  <c r="AY516" i="3"/>
  <c r="AY535" i="3"/>
  <c r="AY541" i="3"/>
  <c r="AY573" i="3"/>
  <c r="AY592" i="3"/>
  <c r="AY598" i="3"/>
  <c r="AY617" i="3"/>
  <c r="AY649" i="3"/>
  <c r="AY655" i="3"/>
  <c r="AY693" i="3"/>
  <c r="AY712" i="3"/>
  <c r="AY731" i="3"/>
  <c r="BB72" i="3"/>
  <c r="BB162" i="3"/>
  <c r="BB190" i="3"/>
  <c r="BB330" i="3"/>
  <c r="BB526" i="3"/>
  <c r="BB722" i="3"/>
  <c r="AY17" i="3"/>
  <c r="AY23" i="3"/>
  <c r="AY30" i="3"/>
  <c r="AY55" i="3"/>
  <c r="AY74" i="3"/>
  <c r="AY80" i="3"/>
  <c r="AY99" i="3"/>
  <c r="AY131" i="3"/>
  <c r="AY137" i="3"/>
  <c r="AY175" i="3"/>
  <c r="AY194" i="3"/>
  <c r="AY213" i="3"/>
  <c r="AY219" i="3"/>
  <c r="AY226" i="3"/>
  <c r="AY251" i="3"/>
  <c r="AY270" i="3"/>
  <c r="AY276" i="3"/>
  <c r="AY295" i="3"/>
  <c r="AY327" i="3"/>
  <c r="AY333" i="3"/>
  <c r="AY371" i="3"/>
  <c r="AY390" i="3"/>
  <c r="AY409" i="3"/>
  <c r="AY415" i="3"/>
  <c r="AY422" i="3"/>
  <c r="AY447" i="3"/>
  <c r="AY466" i="3"/>
  <c r="AY472" i="3"/>
  <c r="AY491" i="3"/>
  <c r="AY523" i="3"/>
  <c r="AY529" i="3"/>
  <c r="AY567" i="3"/>
  <c r="AY586" i="3"/>
  <c r="AY605" i="3"/>
  <c r="AY611" i="3"/>
  <c r="AY618" i="3"/>
  <c r="AY643" i="3"/>
  <c r="AY662" i="3"/>
  <c r="AY668" i="3"/>
  <c r="AY687" i="3"/>
  <c r="AY719" i="3"/>
  <c r="AY725" i="3"/>
  <c r="AY738" i="3"/>
  <c r="BE587" i="3"/>
  <c r="BE601" i="3"/>
  <c r="BE727" i="3"/>
  <c r="AY100" i="3"/>
  <c r="AY296" i="3"/>
  <c r="AY492" i="3"/>
  <c r="AY688" i="3"/>
  <c r="BB37" i="3"/>
  <c r="BB44" i="3"/>
  <c r="BB120" i="3"/>
  <c r="BB181" i="3"/>
  <c r="BB202" i="3"/>
  <c r="BB257" i="3"/>
  <c r="BB264" i="3"/>
  <c r="BB278" i="3"/>
  <c r="BB285" i="3"/>
  <c r="BB292" i="3"/>
  <c r="BB320" i="3"/>
  <c r="BB417" i="3"/>
  <c r="BB529" i="3"/>
  <c r="BB634" i="3"/>
  <c r="BB17" i="3"/>
  <c r="BB148" i="3"/>
  <c r="BB175" i="3"/>
  <c r="BB376" i="3"/>
  <c r="BE274" i="3"/>
  <c r="BB114" i="3"/>
  <c r="BB156" i="3"/>
  <c r="BB237" i="3"/>
  <c r="BB342" i="3"/>
  <c r="BB349" i="3"/>
  <c r="BB356" i="3"/>
  <c r="BB446" i="3"/>
  <c r="BB516" i="3"/>
  <c r="BB558" i="3"/>
  <c r="BB586" i="3"/>
  <c r="BB600" i="3"/>
  <c r="BB614" i="3"/>
  <c r="BB88" i="3"/>
  <c r="BB115" i="3"/>
  <c r="BB217" i="3"/>
  <c r="BB224" i="3"/>
  <c r="BB252" i="3"/>
  <c r="BB322" i="3"/>
  <c r="BB336" i="3"/>
  <c r="BB419" i="3"/>
  <c r="BH425" i="3"/>
  <c r="BH439" i="3"/>
  <c r="BH446" i="3"/>
  <c r="BH474" i="3"/>
  <c r="BH502" i="3"/>
  <c r="BH670" i="3"/>
  <c r="BB12" i="3"/>
  <c r="BB26" i="3"/>
  <c r="BB364" i="3"/>
  <c r="BB33" i="3"/>
  <c r="BB40" i="3"/>
  <c r="BB47" i="3"/>
  <c r="BB61" i="3"/>
  <c r="BB82" i="3"/>
  <c r="BB102" i="3"/>
  <c r="BB164" i="3"/>
  <c r="BB218" i="3"/>
  <c r="BB246" i="3"/>
  <c r="BB253" i="3"/>
  <c r="BB260" i="3"/>
  <c r="BB267" i="3"/>
  <c r="BB274" i="3"/>
  <c r="BB281" i="3"/>
  <c r="BB288" i="3"/>
  <c r="BB302" i="3"/>
  <c r="BB309" i="3"/>
  <c r="BB344" i="3"/>
  <c r="BB358" i="3"/>
  <c r="BB406" i="3"/>
  <c r="BB420" i="3"/>
  <c r="BB448" i="3"/>
  <c r="BB518" i="3"/>
  <c r="BB539" i="3"/>
  <c r="BB546" i="3"/>
  <c r="BB567" i="3"/>
  <c r="BB574" i="3"/>
  <c r="BB588" i="3"/>
  <c r="BB602" i="3"/>
  <c r="BB616" i="3"/>
  <c r="BB644" i="3"/>
  <c r="BB20" i="3"/>
  <c r="BB130" i="3"/>
  <c r="BB212" i="3"/>
  <c r="BB268" i="3"/>
  <c r="BB352" i="3"/>
  <c r="BB400" i="3"/>
  <c r="BB442" i="3"/>
  <c r="BB554" i="3"/>
  <c r="BB512" i="3"/>
  <c r="BB610" i="3"/>
  <c r="BB638" i="3"/>
  <c r="BE354" i="3"/>
  <c r="BB408" i="3"/>
  <c r="BB730" i="3"/>
  <c r="BB22" i="3"/>
  <c r="BB98" i="3"/>
  <c r="BB208" i="3"/>
  <c r="BB36" i="3"/>
  <c r="BB43" i="3"/>
  <c r="BB84" i="3"/>
  <c r="BB91" i="3"/>
  <c r="BB97" i="3"/>
  <c r="BB103" i="3"/>
  <c r="BB116" i="3"/>
  <c r="BB123" i="3"/>
  <c r="BB176" i="3"/>
  <c r="BB229" i="3"/>
  <c r="BB236" i="3"/>
  <c r="BB256" i="3"/>
  <c r="BB284" i="3"/>
  <c r="BB378" i="3"/>
  <c r="BB399" i="3"/>
  <c r="BB405" i="3"/>
  <c r="BB418" i="3"/>
  <c r="BB528" i="3"/>
  <c r="BB535" i="3"/>
  <c r="BB582" i="3"/>
  <c r="BB589" i="3"/>
  <c r="BB615" i="3"/>
  <c r="BB642" i="3"/>
  <c r="BE531" i="3"/>
  <c r="BE545" i="3"/>
  <c r="BE566" i="3"/>
  <c r="BE573" i="3"/>
  <c r="BB49" i="3"/>
  <c r="BB56" i="3"/>
  <c r="BB63" i="3"/>
  <c r="BB70" i="3"/>
  <c r="BB182" i="3"/>
  <c r="BB203" i="3"/>
  <c r="BB209" i="3"/>
  <c r="BB222" i="3"/>
  <c r="BB304" i="3"/>
  <c r="BB311" i="3"/>
  <c r="BB318" i="3"/>
  <c r="BB371" i="3"/>
  <c r="BB438" i="3"/>
  <c r="BB472" i="3"/>
  <c r="BB500" i="3"/>
  <c r="BB507" i="3"/>
  <c r="BB514" i="3"/>
  <c r="BB568" i="3"/>
  <c r="BB621" i="3"/>
  <c r="BB628" i="3"/>
  <c r="BB648" i="3"/>
  <c r="BB676" i="3"/>
  <c r="BB697" i="3"/>
  <c r="BB725" i="3"/>
  <c r="BB50" i="3"/>
  <c r="BB64" i="3"/>
  <c r="BB78" i="3"/>
  <c r="BB143" i="3"/>
  <c r="BB197" i="3"/>
  <c r="BB223" i="3"/>
  <c r="BB250" i="3"/>
  <c r="BB305" i="3"/>
  <c r="BB332" i="3"/>
  <c r="BB372" i="3"/>
  <c r="BB386" i="3"/>
  <c r="BB432" i="3"/>
  <c r="BB452" i="3"/>
  <c r="BB480" i="3"/>
  <c r="BB501" i="3"/>
  <c r="BB556" i="3"/>
  <c r="BB562" i="3"/>
  <c r="BB609" i="3"/>
  <c r="BB629" i="3"/>
  <c r="BB649" i="3"/>
  <c r="BB656" i="3"/>
  <c r="BB670" i="3"/>
  <c r="BB691" i="3"/>
  <c r="BB698" i="3"/>
  <c r="BB705" i="3"/>
  <c r="BB726" i="3"/>
  <c r="BB733" i="3"/>
  <c r="BB740" i="3"/>
  <c r="BE163" i="3"/>
  <c r="BE212" i="3"/>
  <c r="BE226" i="3"/>
  <c r="BE387" i="3"/>
  <c r="BE498" i="3"/>
  <c r="BB58" i="3"/>
  <c r="BB191" i="3"/>
  <c r="BB299" i="3"/>
  <c r="BB306" i="3"/>
  <c r="BB313" i="3"/>
  <c r="BB333" i="3"/>
  <c r="BB360" i="3"/>
  <c r="BB413" i="3"/>
  <c r="BB433" i="3"/>
  <c r="BB453" i="3"/>
  <c r="BB460" i="3"/>
  <c r="BB474" i="3"/>
  <c r="BB495" i="3"/>
  <c r="BB502" i="3"/>
  <c r="BB509" i="3"/>
  <c r="BB623" i="3"/>
  <c r="BB630" i="3"/>
  <c r="BB657" i="3"/>
  <c r="BB678" i="3"/>
  <c r="BB706" i="3"/>
  <c r="BB741" i="3"/>
  <c r="BB131" i="3"/>
  <c r="BB171" i="3"/>
  <c r="BB231" i="3"/>
  <c r="BB544" i="3"/>
  <c r="BE583" i="3"/>
  <c r="BB45" i="3"/>
  <c r="BB59" i="3"/>
  <c r="BB73" i="3"/>
  <c r="BB80" i="3"/>
  <c r="BB112" i="3"/>
  <c r="BB125" i="3"/>
  <c r="BB145" i="3"/>
  <c r="BB185" i="3"/>
  <c r="BB199" i="3"/>
  <c r="BB314" i="3"/>
  <c r="BB334" i="3"/>
  <c r="BB361" i="3"/>
  <c r="BB367" i="3"/>
  <c r="BB427" i="3"/>
  <c r="BB434" i="3"/>
  <c r="BB461" i="3"/>
  <c r="BB482" i="3"/>
  <c r="BB510" i="3"/>
  <c r="BB564" i="3"/>
  <c r="BB571" i="3"/>
  <c r="BB617" i="3"/>
  <c r="BB624" i="3"/>
  <c r="BB658" i="3"/>
  <c r="BB672" i="3"/>
  <c r="BB686" i="3"/>
  <c r="BB700" i="3"/>
  <c r="BB714" i="3"/>
  <c r="BB742" i="3"/>
  <c r="BB5" i="3"/>
  <c r="BB286" i="3"/>
  <c r="BB530" i="3"/>
  <c r="BB577" i="3"/>
  <c r="BH168" i="3"/>
  <c r="BH182" i="3"/>
  <c r="BB6" i="3"/>
  <c r="BB32" i="3"/>
  <c r="BB87" i="3"/>
  <c r="BB106" i="3"/>
  <c r="BB119" i="3"/>
  <c r="BB139" i="3"/>
  <c r="BB172" i="3"/>
  <c r="BB179" i="3"/>
  <c r="BB225" i="3"/>
  <c r="BB232" i="3"/>
  <c r="BB259" i="3"/>
  <c r="BB266" i="3"/>
  <c r="BB280" i="3"/>
  <c r="BB341" i="3"/>
  <c r="BB381" i="3"/>
  <c r="BB395" i="3"/>
  <c r="BB545" i="3"/>
  <c r="BB552" i="3"/>
  <c r="BB585" i="3"/>
  <c r="BB592" i="3"/>
  <c r="BB611" i="3"/>
  <c r="BB18" i="3"/>
  <c r="BB86" i="3"/>
  <c r="BB138" i="3"/>
  <c r="BB165" i="3"/>
  <c r="BB238" i="3"/>
  <c r="BB265" i="3"/>
  <c r="BB591" i="3"/>
  <c r="BE430" i="3"/>
  <c r="BE444" i="3"/>
  <c r="BE458" i="3"/>
  <c r="BE598" i="3"/>
  <c r="BE612" i="3"/>
  <c r="BE745" i="3"/>
  <c r="BB60" i="3"/>
  <c r="BB126" i="3"/>
  <c r="BB146" i="3"/>
  <c r="BB153" i="3"/>
  <c r="BB160" i="3"/>
  <c r="BB193" i="3"/>
  <c r="BB200" i="3"/>
  <c r="BB219" i="3"/>
  <c r="BB226" i="3"/>
  <c r="BB240" i="3"/>
  <c r="BB294" i="3"/>
  <c r="BB308" i="3"/>
  <c r="BB368" i="3"/>
  <c r="BB375" i="3"/>
  <c r="BB421" i="3"/>
  <c r="BB428" i="3"/>
  <c r="BB455" i="3"/>
  <c r="BB462" i="3"/>
  <c r="BB476" i="3"/>
  <c r="BB490" i="3"/>
  <c r="BB504" i="3"/>
  <c r="BB532" i="3"/>
  <c r="BB652" i="3"/>
  <c r="BB659" i="3"/>
  <c r="BB666" i="3"/>
  <c r="BB673" i="3"/>
  <c r="BB680" i="3"/>
  <c r="BB694" i="3"/>
  <c r="BB701" i="3"/>
  <c r="BB708" i="3"/>
  <c r="BB736" i="3"/>
  <c r="BB25" i="3"/>
  <c r="BB118" i="3"/>
  <c r="BB537" i="3"/>
  <c r="BE739" i="3"/>
  <c r="BB14" i="3"/>
  <c r="BB27" i="3"/>
  <c r="BB68" i="3"/>
  <c r="BB75" i="3"/>
  <c r="BB194" i="3"/>
  <c r="BB247" i="3"/>
  <c r="BB316" i="3"/>
  <c r="BB566" i="3"/>
  <c r="BB8" i="3"/>
  <c r="BB21" i="3"/>
  <c r="BB41" i="3"/>
  <c r="BB134" i="3"/>
  <c r="BB141" i="3"/>
  <c r="BB174" i="3"/>
  <c r="BB227" i="3"/>
  <c r="BB261" i="3"/>
  <c r="BB275" i="3"/>
  <c r="BB296" i="3"/>
  <c r="BB343" i="3"/>
  <c r="BB350" i="3"/>
  <c r="BB390" i="3"/>
  <c r="BB443" i="3"/>
  <c r="BB540" i="3"/>
  <c r="BB573" i="3"/>
  <c r="BB594" i="3"/>
  <c r="BB613" i="3"/>
  <c r="BB640" i="3"/>
  <c r="BE125" i="3"/>
  <c r="BE139" i="3"/>
  <c r="BE195" i="3"/>
  <c r="BE307" i="3"/>
  <c r="BE335" i="3"/>
  <c r="BB28" i="3"/>
  <c r="BB55" i="3"/>
  <c r="BB69" i="3"/>
  <c r="BB76" i="3"/>
  <c r="BB248" i="3"/>
  <c r="BE10" i="3"/>
  <c r="BE666" i="3"/>
  <c r="BE673" i="3"/>
  <c r="BE680" i="3"/>
  <c r="BE687" i="3"/>
  <c r="BE694" i="3"/>
  <c r="BE729" i="3"/>
  <c r="BE736" i="3"/>
  <c r="BB11" i="3"/>
  <c r="BB23" i="3"/>
  <c r="BB29" i="3"/>
  <c r="BB66" i="3"/>
  <c r="BB109" i="3"/>
  <c r="BB121" i="3"/>
  <c r="BB127" i="3"/>
  <c r="BB158" i="3"/>
  <c r="BB177" i="3"/>
  <c r="BB183" i="3"/>
  <c r="BB215" i="3"/>
  <c r="BB234" i="3"/>
  <c r="BB272" i="3"/>
  <c r="BB291" i="3"/>
  <c r="BB297" i="3"/>
  <c r="BB310" i="3"/>
  <c r="BB329" i="3"/>
  <c r="BB335" i="3"/>
  <c r="BB354" i="3"/>
  <c r="BB373" i="3"/>
  <c r="BB379" i="3"/>
  <c r="BB411" i="3"/>
  <c r="BB430" i="3"/>
  <c r="BB436" i="3"/>
  <c r="BB468" i="3"/>
  <c r="BB487" i="3"/>
  <c r="BB493" i="3"/>
  <c r="BB525" i="3"/>
  <c r="BB531" i="3"/>
  <c r="BB550" i="3"/>
  <c r="BB569" i="3"/>
  <c r="BB575" i="3"/>
  <c r="BB607" i="3"/>
  <c r="BB626" i="3"/>
  <c r="BB632" i="3"/>
  <c r="BB664" i="3"/>
  <c r="BB683" i="3"/>
  <c r="BB689" i="3"/>
  <c r="BB727" i="3"/>
  <c r="BE150" i="3"/>
  <c r="BE178" i="3"/>
  <c r="BE388" i="3"/>
  <c r="BB424" i="3"/>
  <c r="BB481" i="3"/>
  <c r="BB506" i="3"/>
  <c r="BB538" i="3"/>
  <c r="BB557" i="3"/>
  <c r="BB563" i="3"/>
  <c r="BB595" i="3"/>
  <c r="BB601" i="3"/>
  <c r="BB620" i="3"/>
  <c r="BB639" i="3"/>
  <c r="BB645" i="3"/>
  <c r="BB677" i="3"/>
  <c r="BB696" i="3"/>
  <c r="BB702" i="3"/>
  <c r="BB734" i="3"/>
  <c r="BH217" i="3"/>
  <c r="BH385" i="3"/>
  <c r="BH476" i="3"/>
  <c r="BE597" i="3"/>
  <c r="BE660" i="3"/>
  <c r="BE695" i="3"/>
  <c r="BB24" i="3"/>
  <c r="BB67" i="3"/>
  <c r="BB79" i="3"/>
  <c r="BB85" i="3"/>
  <c r="BB122" i="3"/>
  <c r="BB159" i="3"/>
  <c r="BB178" i="3"/>
  <c r="BB216" i="3"/>
  <c r="BB235" i="3"/>
  <c r="BB241" i="3"/>
  <c r="BB254" i="3"/>
  <c r="BB273" i="3"/>
  <c r="BB279" i="3"/>
  <c r="BB298" i="3"/>
  <c r="BB317" i="3"/>
  <c r="BB323" i="3"/>
  <c r="BB355" i="3"/>
  <c r="BB374" i="3"/>
  <c r="BB412" i="3"/>
  <c r="BB431" i="3"/>
  <c r="BB437" i="3"/>
  <c r="BB469" i="3"/>
  <c r="BB475" i="3"/>
  <c r="BB494" i="3"/>
  <c r="BB513" i="3"/>
  <c r="BB519" i="3"/>
  <c r="BB551" i="3"/>
  <c r="BB570" i="3"/>
  <c r="BB576" i="3"/>
  <c r="BB608" i="3"/>
  <c r="BB627" i="3"/>
  <c r="BB633" i="3"/>
  <c r="BB671" i="3"/>
  <c r="BB690" i="3"/>
  <c r="BB709" i="3"/>
  <c r="BB715" i="3"/>
  <c r="BB735" i="3"/>
  <c r="BH568" i="3"/>
  <c r="BH596" i="3"/>
  <c r="BH708" i="3"/>
  <c r="BH722" i="3"/>
  <c r="BH736" i="3"/>
  <c r="BE633" i="3"/>
  <c r="BE640" i="3"/>
  <c r="BE703" i="3"/>
  <c r="BB324" i="3"/>
  <c r="BB387" i="3"/>
  <c r="BB393" i="3"/>
  <c r="BB425" i="3"/>
  <c r="BB450" i="3"/>
  <c r="BE124" i="3"/>
  <c r="BE131" i="3"/>
  <c r="BE145" i="3"/>
  <c r="BE173" i="3"/>
  <c r="BE180" i="3"/>
  <c r="BE187" i="3"/>
  <c r="BE222" i="3"/>
  <c r="BE229" i="3"/>
  <c r="BE236" i="3"/>
  <c r="BE243" i="3"/>
  <c r="BE250" i="3"/>
  <c r="BE264" i="3"/>
  <c r="BE271" i="3"/>
  <c r="BE285" i="3"/>
  <c r="BE473" i="3"/>
  <c r="BE480" i="3"/>
  <c r="BE494" i="3"/>
  <c r="BB7" i="3"/>
  <c r="BB13" i="3"/>
  <c r="BB19" i="3"/>
  <c r="BB31" i="3"/>
  <c r="BB62" i="3"/>
  <c r="BB74" i="3"/>
  <c r="BB105" i="3"/>
  <c r="BB111" i="3"/>
  <c r="BB117" i="3"/>
  <c r="BB129" i="3"/>
  <c r="BB173" i="3"/>
  <c r="BB192" i="3"/>
  <c r="BB230" i="3"/>
  <c r="BB249" i="3"/>
  <c r="BB255" i="3"/>
  <c r="BB287" i="3"/>
  <c r="BB293" i="3"/>
  <c r="BB312" i="3"/>
  <c r="BB331" i="3"/>
  <c r="BB337" i="3"/>
  <c r="BB369" i="3"/>
  <c r="BB388" i="3"/>
  <c r="BB426" i="3"/>
  <c r="BB445" i="3"/>
  <c r="BB451" i="3"/>
  <c r="BB483" i="3"/>
  <c r="BB489" i="3"/>
  <c r="BB508" i="3"/>
  <c r="BB527" i="3"/>
  <c r="BB533" i="3"/>
  <c r="BB565" i="3"/>
  <c r="BB584" i="3"/>
  <c r="BB590" i="3"/>
  <c r="BB622" i="3"/>
  <c r="BB641" i="3"/>
  <c r="BB647" i="3"/>
  <c r="BB685" i="3"/>
  <c r="BB704" i="3"/>
  <c r="BB723" i="3"/>
  <c r="BB729" i="3"/>
  <c r="BK19" i="3"/>
  <c r="BK26" i="3"/>
  <c r="BK33" i="3"/>
  <c r="BK47" i="3"/>
  <c r="BK54" i="3"/>
  <c r="BK61" i="3"/>
  <c r="BK68" i="3"/>
  <c r="BK75" i="3"/>
  <c r="BK103" i="3"/>
  <c r="BK166" i="3"/>
  <c r="BK173" i="3"/>
  <c r="BE13" i="3"/>
  <c r="BE69" i="3"/>
  <c r="BE83" i="3"/>
  <c r="BE223" i="3"/>
  <c r="BE251" i="3"/>
  <c r="BE606" i="3"/>
  <c r="BE704" i="3"/>
  <c r="BE718" i="3"/>
  <c r="BB38" i="3"/>
  <c r="BB81" i="3"/>
  <c r="BB93" i="3"/>
  <c r="BB99" i="3"/>
  <c r="BB136" i="3"/>
  <c r="BB161" i="3"/>
  <c r="BB167" i="3"/>
  <c r="BB186" i="3"/>
  <c r="BB205" i="3"/>
  <c r="BB211" i="3"/>
  <c r="BB243" i="3"/>
  <c r="BB262" i="3"/>
  <c r="BB300" i="3"/>
  <c r="BB319" i="3"/>
  <c r="BB325" i="3"/>
  <c r="BB338" i="3"/>
  <c r="BB357" i="3"/>
  <c r="BB363" i="3"/>
  <c r="BB382" i="3"/>
  <c r="BB401" i="3"/>
  <c r="BB407" i="3"/>
  <c r="BB439" i="3"/>
  <c r="BB458" i="3"/>
  <c r="BB464" i="3"/>
  <c r="BB496" i="3"/>
  <c r="BB515" i="3"/>
  <c r="BB521" i="3"/>
  <c r="BB553" i="3"/>
  <c r="BB559" i="3"/>
  <c r="BB578" i="3"/>
  <c r="BB597" i="3"/>
  <c r="BB603" i="3"/>
  <c r="BB635" i="3"/>
  <c r="BB654" i="3"/>
  <c r="BB660" i="3"/>
  <c r="BB692" i="3"/>
  <c r="BB711" i="3"/>
  <c r="BB717" i="3"/>
  <c r="BH108" i="3"/>
  <c r="BH703" i="3"/>
  <c r="BH710" i="3"/>
  <c r="BH724" i="3"/>
  <c r="BH731" i="3"/>
  <c r="BH738" i="3"/>
  <c r="BH745" i="3"/>
  <c r="BE14" i="3"/>
  <c r="BE42" i="3"/>
  <c r="BE56" i="3"/>
  <c r="BE98" i="3"/>
  <c r="BE175" i="3"/>
  <c r="BE189" i="3"/>
  <c r="BE231" i="3"/>
  <c r="BE273" i="3"/>
  <c r="BE287" i="3"/>
  <c r="BE315" i="3"/>
  <c r="BE329" i="3"/>
  <c r="BE399" i="3"/>
  <c r="BB39" i="3"/>
  <c r="BB51" i="3"/>
  <c r="BB57" i="3"/>
  <c r="BB94" i="3"/>
  <c r="BB137" i="3"/>
  <c r="BB149" i="3"/>
  <c r="BB155" i="3"/>
  <c r="BB187" i="3"/>
  <c r="BB206" i="3"/>
  <c r="BB244" i="3"/>
  <c r="BB263" i="3"/>
  <c r="BB269" i="3"/>
  <c r="BB282" i="3"/>
  <c r="BB301" i="3"/>
  <c r="BB307" i="3"/>
  <c r="BB326" i="3"/>
  <c r="BB345" i="3"/>
  <c r="BB351" i="3"/>
  <c r="BB383" i="3"/>
  <c r="BB402" i="3"/>
  <c r="BB440" i="3"/>
  <c r="BB459" i="3"/>
  <c r="BB465" i="3"/>
  <c r="BB497" i="3"/>
  <c r="BB503" i="3"/>
  <c r="BB522" i="3"/>
  <c r="BB541" i="3"/>
  <c r="BB547" i="3"/>
  <c r="BB579" i="3"/>
  <c r="BB598" i="3"/>
  <c r="BB604" i="3"/>
  <c r="BB636" i="3"/>
  <c r="BB655" i="3"/>
  <c r="BB661" i="3"/>
  <c r="BB699" i="3"/>
  <c r="BB718" i="3"/>
  <c r="BB737" i="3"/>
  <c r="BB743" i="3"/>
  <c r="BE106" i="3"/>
  <c r="BE713" i="3"/>
  <c r="BE720" i="3"/>
  <c r="BB9" i="3"/>
  <c r="BB15" i="3"/>
  <c r="BB52" i="3"/>
  <c r="BB95" i="3"/>
  <c r="BB107" i="3"/>
  <c r="BB113" i="3"/>
  <c r="BB150" i="3"/>
  <c r="BB188" i="3"/>
  <c r="BB207" i="3"/>
  <c r="BB213" i="3"/>
  <c r="BB245" i="3"/>
  <c r="BB251" i="3"/>
  <c r="BB270" i="3"/>
  <c r="BB289" i="3"/>
  <c r="BB295" i="3"/>
  <c r="BB327" i="3"/>
  <c r="BB346" i="3"/>
  <c r="BB384" i="3"/>
  <c r="BB403" i="3"/>
  <c r="BB409" i="3"/>
  <c r="BB441" i="3"/>
  <c r="BB447" i="3"/>
  <c r="BB466" i="3"/>
  <c r="BB485" i="3"/>
  <c r="BB491" i="3"/>
  <c r="BB523" i="3"/>
  <c r="BB542" i="3"/>
  <c r="BB548" i="3"/>
  <c r="BB580" i="3"/>
  <c r="BB599" i="3"/>
  <c r="BB605" i="3"/>
  <c r="BB637" i="3"/>
  <c r="BB643" i="3"/>
  <c r="BB662" i="3"/>
  <c r="BB681" i="3"/>
  <c r="BB687" i="3"/>
  <c r="BB719" i="3"/>
  <c r="BB738" i="3"/>
  <c r="BB744" i="3"/>
  <c r="BE204" i="3"/>
  <c r="BB3" i="3"/>
  <c r="BB34" i="3"/>
  <c r="BB46" i="3"/>
  <c r="BB77" i="3"/>
  <c r="BB83" i="3"/>
  <c r="BB89" i="3"/>
  <c r="BB101" i="3"/>
  <c r="BB132" i="3"/>
  <c r="BB144" i="3"/>
  <c r="BB163" i="3"/>
  <c r="BB169" i="3"/>
  <c r="BB201" i="3"/>
  <c r="BB220" i="3"/>
  <c r="BB258" i="3"/>
  <c r="BB277" i="3"/>
  <c r="BB283" i="3"/>
  <c r="BB315" i="3"/>
  <c r="BB321" i="3"/>
  <c r="BB340" i="3"/>
  <c r="BB359" i="3"/>
  <c r="BB365" i="3"/>
  <c r="BB397" i="3"/>
  <c r="BB416" i="3"/>
  <c r="BB422" i="3"/>
  <c r="BB454" i="3"/>
  <c r="BB473" i="3"/>
  <c r="BB479" i="3"/>
  <c r="BB511" i="3"/>
  <c r="BB517" i="3"/>
  <c r="BB536" i="3"/>
  <c r="BB555" i="3"/>
  <c r="BB561" i="3"/>
  <c r="BB593" i="3"/>
  <c r="BB612" i="3"/>
  <c r="BB618" i="3"/>
  <c r="BB650" i="3"/>
  <c r="BB669" i="3"/>
  <c r="BB675" i="3"/>
  <c r="BB713" i="3"/>
  <c r="BB732" i="3"/>
  <c r="BH376" i="3"/>
  <c r="BE414" i="3"/>
  <c r="BB10" i="3"/>
  <c r="BB53" i="3"/>
  <c r="BB65" i="3"/>
  <c r="BB71" i="3"/>
  <c r="BB108" i="3"/>
  <c r="BB151" i="3"/>
  <c r="BB157" i="3"/>
  <c r="BB170" i="3"/>
  <c r="BB189" i="3"/>
  <c r="BB195" i="3"/>
  <c r="BB214" i="3"/>
  <c r="BB233" i="3"/>
  <c r="BB239" i="3"/>
  <c r="BB271" i="3"/>
  <c r="BB290" i="3"/>
  <c r="BB328" i="3"/>
  <c r="BB347" i="3"/>
  <c r="BB353" i="3"/>
  <c r="BB366" i="3"/>
  <c r="BB385" i="3"/>
  <c r="BB391" i="3"/>
  <c r="BB410" i="3"/>
  <c r="BB429" i="3"/>
  <c r="BB435" i="3"/>
  <c r="BB467" i="3"/>
  <c r="BB486" i="3"/>
  <c r="BB492" i="3"/>
  <c r="BB524" i="3"/>
  <c r="BB543" i="3"/>
  <c r="BB549" i="3"/>
  <c r="BB581" i="3"/>
  <c r="BB587" i="3"/>
  <c r="BB606" i="3"/>
  <c r="BB625" i="3"/>
  <c r="BB631" i="3"/>
  <c r="BB651" i="3"/>
  <c r="BB663" i="3"/>
  <c r="BB682" i="3"/>
  <c r="BB688" i="3"/>
  <c r="BB720" i="3"/>
  <c r="BB739" i="3"/>
  <c r="BB745" i="3"/>
  <c r="BE24" i="3"/>
  <c r="BE31" i="3"/>
  <c r="BE45" i="3"/>
  <c r="BE73" i="3"/>
  <c r="BE87" i="3"/>
  <c r="BE94" i="3"/>
  <c r="BE121" i="3"/>
  <c r="BE149" i="3"/>
  <c r="BE177" i="3"/>
  <c r="BE302" i="3"/>
  <c r="BE309" i="3"/>
  <c r="BE316" i="3"/>
  <c r="BE323" i="3"/>
  <c r="BE330" i="3"/>
  <c r="BE344" i="3"/>
  <c r="BE386" i="3"/>
  <c r="BE413" i="3"/>
  <c r="BE489" i="3"/>
  <c r="BE635" i="3"/>
  <c r="BE205" i="3"/>
  <c r="BE129" i="3"/>
  <c r="BE136" i="3"/>
  <c r="BE143" i="3"/>
  <c r="BE164" i="3"/>
  <c r="BE268" i="3"/>
  <c r="BE345" i="3"/>
  <c r="BE407" i="3"/>
  <c r="BE511" i="3"/>
  <c r="BE553" i="3"/>
  <c r="BE581" i="3"/>
  <c r="BE234" i="3"/>
  <c r="BE269" i="3"/>
  <c r="BE318" i="3"/>
  <c r="BE332" i="3"/>
  <c r="BE421" i="3"/>
  <c r="BE435" i="3"/>
  <c r="BE442" i="3"/>
  <c r="BE456" i="3"/>
  <c r="BE26" i="3"/>
  <c r="BE33" i="3"/>
  <c r="BE40" i="3"/>
  <c r="BE47" i="3"/>
  <c r="BE54" i="3"/>
  <c r="BE68" i="3"/>
  <c r="BE75" i="3"/>
  <c r="BE89" i="3"/>
  <c r="BE144" i="3"/>
  <c r="BE186" i="3"/>
  <c r="BE200" i="3"/>
  <c r="BE505" i="3"/>
  <c r="BE519" i="3"/>
  <c r="BE540" i="3"/>
  <c r="BE547" i="3"/>
  <c r="BE554" i="3"/>
  <c r="BE561" i="3"/>
  <c r="BE568" i="3"/>
  <c r="BE582" i="3"/>
  <c r="BE242" i="3"/>
  <c r="BE256" i="3"/>
  <c r="BE284" i="3"/>
  <c r="BE298" i="3"/>
  <c r="BE312" i="3"/>
  <c r="BE319" i="3"/>
  <c r="BE402" i="3"/>
  <c r="BE485" i="3"/>
  <c r="BE541" i="3"/>
  <c r="BE728" i="3"/>
  <c r="BE735" i="3"/>
  <c r="BE472" i="3"/>
  <c r="BE701" i="3"/>
  <c r="BE167" i="3"/>
  <c r="BE500" i="3"/>
  <c r="BE507" i="3"/>
  <c r="BE521" i="3"/>
  <c r="BE549" i="3"/>
  <c r="BE556" i="3"/>
  <c r="BE563" i="3"/>
  <c r="BE570" i="3"/>
  <c r="BE618" i="3"/>
  <c r="BE626" i="3"/>
  <c r="BH186" i="3"/>
  <c r="BH228" i="3"/>
  <c r="BH235" i="3"/>
  <c r="BH242" i="3"/>
  <c r="BH249" i="3"/>
  <c r="BH270" i="3"/>
  <c r="BH284" i="3"/>
  <c r="BH550" i="3"/>
  <c r="BH690" i="3"/>
  <c r="BE8" i="3"/>
  <c r="BE22" i="3"/>
  <c r="BE29" i="3"/>
  <c r="BE36" i="3"/>
  <c r="BE43" i="3"/>
  <c r="BE50" i="3"/>
  <c r="BE64" i="3"/>
  <c r="BE85" i="3"/>
  <c r="BE92" i="3"/>
  <c r="BE99" i="3"/>
  <c r="BE112" i="3"/>
  <c r="BE140" i="3"/>
  <c r="BE154" i="3"/>
  <c r="BE342" i="3"/>
  <c r="BE363" i="3"/>
  <c r="BE370" i="3"/>
  <c r="BE377" i="3"/>
  <c r="BE654" i="3"/>
  <c r="BE668" i="3"/>
  <c r="BE696" i="3"/>
  <c r="BE724" i="3"/>
  <c r="BE37" i="3"/>
  <c r="BE176" i="3"/>
  <c r="BE343" i="3"/>
  <c r="BE357" i="3"/>
  <c r="BE371" i="3"/>
  <c r="BE385" i="3"/>
  <c r="BE405" i="3"/>
  <c r="BE613" i="3"/>
  <c r="BE620" i="3"/>
  <c r="BE662" i="3"/>
  <c r="BE30" i="3"/>
  <c r="BE72" i="3"/>
  <c r="BE127" i="3"/>
  <c r="BE141" i="3"/>
  <c r="BE196" i="3"/>
  <c r="BE279" i="3"/>
  <c r="BE470" i="3"/>
  <c r="BE670" i="3"/>
  <c r="BE162" i="3"/>
  <c r="BE341" i="3"/>
  <c r="BE348" i="3"/>
  <c r="BE376" i="3"/>
  <c r="BE396" i="3"/>
  <c r="BE429" i="3"/>
  <c r="BE457" i="3"/>
  <c r="BE484" i="3"/>
  <c r="BE532" i="3"/>
  <c r="BE629" i="3"/>
  <c r="BE16" i="3"/>
  <c r="BE86" i="3"/>
  <c r="BE120" i="3"/>
  <c r="BE134" i="3"/>
  <c r="BE148" i="3"/>
  <c r="BE209" i="3"/>
  <c r="BE265" i="3"/>
  <c r="BE313" i="3"/>
  <c r="BE463" i="3"/>
  <c r="BE477" i="3"/>
  <c r="BE615" i="3"/>
  <c r="BE656" i="3"/>
  <c r="BE684" i="3"/>
  <c r="BE732" i="3"/>
  <c r="BE4" i="3"/>
  <c r="BE38" i="3"/>
  <c r="BE66" i="3"/>
  <c r="BE108" i="3"/>
  <c r="BE114" i="3"/>
  <c r="BE128" i="3"/>
  <c r="BE183" i="3"/>
  <c r="BE190" i="3"/>
  <c r="BE197" i="3"/>
  <c r="BE210" i="3"/>
  <c r="BE238" i="3"/>
  <c r="BE252" i="3"/>
  <c r="BE294" i="3"/>
  <c r="BE437" i="3"/>
  <c r="BE451" i="3"/>
  <c r="BE464" i="3"/>
  <c r="BE471" i="3"/>
  <c r="BE512" i="3"/>
  <c r="BE526" i="3"/>
  <c r="BE616" i="3"/>
  <c r="BE637" i="3"/>
  <c r="BE651" i="3"/>
  <c r="BE664" i="3"/>
  <c r="BE685" i="3"/>
  <c r="BE699" i="3"/>
  <c r="BE726" i="3"/>
  <c r="BE740" i="3"/>
  <c r="BH15" i="3"/>
  <c r="BH22" i="3"/>
  <c r="BH29" i="3"/>
  <c r="BH281" i="3"/>
  <c r="BH337" i="3"/>
  <c r="BH344" i="3"/>
  <c r="BH358" i="3"/>
  <c r="BH526" i="3"/>
  <c r="BH540" i="3"/>
  <c r="BE46" i="3"/>
  <c r="BE60" i="3"/>
  <c r="BE88" i="3"/>
  <c r="BE102" i="3"/>
  <c r="BE122" i="3"/>
  <c r="BE170" i="3"/>
  <c r="BE184" i="3"/>
  <c r="BE191" i="3"/>
  <c r="BE218" i="3"/>
  <c r="BE225" i="3"/>
  <c r="BE232" i="3"/>
  <c r="BE239" i="3"/>
  <c r="BE246" i="3"/>
  <c r="BE260" i="3"/>
  <c r="BE281" i="3"/>
  <c r="BE288" i="3"/>
  <c r="BE322" i="3"/>
  <c r="BE589" i="3"/>
  <c r="BE596" i="3"/>
  <c r="BE603" i="3"/>
  <c r="BE610" i="3"/>
  <c r="BE617" i="3"/>
  <c r="BE624" i="3"/>
  <c r="BE658" i="3"/>
  <c r="BE734" i="3"/>
  <c r="BE741" i="3"/>
  <c r="BH170" i="3"/>
  <c r="BH408" i="3"/>
  <c r="BH464" i="3"/>
  <c r="BH492" i="3"/>
  <c r="BH506" i="3"/>
  <c r="BH520" i="3"/>
  <c r="BE185" i="3"/>
  <c r="BE192" i="3"/>
  <c r="BE233" i="3"/>
  <c r="BE391" i="3"/>
  <c r="BE452" i="3"/>
  <c r="BE486" i="3"/>
  <c r="BE493" i="3"/>
  <c r="BE506" i="3"/>
  <c r="BE520" i="3"/>
  <c r="BE534" i="3"/>
  <c r="BE548" i="3"/>
  <c r="BE555" i="3"/>
  <c r="BE569" i="3"/>
  <c r="BE638" i="3"/>
  <c r="BE645" i="3"/>
  <c r="BE659" i="3"/>
  <c r="BH185" i="3"/>
  <c r="BH192" i="3"/>
  <c r="BH283" i="3"/>
  <c r="BH318" i="3"/>
  <c r="BH325" i="3"/>
  <c r="BH521" i="3"/>
  <c r="BE27" i="3"/>
  <c r="BE55" i="3"/>
  <c r="BE158" i="3"/>
  <c r="BE220" i="3"/>
  <c r="BE227" i="3"/>
  <c r="BE241" i="3"/>
  <c r="BE262" i="3"/>
  <c r="BE290" i="3"/>
  <c r="BE351" i="3"/>
  <c r="BE358" i="3"/>
  <c r="BE365" i="3"/>
  <c r="BE372" i="3"/>
  <c r="BE379" i="3"/>
  <c r="BE439" i="3"/>
  <c r="BE514" i="3"/>
  <c r="BE528" i="3"/>
  <c r="BE542" i="3"/>
  <c r="BE584" i="3"/>
  <c r="BE591" i="3"/>
  <c r="BE605" i="3"/>
  <c r="BE619" i="3"/>
  <c r="BE632" i="3"/>
  <c r="BE653" i="3"/>
  <c r="BE681" i="3"/>
  <c r="BE708" i="3"/>
  <c r="BE715" i="3"/>
  <c r="BE35" i="3"/>
  <c r="BE77" i="3"/>
  <c r="BE91" i="3"/>
  <c r="BE311" i="3"/>
  <c r="BE338" i="3"/>
  <c r="BE359" i="3"/>
  <c r="BE366" i="3"/>
  <c r="BE380" i="3"/>
  <c r="BE400" i="3"/>
  <c r="BE433" i="3"/>
  <c r="BE447" i="3"/>
  <c r="BE508" i="3"/>
  <c r="BE515" i="3"/>
  <c r="BE578" i="3"/>
  <c r="BE661" i="3"/>
  <c r="BE675" i="3"/>
  <c r="BE682" i="3"/>
  <c r="BH159" i="3"/>
  <c r="BH173" i="3"/>
  <c r="BH201" i="3"/>
  <c r="BH271" i="3"/>
  <c r="BH285" i="3"/>
  <c r="BH313" i="3"/>
  <c r="BH691" i="3"/>
  <c r="BH705" i="3"/>
  <c r="BH719" i="3"/>
  <c r="BE78" i="3"/>
  <c r="BE133" i="3"/>
  <c r="BE153" i="3"/>
  <c r="BE346" i="3"/>
  <c r="BE360" i="3"/>
  <c r="BE374" i="3"/>
  <c r="BE394" i="3"/>
  <c r="BE420" i="3"/>
  <c r="BE434" i="3"/>
  <c r="BE502" i="3"/>
  <c r="BE509" i="3"/>
  <c r="BE516" i="3"/>
  <c r="BE558" i="3"/>
  <c r="BE572" i="3"/>
  <c r="BE634" i="3"/>
  <c r="BE648" i="3"/>
  <c r="BE710" i="3"/>
  <c r="BE738" i="3"/>
  <c r="BE9" i="3"/>
  <c r="BE368" i="3"/>
  <c r="BE382" i="3"/>
  <c r="BE395" i="3"/>
  <c r="BE408" i="3"/>
  <c r="BE428" i="3"/>
  <c r="BE483" i="3"/>
  <c r="BE503" i="3"/>
  <c r="BE600" i="3"/>
  <c r="BE607" i="3"/>
  <c r="BE676" i="3"/>
  <c r="BH195" i="3"/>
  <c r="BH384" i="3"/>
  <c r="BH398" i="3"/>
  <c r="BE2" i="3"/>
  <c r="BE15" i="3"/>
  <c r="BE28" i="3"/>
  <c r="BE41" i="3"/>
  <c r="BE61" i="3"/>
  <c r="BE74" i="3"/>
  <c r="BE100" i="3"/>
  <c r="BE113" i="3"/>
  <c r="BE126" i="3"/>
  <c r="BE152" i="3"/>
  <c r="BE159" i="3"/>
  <c r="BE172" i="3"/>
  <c r="BE198" i="3"/>
  <c r="BE211" i="3"/>
  <c r="BE224" i="3"/>
  <c r="BE237" i="3"/>
  <c r="BE257" i="3"/>
  <c r="BE270" i="3"/>
  <c r="BE283" i="3"/>
  <c r="BE296" i="3"/>
  <c r="BE321" i="3"/>
  <c r="BE340" i="3"/>
  <c r="BE390" i="3"/>
  <c r="BE440" i="3"/>
  <c r="BE446" i="3"/>
  <c r="BE465" i="3"/>
  <c r="BE478" i="3"/>
  <c r="BE527" i="3"/>
  <c r="BE533" i="3"/>
  <c r="BE571" i="3"/>
  <c r="BE614" i="3"/>
  <c r="BE646" i="3"/>
  <c r="BE671" i="3"/>
  <c r="BE714" i="3"/>
  <c r="BE733" i="3"/>
  <c r="BK150" i="3"/>
  <c r="BK157" i="3"/>
  <c r="BH84" i="3"/>
  <c r="BH566" i="3"/>
  <c r="BH615" i="3"/>
  <c r="BH629" i="3"/>
  <c r="BE3" i="3"/>
  <c r="BE49" i="3"/>
  <c r="BE101" i="3"/>
  <c r="BE107" i="3"/>
  <c r="BE147" i="3"/>
  <c r="BE166" i="3"/>
  <c r="BE199" i="3"/>
  <c r="BE245" i="3"/>
  <c r="BE297" i="3"/>
  <c r="BE303" i="3"/>
  <c r="BE328" i="3"/>
  <c r="BE334" i="3"/>
  <c r="BE397" i="3"/>
  <c r="BE415" i="3"/>
  <c r="BE441" i="3"/>
  <c r="BE459" i="3"/>
  <c r="BE466" i="3"/>
  <c r="BE479" i="3"/>
  <c r="BE559" i="3"/>
  <c r="BE590" i="3"/>
  <c r="BE609" i="3"/>
  <c r="BE647" i="3"/>
  <c r="BE690" i="3"/>
  <c r="BE702" i="3"/>
  <c r="BH43" i="3"/>
  <c r="BH50" i="3"/>
  <c r="BH64" i="3"/>
  <c r="BH78" i="3"/>
  <c r="BH92" i="3"/>
  <c r="BH330" i="3"/>
  <c r="BH400" i="3"/>
  <c r="BH498" i="3"/>
  <c r="BH574" i="3"/>
  <c r="BH588" i="3"/>
  <c r="BE17" i="3"/>
  <c r="BE23" i="3"/>
  <c r="BE63" i="3"/>
  <c r="BE82" i="3"/>
  <c r="BE115" i="3"/>
  <c r="BE161" i="3"/>
  <c r="BE213" i="3"/>
  <c r="BE219" i="3"/>
  <c r="BE259" i="3"/>
  <c r="BE278" i="3"/>
  <c r="BE310" i="3"/>
  <c r="BE367" i="3"/>
  <c r="BE373" i="3"/>
  <c r="BE404" i="3"/>
  <c r="BE422" i="3"/>
  <c r="BE455" i="3"/>
  <c r="BE460" i="3"/>
  <c r="BE491" i="3"/>
  <c r="BE522" i="3"/>
  <c r="BE535" i="3"/>
  <c r="BE560" i="3"/>
  <c r="BE567" i="3"/>
  <c r="BE622" i="3"/>
  <c r="BE628" i="3"/>
  <c r="BE691" i="3"/>
  <c r="BE709" i="3"/>
  <c r="BK355" i="3"/>
  <c r="BE135" i="3"/>
  <c r="BE194" i="3"/>
  <c r="BE317" i="3"/>
  <c r="BE361" i="3"/>
  <c r="BE423" i="3"/>
  <c r="BE461" i="3"/>
  <c r="BE492" i="3"/>
  <c r="BE592" i="3"/>
  <c r="BE604" i="3"/>
  <c r="BE667" i="3"/>
  <c r="BE698" i="3"/>
  <c r="BE716" i="3"/>
  <c r="BH226" i="3"/>
  <c r="BH310" i="3"/>
  <c r="BE5" i="3"/>
  <c r="BE18" i="3"/>
  <c r="BE44" i="3"/>
  <c r="BE57" i="3"/>
  <c r="BE70" i="3"/>
  <c r="BE96" i="3"/>
  <c r="BE103" i="3"/>
  <c r="BE116" i="3"/>
  <c r="BE142" i="3"/>
  <c r="BE155" i="3"/>
  <c r="BE168" i="3"/>
  <c r="BE181" i="3"/>
  <c r="BE201" i="3"/>
  <c r="BE214" i="3"/>
  <c r="BE240" i="3"/>
  <c r="BE253" i="3"/>
  <c r="BE266" i="3"/>
  <c r="BE292" i="3"/>
  <c r="BE299" i="3"/>
  <c r="BE336" i="3"/>
  <c r="BE349" i="3"/>
  <c r="BE411" i="3"/>
  <c r="BE417" i="3"/>
  <c r="BE436" i="3"/>
  <c r="BE449" i="3"/>
  <c r="BE468" i="3"/>
  <c r="BE474" i="3"/>
  <c r="BE499" i="3"/>
  <c r="BE517" i="3"/>
  <c r="BE536" i="3"/>
  <c r="BE586" i="3"/>
  <c r="BE636" i="3"/>
  <c r="BE642" i="3"/>
  <c r="BE674" i="3"/>
  <c r="BE723" i="3"/>
  <c r="BH10" i="3"/>
  <c r="BH80" i="3"/>
  <c r="BH94" i="3"/>
  <c r="BH555" i="3"/>
  <c r="BH562" i="3"/>
  <c r="BH681" i="3"/>
  <c r="BE51" i="3"/>
  <c r="BE110" i="3"/>
  <c r="BE247" i="3"/>
  <c r="BE306" i="3"/>
  <c r="BE324" i="3"/>
  <c r="BE362" i="3"/>
  <c r="BE393" i="3"/>
  <c r="BE424" i="3"/>
  <c r="BE462" i="3"/>
  <c r="BE524" i="3"/>
  <c r="BE530" i="3"/>
  <c r="BE593" i="3"/>
  <c r="BE611" i="3"/>
  <c r="BE655" i="3"/>
  <c r="BE717" i="3"/>
  <c r="BK35" i="3"/>
  <c r="BK49" i="3"/>
  <c r="BK427" i="3"/>
  <c r="BK441" i="3"/>
  <c r="BK539" i="3"/>
  <c r="BK623" i="3"/>
  <c r="BH136" i="3"/>
  <c r="BH150" i="3"/>
  <c r="BH290" i="3"/>
  <c r="BH332" i="3"/>
  <c r="BH346" i="3"/>
  <c r="BH388" i="3"/>
  <c r="BH416" i="3"/>
  <c r="BH486" i="3"/>
  <c r="BH500" i="3"/>
  <c r="BH682" i="3"/>
  <c r="BE12" i="3"/>
  <c r="BE19" i="3"/>
  <c r="BE32" i="3"/>
  <c r="BE52" i="3"/>
  <c r="BE58" i="3"/>
  <c r="BE65" i="3"/>
  <c r="BE71" i="3"/>
  <c r="BE84" i="3"/>
  <c r="BE97" i="3"/>
  <c r="BE117" i="3"/>
  <c r="BE130" i="3"/>
  <c r="BE156" i="3"/>
  <c r="BE169" i="3"/>
  <c r="BE182" i="3"/>
  <c r="BE208" i="3"/>
  <c r="BE215" i="3"/>
  <c r="BE228" i="3"/>
  <c r="BE248" i="3"/>
  <c r="BE254" i="3"/>
  <c r="BE261" i="3"/>
  <c r="BE267" i="3"/>
  <c r="BE280" i="3"/>
  <c r="BE293" i="3"/>
  <c r="BE325" i="3"/>
  <c r="BE331" i="3"/>
  <c r="BE337" i="3"/>
  <c r="BE375" i="3"/>
  <c r="BE418" i="3"/>
  <c r="BE450" i="3"/>
  <c r="BE475" i="3"/>
  <c r="BE518" i="3"/>
  <c r="BE525" i="3"/>
  <c r="BE537" i="3"/>
  <c r="BE550" i="3"/>
  <c r="BE562" i="3"/>
  <c r="BE575" i="3"/>
  <c r="BE630" i="3"/>
  <c r="BE643" i="3"/>
  <c r="BE705" i="3"/>
  <c r="BE711" i="3"/>
  <c r="BE730" i="3"/>
  <c r="BE737" i="3"/>
  <c r="BE743" i="3"/>
  <c r="BH480" i="3"/>
  <c r="BE7" i="3"/>
  <c r="BE59" i="3"/>
  <c r="BE105" i="3"/>
  <c r="BE157" i="3"/>
  <c r="BE203" i="3"/>
  <c r="BE255" i="3"/>
  <c r="BE301" i="3"/>
  <c r="BE401" i="3"/>
  <c r="BE419" i="3"/>
  <c r="BE438" i="3"/>
  <c r="BE488" i="3"/>
  <c r="BE538" i="3"/>
  <c r="BE544" i="3"/>
  <c r="BE576" i="3"/>
  <c r="BE625" i="3"/>
  <c r="BE631" i="3"/>
  <c r="BE669" i="3"/>
  <c r="BE712" i="3"/>
  <c r="BE731" i="3"/>
  <c r="BE744" i="3"/>
  <c r="BK78" i="3"/>
  <c r="BK92" i="3"/>
  <c r="BK106" i="3"/>
  <c r="BK134" i="3"/>
  <c r="BK190" i="3"/>
  <c r="BK386" i="3"/>
  <c r="BK498" i="3"/>
  <c r="BK512" i="3"/>
  <c r="BK526" i="3"/>
  <c r="BK540" i="3"/>
  <c r="BK582" i="3"/>
  <c r="BK722" i="3"/>
  <c r="BH82" i="3"/>
  <c r="BH578" i="3"/>
  <c r="BH606" i="3"/>
  <c r="BH662" i="3"/>
  <c r="BH676" i="3"/>
  <c r="BE21" i="3"/>
  <c r="BE79" i="3"/>
  <c r="BE119" i="3"/>
  <c r="BE138" i="3"/>
  <c r="BE171" i="3"/>
  <c r="BE217" i="3"/>
  <c r="BE275" i="3"/>
  <c r="BE326" i="3"/>
  <c r="BE364" i="3"/>
  <c r="BE426" i="3"/>
  <c r="BE432" i="3"/>
  <c r="BE495" i="3"/>
  <c r="BE513" i="3"/>
  <c r="BE539" i="3"/>
  <c r="BE557" i="3"/>
  <c r="BE564" i="3"/>
  <c r="BE577" i="3"/>
  <c r="BE657" i="3"/>
  <c r="BE688" i="3"/>
  <c r="BE707" i="3"/>
  <c r="BK9" i="3"/>
  <c r="BK16" i="3"/>
  <c r="BK23" i="3"/>
  <c r="BK30" i="3"/>
  <c r="BK37" i="3"/>
  <c r="BK44" i="3"/>
  <c r="BK65" i="3"/>
  <c r="BK72" i="3"/>
  <c r="BK107" i="3"/>
  <c r="BK114" i="3"/>
  <c r="BK121" i="3"/>
  <c r="BK128" i="3"/>
  <c r="BK135" i="3"/>
  <c r="BK142" i="3"/>
  <c r="BH551" i="3"/>
  <c r="BE80" i="3"/>
  <c r="BE93" i="3"/>
  <c r="BE276" i="3"/>
  <c r="BE282" i="3"/>
  <c r="BE289" i="3"/>
  <c r="BE295" i="3"/>
  <c r="BE320" i="3"/>
  <c r="BE352" i="3"/>
  <c r="BE427" i="3"/>
  <c r="BE639" i="3"/>
  <c r="BE689" i="3"/>
  <c r="BE11" i="3"/>
  <c r="BE39" i="3"/>
  <c r="BE67" i="3"/>
  <c r="BE95" i="3"/>
  <c r="BE123" i="3"/>
  <c r="BE151" i="3"/>
  <c r="BE179" i="3"/>
  <c r="BE207" i="3"/>
  <c r="BE235" i="3"/>
  <c r="BE263" i="3"/>
  <c r="BE291" i="3"/>
  <c r="BE308" i="3"/>
  <c r="BE314" i="3"/>
  <c r="BE383" i="3"/>
  <c r="BE406" i="3"/>
  <c r="BE412" i="3"/>
  <c r="BE481" i="3"/>
  <c r="BE504" i="3"/>
  <c r="BE510" i="3"/>
  <c r="BE579" i="3"/>
  <c r="BE602" i="3"/>
  <c r="BE608" i="3"/>
  <c r="BE677" i="3"/>
  <c r="BE700" i="3"/>
  <c r="BE706" i="3"/>
  <c r="BE6" i="3"/>
  <c r="BE34" i="3"/>
  <c r="BE62" i="3"/>
  <c r="BE90" i="3"/>
  <c r="BE118" i="3"/>
  <c r="BE146" i="3"/>
  <c r="BE174" i="3"/>
  <c r="BE202" i="3"/>
  <c r="BE230" i="3"/>
  <c r="BE258" i="3"/>
  <c r="BE286" i="3"/>
  <c r="BE389" i="3"/>
  <c r="BE487" i="3"/>
  <c r="BE585" i="3"/>
  <c r="BE683" i="3"/>
  <c r="BE355" i="3"/>
  <c r="BE378" i="3"/>
  <c r="BE384" i="3"/>
  <c r="BE453" i="3"/>
  <c r="BE476" i="3"/>
  <c r="BE482" i="3"/>
  <c r="BE551" i="3"/>
  <c r="BE574" i="3"/>
  <c r="BE580" i="3"/>
  <c r="BE649" i="3"/>
  <c r="BE672" i="3"/>
  <c r="BE678" i="3"/>
  <c r="BE327" i="3"/>
  <c r="BE350" i="3"/>
  <c r="BE356" i="3"/>
  <c r="BE425" i="3"/>
  <c r="BE448" i="3"/>
  <c r="BE454" i="3"/>
  <c r="BE523" i="3"/>
  <c r="BE546" i="3"/>
  <c r="BE552" i="3"/>
  <c r="BE621" i="3"/>
  <c r="BE644" i="3"/>
  <c r="BE650" i="3"/>
  <c r="BE719" i="3"/>
  <c r="BE742" i="3"/>
  <c r="BE333" i="3"/>
  <c r="BE431" i="3"/>
  <c r="BE529" i="3"/>
  <c r="BE627" i="3"/>
  <c r="BE725" i="3"/>
  <c r="BE25" i="3"/>
  <c r="BE53" i="3"/>
  <c r="BE81" i="3"/>
  <c r="BE109" i="3"/>
  <c r="BE137" i="3"/>
  <c r="BE165" i="3"/>
  <c r="BE193" i="3"/>
  <c r="BE221" i="3"/>
  <c r="BE249" i="3"/>
  <c r="BE277" i="3"/>
  <c r="BE305" i="3"/>
  <c r="BE403" i="3"/>
  <c r="BE501" i="3"/>
  <c r="BE599" i="3"/>
  <c r="BE697" i="3"/>
  <c r="BE20" i="3"/>
  <c r="BE48" i="3"/>
  <c r="BE76" i="3"/>
  <c r="BE104" i="3"/>
  <c r="BE132" i="3"/>
  <c r="BE160" i="3"/>
  <c r="BE188" i="3"/>
  <c r="BE216" i="3"/>
  <c r="BE244" i="3"/>
  <c r="BE272" i="3"/>
  <c r="BE300" i="3"/>
  <c r="BE369" i="3"/>
  <c r="BE392" i="3"/>
  <c r="BE398" i="3"/>
  <c r="BE467" i="3"/>
  <c r="BE490" i="3"/>
  <c r="BE496" i="3"/>
  <c r="BE565" i="3"/>
  <c r="BE588" i="3"/>
  <c r="BE594" i="3"/>
  <c r="BE663" i="3"/>
  <c r="BE686" i="3"/>
  <c r="BE692" i="3"/>
  <c r="BE347" i="3"/>
  <c r="BE445" i="3"/>
  <c r="BE543" i="3"/>
  <c r="BE641" i="3"/>
  <c r="BH8" i="3"/>
  <c r="BH106" i="3"/>
  <c r="BH607" i="3"/>
  <c r="BH489" i="3"/>
  <c r="BH72" i="3"/>
  <c r="BH113" i="3"/>
  <c r="BH120" i="3"/>
  <c r="BH127" i="3"/>
  <c r="BH134" i="3"/>
  <c r="BH148" i="3"/>
  <c r="BH204" i="3"/>
  <c r="BH232" i="3"/>
  <c r="BH274" i="3"/>
  <c r="BH294" i="3"/>
  <c r="BH315" i="3"/>
  <c r="BH329" i="3"/>
  <c r="BH3" i="3"/>
  <c r="BH31" i="3"/>
  <c r="BH198" i="3"/>
  <c r="BH316" i="3"/>
  <c r="BH323" i="3"/>
  <c r="BH511" i="3"/>
  <c r="BH692" i="3"/>
  <c r="BH296" i="3"/>
  <c r="BH372" i="3"/>
  <c r="BH407" i="3"/>
  <c r="BH512" i="3"/>
  <c r="BH679" i="3"/>
  <c r="BH4" i="3"/>
  <c r="BH32" i="3"/>
  <c r="BH39" i="3"/>
  <c r="BH46" i="3"/>
  <c r="BH53" i="3"/>
  <c r="BH60" i="3"/>
  <c r="BH67" i="3"/>
  <c r="BH88" i="3"/>
  <c r="BH102" i="3"/>
  <c r="BH206" i="3"/>
  <c r="BH234" i="3"/>
  <c r="BH248" i="3"/>
  <c r="BH262" i="3"/>
  <c r="BH575" i="3"/>
  <c r="BH617" i="3"/>
  <c r="BH624" i="3"/>
  <c r="BH652" i="3"/>
  <c r="BH19" i="3"/>
  <c r="BH61" i="3"/>
  <c r="BH75" i="3"/>
  <c r="BH89" i="3"/>
  <c r="BH103" i="3"/>
  <c r="BH158" i="3"/>
  <c r="BH200" i="3"/>
  <c r="BH256" i="3"/>
  <c r="BH304" i="3"/>
  <c r="BH395" i="3"/>
  <c r="BH402" i="3"/>
  <c r="BH423" i="3"/>
  <c r="BH465" i="3"/>
  <c r="BH479" i="3"/>
  <c r="BH493" i="3"/>
  <c r="BH534" i="3"/>
  <c r="BH541" i="3"/>
  <c r="BH548" i="3"/>
  <c r="BH590" i="3"/>
  <c r="BH604" i="3"/>
  <c r="BH632" i="3"/>
  <c r="BH688" i="3"/>
  <c r="BH298" i="3"/>
  <c r="BH305" i="3"/>
  <c r="BH312" i="3"/>
  <c r="BH514" i="3"/>
  <c r="BH716" i="3"/>
  <c r="BH737" i="3"/>
  <c r="BH744" i="3"/>
  <c r="BH27" i="3"/>
  <c r="BH41" i="3"/>
  <c r="BH48" i="3"/>
  <c r="BH55" i="3"/>
  <c r="BH208" i="3"/>
  <c r="BH382" i="3"/>
  <c r="BH396" i="3"/>
  <c r="BH424" i="3"/>
  <c r="BH431" i="3"/>
  <c r="BH438" i="3"/>
  <c r="BH445" i="3"/>
  <c r="BH452" i="3"/>
  <c r="BH459" i="3"/>
  <c r="BH494" i="3"/>
  <c r="BH584" i="3"/>
  <c r="BH598" i="3"/>
  <c r="BH612" i="3"/>
  <c r="BH626" i="3"/>
  <c r="BH633" i="3"/>
  <c r="BH640" i="3"/>
  <c r="BH647" i="3"/>
  <c r="BH654" i="3"/>
  <c r="BH696" i="3"/>
  <c r="BH292" i="3"/>
  <c r="BH495" i="3"/>
  <c r="BH592" i="3"/>
  <c r="BH162" i="3"/>
  <c r="BH324" i="3"/>
  <c r="BH419" i="3"/>
  <c r="BH433" i="3"/>
  <c r="BH528" i="3"/>
  <c r="BH542" i="3"/>
  <c r="BH664" i="3"/>
  <c r="BH684" i="3"/>
  <c r="BH704" i="3"/>
  <c r="BH718" i="3"/>
  <c r="BH732" i="3"/>
  <c r="BH739" i="3"/>
  <c r="BH12" i="3"/>
  <c r="BH54" i="3"/>
  <c r="BH114" i="3"/>
  <c r="BH121" i="3"/>
  <c r="BH128" i="3"/>
  <c r="BH142" i="3"/>
  <c r="BH149" i="3"/>
  <c r="BH156" i="3"/>
  <c r="BH176" i="3"/>
  <c r="BH223" i="3"/>
  <c r="BH278" i="3"/>
  <c r="BH338" i="3"/>
  <c r="BH345" i="3"/>
  <c r="BH352" i="3"/>
  <c r="BH366" i="3"/>
  <c r="BH373" i="3"/>
  <c r="BH380" i="3"/>
  <c r="BH413" i="3"/>
  <c r="BH468" i="3"/>
  <c r="BH488" i="3"/>
  <c r="BH508" i="3"/>
  <c r="BH556" i="3"/>
  <c r="BH609" i="3"/>
  <c r="BH623" i="3"/>
  <c r="BH630" i="3"/>
  <c r="BH637" i="3"/>
  <c r="BH678" i="3"/>
  <c r="BK3" i="3"/>
  <c r="BK17" i="3"/>
  <c r="BK45" i="3"/>
  <c r="BK73" i="3"/>
  <c r="BK171" i="3"/>
  <c r="BK185" i="3"/>
  <c r="BK199" i="3"/>
  <c r="BK241" i="3"/>
  <c r="BK269" i="3"/>
  <c r="BK283" i="3"/>
  <c r="BK297" i="3"/>
  <c r="BK367" i="3"/>
  <c r="BK381" i="3"/>
  <c r="BK395" i="3"/>
  <c r="BK479" i="3"/>
  <c r="BK493" i="3"/>
  <c r="BK521" i="3"/>
  <c r="BK591" i="3"/>
  <c r="BK605" i="3"/>
  <c r="BK633" i="3"/>
  <c r="BK661" i="3"/>
  <c r="BH6" i="3"/>
  <c r="BH115" i="3"/>
  <c r="BH122" i="3"/>
  <c r="BH129" i="3"/>
  <c r="BH157" i="3"/>
  <c r="BH190" i="3"/>
  <c r="BH237" i="3"/>
  <c r="BH272" i="3"/>
  <c r="BH353" i="3"/>
  <c r="BH360" i="3"/>
  <c r="BH367" i="3"/>
  <c r="BH381" i="3"/>
  <c r="BH394" i="3"/>
  <c r="BH414" i="3"/>
  <c r="BH427" i="3"/>
  <c r="BH462" i="3"/>
  <c r="BH482" i="3"/>
  <c r="BH509" i="3"/>
  <c r="BH522" i="3"/>
  <c r="BH529" i="3"/>
  <c r="BH536" i="3"/>
  <c r="BH543" i="3"/>
  <c r="BH603" i="3"/>
  <c r="BH610" i="3"/>
  <c r="BH638" i="3"/>
  <c r="BH658" i="3"/>
  <c r="BH672" i="3"/>
  <c r="BH740" i="3"/>
  <c r="BH76" i="3"/>
  <c r="BH164" i="3"/>
  <c r="BH231" i="3"/>
  <c r="BH238" i="3"/>
  <c r="BH245" i="3"/>
  <c r="BH266" i="3"/>
  <c r="BH286" i="3"/>
  <c r="BH326" i="3"/>
  <c r="BH421" i="3"/>
  <c r="BH428" i="3"/>
  <c r="BH442" i="3"/>
  <c r="BH456" i="3"/>
  <c r="BH666" i="3"/>
  <c r="BH713" i="3"/>
  <c r="BH727" i="3"/>
  <c r="BH741" i="3"/>
  <c r="BH109" i="3"/>
  <c r="BH144" i="3"/>
  <c r="BH347" i="3"/>
  <c r="BK207" i="3"/>
  <c r="BH96" i="3"/>
  <c r="BH130" i="3"/>
  <c r="BH218" i="3"/>
  <c r="BH354" i="3"/>
  <c r="BH646" i="3"/>
  <c r="BK159" i="3"/>
  <c r="BK201" i="3"/>
  <c r="BK397" i="3"/>
  <c r="BK579" i="3"/>
  <c r="BK593" i="3"/>
  <c r="BK663" i="3"/>
  <c r="BH36" i="3"/>
  <c r="BH90" i="3"/>
  <c r="BH117" i="3"/>
  <c r="BH199" i="3"/>
  <c r="BH212" i="3"/>
  <c r="BH239" i="3"/>
  <c r="BH246" i="3"/>
  <c r="BH260" i="3"/>
  <c r="BH409" i="3"/>
  <c r="BH422" i="3"/>
  <c r="BH436" i="3"/>
  <c r="BH443" i="3"/>
  <c r="BH450" i="3"/>
  <c r="BH457" i="3"/>
  <c r="BH484" i="3"/>
  <c r="BH531" i="3"/>
  <c r="BH538" i="3"/>
  <c r="BH545" i="3"/>
  <c r="BH572" i="3"/>
  <c r="BH579" i="3"/>
  <c r="BH660" i="3"/>
  <c r="BH667" i="3"/>
  <c r="BH674" i="3"/>
  <c r="BH694" i="3"/>
  <c r="BH707" i="3"/>
  <c r="BH721" i="3"/>
  <c r="BH91" i="3"/>
  <c r="BH104" i="3"/>
  <c r="BH240" i="3"/>
  <c r="BH247" i="3"/>
  <c r="BH254" i="3"/>
  <c r="BH268" i="3"/>
  <c r="BH321" i="3"/>
  <c r="BH430" i="3"/>
  <c r="BH444" i="3"/>
  <c r="BH458" i="3"/>
  <c r="BH525" i="3"/>
  <c r="BH586" i="3"/>
  <c r="BH675" i="3"/>
  <c r="BH701" i="3"/>
  <c r="BH715" i="3"/>
  <c r="BH729" i="3"/>
  <c r="BK214" i="3"/>
  <c r="BK361" i="3"/>
  <c r="BH21" i="3"/>
  <c r="BH137" i="3"/>
  <c r="BH211" i="3"/>
  <c r="BH280" i="3"/>
  <c r="BH340" i="3"/>
  <c r="BH368" i="3"/>
  <c r="BH415" i="3"/>
  <c r="BH517" i="3"/>
  <c r="BH639" i="3"/>
  <c r="BN65" i="3"/>
  <c r="BK20" i="3"/>
  <c r="BK27" i="3"/>
  <c r="BK48" i="3"/>
  <c r="BK62" i="3"/>
  <c r="BK475" i="3"/>
  <c r="BK587" i="3"/>
  <c r="BK671" i="3"/>
  <c r="BH16" i="3"/>
  <c r="BH30" i="3"/>
  <c r="BH44" i="3"/>
  <c r="BH51" i="3"/>
  <c r="BH58" i="3"/>
  <c r="BH85" i="3"/>
  <c r="BH125" i="3"/>
  <c r="BH139" i="3"/>
  <c r="BH146" i="3"/>
  <c r="BH153" i="3"/>
  <c r="BH180" i="3"/>
  <c r="BH187" i="3"/>
  <c r="BH220" i="3"/>
  <c r="BH255" i="3"/>
  <c r="BH269" i="3"/>
  <c r="BH302" i="3"/>
  <c r="BH335" i="3"/>
  <c r="BH370" i="3"/>
  <c r="BH390" i="3"/>
  <c r="BH403" i="3"/>
  <c r="BH410" i="3"/>
  <c r="BH472" i="3"/>
  <c r="BH505" i="3"/>
  <c r="BH519" i="3"/>
  <c r="BH560" i="3"/>
  <c r="BH580" i="3"/>
  <c r="BH620" i="3"/>
  <c r="BH627" i="3"/>
  <c r="BH634" i="3"/>
  <c r="BH641" i="3"/>
  <c r="BH648" i="3"/>
  <c r="BH702" i="3"/>
  <c r="BH730" i="3"/>
  <c r="BH35" i="3"/>
  <c r="BH70" i="3"/>
  <c r="BH116" i="3"/>
  <c r="BH151" i="3"/>
  <c r="BH225" i="3"/>
  <c r="BH333" i="3"/>
  <c r="BH470" i="3"/>
  <c r="BH618" i="3"/>
  <c r="BH653" i="3"/>
  <c r="BK203" i="3"/>
  <c r="BK273" i="3"/>
  <c r="BK280" i="3"/>
  <c r="BK287" i="3"/>
  <c r="BK315" i="3"/>
  <c r="BK343" i="3"/>
  <c r="BK707" i="3"/>
  <c r="BH24" i="3"/>
  <c r="BH38" i="3"/>
  <c r="BH45" i="3"/>
  <c r="BH52" i="3"/>
  <c r="BH66" i="3"/>
  <c r="BH119" i="3"/>
  <c r="BH133" i="3"/>
  <c r="BH140" i="3"/>
  <c r="BH147" i="3"/>
  <c r="BH174" i="3"/>
  <c r="BH194" i="3"/>
  <c r="BH214" i="3"/>
  <c r="BH309" i="3"/>
  <c r="BH364" i="3"/>
  <c r="BH378" i="3"/>
  <c r="BH554" i="3"/>
  <c r="BH663" i="3"/>
  <c r="BK218" i="3"/>
  <c r="BK232" i="3"/>
  <c r="BK414" i="3"/>
  <c r="BK428" i="3"/>
  <c r="BK610" i="3"/>
  <c r="BK624" i="3"/>
  <c r="BH18" i="3"/>
  <c r="BH100" i="3"/>
  <c r="BH188" i="3"/>
  <c r="BH215" i="3"/>
  <c r="BH297" i="3"/>
  <c r="BH507" i="3"/>
  <c r="BH677" i="3"/>
  <c r="BK416" i="3"/>
  <c r="BK444" i="3"/>
  <c r="BK724" i="3"/>
  <c r="BK731" i="3"/>
  <c r="BH79" i="3"/>
  <c r="BH86" i="3"/>
  <c r="BH152" i="3"/>
  <c r="BH165" i="3"/>
  <c r="BH178" i="3"/>
  <c r="BH244" i="3"/>
  <c r="BH251" i="3"/>
  <c r="BH336" i="3"/>
  <c r="BH343" i="3"/>
  <c r="BH435" i="3"/>
  <c r="BH501" i="3"/>
  <c r="BH587" i="3"/>
  <c r="BH600" i="3"/>
  <c r="BH673" i="3"/>
  <c r="BH686" i="3"/>
  <c r="BN106" i="3"/>
  <c r="BN232" i="3"/>
  <c r="BN470" i="3"/>
  <c r="BN526" i="3"/>
  <c r="BK5" i="3"/>
  <c r="BH73" i="3"/>
  <c r="BH172" i="3"/>
  <c r="BH311" i="3"/>
  <c r="BH317" i="3"/>
  <c r="BH581" i="3"/>
  <c r="BH594" i="3"/>
  <c r="BH680" i="3"/>
  <c r="BH74" i="3"/>
  <c r="BH213" i="3"/>
  <c r="BH219" i="3"/>
  <c r="BH397" i="3"/>
  <c r="BH483" i="3"/>
  <c r="BH496" i="3"/>
  <c r="BH582" i="3"/>
  <c r="BH661" i="3"/>
  <c r="BH299" i="3"/>
  <c r="BH391" i="3"/>
  <c r="BH404" i="3"/>
  <c r="BH477" i="3"/>
  <c r="BH490" i="3"/>
  <c r="BH563" i="3"/>
  <c r="BH569" i="3"/>
  <c r="BH576" i="3"/>
  <c r="BH642" i="3"/>
  <c r="BH649" i="3"/>
  <c r="BH655" i="3"/>
  <c r="BH668" i="3"/>
  <c r="BH734" i="3"/>
  <c r="BH17" i="3"/>
  <c r="BH23" i="3"/>
  <c r="BH287" i="3"/>
  <c r="BH300" i="3"/>
  <c r="BH386" i="3"/>
  <c r="BH564" i="3"/>
  <c r="BH709" i="3"/>
  <c r="BH735" i="3"/>
  <c r="BH141" i="3"/>
  <c r="BH293" i="3"/>
  <c r="BH471" i="3"/>
  <c r="BH557" i="3"/>
  <c r="BH643" i="3"/>
  <c r="BH189" i="3"/>
  <c r="BH202" i="3"/>
  <c r="BH288" i="3"/>
  <c r="BH453" i="3"/>
  <c r="BH466" i="3"/>
  <c r="BH611" i="3"/>
  <c r="BH42" i="3"/>
  <c r="BH306" i="3"/>
  <c r="BH392" i="3"/>
  <c r="BH478" i="3"/>
  <c r="BH5" i="3"/>
  <c r="BH11" i="3"/>
  <c r="BH97" i="3"/>
  <c r="BH110" i="3"/>
  <c r="BH183" i="3"/>
  <c r="BH196" i="3"/>
  <c r="BH275" i="3"/>
  <c r="BH282" i="3"/>
  <c r="BH348" i="3"/>
  <c r="BH355" i="3"/>
  <c r="BH361" i="3"/>
  <c r="BH374" i="3"/>
  <c r="BH440" i="3"/>
  <c r="BH447" i="3"/>
  <c r="BH532" i="3"/>
  <c r="BH539" i="3"/>
  <c r="BH605" i="3"/>
  <c r="BH631" i="3"/>
  <c r="BH697" i="3"/>
  <c r="BH207" i="3"/>
  <c r="BH636" i="3"/>
  <c r="BK373" i="3"/>
  <c r="BK380" i="3"/>
  <c r="BK401" i="3"/>
  <c r="BK408" i="3"/>
  <c r="BK415" i="3"/>
  <c r="BK422" i="3"/>
  <c r="BK429" i="3"/>
  <c r="BK436" i="3"/>
  <c r="BK457" i="3"/>
  <c r="BK464" i="3"/>
  <c r="BK499" i="3"/>
  <c r="BK506" i="3"/>
  <c r="BK527" i="3"/>
  <c r="BK534" i="3"/>
  <c r="BK541" i="3"/>
  <c r="BK548" i="3"/>
  <c r="BK569" i="3"/>
  <c r="BK576" i="3"/>
  <c r="BK681" i="3"/>
  <c r="BK688" i="3"/>
  <c r="BK695" i="3"/>
  <c r="BK702" i="3"/>
  <c r="BK709" i="3"/>
  <c r="BK716" i="3"/>
  <c r="BK723" i="3"/>
  <c r="BK730" i="3"/>
  <c r="BK737" i="3"/>
  <c r="BH513" i="3"/>
  <c r="BH49" i="3"/>
  <c r="BH379" i="3"/>
  <c r="BH544" i="3"/>
  <c r="BH570" i="3"/>
  <c r="BH728" i="3"/>
  <c r="BH98" i="3"/>
  <c r="BH171" i="3"/>
  <c r="BH177" i="3"/>
  <c r="BH184" i="3"/>
  <c r="BH250" i="3"/>
  <c r="BH257" i="3"/>
  <c r="BH263" i="3"/>
  <c r="BH276" i="3"/>
  <c r="BH342" i="3"/>
  <c r="BH349" i="3"/>
  <c r="BH434" i="3"/>
  <c r="BH441" i="3"/>
  <c r="BH533" i="3"/>
  <c r="BH593" i="3"/>
  <c r="BH599" i="3"/>
  <c r="BH685" i="3"/>
  <c r="BH698" i="3"/>
  <c r="BH723" i="3"/>
  <c r="BK271" i="3"/>
  <c r="BK299" i="3"/>
  <c r="BK334" i="3"/>
  <c r="BK341" i="3"/>
  <c r="BH7" i="3"/>
  <c r="BH13" i="3"/>
  <c r="BH25" i="3"/>
  <c r="BH56" i="3"/>
  <c r="BH62" i="3"/>
  <c r="BH68" i="3"/>
  <c r="BH99" i="3"/>
  <c r="BH105" i="3"/>
  <c r="BH111" i="3"/>
  <c r="BH123" i="3"/>
  <c r="BH154" i="3"/>
  <c r="BH160" i="3"/>
  <c r="BH166" i="3"/>
  <c r="BH197" i="3"/>
  <c r="BH203" i="3"/>
  <c r="BH209" i="3"/>
  <c r="BH221" i="3"/>
  <c r="BH252" i="3"/>
  <c r="BH258" i="3"/>
  <c r="BH264" i="3"/>
  <c r="BH295" i="3"/>
  <c r="BH301" i="3"/>
  <c r="BH307" i="3"/>
  <c r="BH319" i="3"/>
  <c r="BH350" i="3"/>
  <c r="BH356" i="3"/>
  <c r="BH362" i="3"/>
  <c r="BH393" i="3"/>
  <c r="BH399" i="3"/>
  <c r="BH405" i="3"/>
  <c r="BH411" i="3"/>
  <c r="BH417" i="3"/>
  <c r="BH448" i="3"/>
  <c r="BH454" i="3"/>
  <c r="BH460" i="3"/>
  <c r="BH491" i="3"/>
  <c r="BH497" i="3"/>
  <c r="BH503" i="3"/>
  <c r="BH515" i="3"/>
  <c r="BH546" i="3"/>
  <c r="BH552" i="3"/>
  <c r="BH558" i="3"/>
  <c r="BH589" i="3"/>
  <c r="BH595" i="3"/>
  <c r="BH601" i="3"/>
  <c r="BH613" i="3"/>
  <c r="BH644" i="3"/>
  <c r="BH650" i="3"/>
  <c r="BH656" i="3"/>
  <c r="BH687" i="3"/>
  <c r="BH693" i="3"/>
  <c r="BH699" i="3"/>
  <c r="BH711" i="3"/>
  <c r="BH742" i="3"/>
  <c r="BH227" i="3"/>
  <c r="BH331" i="3"/>
  <c r="BH527" i="3"/>
  <c r="BK7" i="3"/>
  <c r="BK362" i="3"/>
  <c r="BK369" i="3"/>
  <c r="BK467" i="3"/>
  <c r="BK495" i="3"/>
  <c r="BK509" i="3"/>
  <c r="BK551" i="3"/>
  <c r="BK677" i="3"/>
  <c r="BK691" i="3"/>
  <c r="BK705" i="3"/>
  <c r="BH87" i="3"/>
  <c r="BH93" i="3"/>
  <c r="BH191" i="3"/>
  <c r="BH289" i="3"/>
  <c r="BH387" i="3"/>
  <c r="BH485" i="3"/>
  <c r="BH577" i="3"/>
  <c r="BH583" i="3"/>
  <c r="BK410" i="3"/>
  <c r="BH619" i="3"/>
  <c r="BK22" i="3"/>
  <c r="BK36" i="3"/>
  <c r="BK119" i="3"/>
  <c r="BK147" i="3"/>
  <c r="BK307" i="3"/>
  <c r="BH14" i="3"/>
  <c r="BH20" i="3"/>
  <c r="BH26" i="3"/>
  <c r="BH57" i="3"/>
  <c r="BH63" i="3"/>
  <c r="BH69" i="3"/>
  <c r="BH81" i="3"/>
  <c r="BH112" i="3"/>
  <c r="BH118" i="3"/>
  <c r="BH124" i="3"/>
  <c r="BH143" i="3"/>
  <c r="BH155" i="3"/>
  <c r="BH161" i="3"/>
  <c r="BH167" i="3"/>
  <c r="BH179" i="3"/>
  <c r="BH210" i="3"/>
  <c r="BH216" i="3"/>
  <c r="BH222" i="3"/>
  <c r="BH241" i="3"/>
  <c r="BH253" i="3"/>
  <c r="BH259" i="3"/>
  <c r="BH265" i="3"/>
  <c r="BH277" i="3"/>
  <c r="BH308" i="3"/>
  <c r="BH314" i="3"/>
  <c r="BH320" i="3"/>
  <c r="BH339" i="3"/>
  <c r="BH351" i="3"/>
  <c r="BH357" i="3"/>
  <c r="BH363" i="3"/>
  <c r="BH369" i="3"/>
  <c r="BH375" i="3"/>
  <c r="BH406" i="3"/>
  <c r="BH412" i="3"/>
  <c r="BH418" i="3"/>
  <c r="BH437" i="3"/>
  <c r="BH449" i="3"/>
  <c r="BH455" i="3"/>
  <c r="BH461" i="3"/>
  <c r="BH467" i="3"/>
  <c r="BH473" i="3"/>
  <c r="BH504" i="3"/>
  <c r="BH510" i="3"/>
  <c r="BH516" i="3"/>
  <c r="BH535" i="3"/>
  <c r="BH547" i="3"/>
  <c r="BH553" i="3"/>
  <c r="BH559" i="3"/>
  <c r="BH565" i="3"/>
  <c r="BH571" i="3"/>
  <c r="BH602" i="3"/>
  <c r="BH608" i="3"/>
  <c r="BH614" i="3"/>
  <c r="BH645" i="3"/>
  <c r="BH651" i="3"/>
  <c r="BH657" i="3"/>
  <c r="BH669" i="3"/>
  <c r="BH700" i="3"/>
  <c r="BH706" i="3"/>
  <c r="BH712" i="3"/>
  <c r="BH743" i="3"/>
  <c r="BH233" i="3"/>
  <c r="BH717" i="3"/>
  <c r="BK231" i="3"/>
  <c r="BK245" i="3"/>
  <c r="BH33" i="3"/>
  <c r="BH131" i="3"/>
  <c r="BH229" i="3"/>
  <c r="BH327" i="3"/>
  <c r="BH523" i="3"/>
  <c r="BH621" i="3"/>
  <c r="BK697" i="3"/>
  <c r="BH37" i="3"/>
  <c r="BH725" i="3"/>
  <c r="BH625" i="3"/>
  <c r="BK399" i="3"/>
  <c r="BK511" i="3"/>
  <c r="BK595" i="3"/>
  <c r="BH9" i="3"/>
  <c r="BH101" i="3"/>
  <c r="BH107" i="3"/>
  <c r="BH205" i="3"/>
  <c r="BH303" i="3"/>
  <c r="BH401" i="3"/>
  <c r="BH499" i="3"/>
  <c r="BH591" i="3"/>
  <c r="BH597" i="3"/>
  <c r="BH689" i="3"/>
  <c r="BH695" i="3"/>
  <c r="BK177" i="3"/>
  <c r="BK184" i="3"/>
  <c r="BK197" i="3"/>
  <c r="BK274" i="3"/>
  <c r="BK288" i="3"/>
  <c r="BK302" i="3"/>
  <c r="BK330" i="3"/>
  <c r="BK344" i="3"/>
  <c r="BK721" i="3"/>
  <c r="BK735" i="3"/>
  <c r="BH28" i="3"/>
  <c r="BH34" i="3"/>
  <c r="BH40" i="3"/>
  <c r="BH71" i="3"/>
  <c r="BH77" i="3"/>
  <c r="BH83" i="3"/>
  <c r="BH95" i="3"/>
  <c r="BH126" i="3"/>
  <c r="BH132" i="3"/>
  <c r="BH138" i="3"/>
  <c r="BH169" i="3"/>
  <c r="BH175" i="3"/>
  <c r="BH181" i="3"/>
  <c r="BH193" i="3"/>
  <c r="BH224" i="3"/>
  <c r="BH230" i="3"/>
  <c r="BH236" i="3"/>
  <c r="BH267" i="3"/>
  <c r="BH273" i="3"/>
  <c r="BH279" i="3"/>
  <c r="BH291" i="3"/>
  <c r="BH322" i="3"/>
  <c r="BH328" i="3"/>
  <c r="BH334" i="3"/>
  <c r="BH365" i="3"/>
  <c r="BH371" i="3"/>
  <c r="BH377" i="3"/>
  <c r="BH383" i="3"/>
  <c r="BH389" i="3"/>
  <c r="BH420" i="3"/>
  <c r="BH426" i="3"/>
  <c r="BH432" i="3"/>
  <c r="BH451" i="3"/>
  <c r="BH463" i="3"/>
  <c r="BH469" i="3"/>
  <c r="BH475" i="3"/>
  <c r="BH481" i="3"/>
  <c r="BH487" i="3"/>
  <c r="BH518" i="3"/>
  <c r="BH524" i="3"/>
  <c r="BH530" i="3"/>
  <c r="BH549" i="3"/>
  <c r="BH561" i="3"/>
  <c r="BH567" i="3"/>
  <c r="BH573" i="3"/>
  <c r="BH585" i="3"/>
  <c r="BH616" i="3"/>
  <c r="BH622" i="3"/>
  <c r="BH628" i="3"/>
  <c r="BH659" i="3"/>
  <c r="BH665" i="3"/>
  <c r="BH671" i="3"/>
  <c r="BH683" i="3"/>
  <c r="BH714" i="3"/>
  <c r="BH720" i="3"/>
  <c r="BH726" i="3"/>
  <c r="BK368" i="3"/>
  <c r="BK403" i="3"/>
  <c r="BK704" i="3"/>
  <c r="BH135" i="3"/>
  <c r="BH429" i="3"/>
  <c r="BK205" i="3"/>
  <c r="BK212" i="3"/>
  <c r="BK219" i="3"/>
  <c r="BK226" i="3"/>
  <c r="BK233" i="3"/>
  <c r="BK240" i="3"/>
  <c r="BK261" i="3"/>
  <c r="BK268" i="3"/>
  <c r="BK303" i="3"/>
  <c r="BK310" i="3"/>
  <c r="BK331" i="3"/>
  <c r="BK338" i="3"/>
  <c r="BK345" i="3"/>
  <c r="BK352" i="3"/>
  <c r="BK694" i="3"/>
  <c r="BH47" i="3"/>
  <c r="BH59" i="3"/>
  <c r="BH65" i="3"/>
  <c r="BH145" i="3"/>
  <c r="BH163" i="3"/>
  <c r="BH243" i="3"/>
  <c r="BH261" i="3"/>
  <c r="BH341" i="3"/>
  <c r="BH359" i="3"/>
  <c r="BH537" i="3"/>
  <c r="BH635" i="3"/>
  <c r="BH733" i="3"/>
  <c r="BK117" i="3"/>
  <c r="BK329" i="3"/>
  <c r="BK473" i="3"/>
  <c r="BK500" i="3"/>
  <c r="BK554" i="3"/>
  <c r="BK609" i="3"/>
  <c r="BK644" i="3"/>
  <c r="BK21" i="3"/>
  <c r="BK56" i="3"/>
  <c r="BK63" i="3"/>
  <c r="BK131" i="3"/>
  <c r="BK309" i="3"/>
  <c r="BK336" i="3"/>
  <c r="BK356" i="3"/>
  <c r="BK411" i="3"/>
  <c r="BK418" i="3"/>
  <c r="BK425" i="3"/>
  <c r="BK439" i="3"/>
  <c r="BK446" i="3"/>
  <c r="BK453" i="3"/>
  <c r="BK460" i="3"/>
  <c r="BK589" i="3"/>
  <c r="BK665" i="3"/>
  <c r="BK672" i="3"/>
  <c r="BK679" i="3"/>
  <c r="BK699" i="3"/>
  <c r="BK726" i="3"/>
  <c r="BK733" i="3"/>
  <c r="BK77" i="3"/>
  <c r="BK84" i="3"/>
  <c r="BK91" i="3"/>
  <c r="BK111" i="3"/>
  <c r="BK138" i="3"/>
  <c r="BK145" i="3"/>
  <c r="BK165" i="3"/>
  <c r="BK172" i="3"/>
  <c r="BK220" i="3"/>
  <c r="BK227" i="3"/>
  <c r="BK248" i="3"/>
  <c r="BK316" i="3"/>
  <c r="BK391" i="3"/>
  <c r="BK481" i="3"/>
  <c r="BK501" i="3"/>
  <c r="BK508" i="3"/>
  <c r="BK528" i="3"/>
  <c r="BK596" i="3"/>
  <c r="BK617" i="3"/>
  <c r="BK631" i="3"/>
  <c r="BK638" i="3"/>
  <c r="BK652" i="3"/>
  <c r="BK693" i="3"/>
  <c r="BK720" i="3"/>
  <c r="BK83" i="3"/>
  <c r="BK480" i="3"/>
  <c r="BK568" i="3"/>
  <c r="BK637" i="3"/>
  <c r="BK651" i="3"/>
  <c r="BK719" i="3"/>
  <c r="BK8" i="3"/>
  <c r="BK29" i="3"/>
  <c r="BK43" i="3"/>
  <c r="BK50" i="3"/>
  <c r="BK64" i="3"/>
  <c r="BK105" i="3"/>
  <c r="BK125" i="3"/>
  <c r="BK132" i="3"/>
  <c r="BK187" i="3"/>
  <c r="BK193" i="3"/>
  <c r="BK200" i="3"/>
  <c r="BK317" i="3"/>
  <c r="BK324" i="3"/>
  <c r="BK337" i="3"/>
  <c r="BK357" i="3"/>
  <c r="BK364" i="3"/>
  <c r="BK371" i="3"/>
  <c r="BK378" i="3"/>
  <c r="BK385" i="3"/>
  <c r="BK412" i="3"/>
  <c r="BK419" i="3"/>
  <c r="BK440" i="3"/>
  <c r="BK454" i="3"/>
  <c r="BK542" i="3"/>
  <c r="BK563" i="3"/>
  <c r="BK577" i="3"/>
  <c r="BK597" i="3"/>
  <c r="BK604" i="3"/>
  <c r="BK611" i="3"/>
  <c r="BK618" i="3"/>
  <c r="BK625" i="3"/>
  <c r="BK632" i="3"/>
  <c r="BK653" i="3"/>
  <c r="BK660" i="3"/>
  <c r="BK666" i="3"/>
  <c r="BK680" i="3"/>
  <c r="BK277" i="3"/>
  <c r="BK304" i="3"/>
  <c r="BK372" i="3"/>
  <c r="BK455" i="3"/>
  <c r="BK523" i="3"/>
  <c r="BK113" i="3"/>
  <c r="BK215" i="3"/>
  <c r="BK257" i="3"/>
  <c r="BK483" i="3"/>
  <c r="BK612" i="3"/>
  <c r="BK517" i="3"/>
  <c r="BK729" i="3"/>
  <c r="BK168" i="3"/>
  <c r="BK216" i="3"/>
  <c r="BK353" i="3"/>
  <c r="BK11" i="3"/>
  <c r="BK18" i="3"/>
  <c r="BK148" i="3"/>
  <c r="BK279" i="3"/>
  <c r="BK313" i="3"/>
  <c r="BK525" i="3"/>
  <c r="BK669" i="3"/>
  <c r="BK676" i="3"/>
  <c r="BK696" i="3"/>
  <c r="BK703" i="3"/>
  <c r="BK284" i="3"/>
  <c r="BK222" i="3"/>
  <c r="BK264" i="3"/>
  <c r="BK393" i="3"/>
  <c r="BK469" i="3"/>
  <c r="BK557" i="3"/>
  <c r="BK742" i="3"/>
  <c r="BK52" i="3"/>
  <c r="BK312" i="3"/>
  <c r="BK332" i="3"/>
  <c r="BK400" i="3"/>
  <c r="BK435" i="3"/>
  <c r="BK456" i="3"/>
  <c r="BK4" i="3"/>
  <c r="BK141" i="3"/>
  <c r="BK175" i="3"/>
  <c r="BK223" i="3"/>
  <c r="BK244" i="3"/>
  <c r="BK599" i="3"/>
  <c r="BK736" i="3"/>
  <c r="BK81" i="3"/>
  <c r="BK88" i="3"/>
  <c r="BK108" i="3"/>
  <c r="BK129" i="3"/>
  <c r="BK149" i="3"/>
  <c r="BK156" i="3"/>
  <c r="BK162" i="3"/>
  <c r="BK176" i="3"/>
  <c r="BK217" i="3"/>
  <c r="BK252" i="3"/>
  <c r="BK259" i="3"/>
  <c r="BK327" i="3"/>
  <c r="BK409" i="3"/>
  <c r="BK437" i="3"/>
  <c r="BK465" i="3"/>
  <c r="BK505" i="3"/>
  <c r="BK532" i="3"/>
  <c r="BK552" i="3"/>
  <c r="BK607" i="3"/>
  <c r="BK614" i="3"/>
  <c r="BK621" i="3"/>
  <c r="BK635" i="3"/>
  <c r="BK642" i="3"/>
  <c r="BK649" i="3"/>
  <c r="BK133" i="3"/>
  <c r="BK358" i="3"/>
  <c r="BK448" i="3"/>
  <c r="BK728" i="3"/>
  <c r="BK160" i="3"/>
  <c r="BK243" i="3"/>
  <c r="BK503" i="3"/>
  <c r="BK537" i="3"/>
  <c r="BK564" i="3"/>
  <c r="BK640" i="3"/>
  <c r="BK708" i="3"/>
  <c r="BK24" i="3"/>
  <c r="BK195" i="3"/>
  <c r="BK285" i="3"/>
  <c r="BK421" i="3"/>
  <c r="BK497" i="3"/>
  <c r="BK585" i="3"/>
  <c r="BK161" i="3"/>
  <c r="BK189" i="3"/>
  <c r="BK258" i="3"/>
  <c r="BK346" i="3"/>
  <c r="BK470" i="3"/>
  <c r="BK565" i="3"/>
  <c r="BK311" i="3"/>
  <c r="BK413" i="3"/>
  <c r="BK701" i="3"/>
  <c r="BK140" i="3"/>
  <c r="BK229" i="3"/>
  <c r="BK250" i="3"/>
  <c r="BK476" i="3"/>
  <c r="BK530" i="3"/>
  <c r="BK120" i="3"/>
  <c r="BK305" i="3"/>
  <c r="BK339" i="3"/>
  <c r="BK442" i="3"/>
  <c r="BK524" i="3"/>
  <c r="BK592" i="3"/>
  <c r="BK182" i="3"/>
  <c r="BK484" i="3"/>
  <c r="BK558" i="3"/>
  <c r="BK606" i="3"/>
  <c r="BK89" i="3"/>
  <c r="BK109" i="3"/>
  <c r="BK116" i="3"/>
  <c r="BK136" i="3"/>
  <c r="BK143" i="3"/>
  <c r="BK204" i="3"/>
  <c r="BK225" i="3"/>
  <c r="BK239" i="3"/>
  <c r="BK246" i="3"/>
  <c r="BK260" i="3"/>
  <c r="BK301" i="3"/>
  <c r="BK321" i="3"/>
  <c r="BK328" i="3"/>
  <c r="BK383" i="3"/>
  <c r="BK389" i="3"/>
  <c r="BK396" i="3"/>
  <c r="BK513" i="3"/>
  <c r="BK520" i="3"/>
  <c r="BK533" i="3"/>
  <c r="BK553" i="3"/>
  <c r="BK560" i="3"/>
  <c r="BK567" i="3"/>
  <c r="BK574" i="3"/>
  <c r="BK581" i="3"/>
  <c r="BK608" i="3"/>
  <c r="BK615" i="3"/>
  <c r="BK636" i="3"/>
  <c r="BK738" i="3"/>
  <c r="BK745" i="3"/>
  <c r="BK6" i="3"/>
  <c r="BK12" i="3"/>
  <c r="BK69" i="3"/>
  <c r="BK94" i="3"/>
  <c r="BK101" i="3"/>
  <c r="BK126" i="3"/>
  <c r="BK151" i="3"/>
  <c r="BK158" i="3"/>
  <c r="BK183" i="3"/>
  <c r="BK202" i="3"/>
  <c r="BK208" i="3"/>
  <c r="BK265" i="3"/>
  <c r="BK290" i="3"/>
  <c r="BK322" i="3"/>
  <c r="BK347" i="3"/>
  <c r="BK354" i="3"/>
  <c r="BK379" i="3"/>
  <c r="BK398" i="3"/>
  <c r="BK404" i="3"/>
  <c r="BK461" i="3"/>
  <c r="BK486" i="3"/>
  <c r="BK518" i="3"/>
  <c r="BK543" i="3"/>
  <c r="BK550" i="3"/>
  <c r="BK575" i="3"/>
  <c r="BK594" i="3"/>
  <c r="BK600" i="3"/>
  <c r="BK657" i="3"/>
  <c r="BK682" i="3"/>
  <c r="BK689" i="3"/>
  <c r="BK714" i="3"/>
  <c r="BK739" i="3"/>
  <c r="BK25" i="3"/>
  <c r="BK32" i="3"/>
  <c r="BK57" i="3"/>
  <c r="BK76" i="3"/>
  <c r="BK82" i="3"/>
  <c r="BK139" i="3"/>
  <c r="BK164" i="3"/>
  <c r="BK196" i="3"/>
  <c r="BK221" i="3"/>
  <c r="BK228" i="3"/>
  <c r="BK253" i="3"/>
  <c r="BK272" i="3"/>
  <c r="BK278" i="3"/>
  <c r="BK335" i="3"/>
  <c r="BK360" i="3"/>
  <c r="BK392" i="3"/>
  <c r="BK417" i="3"/>
  <c r="BK424" i="3"/>
  <c r="BK449" i="3"/>
  <c r="BK468" i="3"/>
  <c r="BK474" i="3"/>
  <c r="BK531" i="3"/>
  <c r="BK556" i="3"/>
  <c r="BK588" i="3"/>
  <c r="BK613" i="3"/>
  <c r="BK620" i="3"/>
  <c r="BK645" i="3"/>
  <c r="BK664" i="3"/>
  <c r="BK670" i="3"/>
  <c r="BK727" i="3"/>
  <c r="BK13" i="3"/>
  <c r="BK38" i="3"/>
  <c r="BK51" i="3"/>
  <c r="BK58" i="3"/>
  <c r="BK70" i="3"/>
  <c r="BK95" i="3"/>
  <c r="BK102" i="3"/>
  <c r="BK115" i="3"/>
  <c r="BK127" i="3"/>
  <c r="BK146" i="3"/>
  <c r="BK152" i="3"/>
  <c r="BK209" i="3"/>
  <c r="BK234" i="3"/>
  <c r="BK247" i="3"/>
  <c r="BK254" i="3"/>
  <c r="BK266" i="3"/>
  <c r="BK291" i="3"/>
  <c r="BK298" i="3"/>
  <c r="BK323" i="3"/>
  <c r="BK342" i="3"/>
  <c r="BK348" i="3"/>
  <c r="BK405" i="3"/>
  <c r="BK430" i="3"/>
  <c r="BK443" i="3"/>
  <c r="BK450" i="3"/>
  <c r="BK462" i="3"/>
  <c r="BK487" i="3"/>
  <c r="BK494" i="3"/>
  <c r="BK507" i="3"/>
  <c r="BK519" i="3"/>
  <c r="BK538" i="3"/>
  <c r="BK544" i="3"/>
  <c r="BK601" i="3"/>
  <c r="BK626" i="3"/>
  <c r="BK639" i="3"/>
  <c r="BK646" i="3"/>
  <c r="BK658" i="3"/>
  <c r="BK683" i="3"/>
  <c r="BK690" i="3"/>
  <c r="BK715" i="3"/>
  <c r="BK734" i="3"/>
  <c r="BK740" i="3"/>
  <c r="BN96" i="3"/>
  <c r="BK2" i="3"/>
  <c r="BK14" i="3"/>
  <c r="BK39" i="3"/>
  <c r="BK46" i="3"/>
  <c r="BK59" i="3"/>
  <c r="BK71" i="3"/>
  <c r="BK90" i="3"/>
  <c r="BK96" i="3"/>
  <c r="BK153" i="3"/>
  <c r="BK178" i="3"/>
  <c r="BK191" i="3"/>
  <c r="BK198" i="3"/>
  <c r="BK210" i="3"/>
  <c r="BK235" i="3"/>
  <c r="BK242" i="3"/>
  <c r="BK255" i="3"/>
  <c r="BK267" i="3"/>
  <c r="BK286" i="3"/>
  <c r="BK292" i="3"/>
  <c r="BK349" i="3"/>
  <c r="BK374" i="3"/>
  <c r="BK387" i="3"/>
  <c r="BK394" i="3"/>
  <c r="BK406" i="3"/>
  <c r="BK431" i="3"/>
  <c r="BK438" i="3"/>
  <c r="BK451" i="3"/>
  <c r="BK463" i="3"/>
  <c r="BK482" i="3"/>
  <c r="BK488" i="3"/>
  <c r="BK545" i="3"/>
  <c r="BK570" i="3"/>
  <c r="BK583" i="3"/>
  <c r="BK590" i="3"/>
  <c r="BK602" i="3"/>
  <c r="BK627" i="3"/>
  <c r="BK634" i="3"/>
  <c r="BK647" i="3"/>
  <c r="BK659" i="3"/>
  <c r="BK678" i="3"/>
  <c r="BK684" i="3"/>
  <c r="BK741" i="3"/>
  <c r="BK28" i="3"/>
  <c r="BK53" i="3"/>
  <c r="BK60" i="3"/>
  <c r="BK85" i="3"/>
  <c r="BK104" i="3"/>
  <c r="BK110" i="3"/>
  <c r="BK167" i="3"/>
  <c r="BK192" i="3"/>
  <c r="BK224" i="3"/>
  <c r="BK249" i="3"/>
  <c r="BK256" i="3"/>
  <c r="BK281" i="3"/>
  <c r="BK300" i="3"/>
  <c r="BK306" i="3"/>
  <c r="BK363" i="3"/>
  <c r="BK388" i="3"/>
  <c r="BK420" i="3"/>
  <c r="BK445" i="3"/>
  <c r="BK452" i="3"/>
  <c r="BK477" i="3"/>
  <c r="BK496" i="3"/>
  <c r="BK502" i="3"/>
  <c r="BK559" i="3"/>
  <c r="BK584" i="3"/>
  <c r="BK616" i="3"/>
  <c r="BK641" i="3"/>
  <c r="BK648" i="3"/>
  <c r="BK673" i="3"/>
  <c r="BK692" i="3"/>
  <c r="BK698" i="3"/>
  <c r="BK15" i="3"/>
  <c r="BK40" i="3"/>
  <c r="BK97" i="3"/>
  <c r="BK186" i="3"/>
  <c r="BK325" i="3"/>
  <c r="BK350" i="3"/>
  <c r="BK375" i="3"/>
  <c r="BK407" i="3"/>
  <c r="BK546" i="3"/>
  <c r="BK717" i="3"/>
  <c r="BK41" i="3"/>
  <c r="BK66" i="3"/>
  <c r="BK79" i="3"/>
  <c r="BK86" i="3"/>
  <c r="BK98" i="3"/>
  <c r="BK123" i="3"/>
  <c r="BK130" i="3"/>
  <c r="BK155" i="3"/>
  <c r="BK174" i="3"/>
  <c r="BK180" i="3"/>
  <c r="BK237" i="3"/>
  <c r="BK262" i="3"/>
  <c r="BK275" i="3"/>
  <c r="BK282" i="3"/>
  <c r="BK294" i="3"/>
  <c r="BK319" i="3"/>
  <c r="BK326" i="3"/>
  <c r="BK351" i="3"/>
  <c r="BK370" i="3"/>
  <c r="BK376" i="3"/>
  <c r="BK433" i="3"/>
  <c r="BK458" i="3"/>
  <c r="BK471" i="3"/>
  <c r="BK478" i="3"/>
  <c r="BK490" i="3"/>
  <c r="BK515" i="3"/>
  <c r="BK522" i="3"/>
  <c r="BK535" i="3"/>
  <c r="BK547" i="3"/>
  <c r="BK566" i="3"/>
  <c r="BK572" i="3"/>
  <c r="BK629" i="3"/>
  <c r="BK654" i="3"/>
  <c r="BK667" i="3"/>
  <c r="BK674" i="3"/>
  <c r="BK686" i="3"/>
  <c r="BK711" i="3"/>
  <c r="BK718" i="3"/>
  <c r="BK743" i="3"/>
  <c r="BK34" i="3"/>
  <c r="BK179" i="3"/>
  <c r="BK211" i="3"/>
  <c r="BK230" i="3"/>
  <c r="BK318" i="3"/>
  <c r="BK382" i="3"/>
  <c r="BK426" i="3"/>
  <c r="BK571" i="3"/>
  <c r="BK603" i="3"/>
  <c r="BK628" i="3"/>
  <c r="BK710" i="3"/>
  <c r="BQ641" i="3"/>
  <c r="BN8" i="3"/>
  <c r="BN43" i="3"/>
  <c r="BN50" i="3"/>
  <c r="BK10" i="3"/>
  <c r="BK42" i="3"/>
  <c r="BK67" i="3"/>
  <c r="BK74" i="3"/>
  <c r="BK99" i="3"/>
  <c r="BK118" i="3"/>
  <c r="BK124" i="3"/>
  <c r="BK181" i="3"/>
  <c r="BK206" i="3"/>
  <c r="BK213" i="3"/>
  <c r="BK238" i="3"/>
  <c r="BK263" i="3"/>
  <c r="BK270" i="3"/>
  <c r="BK295" i="3"/>
  <c r="BK314" i="3"/>
  <c r="BK320" i="3"/>
  <c r="BK377" i="3"/>
  <c r="BK402" i="3"/>
  <c r="BK434" i="3"/>
  <c r="BK459" i="3"/>
  <c r="BK466" i="3"/>
  <c r="BK491" i="3"/>
  <c r="BK510" i="3"/>
  <c r="BK516" i="3"/>
  <c r="BK573" i="3"/>
  <c r="BK598" i="3"/>
  <c r="BK630" i="3"/>
  <c r="BK655" i="3"/>
  <c r="BK662" i="3"/>
  <c r="BK687" i="3"/>
  <c r="BK706" i="3"/>
  <c r="BK712" i="3"/>
  <c r="BK744" i="3"/>
  <c r="BK55" i="3"/>
  <c r="BK80" i="3"/>
  <c r="BK87" i="3"/>
  <c r="BK93" i="3"/>
  <c r="BK100" i="3"/>
  <c r="BK112" i="3"/>
  <c r="BK137" i="3"/>
  <c r="BK144" i="3"/>
  <c r="BK169" i="3"/>
  <c r="BK188" i="3"/>
  <c r="BK194" i="3"/>
  <c r="BK251" i="3"/>
  <c r="BK276" i="3"/>
  <c r="BK289" i="3"/>
  <c r="BK296" i="3"/>
  <c r="BK308" i="3"/>
  <c r="BK333" i="3"/>
  <c r="BK340" i="3"/>
  <c r="BK365" i="3"/>
  <c r="BK384" i="3"/>
  <c r="BK390" i="3"/>
  <c r="BK447" i="3"/>
  <c r="BK472" i="3"/>
  <c r="BK485" i="3"/>
  <c r="BK492" i="3"/>
  <c r="BK504" i="3"/>
  <c r="BK529" i="3"/>
  <c r="BK536" i="3"/>
  <c r="BK549" i="3"/>
  <c r="BK561" i="3"/>
  <c r="BK580" i="3"/>
  <c r="BK586" i="3"/>
  <c r="BK643" i="3"/>
  <c r="BK668" i="3"/>
  <c r="BK675" i="3"/>
  <c r="BK700" i="3"/>
  <c r="BK725" i="3"/>
  <c r="BK732" i="3"/>
  <c r="BK122" i="3"/>
  <c r="BK154" i="3"/>
  <c r="BK236" i="3"/>
  <c r="BK293" i="3"/>
  <c r="BK432" i="3"/>
  <c r="BK489" i="3"/>
  <c r="BK514" i="3"/>
  <c r="BK578" i="3"/>
  <c r="BK622" i="3"/>
  <c r="BK685" i="3"/>
  <c r="BK31" i="3"/>
  <c r="BK163" i="3"/>
  <c r="BK170" i="3"/>
  <c r="BK359" i="3"/>
  <c r="BK366" i="3"/>
  <c r="BK423" i="3"/>
  <c r="BK555" i="3"/>
  <c r="BK562" i="3"/>
  <c r="BK619" i="3"/>
  <c r="BK650" i="3"/>
  <c r="BK656" i="3"/>
  <c r="BK713" i="3"/>
  <c r="BN120" i="3"/>
  <c r="BN127" i="3"/>
  <c r="BN134" i="3"/>
  <c r="BN176" i="3"/>
  <c r="BN204" i="3"/>
  <c r="BN274" i="3"/>
  <c r="BN302" i="3"/>
  <c r="BN575" i="3"/>
  <c r="BN582" i="3"/>
  <c r="BN596" i="3"/>
  <c r="BN631" i="3"/>
  <c r="BN638" i="3"/>
  <c r="BN652" i="3"/>
  <c r="BN51" i="3"/>
  <c r="BN107" i="3"/>
  <c r="BN128" i="3"/>
  <c r="BN142" i="3"/>
  <c r="BN156" i="3"/>
  <c r="BN177" i="3"/>
  <c r="BN198" i="3"/>
  <c r="BN730" i="3"/>
  <c r="BN744" i="3"/>
  <c r="BN140" i="3"/>
  <c r="BN147" i="3"/>
  <c r="BN154" i="3"/>
  <c r="BN161" i="3"/>
  <c r="BN238" i="3"/>
  <c r="BN245" i="3"/>
  <c r="BN308" i="3"/>
  <c r="BN336" i="3"/>
  <c r="BN343" i="3"/>
  <c r="BN378" i="3"/>
  <c r="BN385" i="3"/>
  <c r="BN392" i="3"/>
  <c r="BN399" i="3"/>
  <c r="BN406" i="3"/>
  <c r="BN413" i="3"/>
  <c r="BN476" i="3"/>
  <c r="BN483" i="3"/>
  <c r="BN490" i="3"/>
  <c r="BN185" i="3"/>
  <c r="BN605" i="3"/>
  <c r="BN619" i="3"/>
  <c r="BN633" i="3"/>
  <c r="BN18" i="3"/>
  <c r="BN32" i="3"/>
  <c r="BN221" i="3"/>
  <c r="BN333" i="3"/>
  <c r="BN417" i="3"/>
  <c r="BN431" i="3"/>
  <c r="BN445" i="3"/>
  <c r="BN515" i="3"/>
  <c r="BN739" i="3"/>
  <c r="BN54" i="3"/>
  <c r="BN172" i="3"/>
  <c r="BN298" i="3"/>
  <c r="BN312" i="3"/>
  <c r="BN480" i="3"/>
  <c r="BN494" i="3"/>
  <c r="BN138" i="3"/>
  <c r="BN145" i="3"/>
  <c r="BN222" i="3"/>
  <c r="BN229" i="3"/>
  <c r="BN236" i="3"/>
  <c r="BN243" i="3"/>
  <c r="BN306" i="3"/>
  <c r="BN313" i="3"/>
  <c r="BN334" i="3"/>
  <c r="BN341" i="3"/>
  <c r="BN362" i="3"/>
  <c r="BN376" i="3"/>
  <c r="BN383" i="3"/>
  <c r="BN404" i="3"/>
  <c r="BN411" i="3"/>
  <c r="BN418" i="3"/>
  <c r="BN425" i="3"/>
  <c r="BN432" i="3"/>
  <c r="BN439" i="3"/>
  <c r="BN42" i="3"/>
  <c r="BN49" i="3"/>
  <c r="BN56" i="3"/>
  <c r="BN111" i="3"/>
  <c r="BN118" i="3"/>
  <c r="BN125" i="3"/>
  <c r="BN132" i="3"/>
  <c r="BN153" i="3"/>
  <c r="BN160" i="3"/>
  <c r="BN209" i="3"/>
  <c r="BN216" i="3"/>
  <c r="BN265" i="3"/>
  <c r="BN272" i="3"/>
  <c r="BN629" i="3"/>
  <c r="BN636" i="3"/>
  <c r="BN657" i="3"/>
  <c r="BN664" i="3"/>
  <c r="BN699" i="3"/>
  <c r="BN706" i="3"/>
  <c r="BN36" i="3"/>
  <c r="BN497" i="3"/>
  <c r="BN85" i="3"/>
  <c r="BN92" i="3"/>
  <c r="BN99" i="3"/>
  <c r="BN260" i="3"/>
  <c r="BN568" i="3"/>
  <c r="BN666" i="3"/>
  <c r="BN673" i="3"/>
  <c r="BN3" i="3"/>
  <c r="BN163" i="3"/>
  <c r="BN219" i="3"/>
  <c r="BN247" i="3"/>
  <c r="BN261" i="3"/>
  <c r="BN331" i="3"/>
  <c r="BN345" i="3"/>
  <c r="BN359" i="3"/>
  <c r="BN415" i="3"/>
  <c r="BN457" i="3"/>
  <c r="BN485" i="3"/>
  <c r="BN513" i="3"/>
  <c r="BN527" i="3"/>
  <c r="BN541" i="3"/>
  <c r="BN569" i="3"/>
  <c r="BN583" i="3"/>
  <c r="BN597" i="3"/>
  <c r="BN611" i="3"/>
  <c r="BN653" i="3"/>
  <c r="BN681" i="3"/>
  <c r="BN709" i="3"/>
  <c r="BN304" i="3"/>
  <c r="BN360" i="3"/>
  <c r="BN458" i="3"/>
  <c r="BN465" i="3"/>
  <c r="BN79" i="3"/>
  <c r="BN100" i="3"/>
  <c r="BN693" i="3"/>
  <c r="BN218" i="3"/>
  <c r="BN307" i="3"/>
  <c r="BN314" i="3"/>
  <c r="BN349" i="3"/>
  <c r="BN363" i="3"/>
  <c r="BN370" i="3"/>
  <c r="BN391" i="3"/>
  <c r="BN398" i="3"/>
  <c r="BN670" i="3"/>
  <c r="BQ36" i="3"/>
  <c r="BQ169" i="3"/>
  <c r="BQ190" i="3"/>
  <c r="BQ337" i="3"/>
  <c r="BQ694" i="3"/>
  <c r="BN143" i="3"/>
  <c r="BN226" i="3"/>
  <c r="BN240" i="3"/>
  <c r="BN712" i="3"/>
  <c r="BN33" i="3"/>
  <c r="BN164" i="3"/>
  <c r="BN281" i="3"/>
  <c r="BN288" i="3"/>
  <c r="BN741" i="3"/>
  <c r="BN234" i="3"/>
  <c r="BN316" i="3"/>
  <c r="BN323" i="3"/>
  <c r="BN330" i="3"/>
  <c r="BN365" i="3"/>
  <c r="BN372" i="3"/>
  <c r="BN400" i="3"/>
  <c r="BN428" i="3"/>
  <c r="BN456" i="3"/>
  <c r="BN477" i="3"/>
  <c r="BN484" i="3"/>
  <c r="BN491" i="3"/>
  <c r="BN498" i="3"/>
  <c r="BN540" i="3"/>
  <c r="BN574" i="3"/>
  <c r="BN581" i="3"/>
  <c r="BN588" i="3"/>
  <c r="BN644" i="3"/>
  <c r="BN651" i="3"/>
  <c r="BN686" i="3"/>
  <c r="BN13" i="3"/>
  <c r="BN20" i="3"/>
  <c r="BN27" i="3"/>
  <c r="BN34" i="3"/>
  <c r="BN68" i="3"/>
  <c r="BN75" i="3"/>
  <c r="BN110" i="3"/>
  <c r="BN179" i="3"/>
  <c r="BN193" i="3"/>
  <c r="BN248" i="3"/>
  <c r="BN289" i="3"/>
  <c r="BN303" i="3"/>
  <c r="BN317" i="3"/>
  <c r="BN373" i="3"/>
  <c r="BN394" i="3"/>
  <c r="BN436" i="3"/>
  <c r="BN443" i="3"/>
  <c r="BN471" i="3"/>
  <c r="BN506" i="3"/>
  <c r="BN554" i="3"/>
  <c r="BN561" i="3"/>
  <c r="BN624" i="3"/>
  <c r="BN714" i="3"/>
  <c r="BN728" i="3"/>
  <c r="BN680" i="3"/>
  <c r="BN14" i="3"/>
  <c r="BN21" i="3"/>
  <c r="BN69" i="3"/>
  <c r="BN166" i="3"/>
  <c r="BN173" i="3"/>
  <c r="BN249" i="3"/>
  <c r="BN290" i="3"/>
  <c r="BN325" i="3"/>
  <c r="BN381" i="3"/>
  <c r="BN555" i="3"/>
  <c r="BN632" i="3"/>
  <c r="BN646" i="3"/>
  <c r="BN674" i="3"/>
  <c r="BN702" i="3"/>
  <c r="BN722" i="3"/>
  <c r="BN736" i="3"/>
  <c r="BN22" i="3"/>
  <c r="BN29" i="3"/>
  <c r="BN98" i="3"/>
  <c r="BN105" i="3"/>
  <c r="BN195" i="3"/>
  <c r="BN202" i="3"/>
  <c r="BN410" i="3"/>
  <c r="BN542" i="3"/>
  <c r="BN549" i="3"/>
  <c r="BN737" i="3"/>
  <c r="BN9" i="3"/>
  <c r="BN30" i="3"/>
  <c r="BN78" i="3"/>
  <c r="BN529" i="3"/>
  <c r="BN550" i="3"/>
  <c r="BN564" i="3"/>
  <c r="BN668" i="3"/>
  <c r="BN675" i="3"/>
  <c r="BN162" i="3"/>
  <c r="BN578" i="3"/>
  <c r="BN592" i="3"/>
  <c r="BN648" i="3"/>
  <c r="BN676" i="3"/>
  <c r="BN704" i="3"/>
  <c r="BN745" i="3"/>
  <c r="BQ299" i="3"/>
  <c r="BQ537" i="3"/>
  <c r="BQ719" i="3"/>
  <c r="BN2" i="3"/>
  <c r="BN64" i="3"/>
  <c r="BN275" i="3"/>
  <c r="BN296" i="3"/>
  <c r="BN466" i="3"/>
  <c r="BN507" i="3"/>
  <c r="BN521" i="3"/>
  <c r="BN23" i="3"/>
  <c r="BN44" i="3"/>
  <c r="BN58" i="3"/>
  <c r="BN112" i="3"/>
  <c r="BN119" i="3"/>
  <c r="BN208" i="3"/>
  <c r="BN215" i="3"/>
  <c r="BN235" i="3"/>
  <c r="BN262" i="3"/>
  <c r="BN283" i="3"/>
  <c r="BN358" i="3"/>
  <c r="BN405" i="3"/>
  <c r="BN412" i="3"/>
  <c r="BN419" i="3"/>
  <c r="BN426" i="3"/>
  <c r="BN508" i="3"/>
  <c r="BN528" i="3"/>
  <c r="BN576" i="3"/>
  <c r="BN590" i="3"/>
  <c r="BN610" i="3"/>
  <c r="BN720" i="3"/>
  <c r="BN733" i="3"/>
  <c r="BN270" i="3"/>
  <c r="BN338" i="3"/>
  <c r="BN604" i="3"/>
  <c r="BN618" i="3"/>
  <c r="BN734" i="3"/>
  <c r="BN52" i="3"/>
  <c r="BN93" i="3"/>
  <c r="BN182" i="3"/>
  <c r="BN196" i="3"/>
  <c r="BN230" i="3"/>
  <c r="BN277" i="3"/>
  <c r="BN379" i="3"/>
  <c r="BN393" i="3"/>
  <c r="BN434" i="3"/>
  <c r="BN502" i="3"/>
  <c r="BN516" i="3"/>
  <c r="BN523" i="3"/>
  <c r="BN639" i="3"/>
  <c r="BN694" i="3"/>
  <c r="BN701" i="3"/>
  <c r="BN708" i="3"/>
  <c r="BQ434" i="3"/>
  <c r="BQ728" i="3"/>
  <c r="BN59" i="3"/>
  <c r="BN189" i="3"/>
  <c r="BN203" i="3"/>
  <c r="BN223" i="3"/>
  <c r="BN386" i="3"/>
  <c r="BN509" i="3"/>
  <c r="BN66" i="3"/>
  <c r="BN73" i="3"/>
  <c r="BN121" i="3"/>
  <c r="BN210" i="3"/>
  <c r="BN217" i="3"/>
  <c r="BN264" i="3"/>
  <c r="BN271" i="3"/>
  <c r="BN332" i="3"/>
  <c r="BN414" i="3"/>
  <c r="BN421" i="3"/>
  <c r="BN489" i="3"/>
  <c r="BN496" i="3"/>
  <c r="BN667" i="3"/>
  <c r="BN735" i="3"/>
  <c r="BN39" i="3"/>
  <c r="BN53" i="3"/>
  <c r="BN74" i="3"/>
  <c r="BN94" i="3"/>
  <c r="BN101" i="3"/>
  <c r="BN149" i="3"/>
  <c r="BN183" i="3"/>
  <c r="BN190" i="3"/>
  <c r="BN197" i="3"/>
  <c r="BN251" i="3"/>
  <c r="BN258" i="3"/>
  <c r="BN319" i="3"/>
  <c r="BN346" i="3"/>
  <c r="BN387" i="3"/>
  <c r="BN401" i="3"/>
  <c r="BN422" i="3"/>
  <c r="BN503" i="3"/>
  <c r="BN510" i="3"/>
  <c r="BN517" i="3"/>
  <c r="BN524" i="3"/>
  <c r="BN606" i="3"/>
  <c r="BN620" i="3"/>
  <c r="BN640" i="3"/>
  <c r="BN661" i="3"/>
  <c r="BN695" i="3"/>
  <c r="BN716" i="3"/>
  <c r="BN742" i="3"/>
  <c r="BN47" i="3"/>
  <c r="BN81" i="3"/>
  <c r="BN95" i="3"/>
  <c r="BN116" i="3"/>
  <c r="BN130" i="3"/>
  <c r="BN150" i="3"/>
  <c r="BN191" i="3"/>
  <c r="BN205" i="3"/>
  <c r="BN225" i="3"/>
  <c r="BN293" i="3"/>
  <c r="BN300" i="3"/>
  <c r="BN320" i="3"/>
  <c r="BN327" i="3"/>
  <c r="BN347" i="3"/>
  <c r="BN368" i="3"/>
  <c r="BN388" i="3"/>
  <c r="BN409" i="3"/>
  <c r="BN423" i="3"/>
  <c r="BN429" i="3"/>
  <c r="BN463" i="3"/>
  <c r="BN504" i="3"/>
  <c r="BN511" i="3"/>
  <c r="BN627" i="3"/>
  <c r="BN696" i="3"/>
  <c r="BN703" i="3"/>
  <c r="BN723" i="3"/>
  <c r="BN743" i="3"/>
  <c r="BN655" i="3"/>
  <c r="BN7" i="3"/>
  <c r="BN55" i="3"/>
  <c r="BN62" i="3"/>
  <c r="BN137" i="3"/>
  <c r="BN151" i="3"/>
  <c r="BN192" i="3"/>
  <c r="BN199" i="3"/>
  <c r="BN280" i="3"/>
  <c r="BN287" i="3"/>
  <c r="BN294" i="3"/>
  <c r="BN301" i="3"/>
  <c r="BN321" i="3"/>
  <c r="BN328" i="3"/>
  <c r="BN375" i="3"/>
  <c r="BN389" i="3"/>
  <c r="BN430" i="3"/>
  <c r="BN492" i="3"/>
  <c r="BN512" i="3"/>
  <c r="BN587" i="3"/>
  <c r="BN642" i="3"/>
  <c r="BN649" i="3"/>
  <c r="BN683" i="3"/>
  <c r="BN724" i="3"/>
  <c r="BN76" i="3"/>
  <c r="BN131" i="3"/>
  <c r="BN206" i="3"/>
  <c r="BN233" i="3"/>
  <c r="BN267" i="3"/>
  <c r="BN315" i="3"/>
  <c r="BN369" i="3"/>
  <c r="BN444" i="3"/>
  <c r="BN451" i="3"/>
  <c r="BN520" i="3"/>
  <c r="BN677" i="3"/>
  <c r="BN731" i="3"/>
  <c r="BQ648" i="3"/>
  <c r="BN63" i="3"/>
  <c r="BN214" i="3"/>
  <c r="BN295" i="3"/>
  <c r="BN356" i="3"/>
  <c r="BN479" i="3"/>
  <c r="BN493" i="3"/>
  <c r="BN499" i="3"/>
  <c r="BN534" i="3"/>
  <c r="BN732" i="3"/>
  <c r="BN180" i="3"/>
  <c r="BN187" i="3"/>
  <c r="BN350" i="3"/>
  <c r="BN357" i="3"/>
  <c r="BN4" i="3"/>
  <c r="BN10" i="3"/>
  <c r="BN17" i="3"/>
  <c r="BN37" i="3"/>
  <c r="BN167" i="3"/>
  <c r="BN174" i="3"/>
  <c r="BN324" i="3"/>
  <c r="BN337" i="3"/>
  <c r="BN344" i="3"/>
  <c r="BN311" i="3"/>
  <c r="BQ288" i="3"/>
  <c r="BN148" i="3"/>
  <c r="BN141" i="3"/>
  <c r="BN291" i="3"/>
  <c r="BN102" i="3"/>
  <c r="BN108" i="3"/>
  <c r="BN115" i="3"/>
  <c r="BN135" i="3"/>
  <c r="BN278" i="3"/>
  <c r="BN285" i="3"/>
  <c r="BN442" i="3"/>
  <c r="BN252" i="3"/>
  <c r="BN259" i="3"/>
  <c r="BN82" i="3"/>
  <c r="BN89" i="3"/>
  <c r="BN239" i="3"/>
  <c r="BN246" i="3"/>
  <c r="BN396" i="3"/>
  <c r="BN200" i="3"/>
  <c r="BN213" i="3"/>
  <c r="BN448" i="3"/>
  <c r="BN585" i="3"/>
  <c r="BN697" i="3"/>
  <c r="BN474" i="3"/>
  <c r="BN691" i="3"/>
  <c r="BQ306" i="3"/>
  <c r="BQ313" i="3"/>
  <c r="BQ320" i="3"/>
  <c r="BQ327" i="3"/>
  <c r="BQ411" i="3"/>
  <c r="BQ425" i="3"/>
  <c r="BQ439" i="3"/>
  <c r="BQ453" i="3"/>
  <c r="BQ481" i="3"/>
  <c r="BQ579" i="3"/>
  <c r="BN15" i="3"/>
  <c r="BN28" i="3"/>
  <c r="BN35" i="3"/>
  <c r="BN41" i="3"/>
  <c r="BN48" i="3"/>
  <c r="BN61" i="3"/>
  <c r="BN67" i="3"/>
  <c r="BN80" i="3"/>
  <c r="BN87" i="3"/>
  <c r="BN113" i="3"/>
  <c r="BN126" i="3"/>
  <c r="BN133" i="3"/>
  <c r="BN139" i="3"/>
  <c r="BN146" i="3"/>
  <c r="BN152" i="3"/>
  <c r="BN159" i="3"/>
  <c r="BN165" i="3"/>
  <c r="BN178" i="3"/>
  <c r="BN211" i="3"/>
  <c r="BN224" i="3"/>
  <c r="BN231" i="3"/>
  <c r="BN237" i="3"/>
  <c r="BN244" i="3"/>
  <c r="BN250" i="3"/>
  <c r="BN257" i="3"/>
  <c r="BN263" i="3"/>
  <c r="BN276" i="3"/>
  <c r="BN309" i="3"/>
  <c r="BN322" i="3"/>
  <c r="BN329" i="3"/>
  <c r="BN335" i="3"/>
  <c r="BN342" i="3"/>
  <c r="BN348" i="3"/>
  <c r="BN355" i="3"/>
  <c r="BN361" i="3"/>
  <c r="BN374" i="3"/>
  <c r="BN407" i="3"/>
  <c r="BN420" i="3"/>
  <c r="BN427" i="3"/>
  <c r="BN433" i="3"/>
  <c r="BN440" i="3"/>
  <c r="BN446" i="3"/>
  <c r="BN453" i="3"/>
  <c r="BN459" i="3"/>
  <c r="BN472" i="3"/>
  <c r="BN505" i="3"/>
  <c r="BN518" i="3"/>
  <c r="BN525" i="3"/>
  <c r="BN531" i="3"/>
  <c r="BN538" i="3"/>
  <c r="BN544" i="3"/>
  <c r="BN551" i="3"/>
  <c r="BN557" i="3"/>
  <c r="BN570" i="3"/>
  <c r="BN577" i="3"/>
  <c r="BN603" i="3"/>
  <c r="BN616" i="3"/>
  <c r="BN623" i="3"/>
  <c r="BN721" i="3"/>
  <c r="BN727" i="3"/>
  <c r="BN546" i="3"/>
  <c r="BN625" i="3"/>
  <c r="BN678" i="3"/>
  <c r="BQ83" i="3"/>
  <c r="BQ111" i="3"/>
  <c r="BQ195" i="3"/>
  <c r="BQ223" i="3"/>
  <c r="BN16" i="3"/>
  <c r="BN88" i="3"/>
  <c r="BN114" i="3"/>
  <c r="BN186" i="3"/>
  <c r="BN212" i="3"/>
  <c r="BN284" i="3"/>
  <c r="BN297" i="3"/>
  <c r="BN310" i="3"/>
  <c r="BN382" i="3"/>
  <c r="BN395" i="3"/>
  <c r="BN408" i="3"/>
  <c r="BN630" i="3"/>
  <c r="BN637" i="3"/>
  <c r="BN643" i="3"/>
  <c r="BN650" i="3"/>
  <c r="BN656" i="3"/>
  <c r="BN663" i="3"/>
  <c r="BN669" i="3"/>
  <c r="BN682" i="3"/>
  <c r="BN689" i="3"/>
  <c r="BN740" i="3"/>
  <c r="BN435" i="3"/>
  <c r="BN572" i="3"/>
  <c r="BN684" i="3"/>
  <c r="BN441" i="3"/>
  <c r="BN447" i="3"/>
  <c r="BN454" i="3"/>
  <c r="BN460" i="3"/>
  <c r="BN467" i="3"/>
  <c r="BN473" i="3"/>
  <c r="BN486" i="3"/>
  <c r="BN519" i="3"/>
  <c r="BN532" i="3"/>
  <c r="BN539" i="3"/>
  <c r="BN545" i="3"/>
  <c r="BN552" i="3"/>
  <c r="BN558" i="3"/>
  <c r="BN565" i="3"/>
  <c r="BN571" i="3"/>
  <c r="BN584" i="3"/>
  <c r="BN591" i="3"/>
  <c r="BN617" i="3"/>
  <c r="BN690" i="3"/>
  <c r="BN715" i="3"/>
  <c r="BN455" i="3"/>
  <c r="BN566" i="3"/>
  <c r="BN658" i="3"/>
  <c r="BQ344" i="3"/>
  <c r="BQ358" i="3"/>
  <c r="BQ372" i="3"/>
  <c r="BQ386" i="3"/>
  <c r="BQ400" i="3"/>
  <c r="BQ407" i="3"/>
  <c r="BQ414" i="3"/>
  <c r="BQ477" i="3"/>
  <c r="BQ484" i="3"/>
  <c r="BQ736" i="3"/>
  <c r="BN5" i="3"/>
  <c r="BN11" i="3"/>
  <c r="BN24" i="3"/>
  <c r="BN31" i="3"/>
  <c r="BN57" i="3"/>
  <c r="BN70" i="3"/>
  <c r="BN77" i="3"/>
  <c r="BN83" i="3"/>
  <c r="BN90" i="3"/>
  <c r="BN103" i="3"/>
  <c r="BN109" i="3"/>
  <c r="BN122" i="3"/>
  <c r="BN129" i="3"/>
  <c r="BN155" i="3"/>
  <c r="BN168" i="3"/>
  <c r="BN175" i="3"/>
  <c r="BN181" i="3"/>
  <c r="BN188" i="3"/>
  <c r="BN194" i="3"/>
  <c r="BN201" i="3"/>
  <c r="BN207" i="3"/>
  <c r="BN220" i="3"/>
  <c r="BN227" i="3"/>
  <c r="BN253" i="3"/>
  <c r="BN266" i="3"/>
  <c r="BN273" i="3"/>
  <c r="BN279" i="3"/>
  <c r="BN286" i="3"/>
  <c r="BN292" i="3"/>
  <c r="BN299" i="3"/>
  <c r="BN305" i="3"/>
  <c r="BN318" i="3"/>
  <c r="BN351" i="3"/>
  <c r="BN364" i="3"/>
  <c r="BN371" i="3"/>
  <c r="BN377" i="3"/>
  <c r="BN384" i="3"/>
  <c r="BN390" i="3"/>
  <c r="BN397" i="3"/>
  <c r="BN403" i="3"/>
  <c r="BN416" i="3"/>
  <c r="BN449" i="3"/>
  <c r="BN462" i="3"/>
  <c r="BN469" i="3"/>
  <c r="BN475" i="3"/>
  <c r="BN482" i="3"/>
  <c r="BN488" i="3"/>
  <c r="BN495" i="3"/>
  <c r="BN501" i="3"/>
  <c r="BN514" i="3"/>
  <c r="BN547" i="3"/>
  <c r="BN560" i="3"/>
  <c r="BN567" i="3"/>
  <c r="BN573" i="3"/>
  <c r="BN580" i="3"/>
  <c r="BN586" i="3"/>
  <c r="BN593" i="3"/>
  <c r="BN599" i="3"/>
  <c r="BN612" i="3"/>
  <c r="BN717" i="3"/>
  <c r="BN402" i="3"/>
  <c r="BN468" i="3"/>
  <c r="BN228" i="3"/>
  <c r="BN241" i="3"/>
  <c r="BN254" i="3"/>
  <c r="BN326" i="3"/>
  <c r="BN339" i="3"/>
  <c r="BN352" i="3"/>
  <c r="BN424" i="3"/>
  <c r="BN437" i="3"/>
  <c r="BN450" i="3"/>
  <c r="BN522" i="3"/>
  <c r="BN535" i="3"/>
  <c r="BN548" i="3"/>
  <c r="BN626" i="3"/>
  <c r="BN659" i="3"/>
  <c r="BN672" i="3"/>
  <c r="BN679" i="3"/>
  <c r="BN685" i="3"/>
  <c r="BN692" i="3"/>
  <c r="BN698" i="3"/>
  <c r="BN705" i="3"/>
  <c r="BN711" i="3"/>
  <c r="BN718" i="3"/>
  <c r="BN500" i="3"/>
  <c r="BN553" i="3"/>
  <c r="BN665" i="3"/>
  <c r="BQ31" i="3"/>
  <c r="BQ45" i="3"/>
  <c r="BQ59" i="3"/>
  <c r="BQ157" i="3"/>
  <c r="BQ171" i="3"/>
  <c r="BQ185" i="3"/>
  <c r="BQ269" i="3"/>
  <c r="BQ283" i="3"/>
  <c r="BQ688" i="3"/>
  <c r="BQ695" i="3"/>
  <c r="BN6" i="3"/>
  <c r="BN12" i="3"/>
  <c r="BN19" i="3"/>
  <c r="BN25" i="3"/>
  <c r="BN38" i="3"/>
  <c r="BN45" i="3"/>
  <c r="BN71" i="3"/>
  <c r="BN84" i="3"/>
  <c r="BN91" i="3"/>
  <c r="BN97" i="3"/>
  <c r="BN104" i="3"/>
  <c r="BN117" i="3"/>
  <c r="BN123" i="3"/>
  <c r="BN136" i="3"/>
  <c r="BN169" i="3"/>
  <c r="BN594" i="3"/>
  <c r="BN600" i="3"/>
  <c r="BN607" i="3"/>
  <c r="BN613" i="3"/>
  <c r="BN634" i="3"/>
  <c r="BN647" i="3"/>
  <c r="BN660" i="3"/>
  <c r="BN533" i="3"/>
  <c r="BN598" i="3"/>
  <c r="BN645" i="3"/>
  <c r="BN729" i="3"/>
  <c r="BQ311" i="3"/>
  <c r="BQ353" i="3"/>
  <c r="BQ367" i="3"/>
  <c r="BQ381" i="3"/>
  <c r="BQ395" i="3"/>
  <c r="BQ409" i="3"/>
  <c r="BQ479" i="3"/>
  <c r="BQ507" i="3"/>
  <c r="BQ535" i="3"/>
  <c r="BQ591" i="3"/>
  <c r="BQ605" i="3"/>
  <c r="BQ619" i="3"/>
  <c r="BQ633" i="3"/>
  <c r="BQ703" i="3"/>
  <c r="BQ717" i="3"/>
  <c r="BQ724" i="3"/>
  <c r="BN26" i="3"/>
  <c r="BN46" i="3"/>
  <c r="BN72" i="3"/>
  <c r="BN124" i="3"/>
  <c r="BN144" i="3"/>
  <c r="BN157" i="3"/>
  <c r="BN170" i="3"/>
  <c r="BN242" i="3"/>
  <c r="BN255" i="3"/>
  <c r="BN268" i="3"/>
  <c r="BN340" i="3"/>
  <c r="BN353" i="3"/>
  <c r="BN366" i="3"/>
  <c r="BN438" i="3"/>
  <c r="BN464" i="3"/>
  <c r="BN536" i="3"/>
  <c r="BN562" i="3"/>
  <c r="BN487" i="3"/>
  <c r="BN579" i="3"/>
  <c r="BN671" i="3"/>
  <c r="BN595" i="3"/>
  <c r="BN601" i="3"/>
  <c r="BN608" i="3"/>
  <c r="BN614" i="3"/>
  <c r="BN621" i="3"/>
  <c r="BN719" i="3"/>
  <c r="BN725" i="3"/>
  <c r="BN461" i="3"/>
  <c r="BN710" i="3"/>
  <c r="BN40" i="3"/>
  <c r="BN60" i="3"/>
  <c r="BN86" i="3"/>
  <c r="BN158" i="3"/>
  <c r="BN171" i="3"/>
  <c r="BN184" i="3"/>
  <c r="BN256" i="3"/>
  <c r="BN269" i="3"/>
  <c r="BN282" i="3"/>
  <c r="BN354" i="3"/>
  <c r="BN367" i="3"/>
  <c r="BN380" i="3"/>
  <c r="BN452" i="3"/>
  <c r="BN478" i="3"/>
  <c r="BN628" i="3"/>
  <c r="BN635" i="3"/>
  <c r="BN641" i="3"/>
  <c r="BN654" i="3"/>
  <c r="BN687" i="3"/>
  <c r="BN700" i="3"/>
  <c r="BN707" i="3"/>
  <c r="BN713" i="3"/>
  <c r="BN738" i="3"/>
  <c r="BN481" i="3"/>
  <c r="BN559" i="3"/>
  <c r="BQ187" i="3"/>
  <c r="BN530" i="3"/>
  <c r="BN537" i="3"/>
  <c r="BN543" i="3"/>
  <c r="BN556" i="3"/>
  <c r="BN563" i="3"/>
  <c r="BN589" i="3"/>
  <c r="BN602" i="3"/>
  <c r="BN609" i="3"/>
  <c r="BN615" i="3"/>
  <c r="BN622" i="3"/>
  <c r="BN662" i="3"/>
  <c r="BN688" i="3"/>
  <c r="BN726" i="3"/>
  <c r="BQ224" i="3"/>
  <c r="BQ238" i="3"/>
  <c r="BQ495" i="3"/>
  <c r="BQ523" i="3"/>
  <c r="BQ551" i="3"/>
  <c r="BQ565" i="3"/>
  <c r="BQ349" i="3"/>
  <c r="BQ363" i="3"/>
  <c r="BQ384" i="3"/>
  <c r="BQ593" i="3"/>
  <c r="BQ607" i="3"/>
  <c r="BQ635" i="3"/>
  <c r="BQ663" i="3"/>
  <c r="BQ22" i="3"/>
  <c r="BQ78" i="3"/>
  <c r="BQ92" i="3"/>
  <c r="BQ106" i="3"/>
  <c r="BQ113" i="3"/>
  <c r="BQ148" i="3"/>
  <c r="BQ204" i="3"/>
  <c r="BQ211" i="3"/>
  <c r="BQ218" i="3"/>
  <c r="BQ232" i="3"/>
  <c r="BQ239" i="3"/>
  <c r="BQ246" i="3"/>
  <c r="BQ260" i="3"/>
  <c r="BQ274" i="3"/>
  <c r="BQ531" i="3"/>
  <c r="BQ559" i="3"/>
  <c r="BQ566" i="3"/>
  <c r="BQ30" i="3"/>
  <c r="BQ184" i="3"/>
  <c r="BQ330" i="3"/>
  <c r="BQ470" i="3"/>
  <c r="BQ511" i="3"/>
  <c r="BQ525" i="3"/>
  <c r="BQ80" i="3"/>
  <c r="BQ94" i="3"/>
  <c r="BQ108" i="3"/>
  <c r="BQ115" i="3"/>
  <c r="BQ122" i="3"/>
  <c r="BQ136" i="3"/>
  <c r="BQ150" i="3"/>
  <c r="BQ248" i="3"/>
  <c r="BQ331" i="3"/>
  <c r="BQ498" i="3"/>
  <c r="BQ533" i="3"/>
  <c r="BQ540" i="3"/>
  <c r="BQ554" i="3"/>
  <c r="BQ568" i="3"/>
  <c r="BQ290" i="3"/>
  <c r="BQ457" i="3"/>
  <c r="BQ464" i="3"/>
  <c r="BQ471" i="3"/>
  <c r="BQ478" i="3"/>
  <c r="BQ610" i="3"/>
  <c r="BQ631" i="3"/>
  <c r="BQ638" i="3"/>
  <c r="BQ652" i="3"/>
  <c r="BQ680" i="3"/>
  <c r="BQ67" i="3"/>
  <c r="BQ88" i="3"/>
  <c r="BQ332" i="3"/>
  <c r="BQ527" i="3"/>
  <c r="BQ743" i="3"/>
  <c r="BQ416" i="3"/>
  <c r="BQ430" i="3"/>
  <c r="BQ444" i="3"/>
  <c r="BQ451" i="3"/>
  <c r="BQ730" i="3"/>
  <c r="BQ5" i="3"/>
  <c r="BQ19" i="3"/>
  <c r="BQ33" i="3"/>
  <c r="BQ75" i="3"/>
  <c r="BQ117" i="3"/>
  <c r="BQ201" i="3"/>
  <c r="BQ229" i="3"/>
  <c r="BQ236" i="3"/>
  <c r="BQ243" i="3"/>
  <c r="BQ250" i="3"/>
  <c r="BQ257" i="3"/>
  <c r="BQ271" i="3"/>
  <c r="BQ486" i="3"/>
  <c r="BQ375" i="3"/>
  <c r="BQ612" i="3"/>
  <c r="BQ626" i="3"/>
  <c r="BQ682" i="3"/>
  <c r="BQ529" i="3"/>
  <c r="BQ8" i="3"/>
  <c r="BQ132" i="3"/>
  <c r="BQ146" i="3"/>
  <c r="BQ152" i="3"/>
  <c r="BQ159" i="3"/>
  <c r="BQ173" i="3"/>
  <c r="BQ180" i="3"/>
  <c r="BQ221" i="3"/>
  <c r="BQ282" i="3"/>
  <c r="BQ302" i="3"/>
  <c r="BQ316" i="3"/>
  <c r="BQ323" i="3"/>
  <c r="BQ467" i="3"/>
  <c r="BQ500" i="3"/>
  <c r="BQ514" i="3"/>
  <c r="BQ582" i="3"/>
  <c r="BQ596" i="3"/>
  <c r="BQ623" i="3"/>
  <c r="BQ678" i="3"/>
  <c r="BQ684" i="3"/>
  <c r="BQ691" i="3"/>
  <c r="BQ705" i="3"/>
  <c r="BQ712" i="3"/>
  <c r="BQ77" i="3"/>
  <c r="BQ105" i="3"/>
  <c r="BQ242" i="3"/>
  <c r="BQ350" i="3"/>
  <c r="BQ371" i="3"/>
  <c r="BQ392" i="3"/>
  <c r="BQ528" i="3"/>
  <c r="BQ630" i="3"/>
  <c r="BQ637" i="3"/>
  <c r="BQ726" i="3"/>
  <c r="BQ733" i="3"/>
  <c r="BQ16" i="3"/>
  <c r="BQ43" i="3"/>
  <c r="BQ50" i="3"/>
  <c r="BQ64" i="3"/>
  <c r="BQ99" i="3"/>
  <c r="BQ140" i="3"/>
  <c r="BQ153" i="3"/>
  <c r="BQ167" i="3"/>
  <c r="BQ181" i="3"/>
  <c r="BQ215" i="3"/>
  <c r="BQ276" i="3"/>
  <c r="BQ324" i="3"/>
  <c r="BQ393" i="3"/>
  <c r="BQ468" i="3"/>
  <c r="BQ522" i="3"/>
  <c r="BQ549" i="3"/>
  <c r="BQ563" i="3"/>
  <c r="BQ577" i="3"/>
  <c r="BQ604" i="3"/>
  <c r="BQ617" i="3"/>
  <c r="BQ624" i="3"/>
  <c r="BQ665" i="3"/>
  <c r="BQ699" i="3"/>
  <c r="BQ706" i="3"/>
  <c r="BQ713" i="3"/>
  <c r="BQ10" i="3"/>
  <c r="BQ17" i="3"/>
  <c r="BQ120" i="3"/>
  <c r="BQ134" i="3"/>
  <c r="BQ141" i="3"/>
  <c r="BQ154" i="3"/>
  <c r="BQ168" i="3"/>
  <c r="BQ182" i="3"/>
  <c r="BQ209" i="3"/>
  <c r="BQ284" i="3"/>
  <c r="BQ304" i="3"/>
  <c r="BQ318" i="3"/>
  <c r="BQ455" i="3"/>
  <c r="BQ502" i="3"/>
  <c r="BQ509" i="3"/>
  <c r="BQ584" i="3"/>
  <c r="BQ598" i="3"/>
  <c r="BQ666" i="3"/>
  <c r="BQ693" i="3"/>
  <c r="BQ707" i="3"/>
  <c r="BQ714" i="3"/>
  <c r="BQ79" i="3"/>
  <c r="BQ52" i="3"/>
  <c r="BQ66" i="3"/>
  <c r="BQ87" i="3"/>
  <c r="BQ142" i="3"/>
  <c r="BQ155" i="3"/>
  <c r="BQ162" i="3"/>
  <c r="BQ176" i="3"/>
  <c r="BQ203" i="3"/>
  <c r="BQ217" i="3"/>
  <c r="BQ285" i="3"/>
  <c r="BQ456" i="3"/>
  <c r="BQ503" i="3"/>
  <c r="BQ517" i="3"/>
  <c r="BQ667" i="3"/>
  <c r="BQ674" i="3"/>
  <c r="BQ708" i="3"/>
  <c r="BQ715" i="3"/>
  <c r="BQ722" i="3"/>
  <c r="BQ129" i="3"/>
  <c r="BQ197" i="3"/>
  <c r="BQ388" i="3"/>
  <c r="BQ402" i="3"/>
  <c r="BQ497" i="3"/>
  <c r="BQ572" i="3"/>
  <c r="BQ654" i="3"/>
  <c r="BQ675" i="3"/>
  <c r="BQ729" i="3"/>
  <c r="BQ225" i="3"/>
  <c r="BQ491" i="3"/>
  <c r="BQ237" i="3"/>
  <c r="BQ421" i="3"/>
  <c r="BQ435" i="3"/>
  <c r="BQ13" i="3"/>
  <c r="BQ47" i="3"/>
  <c r="BQ61" i="3"/>
  <c r="BQ123" i="3"/>
  <c r="BQ205" i="3"/>
  <c r="BQ267" i="3"/>
  <c r="BQ287" i="3"/>
  <c r="BQ300" i="3"/>
  <c r="BQ314" i="3"/>
  <c r="BQ334" i="3"/>
  <c r="BQ458" i="3"/>
  <c r="BQ465" i="3"/>
  <c r="BQ512" i="3"/>
  <c r="BQ519" i="3"/>
  <c r="BQ587" i="3"/>
  <c r="BQ608" i="3"/>
  <c r="BQ614" i="3"/>
  <c r="BQ621" i="3"/>
  <c r="BQ649" i="3"/>
  <c r="BQ696" i="3"/>
  <c r="BQ710" i="3"/>
  <c r="BQ251" i="3"/>
  <c r="BQ408" i="3"/>
  <c r="BQ428" i="3"/>
  <c r="BQ442" i="3"/>
  <c r="BQ496" i="3"/>
  <c r="BQ89" i="3"/>
  <c r="BQ96" i="3"/>
  <c r="BQ103" i="3"/>
  <c r="BQ199" i="3"/>
  <c r="BQ254" i="3"/>
  <c r="BQ341" i="3"/>
  <c r="BQ355" i="3"/>
  <c r="BQ362" i="3"/>
  <c r="BQ369" i="3"/>
  <c r="BQ376" i="3"/>
  <c r="BQ383" i="3"/>
  <c r="BQ390" i="3"/>
  <c r="BQ397" i="3"/>
  <c r="BQ445" i="3"/>
  <c r="BQ452" i="3"/>
  <c r="BQ492" i="3"/>
  <c r="BQ526" i="3"/>
  <c r="BQ546" i="3"/>
  <c r="BQ553" i="3"/>
  <c r="BQ41" i="3"/>
  <c r="BQ55" i="3"/>
  <c r="BQ124" i="3"/>
  <c r="BQ131" i="3"/>
  <c r="BQ138" i="3"/>
  <c r="BQ145" i="3"/>
  <c r="BQ206" i="3"/>
  <c r="BQ227" i="3"/>
  <c r="BQ241" i="3"/>
  <c r="BQ261" i="3"/>
  <c r="BQ268" i="3"/>
  <c r="BQ322" i="3"/>
  <c r="BQ493" i="3"/>
  <c r="BQ581" i="3"/>
  <c r="BQ677" i="3"/>
  <c r="BQ718" i="3"/>
  <c r="BQ25" i="3"/>
  <c r="BQ44" i="3"/>
  <c r="BQ56" i="3"/>
  <c r="BQ170" i="3"/>
  <c r="BQ189" i="3"/>
  <c r="BQ226" i="3"/>
  <c r="BQ263" i="3"/>
  <c r="BQ308" i="3"/>
  <c r="BQ345" i="3"/>
  <c r="BQ378" i="3"/>
  <c r="BQ422" i="3"/>
  <c r="BQ447" i="3"/>
  <c r="BQ460" i="3"/>
  <c r="BQ473" i="3"/>
  <c r="BQ505" i="3"/>
  <c r="BQ562" i="3"/>
  <c r="BQ575" i="3"/>
  <c r="BQ600" i="3"/>
  <c r="BQ670" i="3"/>
  <c r="BQ702" i="3"/>
  <c r="BQ7" i="3"/>
  <c r="BQ63" i="3"/>
  <c r="BQ76" i="3"/>
  <c r="BQ82" i="3"/>
  <c r="BQ114" i="3"/>
  <c r="BQ133" i="3"/>
  <c r="BQ139" i="3"/>
  <c r="BQ183" i="3"/>
  <c r="BQ196" i="3"/>
  <c r="BQ208" i="3"/>
  <c r="BQ220" i="3"/>
  <c r="BQ245" i="3"/>
  <c r="BQ296" i="3"/>
  <c r="BQ315" i="3"/>
  <c r="BQ321" i="3"/>
  <c r="BQ333" i="3"/>
  <c r="BQ385" i="3"/>
  <c r="BQ391" i="3"/>
  <c r="BQ441" i="3"/>
  <c r="BQ499" i="3"/>
  <c r="BQ518" i="3"/>
  <c r="BQ530" i="3"/>
  <c r="BQ588" i="3"/>
  <c r="BQ651" i="3"/>
  <c r="BQ664" i="3"/>
  <c r="BQ721" i="3"/>
  <c r="BQ727" i="3"/>
  <c r="BQ38" i="3"/>
  <c r="BQ69" i="3"/>
  <c r="BQ126" i="3"/>
  <c r="BQ339" i="3"/>
  <c r="BQ352" i="3"/>
  <c r="BQ365" i="3"/>
  <c r="BQ542" i="3"/>
  <c r="BQ555" i="3"/>
  <c r="BQ594" i="3"/>
  <c r="BQ625" i="3"/>
  <c r="BQ644" i="3"/>
  <c r="BQ657" i="3"/>
  <c r="BQ739" i="3"/>
  <c r="BQ26" i="3"/>
  <c r="BQ57" i="3"/>
  <c r="BQ70" i="3"/>
  <c r="BQ127" i="3"/>
  <c r="BQ164" i="3"/>
  <c r="BQ177" i="3"/>
  <c r="BQ233" i="3"/>
  <c r="BQ264" i="3"/>
  <c r="BQ297" i="3"/>
  <c r="BQ309" i="3"/>
  <c r="BQ346" i="3"/>
  <c r="BQ359" i="3"/>
  <c r="BQ366" i="3"/>
  <c r="BQ379" i="3"/>
  <c r="BQ398" i="3"/>
  <c r="BQ404" i="3"/>
  <c r="BQ423" i="3"/>
  <c r="BQ429" i="3"/>
  <c r="BQ448" i="3"/>
  <c r="BQ461" i="3"/>
  <c r="BQ474" i="3"/>
  <c r="BQ506" i="3"/>
  <c r="BQ543" i="3"/>
  <c r="BQ550" i="3"/>
  <c r="BQ556" i="3"/>
  <c r="BQ569" i="3"/>
  <c r="BQ576" i="3"/>
  <c r="BQ589" i="3"/>
  <c r="BQ595" i="3"/>
  <c r="BQ601" i="3"/>
  <c r="BQ620" i="3"/>
  <c r="BQ632" i="3"/>
  <c r="BQ645" i="3"/>
  <c r="BQ658" i="3"/>
  <c r="BQ671" i="3"/>
  <c r="BQ709" i="3"/>
  <c r="BQ740" i="3"/>
  <c r="BQ2" i="3"/>
  <c r="BQ14" i="3"/>
  <c r="BQ27" i="3"/>
  <c r="BQ40" i="3"/>
  <c r="BQ46" i="3"/>
  <c r="BQ58" i="3"/>
  <c r="BQ71" i="3"/>
  <c r="BQ128" i="3"/>
  <c r="BQ165" i="3"/>
  <c r="BQ172" i="3"/>
  <c r="BQ178" i="3"/>
  <c r="BQ234" i="3"/>
  <c r="BQ240" i="3"/>
  <c r="BQ252" i="3"/>
  <c r="BQ265" i="3"/>
  <c r="BQ310" i="3"/>
  <c r="BQ347" i="3"/>
  <c r="BQ354" i="3"/>
  <c r="BQ360" i="3"/>
  <c r="BQ373" i="3"/>
  <c r="BQ380" i="3"/>
  <c r="BQ399" i="3"/>
  <c r="BQ405" i="3"/>
  <c r="BQ424" i="3"/>
  <c r="BQ436" i="3"/>
  <c r="BQ449" i="3"/>
  <c r="BQ462" i="3"/>
  <c r="BQ475" i="3"/>
  <c r="BQ513" i="3"/>
  <c r="BQ544" i="3"/>
  <c r="BQ557" i="3"/>
  <c r="BQ564" i="3"/>
  <c r="BQ570" i="3"/>
  <c r="BQ583" i="3"/>
  <c r="BQ602" i="3"/>
  <c r="BQ639" i="3"/>
  <c r="BQ646" i="3"/>
  <c r="BQ659" i="3"/>
  <c r="BQ672" i="3"/>
  <c r="BQ716" i="3"/>
  <c r="BQ741" i="3"/>
  <c r="BQ21" i="3"/>
  <c r="BQ34" i="3"/>
  <c r="BQ84" i="3"/>
  <c r="BQ97" i="3"/>
  <c r="BQ116" i="3"/>
  <c r="BQ147" i="3"/>
  <c r="BQ222" i="3"/>
  <c r="BQ259" i="3"/>
  <c r="BQ272" i="3"/>
  <c r="BQ278" i="3"/>
  <c r="BQ329" i="3"/>
  <c r="BQ335" i="3"/>
  <c r="BQ412" i="3"/>
  <c r="BQ418" i="3"/>
  <c r="BQ469" i="3"/>
  <c r="BQ482" i="3"/>
  <c r="BQ488" i="3"/>
  <c r="BQ532" i="3"/>
  <c r="BQ590" i="3"/>
  <c r="BQ609" i="3"/>
  <c r="BQ615" i="3"/>
  <c r="BQ627" i="3"/>
  <c r="BQ679" i="3"/>
  <c r="BQ685" i="3"/>
  <c r="BQ735" i="3"/>
  <c r="BQ3" i="3"/>
  <c r="BQ9" i="3"/>
  <c r="BQ15" i="3"/>
  <c r="BQ28" i="3"/>
  <c r="BQ65" i="3"/>
  <c r="BQ72" i="3"/>
  <c r="BQ91" i="3"/>
  <c r="BQ104" i="3"/>
  <c r="BQ110" i="3"/>
  <c r="BQ135" i="3"/>
  <c r="BQ166" i="3"/>
  <c r="BQ198" i="3"/>
  <c r="BQ210" i="3"/>
  <c r="BQ235" i="3"/>
  <c r="BQ247" i="3"/>
  <c r="BQ253" i="3"/>
  <c r="BQ266" i="3"/>
  <c r="BQ317" i="3"/>
  <c r="BQ348" i="3"/>
  <c r="BQ361" i="3"/>
  <c r="BQ368" i="3"/>
  <c r="BQ374" i="3"/>
  <c r="BQ387" i="3"/>
  <c r="BQ406" i="3"/>
  <c r="BQ437" i="3"/>
  <c r="BQ443" i="3"/>
  <c r="BQ450" i="3"/>
  <c r="BQ463" i="3"/>
  <c r="BQ476" i="3"/>
  <c r="BQ520" i="3"/>
  <c r="BQ545" i="3"/>
  <c r="BQ558" i="3"/>
  <c r="BQ571" i="3"/>
  <c r="BQ603" i="3"/>
  <c r="BQ640" i="3"/>
  <c r="BQ647" i="3"/>
  <c r="BQ653" i="3"/>
  <c r="BQ660" i="3"/>
  <c r="BQ673" i="3"/>
  <c r="BQ692" i="3"/>
  <c r="BQ698" i="3"/>
  <c r="BQ723" i="3"/>
  <c r="BQ742" i="3"/>
  <c r="BQ29" i="3"/>
  <c r="BQ35" i="3"/>
  <c r="BQ53" i="3"/>
  <c r="BQ73" i="3"/>
  <c r="BQ85" i="3"/>
  <c r="BQ98" i="3"/>
  <c r="BQ160" i="3"/>
  <c r="BQ186" i="3"/>
  <c r="BQ192" i="3"/>
  <c r="BQ273" i="3"/>
  <c r="BQ279" i="3"/>
  <c r="BQ292" i="3"/>
  <c r="BQ336" i="3"/>
  <c r="BQ394" i="3"/>
  <c r="BQ413" i="3"/>
  <c r="BQ419" i="3"/>
  <c r="BQ431" i="3"/>
  <c r="BQ483" i="3"/>
  <c r="BQ489" i="3"/>
  <c r="BQ521" i="3"/>
  <c r="BQ539" i="3"/>
  <c r="BQ597" i="3"/>
  <c r="BQ616" i="3"/>
  <c r="BQ628" i="3"/>
  <c r="BQ661" i="3"/>
  <c r="BQ686" i="3"/>
  <c r="BQ687" i="3"/>
  <c r="BQ42" i="3"/>
  <c r="BQ54" i="3"/>
  <c r="BQ86" i="3"/>
  <c r="BQ143" i="3"/>
  <c r="BQ161" i="3"/>
  <c r="BQ174" i="3"/>
  <c r="BQ193" i="3"/>
  <c r="BQ230" i="3"/>
  <c r="BQ255" i="3"/>
  <c r="BQ280" i="3"/>
  <c r="BQ293" i="3"/>
  <c r="BQ325" i="3"/>
  <c r="BQ343" i="3"/>
  <c r="BQ401" i="3"/>
  <c r="BQ420" i="3"/>
  <c r="BQ432" i="3"/>
  <c r="BQ490" i="3"/>
  <c r="BQ629" i="3"/>
  <c r="BQ534" i="3"/>
  <c r="BQ547" i="3"/>
  <c r="BQ560" i="3"/>
  <c r="BQ573" i="3"/>
  <c r="BQ611" i="3"/>
  <c r="BQ642" i="3"/>
  <c r="BQ655" i="3"/>
  <c r="BQ662" i="3"/>
  <c r="BQ668" i="3"/>
  <c r="BQ681" i="3"/>
  <c r="BQ700" i="3"/>
  <c r="BQ731" i="3"/>
  <c r="BQ744" i="3"/>
  <c r="BQ49" i="3"/>
  <c r="BQ100" i="3"/>
  <c r="BQ112" i="3"/>
  <c r="BQ175" i="3"/>
  <c r="BQ194" i="3"/>
  <c r="BQ212" i="3"/>
  <c r="BQ231" i="3"/>
  <c r="BQ249" i="3"/>
  <c r="BQ281" i="3"/>
  <c r="BQ294" i="3"/>
  <c r="BQ357" i="3"/>
  <c r="BQ370" i="3"/>
  <c r="BQ427" i="3"/>
  <c r="BQ433" i="3"/>
  <c r="BQ510" i="3"/>
  <c r="BQ516" i="3"/>
  <c r="BQ567" i="3"/>
  <c r="BQ580" i="3"/>
  <c r="BQ586" i="3"/>
  <c r="BQ725" i="3"/>
  <c r="BQ12" i="3"/>
  <c r="BQ24" i="3"/>
  <c r="BQ37" i="3"/>
  <c r="BQ68" i="3"/>
  <c r="BQ101" i="3"/>
  <c r="BQ119" i="3"/>
  <c r="BQ125" i="3"/>
  <c r="BQ144" i="3"/>
  <c r="BQ156" i="3"/>
  <c r="BQ213" i="3"/>
  <c r="BQ262" i="3"/>
  <c r="BQ275" i="3"/>
  <c r="BQ295" i="3"/>
  <c r="BQ301" i="3"/>
  <c r="BQ307" i="3"/>
  <c r="BQ326" i="3"/>
  <c r="BQ338" i="3"/>
  <c r="BQ351" i="3"/>
  <c r="BQ364" i="3"/>
  <c r="BQ377" i="3"/>
  <c r="BQ415" i="3"/>
  <c r="BQ446" i="3"/>
  <c r="BQ459" i="3"/>
  <c r="BQ466" i="3"/>
  <c r="BQ472" i="3"/>
  <c r="BQ485" i="3"/>
  <c r="BQ504" i="3"/>
  <c r="BQ541" i="3"/>
  <c r="BQ548" i="3"/>
  <c r="BQ561" i="3"/>
  <c r="BQ574" i="3"/>
  <c r="BQ618" i="3"/>
  <c r="BQ643" i="3"/>
  <c r="BQ656" i="3"/>
  <c r="BQ669" i="3"/>
  <c r="BQ689" i="3"/>
  <c r="BQ701" i="3"/>
  <c r="BQ738" i="3"/>
  <c r="BQ745" i="3"/>
  <c r="BQ20" i="3"/>
  <c r="BQ32" i="3"/>
  <c r="BQ109" i="3"/>
  <c r="BQ121" i="3"/>
  <c r="BQ216" i="3"/>
  <c r="BQ228" i="3"/>
  <c r="BQ305" i="3"/>
  <c r="BQ342" i="3"/>
  <c r="BQ403" i="3"/>
  <c r="BQ440" i="3"/>
  <c r="BQ501" i="3"/>
  <c r="BQ538" i="3"/>
  <c r="BQ599" i="3"/>
  <c r="BQ636" i="3"/>
  <c r="BQ697" i="3"/>
  <c r="BQ734" i="3"/>
  <c r="BQ62" i="3"/>
  <c r="BQ74" i="3"/>
  <c r="BQ151" i="3"/>
  <c r="BQ163" i="3"/>
  <c r="BQ258" i="3"/>
  <c r="BQ270" i="3"/>
  <c r="BQ312" i="3"/>
  <c r="BQ410" i="3"/>
  <c r="BQ508" i="3"/>
  <c r="BQ606" i="3"/>
  <c r="BQ704" i="3"/>
  <c r="BQ39" i="3"/>
  <c r="BQ51" i="3"/>
  <c r="BQ158" i="3"/>
  <c r="BQ4" i="3"/>
  <c r="BQ81" i="3"/>
  <c r="BQ93" i="3"/>
  <c r="BQ188" i="3"/>
  <c r="BQ200" i="3"/>
  <c r="BQ277" i="3"/>
  <c r="BQ289" i="3"/>
  <c r="BQ319" i="3"/>
  <c r="BQ356" i="3"/>
  <c r="BQ417" i="3"/>
  <c r="BQ454" i="3"/>
  <c r="BQ515" i="3"/>
  <c r="BQ552" i="3"/>
  <c r="BQ613" i="3"/>
  <c r="BQ650" i="3"/>
  <c r="BQ711" i="3"/>
  <c r="BQ11" i="3"/>
  <c r="BQ23" i="3"/>
  <c r="BQ118" i="3"/>
  <c r="BQ130" i="3"/>
  <c r="BQ207" i="3"/>
  <c r="BQ219" i="3"/>
  <c r="BQ382" i="3"/>
  <c r="BQ480" i="3"/>
  <c r="BQ578" i="3"/>
  <c r="BQ676" i="3"/>
  <c r="BQ737" i="3"/>
  <c r="BQ6" i="3"/>
  <c r="BQ18" i="3"/>
  <c r="BQ95" i="3"/>
  <c r="BQ107" i="3"/>
  <c r="BQ202" i="3"/>
  <c r="BQ214" i="3"/>
  <c r="BQ291" i="3"/>
  <c r="BQ303" i="3"/>
  <c r="BQ340" i="3"/>
  <c r="BQ438" i="3"/>
  <c r="BQ536" i="3"/>
  <c r="BQ634" i="3"/>
  <c r="BQ732" i="3"/>
  <c r="BQ48" i="3"/>
  <c r="BQ60" i="3"/>
  <c r="BQ137" i="3"/>
  <c r="BQ149" i="3"/>
  <c r="BQ244" i="3"/>
  <c r="BQ256" i="3"/>
  <c r="BQ328" i="3"/>
  <c r="BQ389" i="3"/>
  <c r="BQ426" i="3"/>
  <c r="BQ487" i="3"/>
  <c r="BQ524" i="3"/>
  <c r="BQ585" i="3"/>
  <c r="BQ622" i="3"/>
  <c r="BQ683" i="3"/>
  <c r="BQ720" i="3"/>
  <c r="BQ90" i="3"/>
  <c r="BQ102" i="3"/>
  <c r="BQ179" i="3"/>
  <c r="BQ191" i="3"/>
  <c r="BQ286" i="3"/>
  <c r="BQ298" i="3"/>
  <c r="BQ396" i="3"/>
  <c r="BQ494" i="3"/>
  <c r="BQ592" i="3"/>
  <c r="BQ690" i="3"/>
  <c r="A515" i="7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D672" i="7"/>
  <c r="F701" i="7"/>
  <c r="D928" i="7"/>
  <c r="D959" i="7" s="1"/>
  <c r="D864" i="7"/>
  <c r="D895" i="7" s="1"/>
  <c r="D800" i="7"/>
  <c r="D831" i="7" s="1"/>
  <c r="D736" i="7"/>
  <c r="D767" i="7" s="1"/>
  <c r="D608" i="7"/>
  <c r="D639" i="7" s="1"/>
  <c r="D703" i="7" l="1"/>
  <c r="A258" i="7" l="1"/>
  <c r="D1" i="3" l="1"/>
  <c r="L2" i="3" l="1"/>
  <c r="C546" i="7"/>
  <c r="AX1" i="3" s="1"/>
  <c r="AH542" i="7"/>
  <c r="AH573" i="7" s="1"/>
  <c r="AG542" i="7"/>
  <c r="AG573" i="7" s="1"/>
  <c r="AF542" i="7"/>
  <c r="AF573" i="7" s="1"/>
  <c r="AE542" i="7"/>
  <c r="AE573" i="7" s="1"/>
  <c r="AD542" i="7"/>
  <c r="AD573" i="7" s="1"/>
  <c r="AC542" i="7"/>
  <c r="AC573" i="7" s="1"/>
  <c r="AB542" i="7"/>
  <c r="AB573" i="7" s="1"/>
  <c r="AA542" i="7"/>
  <c r="AA573" i="7" s="1"/>
  <c r="Z542" i="7"/>
  <c r="Z573" i="7" s="1"/>
  <c r="Y542" i="7"/>
  <c r="Y573" i="7" s="1"/>
  <c r="X542" i="7"/>
  <c r="X573" i="7" s="1"/>
  <c r="W542" i="7"/>
  <c r="W573" i="7" s="1"/>
  <c r="V542" i="7"/>
  <c r="V573" i="7" s="1"/>
  <c r="U542" i="7"/>
  <c r="U573" i="7" s="1"/>
  <c r="T542" i="7"/>
  <c r="T573" i="7" s="1"/>
  <c r="S542" i="7"/>
  <c r="S573" i="7" s="1"/>
  <c r="R542" i="7"/>
  <c r="R573" i="7" s="1"/>
  <c r="Q542" i="7"/>
  <c r="Q573" i="7" s="1"/>
  <c r="P542" i="7"/>
  <c r="P573" i="7" s="1"/>
  <c r="O542" i="7"/>
  <c r="O573" i="7" s="1"/>
  <c r="N542" i="7"/>
  <c r="N573" i="7" s="1"/>
  <c r="M542" i="7"/>
  <c r="M573" i="7" s="1"/>
  <c r="L542" i="7"/>
  <c r="L573" i="7" s="1"/>
  <c r="K542" i="7"/>
  <c r="K573" i="7" s="1"/>
  <c r="J542" i="7"/>
  <c r="J573" i="7" s="1"/>
  <c r="I542" i="7"/>
  <c r="I573" i="7" s="1"/>
  <c r="H542" i="7"/>
  <c r="H573" i="7" s="1"/>
  <c r="G542" i="7"/>
  <c r="G573" i="7" s="1"/>
  <c r="F542" i="7"/>
  <c r="F573" i="7" s="1"/>
  <c r="E542" i="7"/>
  <c r="E573" i="7" s="1"/>
  <c r="D542" i="7"/>
  <c r="D573" i="7" s="1"/>
  <c r="C515" i="7"/>
  <c r="AW1" i="3" s="1"/>
  <c r="C482" i="7"/>
  <c r="AU1" i="3" s="1"/>
  <c r="AV1" i="3" s="1"/>
  <c r="B30" i="1" s="1"/>
  <c r="B58" i="1" s="1"/>
  <c r="AH478" i="7"/>
  <c r="AH509" i="7" s="1"/>
  <c r="AG478" i="7"/>
  <c r="AG509" i="7" s="1"/>
  <c r="AF478" i="7"/>
  <c r="AF509" i="7" s="1"/>
  <c r="AE478" i="7"/>
  <c r="AE509" i="7" s="1"/>
  <c r="AD478" i="7"/>
  <c r="AD509" i="7" s="1"/>
  <c r="AC478" i="7"/>
  <c r="AC509" i="7" s="1"/>
  <c r="AB478" i="7"/>
  <c r="AB509" i="7" s="1"/>
  <c r="AA478" i="7"/>
  <c r="AA509" i="7" s="1"/>
  <c r="Z478" i="7"/>
  <c r="Z509" i="7" s="1"/>
  <c r="Y478" i="7"/>
  <c r="Y509" i="7" s="1"/>
  <c r="X478" i="7"/>
  <c r="X509" i="7" s="1"/>
  <c r="W478" i="7"/>
  <c r="W509" i="7" s="1"/>
  <c r="V478" i="7"/>
  <c r="V509" i="7" s="1"/>
  <c r="U478" i="7"/>
  <c r="U509" i="7" s="1"/>
  <c r="T478" i="7"/>
  <c r="T509" i="7" s="1"/>
  <c r="S478" i="7"/>
  <c r="S509" i="7" s="1"/>
  <c r="R478" i="7"/>
  <c r="R509" i="7" s="1"/>
  <c r="Q478" i="7"/>
  <c r="Q509" i="7" s="1"/>
  <c r="P478" i="7"/>
  <c r="P509" i="7" s="1"/>
  <c r="O478" i="7"/>
  <c r="O509" i="7" s="1"/>
  <c r="N478" i="7"/>
  <c r="N509" i="7" s="1"/>
  <c r="M478" i="7"/>
  <c r="M509" i="7" s="1"/>
  <c r="L478" i="7"/>
  <c r="L509" i="7" s="1"/>
  <c r="K478" i="7"/>
  <c r="K509" i="7" s="1"/>
  <c r="J478" i="7"/>
  <c r="J509" i="7" s="1"/>
  <c r="I478" i="7"/>
  <c r="I509" i="7" s="1"/>
  <c r="H478" i="7"/>
  <c r="H509" i="7" s="1"/>
  <c r="G478" i="7"/>
  <c r="G509" i="7" s="1"/>
  <c r="F478" i="7"/>
  <c r="F509" i="7" s="1"/>
  <c r="E478" i="7"/>
  <c r="E509" i="7" s="1"/>
  <c r="D478" i="7"/>
  <c r="D509" i="7" s="1"/>
  <c r="C451" i="7"/>
  <c r="AT1" i="3" s="1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66" i="7"/>
  <c r="A2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386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22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C418" i="7"/>
  <c r="C387" i="7"/>
  <c r="C354" i="7"/>
  <c r="C323" i="7"/>
  <c r="C290" i="7"/>
  <c r="C259" i="7"/>
  <c r="C226" i="7"/>
  <c r="C195" i="7"/>
  <c r="C162" i="7"/>
  <c r="C131" i="7"/>
  <c r="C98" i="7"/>
  <c r="C67" i="7"/>
  <c r="C3" i="7"/>
  <c r="C34" i="7"/>
  <c r="AO36" i="7"/>
  <c r="AM44" i="7"/>
  <c r="AM45" i="7"/>
  <c r="AY1" i="3" l="1"/>
  <c r="B31" i="1" s="1"/>
  <c r="B59" i="1" s="1"/>
  <c r="D544" i="7"/>
  <c r="D575" i="7" s="1"/>
  <c r="D480" i="7"/>
  <c r="D511" i="7" s="1"/>
  <c r="AO38" i="7"/>
  <c r="AO39" i="7" s="1"/>
  <c r="AM46" i="7" l="1"/>
  <c r="AM51" i="7"/>
  <c r="AM42" i="7"/>
  <c r="AM43" i="7"/>
  <c r="AM36" i="7"/>
  <c r="AM58" i="7"/>
  <c r="AM52" i="7"/>
  <c r="AM57" i="7"/>
  <c r="AM59" i="7"/>
  <c r="AM55" i="7"/>
  <c r="AM56" i="7"/>
  <c r="AM37" i="7"/>
  <c r="AM38" i="7"/>
  <c r="AM39" i="7"/>
  <c r="AM40" i="7"/>
  <c r="AM41" i="7"/>
  <c r="AM48" i="7"/>
  <c r="AM49" i="7"/>
  <c r="AM50" i="7"/>
  <c r="AM47" i="7"/>
  <c r="AM53" i="7" l="1"/>
  <c r="AM54" i="7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AB2" i="3"/>
  <c r="AC2" i="3"/>
  <c r="AE2" i="3"/>
  <c r="AF2" i="3"/>
  <c r="AH2" i="3"/>
  <c r="AI2" i="3"/>
  <c r="AK2" i="3"/>
  <c r="AL2" i="3"/>
  <c r="AN2" i="3"/>
  <c r="AO2" i="3"/>
  <c r="AQ2" i="3"/>
  <c r="AR2" i="3"/>
  <c r="AG2" i="3" l="1"/>
  <c r="AM2" i="3"/>
  <c r="AP2" i="3"/>
  <c r="AJ2" i="3"/>
  <c r="AS2" i="3"/>
  <c r="AD2" i="3"/>
  <c r="AH381" i="7" l="1"/>
  <c r="AG381" i="7"/>
  <c r="AF381" i="7"/>
  <c r="AE381" i="7"/>
  <c r="AD381" i="7"/>
  <c r="AC381" i="7"/>
  <c r="AB381" i="7"/>
  <c r="AA381" i="7"/>
  <c r="Z381" i="7"/>
  <c r="Y381" i="7"/>
  <c r="X381" i="7"/>
  <c r="W381" i="7"/>
  <c r="V381" i="7"/>
  <c r="U381" i="7"/>
  <c r="T381" i="7"/>
  <c r="S381" i="7"/>
  <c r="R381" i="7"/>
  <c r="Q381" i="7"/>
  <c r="P381" i="7"/>
  <c r="O381" i="7"/>
  <c r="N381" i="7"/>
  <c r="M381" i="7"/>
  <c r="L381" i="7"/>
  <c r="K381" i="7"/>
  <c r="J381" i="7"/>
  <c r="I381" i="7"/>
  <c r="H381" i="7"/>
  <c r="G381" i="7"/>
  <c r="F381" i="7"/>
  <c r="E381" i="7"/>
  <c r="D381" i="7"/>
  <c r="AH414" i="7"/>
  <c r="AH445" i="7" s="1"/>
  <c r="AG414" i="7"/>
  <c r="AG445" i="7" s="1"/>
  <c r="AF414" i="7"/>
  <c r="AF445" i="7" s="1"/>
  <c r="AE414" i="7"/>
  <c r="AE445" i="7" s="1"/>
  <c r="AD414" i="7"/>
  <c r="AD445" i="7" s="1"/>
  <c r="AC414" i="7"/>
  <c r="AC445" i="7" s="1"/>
  <c r="AB414" i="7"/>
  <c r="AB445" i="7" s="1"/>
  <c r="AA414" i="7"/>
  <c r="AA445" i="7" s="1"/>
  <c r="Z414" i="7"/>
  <c r="Z445" i="7" s="1"/>
  <c r="Y414" i="7"/>
  <c r="Y445" i="7" s="1"/>
  <c r="X414" i="7"/>
  <c r="X445" i="7" s="1"/>
  <c r="W414" i="7"/>
  <c r="W445" i="7" s="1"/>
  <c r="V414" i="7"/>
  <c r="V445" i="7" s="1"/>
  <c r="U414" i="7"/>
  <c r="U445" i="7" s="1"/>
  <c r="T414" i="7"/>
  <c r="T445" i="7" s="1"/>
  <c r="S414" i="7"/>
  <c r="S445" i="7" s="1"/>
  <c r="R414" i="7"/>
  <c r="R445" i="7" s="1"/>
  <c r="Q414" i="7"/>
  <c r="Q445" i="7" s="1"/>
  <c r="P414" i="7"/>
  <c r="P445" i="7" s="1"/>
  <c r="O414" i="7"/>
  <c r="O445" i="7" s="1"/>
  <c r="N414" i="7"/>
  <c r="N445" i="7" s="1"/>
  <c r="M414" i="7"/>
  <c r="M445" i="7" s="1"/>
  <c r="L414" i="7"/>
  <c r="L445" i="7" s="1"/>
  <c r="K414" i="7"/>
  <c r="K445" i="7" s="1"/>
  <c r="J414" i="7"/>
  <c r="J445" i="7" s="1"/>
  <c r="I414" i="7"/>
  <c r="I445" i="7" s="1"/>
  <c r="H414" i="7"/>
  <c r="H445" i="7" s="1"/>
  <c r="G414" i="7"/>
  <c r="G445" i="7" s="1"/>
  <c r="F414" i="7"/>
  <c r="F445" i="7" s="1"/>
  <c r="E414" i="7"/>
  <c r="E445" i="7" s="1"/>
  <c r="D414" i="7"/>
  <c r="AH350" i="7"/>
  <c r="AG350" i="7"/>
  <c r="AF350" i="7"/>
  <c r="AE350" i="7"/>
  <c r="AD350" i="7"/>
  <c r="AC350" i="7"/>
  <c r="AB350" i="7"/>
  <c r="AA350" i="7"/>
  <c r="Z350" i="7"/>
  <c r="Y350" i="7"/>
  <c r="X350" i="7"/>
  <c r="W350" i="7"/>
  <c r="V350" i="7"/>
  <c r="U350" i="7"/>
  <c r="T350" i="7"/>
  <c r="S350" i="7"/>
  <c r="R350" i="7"/>
  <c r="Q350" i="7"/>
  <c r="P350" i="7"/>
  <c r="O350" i="7"/>
  <c r="N350" i="7"/>
  <c r="M350" i="7"/>
  <c r="L350" i="7"/>
  <c r="K350" i="7"/>
  <c r="J350" i="7"/>
  <c r="I350" i="7"/>
  <c r="H350" i="7"/>
  <c r="G350" i="7"/>
  <c r="F350" i="7"/>
  <c r="E350" i="7"/>
  <c r="D350" i="7"/>
  <c r="AH286" i="7"/>
  <c r="AH317" i="7" s="1"/>
  <c r="AG286" i="7"/>
  <c r="AG317" i="7" s="1"/>
  <c r="AF286" i="7"/>
  <c r="AF317" i="7" s="1"/>
  <c r="AE286" i="7"/>
  <c r="AE317" i="7" s="1"/>
  <c r="AD286" i="7"/>
  <c r="AD317" i="7" s="1"/>
  <c r="AC286" i="7"/>
  <c r="AC317" i="7" s="1"/>
  <c r="AB286" i="7"/>
  <c r="AB317" i="7" s="1"/>
  <c r="AA286" i="7"/>
  <c r="AA317" i="7" s="1"/>
  <c r="Z286" i="7"/>
  <c r="Z317" i="7" s="1"/>
  <c r="Y286" i="7"/>
  <c r="Y317" i="7" s="1"/>
  <c r="X286" i="7"/>
  <c r="X317" i="7" s="1"/>
  <c r="W286" i="7"/>
  <c r="W317" i="7" s="1"/>
  <c r="V286" i="7"/>
  <c r="V317" i="7" s="1"/>
  <c r="U286" i="7"/>
  <c r="U317" i="7" s="1"/>
  <c r="T286" i="7"/>
  <c r="T317" i="7" s="1"/>
  <c r="S286" i="7"/>
  <c r="S317" i="7" s="1"/>
  <c r="R286" i="7"/>
  <c r="R317" i="7" s="1"/>
  <c r="Q286" i="7"/>
  <c r="Q317" i="7" s="1"/>
  <c r="P286" i="7"/>
  <c r="P317" i="7" s="1"/>
  <c r="O286" i="7"/>
  <c r="O317" i="7" s="1"/>
  <c r="N286" i="7"/>
  <c r="N317" i="7" s="1"/>
  <c r="M286" i="7"/>
  <c r="M317" i="7" s="1"/>
  <c r="L286" i="7"/>
  <c r="L317" i="7" s="1"/>
  <c r="K286" i="7"/>
  <c r="K317" i="7" s="1"/>
  <c r="J286" i="7"/>
  <c r="J317" i="7" s="1"/>
  <c r="I286" i="7"/>
  <c r="I317" i="7" s="1"/>
  <c r="H286" i="7"/>
  <c r="H317" i="7" s="1"/>
  <c r="G286" i="7"/>
  <c r="G317" i="7" s="1"/>
  <c r="F286" i="7"/>
  <c r="F317" i="7" s="1"/>
  <c r="E286" i="7"/>
  <c r="E317" i="7" s="1"/>
  <c r="D286" i="7"/>
  <c r="D317" i="7" s="1"/>
  <c r="AH222" i="7"/>
  <c r="AH253" i="7" s="1"/>
  <c r="AG222" i="7"/>
  <c r="AG253" i="7" s="1"/>
  <c r="AF222" i="7"/>
  <c r="AF253" i="7" s="1"/>
  <c r="AE222" i="7"/>
  <c r="AE253" i="7" s="1"/>
  <c r="AD222" i="7"/>
  <c r="AD253" i="7" s="1"/>
  <c r="AC222" i="7"/>
  <c r="AC253" i="7" s="1"/>
  <c r="AB222" i="7"/>
  <c r="AB253" i="7" s="1"/>
  <c r="AA222" i="7"/>
  <c r="AA253" i="7" s="1"/>
  <c r="Z222" i="7"/>
  <c r="Z253" i="7" s="1"/>
  <c r="Y222" i="7"/>
  <c r="Y253" i="7" s="1"/>
  <c r="X222" i="7"/>
  <c r="X253" i="7" s="1"/>
  <c r="W222" i="7"/>
  <c r="W253" i="7" s="1"/>
  <c r="V222" i="7"/>
  <c r="V253" i="7" s="1"/>
  <c r="U222" i="7"/>
  <c r="U253" i="7" s="1"/>
  <c r="T222" i="7"/>
  <c r="T253" i="7" s="1"/>
  <c r="S222" i="7"/>
  <c r="S253" i="7" s="1"/>
  <c r="R222" i="7"/>
  <c r="R253" i="7" s="1"/>
  <c r="Q222" i="7"/>
  <c r="Q253" i="7" s="1"/>
  <c r="P222" i="7"/>
  <c r="P253" i="7" s="1"/>
  <c r="O222" i="7"/>
  <c r="O253" i="7" s="1"/>
  <c r="N222" i="7"/>
  <c r="N253" i="7" s="1"/>
  <c r="M222" i="7"/>
  <c r="M253" i="7" s="1"/>
  <c r="L222" i="7"/>
  <c r="L253" i="7" s="1"/>
  <c r="K222" i="7"/>
  <c r="K253" i="7" s="1"/>
  <c r="J222" i="7"/>
  <c r="J253" i="7" s="1"/>
  <c r="I222" i="7"/>
  <c r="I253" i="7" s="1"/>
  <c r="H222" i="7"/>
  <c r="H253" i="7" s="1"/>
  <c r="G222" i="7"/>
  <c r="G253" i="7" s="1"/>
  <c r="F222" i="7"/>
  <c r="F253" i="7" s="1"/>
  <c r="E222" i="7"/>
  <c r="E253" i="7" s="1"/>
  <c r="D222" i="7"/>
  <c r="D253" i="7" s="1"/>
  <c r="AH158" i="7"/>
  <c r="AH189" i="7" s="1"/>
  <c r="AG158" i="7"/>
  <c r="AG189" i="7" s="1"/>
  <c r="AF158" i="7"/>
  <c r="AF189" i="7" s="1"/>
  <c r="AE158" i="7"/>
  <c r="AE189" i="7" s="1"/>
  <c r="AD158" i="7"/>
  <c r="AD189" i="7" s="1"/>
  <c r="AC158" i="7"/>
  <c r="AC189" i="7" s="1"/>
  <c r="AB158" i="7"/>
  <c r="AB189" i="7" s="1"/>
  <c r="AA158" i="7"/>
  <c r="AA189" i="7" s="1"/>
  <c r="Z158" i="7"/>
  <c r="Z189" i="7" s="1"/>
  <c r="Y158" i="7"/>
  <c r="Y189" i="7" s="1"/>
  <c r="X158" i="7"/>
  <c r="X189" i="7" s="1"/>
  <c r="W158" i="7"/>
  <c r="W189" i="7" s="1"/>
  <c r="V158" i="7"/>
  <c r="V189" i="7" s="1"/>
  <c r="U158" i="7"/>
  <c r="U189" i="7" s="1"/>
  <c r="T158" i="7"/>
  <c r="T189" i="7" s="1"/>
  <c r="S158" i="7"/>
  <c r="S189" i="7" s="1"/>
  <c r="R158" i="7"/>
  <c r="R189" i="7" s="1"/>
  <c r="Q158" i="7"/>
  <c r="Q189" i="7" s="1"/>
  <c r="P158" i="7"/>
  <c r="P189" i="7" s="1"/>
  <c r="O158" i="7"/>
  <c r="O189" i="7" s="1"/>
  <c r="N158" i="7"/>
  <c r="N189" i="7" s="1"/>
  <c r="M158" i="7"/>
  <c r="M189" i="7" s="1"/>
  <c r="L158" i="7"/>
  <c r="L189" i="7" s="1"/>
  <c r="K158" i="7"/>
  <c r="K189" i="7" s="1"/>
  <c r="J158" i="7"/>
  <c r="J189" i="7" s="1"/>
  <c r="I158" i="7"/>
  <c r="I189" i="7" s="1"/>
  <c r="H158" i="7"/>
  <c r="H189" i="7" s="1"/>
  <c r="G158" i="7"/>
  <c r="G189" i="7" s="1"/>
  <c r="F158" i="7"/>
  <c r="F189" i="7" s="1"/>
  <c r="E158" i="7"/>
  <c r="E189" i="7" s="1"/>
  <c r="D158" i="7"/>
  <c r="D189" i="7" s="1"/>
  <c r="E30" i="7"/>
  <c r="D30" i="7"/>
  <c r="AH3" i="5"/>
  <c r="D32" i="7" l="1"/>
  <c r="C31" i="5" s="1"/>
  <c r="C32" i="5" s="1"/>
  <c r="D416" i="7"/>
  <c r="D445" i="7"/>
  <c r="D447" i="7" s="1"/>
  <c r="D288" i="7"/>
  <c r="D319" i="7" s="1"/>
  <c r="D224" i="7"/>
  <c r="D255" i="7" s="1"/>
  <c r="D160" i="7"/>
  <c r="D191" i="7" s="1"/>
  <c r="D383" i="7"/>
  <c r="D352" i="7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Q61" i="7" l="1"/>
  <c r="W61" i="7"/>
  <c r="U61" i="7"/>
  <c r="K61" i="7"/>
  <c r="I61" i="7"/>
  <c r="O61" i="7"/>
  <c r="M61" i="7"/>
  <c r="AH61" i="7"/>
  <c r="D61" i="7"/>
  <c r="G61" i="7"/>
  <c r="E61" i="7"/>
  <c r="Z61" i="7"/>
  <c r="AF61" i="7"/>
  <c r="AD61" i="7"/>
  <c r="AB61" i="7"/>
  <c r="R61" i="7"/>
  <c r="X61" i="7"/>
  <c r="V61" i="7"/>
  <c r="T61" i="7"/>
  <c r="J61" i="7"/>
  <c r="P61" i="7"/>
  <c r="N61" i="7"/>
  <c r="L61" i="7"/>
  <c r="AG61" i="7"/>
  <c r="H61" i="7"/>
  <c r="F61" i="7"/>
  <c r="AA61" i="7"/>
  <c r="Y61" i="7"/>
  <c r="AE61" i="7"/>
  <c r="AC61" i="7"/>
  <c r="S61" i="7"/>
  <c r="K742" i="3"/>
  <c r="K735" i="3"/>
  <c r="K745" i="3"/>
  <c r="K726" i="3"/>
  <c r="K734" i="3"/>
  <c r="K733" i="3"/>
  <c r="K727" i="3"/>
  <c r="K738" i="3"/>
  <c r="K741" i="3"/>
  <c r="K736" i="3"/>
  <c r="K730" i="3"/>
  <c r="K743" i="3"/>
  <c r="D63" i="7" l="1"/>
  <c r="K729" i="3"/>
  <c r="K732" i="3"/>
  <c r="K737" i="3"/>
  <c r="K724" i="3"/>
  <c r="K725" i="3"/>
  <c r="K723" i="3"/>
  <c r="K740" i="3"/>
  <c r="K744" i="3"/>
  <c r="K739" i="3"/>
  <c r="K728" i="3"/>
  <c r="K731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K112" i="3"/>
  <c r="K39" i="3"/>
  <c r="K158" i="3"/>
  <c r="K31" i="3"/>
  <c r="K150" i="3"/>
  <c r="K77" i="3"/>
  <c r="K196" i="3"/>
  <c r="K123" i="3"/>
  <c r="K193" i="3"/>
  <c r="K120" i="3"/>
  <c r="K47" i="3"/>
  <c r="K166" i="3"/>
  <c r="K93" i="3"/>
  <c r="K212" i="3"/>
  <c r="K139" i="3"/>
  <c r="K66" i="3"/>
  <c r="K185" i="3"/>
  <c r="K85" i="3"/>
  <c r="K204" i="3"/>
  <c r="K131" i="3"/>
  <c r="K58" i="3"/>
  <c r="K177" i="3"/>
  <c r="K104" i="3"/>
  <c r="AD64" i="5" l="1"/>
  <c r="P64" i="5"/>
  <c r="O64" i="5"/>
  <c r="N64" i="5"/>
  <c r="M64" i="5"/>
  <c r="L64" i="5"/>
  <c r="K64" i="5"/>
  <c r="I64" i="5"/>
  <c r="H64" i="5"/>
  <c r="G64" i="5"/>
  <c r="E64" i="5"/>
  <c r="R64" i="5"/>
  <c r="AC64" i="5"/>
  <c r="AB64" i="5"/>
  <c r="AA64" i="5"/>
  <c r="Z64" i="5"/>
  <c r="Y64" i="5"/>
  <c r="X64" i="5"/>
  <c r="W64" i="5"/>
  <c r="V64" i="5"/>
  <c r="U64" i="5"/>
  <c r="T64" i="5"/>
  <c r="AG64" i="5"/>
  <c r="S64" i="5"/>
  <c r="AF64" i="5"/>
  <c r="AE64" i="5"/>
  <c r="Q64" i="5"/>
  <c r="C64" i="5"/>
  <c r="J64" i="5"/>
  <c r="F64" i="5"/>
  <c r="D64" i="5"/>
  <c r="H35" i="1"/>
  <c r="H36" i="1"/>
  <c r="H37" i="1"/>
  <c r="H32" i="1"/>
  <c r="H33" i="1"/>
  <c r="H31" i="1"/>
  <c r="H34" i="1"/>
  <c r="H30" i="1"/>
  <c r="H9" i="1"/>
  <c r="K50" i="3"/>
  <c r="K722" i="3"/>
  <c r="AG97" i="5"/>
  <c r="K553" i="3"/>
  <c r="K361" i="3"/>
  <c r="K169" i="3"/>
  <c r="K672" i="3"/>
  <c r="K480" i="3"/>
  <c r="K288" i="3"/>
  <c r="K96" i="3"/>
  <c r="K599" i="3"/>
  <c r="K407" i="3"/>
  <c r="K215" i="3"/>
  <c r="K718" i="3"/>
  <c r="K526" i="3"/>
  <c r="K334" i="3"/>
  <c r="K142" i="3"/>
  <c r="K645" i="3"/>
  <c r="K453" i="3"/>
  <c r="K261" i="3"/>
  <c r="K69" i="3"/>
  <c r="K572" i="3"/>
  <c r="K380" i="3"/>
  <c r="K188" i="3"/>
  <c r="K691" i="3"/>
  <c r="K499" i="3"/>
  <c r="K307" i="3"/>
  <c r="K115" i="3"/>
  <c r="K618" i="3"/>
  <c r="K426" i="3"/>
  <c r="K234" i="3"/>
  <c r="K42" i="3"/>
  <c r="K545" i="3"/>
  <c r="K353" i="3"/>
  <c r="K161" i="3"/>
  <c r="K664" i="3"/>
  <c r="K472" i="3"/>
  <c r="K280" i="3"/>
  <c r="K88" i="3"/>
  <c r="K591" i="3"/>
  <c r="K399" i="3"/>
  <c r="K207" i="3"/>
  <c r="K710" i="3"/>
  <c r="K518" i="3"/>
  <c r="K326" i="3"/>
  <c r="K134" i="3"/>
  <c r="K637" i="3"/>
  <c r="K445" i="3"/>
  <c r="K253" i="3"/>
  <c r="K61" i="3"/>
  <c r="K564" i="3"/>
  <c r="K372" i="3"/>
  <c r="K180" i="3"/>
  <c r="K683" i="3"/>
  <c r="K491" i="3"/>
  <c r="K299" i="3"/>
  <c r="K107" i="3"/>
  <c r="K610" i="3"/>
  <c r="K418" i="3"/>
  <c r="K226" i="3"/>
  <c r="K34" i="3"/>
  <c r="K537" i="3"/>
  <c r="K345" i="3"/>
  <c r="K153" i="3"/>
  <c r="K656" i="3"/>
  <c r="K464" i="3"/>
  <c r="K272" i="3"/>
  <c r="K80" i="3"/>
  <c r="K583" i="3"/>
  <c r="K391" i="3"/>
  <c r="K199" i="3"/>
  <c r="K702" i="3"/>
  <c r="K510" i="3"/>
  <c r="K318" i="3"/>
  <c r="K126" i="3"/>
  <c r="K629" i="3"/>
  <c r="K437" i="3"/>
  <c r="K245" i="3"/>
  <c r="K53" i="3"/>
  <c r="K556" i="3"/>
  <c r="K364" i="3"/>
  <c r="K172" i="3"/>
  <c r="K675" i="3"/>
  <c r="K483" i="3"/>
  <c r="K291" i="3"/>
  <c r="K99" i="3"/>
  <c r="K721" i="3"/>
  <c r="K529" i="3"/>
  <c r="K337" i="3"/>
  <c r="K145" i="3"/>
  <c r="K648" i="3"/>
  <c r="K456" i="3"/>
  <c r="K264" i="3"/>
  <c r="K72" i="3"/>
  <c r="K575" i="3"/>
  <c r="K383" i="3"/>
  <c r="K191" i="3"/>
  <c r="K694" i="3"/>
  <c r="K502" i="3"/>
  <c r="K310" i="3"/>
  <c r="K118" i="3"/>
  <c r="K621" i="3"/>
  <c r="K429" i="3"/>
  <c r="K237" i="3"/>
  <c r="K45" i="3"/>
  <c r="K548" i="3"/>
  <c r="K356" i="3"/>
  <c r="K164" i="3"/>
  <c r="K667" i="3"/>
  <c r="K475" i="3"/>
  <c r="K283" i="3"/>
  <c r="K91" i="3"/>
  <c r="K594" i="3"/>
  <c r="K402" i="3"/>
  <c r="K210" i="3"/>
  <c r="K713" i="3"/>
  <c r="K521" i="3"/>
  <c r="K329" i="3"/>
  <c r="K137" i="3"/>
  <c r="K640" i="3"/>
  <c r="K448" i="3"/>
  <c r="K256" i="3"/>
  <c r="K64" i="3"/>
  <c r="K567" i="3"/>
  <c r="K375" i="3"/>
  <c r="K183" i="3"/>
  <c r="K686" i="3"/>
  <c r="K494" i="3"/>
  <c r="K302" i="3"/>
  <c r="K110" i="3"/>
  <c r="K613" i="3"/>
  <c r="K421" i="3"/>
  <c r="K229" i="3"/>
  <c r="K37" i="3"/>
  <c r="K540" i="3"/>
  <c r="K348" i="3"/>
  <c r="K156" i="3"/>
  <c r="K659" i="3"/>
  <c r="K467" i="3"/>
  <c r="K275" i="3"/>
  <c r="K83" i="3"/>
  <c r="K586" i="3"/>
  <c r="K394" i="3"/>
  <c r="K202" i="3"/>
  <c r="K705" i="3"/>
  <c r="K513" i="3"/>
  <c r="K321" i="3"/>
  <c r="K129" i="3"/>
  <c r="K632" i="3"/>
  <c r="K440" i="3"/>
  <c r="K248" i="3"/>
  <c r="K56" i="3"/>
  <c r="K559" i="3"/>
  <c r="K367" i="3"/>
  <c r="K175" i="3"/>
  <c r="K678" i="3"/>
  <c r="K486" i="3"/>
  <c r="K294" i="3"/>
  <c r="K102" i="3"/>
  <c r="K605" i="3"/>
  <c r="K413" i="3"/>
  <c r="K221" i="3"/>
  <c r="K29" i="3"/>
  <c r="K532" i="3"/>
  <c r="K340" i="3"/>
  <c r="K148" i="3"/>
  <c r="K651" i="3"/>
  <c r="K459" i="3"/>
  <c r="K267" i="3"/>
  <c r="K75" i="3"/>
  <c r="K697" i="3"/>
  <c r="K505" i="3"/>
  <c r="K313" i="3"/>
  <c r="K121" i="3"/>
  <c r="K624" i="3"/>
  <c r="K432" i="3"/>
  <c r="K240" i="3"/>
  <c r="K48" i="3"/>
  <c r="K551" i="3"/>
  <c r="K359" i="3"/>
  <c r="K167" i="3"/>
  <c r="K670" i="3"/>
  <c r="K478" i="3"/>
  <c r="K286" i="3"/>
  <c r="K94" i="3"/>
  <c r="K597" i="3"/>
  <c r="K405" i="3"/>
  <c r="K213" i="3"/>
  <c r="K716" i="3"/>
  <c r="K524" i="3"/>
  <c r="K332" i="3"/>
  <c r="K140" i="3"/>
  <c r="K643" i="3"/>
  <c r="K451" i="3"/>
  <c r="K259" i="3"/>
  <c r="K67" i="3"/>
  <c r="K570" i="3"/>
  <c r="K378" i="3"/>
  <c r="K186" i="3"/>
  <c r="K689" i="3"/>
  <c r="K497" i="3"/>
  <c r="K305" i="3"/>
  <c r="K113" i="3"/>
  <c r="K616" i="3"/>
  <c r="K424" i="3"/>
  <c r="K232" i="3"/>
  <c r="K40" i="3"/>
  <c r="K543" i="3"/>
  <c r="K351" i="3"/>
  <c r="K159" i="3"/>
  <c r="K662" i="3"/>
  <c r="K470" i="3"/>
  <c r="K278" i="3"/>
  <c r="K86" i="3"/>
  <c r="K589" i="3"/>
  <c r="K397" i="3"/>
  <c r="K205" i="3"/>
  <c r="K708" i="3"/>
  <c r="K516" i="3"/>
  <c r="K324" i="3"/>
  <c r="K132" i="3"/>
  <c r="K635" i="3"/>
  <c r="K443" i="3"/>
  <c r="K251" i="3"/>
  <c r="K59" i="3"/>
  <c r="K562" i="3"/>
  <c r="K370" i="3"/>
  <c r="K178" i="3"/>
  <c r="K681" i="3"/>
  <c r="K489" i="3"/>
  <c r="K297" i="3"/>
  <c r="K105" i="3"/>
  <c r="K608" i="3"/>
  <c r="K416" i="3"/>
  <c r="K224" i="3"/>
  <c r="K32" i="3"/>
  <c r="K535" i="3"/>
  <c r="K343" i="3"/>
  <c r="K151" i="3"/>
  <c r="K654" i="3"/>
  <c r="K462" i="3"/>
  <c r="K270" i="3"/>
  <c r="K78" i="3"/>
  <c r="K581" i="3"/>
  <c r="K389" i="3"/>
  <c r="K197" i="3"/>
  <c r="K700" i="3"/>
  <c r="K508" i="3"/>
  <c r="K316" i="3"/>
  <c r="K124" i="3"/>
  <c r="K627" i="3"/>
  <c r="K435" i="3"/>
  <c r="K243" i="3"/>
  <c r="K51" i="3"/>
  <c r="K673" i="3"/>
  <c r="K481" i="3"/>
  <c r="K289" i="3"/>
  <c r="K97" i="3"/>
  <c r="K600" i="3"/>
  <c r="K408" i="3"/>
  <c r="K216" i="3"/>
  <c r="K719" i="3"/>
  <c r="K527" i="3"/>
  <c r="K335" i="3"/>
  <c r="K143" i="3"/>
  <c r="K646" i="3"/>
  <c r="K454" i="3"/>
  <c r="K262" i="3"/>
  <c r="K70" i="3"/>
  <c r="K573" i="3"/>
  <c r="K381" i="3"/>
  <c r="K189" i="3"/>
  <c r="K692" i="3"/>
  <c r="K500" i="3"/>
  <c r="K308" i="3"/>
  <c r="K116" i="3"/>
  <c r="K619" i="3"/>
  <c r="K427" i="3"/>
  <c r="K235" i="3"/>
  <c r="K43" i="3"/>
  <c r="K546" i="3"/>
  <c r="K354" i="3"/>
  <c r="K162" i="3"/>
  <c r="K665" i="3"/>
  <c r="K473" i="3"/>
  <c r="K281" i="3"/>
  <c r="K89" i="3"/>
  <c r="K592" i="3"/>
  <c r="K400" i="3"/>
  <c r="K208" i="3"/>
  <c r="K711" i="3"/>
  <c r="K519" i="3"/>
  <c r="K327" i="3"/>
  <c r="K135" i="3"/>
  <c r="K638" i="3"/>
  <c r="K446" i="3"/>
  <c r="K254" i="3"/>
  <c r="K62" i="3"/>
  <c r="K565" i="3"/>
  <c r="K373" i="3"/>
  <c r="K181" i="3"/>
  <c r="K684" i="3"/>
  <c r="K492" i="3"/>
  <c r="K300" i="3"/>
  <c r="K108" i="3"/>
  <c r="K611" i="3"/>
  <c r="K419" i="3"/>
  <c r="K227" i="3"/>
  <c r="K35" i="3"/>
  <c r="K538" i="3"/>
  <c r="K346" i="3"/>
  <c r="K154" i="3"/>
  <c r="K657" i="3"/>
  <c r="K465" i="3"/>
  <c r="K273" i="3"/>
  <c r="K81" i="3"/>
  <c r="K584" i="3"/>
  <c r="K392" i="3"/>
  <c r="K200" i="3"/>
  <c r="K703" i="3"/>
  <c r="K511" i="3"/>
  <c r="K319" i="3"/>
  <c r="K127" i="3"/>
  <c r="K630" i="3"/>
  <c r="K438" i="3"/>
  <c r="K246" i="3"/>
  <c r="K54" i="3"/>
  <c r="K557" i="3"/>
  <c r="K365" i="3"/>
  <c r="K173" i="3"/>
  <c r="K676" i="3"/>
  <c r="K484" i="3"/>
  <c r="K292" i="3"/>
  <c r="K100" i="3"/>
  <c r="K603" i="3"/>
  <c r="K411" i="3"/>
  <c r="K219" i="3"/>
  <c r="K27" i="3"/>
  <c r="K649" i="3"/>
  <c r="K457" i="3"/>
  <c r="K265" i="3"/>
  <c r="K73" i="3"/>
  <c r="K576" i="3"/>
  <c r="K384" i="3"/>
  <c r="K192" i="3"/>
  <c r="K695" i="3"/>
  <c r="K503" i="3"/>
  <c r="K311" i="3"/>
  <c r="K119" i="3"/>
  <c r="K622" i="3"/>
  <c r="K430" i="3"/>
  <c r="K238" i="3"/>
  <c r="K46" i="3"/>
  <c r="K549" i="3"/>
  <c r="K357" i="3"/>
  <c r="K165" i="3"/>
  <c r="K668" i="3"/>
  <c r="K476" i="3"/>
  <c r="K284" i="3"/>
  <c r="K92" i="3"/>
  <c r="K595" i="3"/>
  <c r="K403" i="3"/>
  <c r="K211" i="3"/>
  <c r="K714" i="3"/>
  <c r="K522" i="3"/>
  <c r="K330" i="3"/>
  <c r="K138" i="3"/>
  <c r="K641" i="3"/>
  <c r="K449" i="3"/>
  <c r="K257" i="3"/>
  <c r="K65" i="3"/>
  <c r="K568" i="3"/>
  <c r="K376" i="3"/>
  <c r="K184" i="3"/>
  <c r="K687" i="3"/>
  <c r="K495" i="3"/>
  <c r="K303" i="3"/>
  <c r="K111" i="3"/>
  <c r="K614" i="3"/>
  <c r="K422" i="3"/>
  <c r="K230" i="3"/>
  <c r="K38" i="3"/>
  <c r="K541" i="3"/>
  <c r="K349" i="3"/>
  <c r="K157" i="3"/>
  <c r="K660" i="3"/>
  <c r="K468" i="3"/>
  <c r="K276" i="3"/>
  <c r="K84" i="3"/>
  <c r="K587" i="3"/>
  <c r="K395" i="3"/>
  <c r="K203" i="3"/>
  <c r="K706" i="3"/>
  <c r="K514" i="3"/>
  <c r="K322" i="3"/>
  <c r="K130" i="3"/>
  <c r="K633" i="3"/>
  <c r="K441" i="3"/>
  <c r="K249" i="3"/>
  <c r="K57" i="3"/>
  <c r="K560" i="3"/>
  <c r="K368" i="3"/>
  <c r="K176" i="3"/>
  <c r="K679" i="3"/>
  <c r="K487" i="3"/>
  <c r="K295" i="3"/>
  <c r="K103" i="3"/>
  <c r="K606" i="3"/>
  <c r="K414" i="3"/>
  <c r="K222" i="3"/>
  <c r="K30" i="3"/>
  <c r="K533" i="3"/>
  <c r="K341" i="3"/>
  <c r="K149" i="3"/>
  <c r="K652" i="3"/>
  <c r="K460" i="3"/>
  <c r="K268" i="3"/>
  <c r="K76" i="3"/>
  <c r="K579" i="3"/>
  <c r="K387" i="3"/>
  <c r="K195" i="3"/>
  <c r="K625" i="3"/>
  <c r="K433" i="3"/>
  <c r="K241" i="3"/>
  <c r="K49" i="3"/>
  <c r="K552" i="3"/>
  <c r="K360" i="3"/>
  <c r="K168" i="3"/>
  <c r="K671" i="3"/>
  <c r="K479" i="3"/>
  <c r="K287" i="3"/>
  <c r="K95" i="3"/>
  <c r="K598" i="3"/>
  <c r="K406" i="3"/>
  <c r="K214" i="3"/>
  <c r="K717" i="3"/>
  <c r="K525" i="3"/>
  <c r="K333" i="3"/>
  <c r="K141" i="3"/>
  <c r="K644" i="3"/>
  <c r="K452" i="3"/>
  <c r="K260" i="3"/>
  <c r="K68" i="3"/>
  <c r="K571" i="3"/>
  <c r="K379" i="3"/>
  <c r="K187" i="3"/>
  <c r="K690" i="3"/>
  <c r="K498" i="3"/>
  <c r="K306" i="3"/>
  <c r="K114" i="3"/>
  <c r="K617" i="3"/>
  <c r="K425" i="3"/>
  <c r="K233" i="3"/>
  <c r="K41" i="3"/>
  <c r="K544" i="3"/>
  <c r="K352" i="3"/>
  <c r="K160" i="3"/>
  <c r="K663" i="3"/>
  <c r="K471" i="3"/>
  <c r="K279" i="3"/>
  <c r="K87" i="3"/>
  <c r="K590" i="3"/>
  <c r="K398" i="3"/>
  <c r="K206" i="3"/>
  <c r="K709" i="3"/>
  <c r="K517" i="3"/>
  <c r="K325" i="3"/>
  <c r="K133" i="3"/>
  <c r="K636" i="3"/>
  <c r="K444" i="3"/>
  <c r="K252" i="3"/>
  <c r="K60" i="3"/>
  <c r="K563" i="3"/>
  <c r="K371" i="3"/>
  <c r="K179" i="3"/>
  <c r="K682" i="3"/>
  <c r="K490" i="3"/>
  <c r="K298" i="3"/>
  <c r="K106" i="3"/>
  <c r="K609" i="3"/>
  <c r="K417" i="3"/>
  <c r="K225" i="3"/>
  <c r="K33" i="3"/>
  <c r="K536" i="3"/>
  <c r="K344" i="3"/>
  <c r="K152" i="3"/>
  <c r="K655" i="3"/>
  <c r="K463" i="3"/>
  <c r="K271" i="3"/>
  <c r="K79" i="3"/>
  <c r="K582" i="3"/>
  <c r="K390" i="3"/>
  <c r="K198" i="3"/>
  <c r="K701" i="3"/>
  <c r="K509" i="3"/>
  <c r="K317" i="3"/>
  <c r="K125" i="3"/>
  <c r="K628" i="3"/>
  <c r="K436" i="3"/>
  <c r="K244" i="3"/>
  <c r="K52" i="3"/>
  <c r="K555" i="3"/>
  <c r="K363" i="3"/>
  <c r="K171" i="3"/>
  <c r="K601" i="3"/>
  <c r="K409" i="3"/>
  <c r="K217" i="3"/>
  <c r="K720" i="3"/>
  <c r="K528" i="3"/>
  <c r="K336" i="3"/>
  <c r="K144" i="3"/>
  <c r="K647" i="3"/>
  <c r="K455" i="3"/>
  <c r="K263" i="3"/>
  <c r="K71" i="3"/>
  <c r="K574" i="3"/>
  <c r="K382" i="3"/>
  <c r="K190" i="3"/>
  <c r="K693" i="3"/>
  <c r="K501" i="3"/>
  <c r="K309" i="3"/>
  <c r="K117" i="3"/>
  <c r="K620" i="3"/>
  <c r="K428" i="3"/>
  <c r="K236" i="3"/>
  <c r="K44" i="3"/>
  <c r="K547" i="3"/>
  <c r="K355" i="3"/>
  <c r="K163" i="3"/>
  <c r="K666" i="3"/>
  <c r="K474" i="3"/>
  <c r="K282" i="3"/>
  <c r="K90" i="3"/>
  <c r="K593" i="3"/>
  <c r="K401" i="3"/>
  <c r="K209" i="3"/>
  <c r="K712" i="3"/>
  <c r="K520" i="3"/>
  <c r="K328" i="3"/>
  <c r="K136" i="3"/>
  <c r="K639" i="3"/>
  <c r="K447" i="3"/>
  <c r="K255" i="3"/>
  <c r="K63" i="3"/>
  <c r="K566" i="3"/>
  <c r="K374" i="3"/>
  <c r="K182" i="3"/>
  <c r="K685" i="3"/>
  <c r="K493" i="3"/>
  <c r="K301" i="3"/>
  <c r="K109" i="3"/>
  <c r="K612" i="3"/>
  <c r="K420" i="3"/>
  <c r="K228" i="3"/>
  <c r="K36" i="3"/>
  <c r="K539" i="3"/>
  <c r="K347" i="3"/>
  <c r="K155" i="3"/>
  <c r="K658" i="3"/>
  <c r="K466" i="3"/>
  <c r="K274" i="3"/>
  <c r="K82" i="3"/>
  <c r="K585" i="3"/>
  <c r="K393" i="3"/>
  <c r="K201" i="3"/>
  <c r="K704" i="3"/>
  <c r="K512" i="3"/>
  <c r="K320" i="3"/>
  <c r="K128" i="3"/>
  <c r="K631" i="3"/>
  <c r="K439" i="3"/>
  <c r="K247" i="3"/>
  <c r="K55" i="3"/>
  <c r="K558" i="3"/>
  <c r="K366" i="3"/>
  <c r="K174" i="3"/>
  <c r="K677" i="3"/>
  <c r="K485" i="3"/>
  <c r="K293" i="3"/>
  <c r="K101" i="3"/>
  <c r="K604" i="3"/>
  <c r="K412" i="3"/>
  <c r="K220" i="3"/>
  <c r="K28" i="3"/>
  <c r="K531" i="3"/>
  <c r="K339" i="3"/>
  <c r="K147" i="3"/>
  <c r="K577" i="3"/>
  <c r="K385" i="3"/>
  <c r="K696" i="3"/>
  <c r="K504" i="3"/>
  <c r="K312" i="3"/>
  <c r="K623" i="3"/>
  <c r="K431" i="3"/>
  <c r="K239" i="3"/>
  <c r="K550" i="3"/>
  <c r="K358" i="3"/>
  <c r="K669" i="3"/>
  <c r="K477" i="3"/>
  <c r="K285" i="3"/>
  <c r="K596" i="3"/>
  <c r="K404" i="3"/>
  <c r="K715" i="3"/>
  <c r="K523" i="3"/>
  <c r="K331" i="3"/>
  <c r="K642" i="3"/>
  <c r="K450" i="3"/>
  <c r="K258" i="3"/>
  <c r="K569" i="3"/>
  <c r="K377" i="3"/>
  <c r="K688" i="3"/>
  <c r="K496" i="3"/>
  <c r="K304" i="3"/>
  <c r="K615" i="3"/>
  <c r="K423" i="3"/>
  <c r="K231" i="3"/>
  <c r="K542" i="3"/>
  <c r="K350" i="3"/>
  <c r="K661" i="3"/>
  <c r="K469" i="3"/>
  <c r="K277" i="3"/>
  <c r="K588" i="3"/>
  <c r="K396" i="3"/>
  <c r="K707" i="3"/>
  <c r="K515" i="3"/>
  <c r="K323" i="3"/>
  <c r="K634" i="3"/>
  <c r="K442" i="3"/>
  <c r="K250" i="3"/>
  <c r="K561" i="3"/>
  <c r="K369" i="3"/>
  <c r="K680" i="3"/>
  <c r="K488" i="3"/>
  <c r="K296" i="3"/>
  <c r="K607" i="3"/>
  <c r="K415" i="3"/>
  <c r="K223" i="3"/>
  <c r="K534" i="3"/>
  <c r="K342" i="3"/>
  <c r="K653" i="3"/>
  <c r="K461" i="3"/>
  <c r="K269" i="3"/>
  <c r="K580" i="3"/>
  <c r="K388" i="3"/>
  <c r="K699" i="3"/>
  <c r="K507" i="3"/>
  <c r="K315" i="3"/>
  <c r="AG130" i="5" l="1"/>
  <c r="E130" i="5"/>
  <c r="K554" i="3"/>
  <c r="Z97" i="5"/>
  <c r="K650" i="3"/>
  <c r="AD97" i="5"/>
  <c r="K290" i="3"/>
  <c r="O97" i="5"/>
  <c r="K22" i="3"/>
  <c r="AH92" i="5"/>
  <c r="K7" i="3"/>
  <c r="AH77" i="5"/>
  <c r="K386" i="3"/>
  <c r="S97" i="5"/>
  <c r="K2" i="3"/>
  <c r="C97" i="5"/>
  <c r="AH72" i="5"/>
  <c r="K3" i="3"/>
  <c r="AH73" i="5"/>
  <c r="K14" i="3"/>
  <c r="AH84" i="5"/>
  <c r="K482" i="3"/>
  <c r="W97" i="5"/>
  <c r="K122" i="3"/>
  <c r="H97" i="5"/>
  <c r="K15" i="3"/>
  <c r="AH85" i="5"/>
  <c r="K578" i="3"/>
  <c r="AA97" i="5"/>
  <c r="K26" i="3"/>
  <c r="D97" i="5"/>
  <c r="K11" i="3"/>
  <c r="AH81" i="5"/>
  <c r="K194" i="3"/>
  <c r="K97" i="5"/>
  <c r="K18" i="3"/>
  <c r="AH88" i="5"/>
  <c r="K4" i="3"/>
  <c r="AH74" i="5"/>
  <c r="K674" i="3"/>
  <c r="AE97" i="5"/>
  <c r="K314" i="3"/>
  <c r="P97" i="5"/>
  <c r="K23" i="3"/>
  <c r="AH93" i="5"/>
  <c r="K8" i="3"/>
  <c r="AH78" i="5"/>
  <c r="K218" i="3"/>
  <c r="L97" i="5"/>
  <c r="K19" i="3"/>
  <c r="AH89" i="5"/>
  <c r="K98" i="3"/>
  <c r="G97" i="5"/>
  <c r="K242" i="3"/>
  <c r="M97" i="5"/>
  <c r="K12" i="3"/>
  <c r="AH82" i="5"/>
  <c r="K506" i="3"/>
  <c r="X97" i="5"/>
  <c r="K146" i="3"/>
  <c r="I97" i="5"/>
  <c r="K16" i="3"/>
  <c r="AH86" i="5"/>
  <c r="K410" i="3"/>
  <c r="T97" i="5"/>
  <c r="K434" i="3"/>
  <c r="U97" i="5"/>
  <c r="K20" i="3"/>
  <c r="AH90" i="5"/>
  <c r="K5" i="3"/>
  <c r="AH75" i="5"/>
  <c r="K698" i="3"/>
  <c r="AF97" i="5"/>
  <c r="K338" i="3"/>
  <c r="Q97" i="5"/>
  <c r="K24" i="3"/>
  <c r="AH94" i="5"/>
  <c r="K9" i="3"/>
  <c r="AH79" i="5"/>
  <c r="K602" i="3"/>
  <c r="AB97" i="5"/>
  <c r="K458" i="3"/>
  <c r="V97" i="5"/>
  <c r="K626" i="3"/>
  <c r="AC97" i="5"/>
  <c r="K74" i="3"/>
  <c r="F97" i="5"/>
  <c r="K13" i="3"/>
  <c r="AH83" i="5"/>
  <c r="K530" i="3"/>
  <c r="Y97" i="5"/>
  <c r="K170" i="3"/>
  <c r="J97" i="5"/>
  <c r="K17" i="3"/>
  <c r="AH87" i="5"/>
  <c r="E97" i="5"/>
  <c r="K266" i="3"/>
  <c r="N97" i="5"/>
  <c r="K21" i="3"/>
  <c r="AH91" i="5"/>
  <c r="K6" i="3"/>
  <c r="AH76" i="5"/>
  <c r="K362" i="3"/>
  <c r="R97" i="5"/>
  <c r="K25" i="3"/>
  <c r="AH95" i="5"/>
  <c r="K10" i="3"/>
  <c r="AH80" i="5"/>
  <c r="AF1" i="3"/>
  <c r="AA9" i="1" l="1"/>
  <c r="AA33" i="1"/>
  <c r="AA30" i="1"/>
  <c r="AA35" i="1"/>
  <c r="AA36" i="1"/>
  <c r="AA31" i="1"/>
  <c r="AA37" i="1"/>
  <c r="AA34" i="1"/>
  <c r="AA32" i="1"/>
  <c r="K9" i="1"/>
  <c r="K31" i="1"/>
  <c r="K37" i="1"/>
  <c r="K34" i="1"/>
  <c r="K30" i="1"/>
  <c r="K32" i="1"/>
  <c r="K33" i="1"/>
  <c r="K35" i="1"/>
  <c r="K36" i="1"/>
  <c r="J9" i="1"/>
  <c r="J30" i="1"/>
  <c r="J34" i="1"/>
  <c r="J35" i="1"/>
  <c r="J32" i="1"/>
  <c r="J31" i="1"/>
  <c r="J33" i="1"/>
  <c r="J37" i="1"/>
  <c r="J36" i="1"/>
  <c r="N9" i="1"/>
  <c r="N37" i="1"/>
  <c r="N31" i="1"/>
  <c r="N30" i="1"/>
  <c r="N33" i="1"/>
  <c r="N34" i="1"/>
  <c r="N32" i="1"/>
  <c r="N35" i="1"/>
  <c r="N36" i="1"/>
  <c r="M9" i="1"/>
  <c r="M33" i="1"/>
  <c r="M34" i="1"/>
  <c r="M36" i="1"/>
  <c r="M35" i="1"/>
  <c r="M31" i="1"/>
  <c r="M32" i="1"/>
  <c r="M37" i="1"/>
  <c r="M30" i="1"/>
  <c r="Z9" i="1"/>
  <c r="Z35" i="1"/>
  <c r="Z33" i="1"/>
  <c r="Z30" i="1"/>
  <c r="Z31" i="1"/>
  <c r="Z32" i="1"/>
  <c r="Z34" i="1"/>
  <c r="Z37" i="1"/>
  <c r="Z36" i="1"/>
  <c r="Y9" i="1"/>
  <c r="Y31" i="1"/>
  <c r="Y33" i="1"/>
  <c r="Y35" i="1"/>
  <c r="Y30" i="1"/>
  <c r="Y36" i="1"/>
  <c r="Y32" i="1"/>
  <c r="Y34" i="1"/>
  <c r="Y37" i="1"/>
  <c r="X9" i="1"/>
  <c r="X30" i="1"/>
  <c r="X31" i="1"/>
  <c r="X35" i="1"/>
  <c r="X36" i="1"/>
  <c r="X37" i="1"/>
  <c r="X34" i="1"/>
  <c r="X32" i="1"/>
  <c r="X33" i="1"/>
  <c r="W9" i="1"/>
  <c r="W30" i="1"/>
  <c r="W36" i="1"/>
  <c r="W33" i="1"/>
  <c r="W31" i="1"/>
  <c r="W34" i="1"/>
  <c r="W32" i="1"/>
  <c r="W35" i="1"/>
  <c r="W37" i="1"/>
  <c r="I9" i="1"/>
  <c r="I35" i="1"/>
  <c r="I36" i="1"/>
  <c r="I37" i="1"/>
  <c r="I31" i="1"/>
  <c r="I33" i="1"/>
  <c r="I30" i="1"/>
  <c r="I34" i="1"/>
  <c r="I32" i="1"/>
  <c r="V9" i="1"/>
  <c r="V35" i="1"/>
  <c r="V34" i="1"/>
  <c r="V36" i="1"/>
  <c r="V30" i="1"/>
  <c r="V31" i="1"/>
  <c r="V37" i="1"/>
  <c r="V32" i="1"/>
  <c r="V33" i="1"/>
  <c r="AG9" i="1"/>
  <c r="AG36" i="1"/>
  <c r="AG30" i="1"/>
  <c r="AG31" i="1"/>
  <c r="AG34" i="1"/>
  <c r="AG32" i="1"/>
  <c r="AG33" i="1"/>
  <c r="AG35" i="1"/>
  <c r="AG37" i="1"/>
  <c r="AF9" i="1"/>
  <c r="AF33" i="1"/>
  <c r="AF30" i="1"/>
  <c r="AF34" i="1"/>
  <c r="AF35" i="1"/>
  <c r="AF31" i="1"/>
  <c r="AF37" i="1"/>
  <c r="AF36" i="1"/>
  <c r="AF32" i="1"/>
  <c r="R9" i="1"/>
  <c r="R37" i="1"/>
  <c r="R30" i="1"/>
  <c r="R36" i="1"/>
  <c r="R35" i="1"/>
  <c r="R32" i="1"/>
  <c r="R31" i="1"/>
  <c r="R33" i="1"/>
  <c r="R34" i="1"/>
  <c r="AE9" i="1"/>
  <c r="AE36" i="1"/>
  <c r="AE35" i="1"/>
  <c r="AE30" i="1"/>
  <c r="AE34" i="1"/>
  <c r="AE33" i="1"/>
  <c r="AE32" i="1"/>
  <c r="AE31" i="1"/>
  <c r="AE37" i="1"/>
  <c r="AD9" i="1"/>
  <c r="AD36" i="1"/>
  <c r="AD30" i="1"/>
  <c r="AD32" i="1"/>
  <c r="AD31" i="1"/>
  <c r="AD33" i="1"/>
  <c r="AD35" i="1"/>
  <c r="AD37" i="1"/>
  <c r="AD34" i="1"/>
  <c r="P9" i="1"/>
  <c r="P31" i="1"/>
  <c r="P33" i="1"/>
  <c r="P30" i="1"/>
  <c r="P35" i="1"/>
  <c r="P32" i="1"/>
  <c r="P36" i="1"/>
  <c r="P37" i="1"/>
  <c r="P34" i="1"/>
  <c r="AB9" i="1"/>
  <c r="AB35" i="1"/>
  <c r="AB36" i="1"/>
  <c r="AB34" i="1"/>
  <c r="AB30" i="1"/>
  <c r="AB33" i="1"/>
  <c r="AB37" i="1"/>
  <c r="AB32" i="1"/>
  <c r="AB31" i="1"/>
  <c r="L9" i="1"/>
  <c r="L36" i="1"/>
  <c r="L30" i="1"/>
  <c r="L37" i="1"/>
  <c r="L33" i="1"/>
  <c r="L34" i="1"/>
  <c r="L35" i="1"/>
  <c r="L32" i="1"/>
  <c r="L31" i="1"/>
  <c r="G9" i="1"/>
  <c r="G31" i="1"/>
  <c r="G37" i="1"/>
  <c r="G30" i="1"/>
  <c r="G36" i="1"/>
  <c r="G34" i="1"/>
  <c r="G32" i="1"/>
  <c r="G33" i="1"/>
  <c r="G35" i="1"/>
  <c r="D2" i="3"/>
  <c r="D32" i="1"/>
  <c r="D36" i="1"/>
  <c r="D30" i="1"/>
  <c r="D33" i="1"/>
  <c r="D37" i="1"/>
  <c r="D31" i="1"/>
  <c r="D34" i="1"/>
  <c r="D35" i="1"/>
  <c r="U9" i="1"/>
  <c r="U36" i="1"/>
  <c r="U30" i="1"/>
  <c r="U32" i="1"/>
  <c r="U31" i="1"/>
  <c r="U37" i="1"/>
  <c r="U35" i="1"/>
  <c r="U33" i="1"/>
  <c r="U34" i="1"/>
  <c r="F9" i="1"/>
  <c r="F34" i="1"/>
  <c r="F35" i="1"/>
  <c r="F31" i="1"/>
  <c r="F37" i="1"/>
  <c r="F32" i="1"/>
  <c r="F33" i="1"/>
  <c r="F36" i="1"/>
  <c r="F30" i="1"/>
  <c r="AH9" i="1"/>
  <c r="AH31" i="1"/>
  <c r="AH33" i="1"/>
  <c r="AH32" i="1"/>
  <c r="AH30" i="1"/>
  <c r="AH36" i="1"/>
  <c r="AH35" i="1"/>
  <c r="AH34" i="1"/>
  <c r="AH37" i="1"/>
  <c r="T9" i="1"/>
  <c r="T37" i="1"/>
  <c r="T35" i="1"/>
  <c r="T32" i="1"/>
  <c r="T36" i="1"/>
  <c r="T30" i="1"/>
  <c r="T31" i="1"/>
  <c r="T34" i="1"/>
  <c r="T33" i="1"/>
  <c r="E9" i="1"/>
  <c r="E32" i="1"/>
  <c r="E37" i="1"/>
  <c r="E34" i="1"/>
  <c r="E35" i="1"/>
  <c r="E30" i="1"/>
  <c r="E36" i="1"/>
  <c r="E31" i="1"/>
  <c r="E33" i="1"/>
  <c r="S9" i="1"/>
  <c r="S34" i="1"/>
  <c r="S32" i="1"/>
  <c r="S37" i="1"/>
  <c r="S33" i="1"/>
  <c r="S30" i="1"/>
  <c r="S31" i="1"/>
  <c r="S36" i="1"/>
  <c r="S35" i="1"/>
  <c r="Q9" i="1"/>
  <c r="Q33" i="1"/>
  <c r="Q34" i="1"/>
  <c r="Q37" i="1"/>
  <c r="Q31" i="1"/>
  <c r="Q36" i="1"/>
  <c r="Q35" i="1"/>
  <c r="Q32" i="1"/>
  <c r="Q30" i="1"/>
  <c r="AC9" i="1"/>
  <c r="AC31" i="1"/>
  <c r="AC34" i="1"/>
  <c r="AC35" i="1"/>
  <c r="AC33" i="1"/>
  <c r="AC30" i="1"/>
  <c r="AC36" i="1"/>
  <c r="AC32" i="1"/>
  <c r="AC37" i="1"/>
  <c r="O9" i="1"/>
  <c r="O34" i="1"/>
  <c r="O31" i="1"/>
  <c r="O35" i="1"/>
  <c r="O36" i="1"/>
  <c r="O33" i="1"/>
  <c r="O37" i="1"/>
  <c r="O32" i="1"/>
  <c r="O30" i="1"/>
  <c r="AG1" i="3"/>
  <c r="B25" i="1" s="1"/>
  <c r="B53" i="1" s="1"/>
  <c r="H130" i="5"/>
  <c r="W130" i="5"/>
  <c r="O130" i="5"/>
  <c r="N130" i="5"/>
  <c r="V130" i="5"/>
  <c r="M130" i="5"/>
  <c r="G130" i="5"/>
  <c r="J130" i="5"/>
  <c r="T130" i="5"/>
  <c r="Y130" i="5"/>
  <c r="K130" i="5"/>
  <c r="R130" i="5"/>
  <c r="AD130" i="5"/>
  <c r="AE130" i="5"/>
  <c r="I130" i="5"/>
  <c r="Z130" i="5"/>
  <c r="AB130" i="5"/>
  <c r="U130" i="5"/>
  <c r="X130" i="5"/>
  <c r="S130" i="5"/>
  <c r="L130" i="5"/>
  <c r="Q130" i="5"/>
  <c r="F130" i="5"/>
  <c r="AF130" i="5"/>
  <c r="D130" i="5"/>
  <c r="C130" i="5"/>
  <c r="AC130" i="5"/>
  <c r="P130" i="5"/>
  <c r="AA130" i="5"/>
  <c r="D27" i="3"/>
  <c r="D35" i="3"/>
  <c r="D43" i="3"/>
  <c r="D51" i="3"/>
  <c r="D59" i="3"/>
  <c r="D67" i="3"/>
  <c r="D75" i="3"/>
  <c r="D83" i="3"/>
  <c r="D91" i="3"/>
  <c r="D99" i="3"/>
  <c r="D107" i="3"/>
  <c r="D115" i="3"/>
  <c r="D123" i="3"/>
  <c r="D131" i="3"/>
  <c r="D139" i="3"/>
  <c r="D147" i="3"/>
  <c r="D155" i="3"/>
  <c r="D163" i="3"/>
  <c r="D171" i="3"/>
  <c r="D179" i="3"/>
  <c r="D187" i="3"/>
  <c r="D195" i="3"/>
  <c r="D203" i="3"/>
  <c r="D211" i="3"/>
  <c r="D219" i="3"/>
  <c r="D227" i="3"/>
  <c r="D235" i="3"/>
  <c r="D243" i="3"/>
  <c r="D251" i="3"/>
  <c r="D259" i="3"/>
  <c r="D267" i="3"/>
  <c r="D275" i="3"/>
  <c r="D283" i="3"/>
  <c r="D291" i="3"/>
  <c r="D299" i="3"/>
  <c r="D307" i="3"/>
  <c r="D315" i="3"/>
  <c r="D323" i="3"/>
  <c r="D331" i="3"/>
  <c r="D339" i="3"/>
  <c r="D347" i="3"/>
  <c r="D355" i="3"/>
  <c r="D363" i="3"/>
  <c r="D371" i="3"/>
  <c r="D379" i="3"/>
  <c r="D387" i="3"/>
  <c r="D395" i="3"/>
  <c r="D403" i="3"/>
  <c r="D411" i="3"/>
  <c r="D419" i="3"/>
  <c r="D427" i="3"/>
  <c r="D435" i="3"/>
  <c r="D443" i="3"/>
  <c r="D451" i="3"/>
  <c r="D459" i="3"/>
  <c r="D467" i="3"/>
  <c r="D475" i="3"/>
  <c r="D483" i="3"/>
  <c r="D491" i="3"/>
  <c r="D499" i="3"/>
  <c r="D507" i="3"/>
  <c r="D515" i="3"/>
  <c r="D523" i="3"/>
  <c r="D531" i="3"/>
  <c r="D539" i="3"/>
  <c r="D547" i="3"/>
  <c r="D555" i="3"/>
  <c r="D563" i="3"/>
  <c r="D571" i="3"/>
  <c r="D579" i="3"/>
  <c r="D587" i="3"/>
  <c r="D595" i="3"/>
  <c r="D603" i="3"/>
  <c r="D611" i="3"/>
  <c r="D619" i="3"/>
  <c r="D28" i="3"/>
  <c r="D36" i="3"/>
  <c r="D44" i="3"/>
  <c r="D52" i="3"/>
  <c r="D60" i="3"/>
  <c r="D68" i="3"/>
  <c r="D76" i="3"/>
  <c r="D84" i="3"/>
  <c r="D92" i="3"/>
  <c r="D100" i="3"/>
  <c r="D108" i="3"/>
  <c r="D116" i="3"/>
  <c r="D124" i="3"/>
  <c r="D132" i="3"/>
  <c r="D140" i="3"/>
  <c r="D148" i="3"/>
  <c r="D156" i="3"/>
  <c r="D164" i="3"/>
  <c r="D172" i="3"/>
  <c r="D180" i="3"/>
  <c r="D188" i="3"/>
  <c r="D196" i="3"/>
  <c r="D204" i="3"/>
  <c r="D212" i="3"/>
  <c r="D220" i="3"/>
  <c r="D228" i="3"/>
  <c r="D236" i="3"/>
  <c r="D244" i="3"/>
  <c r="D252" i="3"/>
  <c r="D260" i="3"/>
  <c r="D268" i="3"/>
  <c r="D276" i="3"/>
  <c r="D284" i="3"/>
  <c r="D292" i="3"/>
  <c r="D300" i="3"/>
  <c r="D308" i="3"/>
  <c r="D316" i="3"/>
  <c r="D324" i="3"/>
  <c r="D332" i="3"/>
  <c r="D340" i="3"/>
  <c r="D348" i="3"/>
  <c r="D356" i="3"/>
  <c r="D364" i="3"/>
  <c r="D372" i="3"/>
  <c r="D380" i="3"/>
  <c r="D388" i="3"/>
  <c r="D396" i="3"/>
  <c r="D404" i="3"/>
  <c r="D412" i="3"/>
  <c r="D420" i="3"/>
  <c r="D428" i="3"/>
  <c r="D436" i="3"/>
  <c r="D444" i="3"/>
  <c r="D452" i="3"/>
  <c r="D460" i="3"/>
  <c r="D468" i="3"/>
  <c r="D476" i="3"/>
  <c r="D484" i="3"/>
  <c r="D492" i="3"/>
  <c r="D500" i="3"/>
  <c r="D508" i="3"/>
  <c r="D516" i="3"/>
  <c r="D524" i="3"/>
  <c r="D532" i="3"/>
  <c r="D540" i="3"/>
  <c r="D548" i="3"/>
  <c r="D556" i="3"/>
  <c r="D564" i="3"/>
  <c r="D572" i="3"/>
  <c r="D580" i="3"/>
  <c r="D588" i="3"/>
  <c r="D596" i="3"/>
  <c r="D604" i="3"/>
  <c r="D612" i="3"/>
  <c r="D620" i="3"/>
  <c r="D628" i="3"/>
  <c r="D636" i="3"/>
  <c r="D644" i="3"/>
  <c r="D652" i="3"/>
  <c r="D660" i="3"/>
  <c r="D668" i="3"/>
  <c r="D676" i="3"/>
  <c r="D29" i="3"/>
  <c r="D37" i="3"/>
  <c r="D45" i="3"/>
  <c r="D53" i="3"/>
  <c r="D61" i="3"/>
  <c r="D69" i="3"/>
  <c r="D77" i="3"/>
  <c r="D85" i="3"/>
  <c r="D93" i="3"/>
  <c r="D101" i="3"/>
  <c r="D109" i="3"/>
  <c r="D117" i="3"/>
  <c r="D125" i="3"/>
  <c r="D133" i="3"/>
  <c r="D141" i="3"/>
  <c r="D149" i="3"/>
  <c r="D157" i="3"/>
  <c r="D165" i="3"/>
  <c r="D173" i="3"/>
  <c r="D181" i="3"/>
  <c r="D189" i="3"/>
  <c r="D197" i="3"/>
  <c r="D205" i="3"/>
  <c r="D213" i="3"/>
  <c r="D221" i="3"/>
  <c r="D229" i="3"/>
  <c r="D237" i="3"/>
  <c r="D245" i="3"/>
  <c r="D253" i="3"/>
  <c r="D261" i="3"/>
  <c r="D269" i="3"/>
  <c r="D277" i="3"/>
  <c r="D285" i="3"/>
  <c r="D293" i="3"/>
  <c r="D301" i="3"/>
  <c r="D309" i="3"/>
  <c r="D317" i="3"/>
  <c r="D325" i="3"/>
  <c r="D333" i="3"/>
  <c r="D341" i="3"/>
  <c r="D349" i="3"/>
  <c r="D357" i="3"/>
  <c r="D365" i="3"/>
  <c r="D373" i="3"/>
  <c r="D381" i="3"/>
  <c r="D389" i="3"/>
  <c r="D397" i="3"/>
  <c r="D405" i="3"/>
  <c r="D413" i="3"/>
  <c r="D421" i="3"/>
  <c r="D429" i="3"/>
  <c r="D437" i="3"/>
  <c r="D445" i="3"/>
  <c r="D453" i="3"/>
  <c r="D461" i="3"/>
  <c r="D469" i="3"/>
  <c r="D477" i="3"/>
  <c r="D485" i="3"/>
  <c r="D493" i="3"/>
  <c r="D501" i="3"/>
  <c r="D509" i="3"/>
  <c r="D517" i="3"/>
  <c r="D525" i="3"/>
  <c r="D533" i="3"/>
  <c r="D541" i="3"/>
  <c r="D549" i="3"/>
  <c r="D30" i="3"/>
  <c r="D38" i="3"/>
  <c r="D46" i="3"/>
  <c r="D54" i="3"/>
  <c r="D62" i="3"/>
  <c r="D70" i="3"/>
  <c r="D78" i="3"/>
  <c r="D86" i="3"/>
  <c r="D94" i="3"/>
  <c r="D102" i="3"/>
  <c r="D110" i="3"/>
  <c r="D118" i="3"/>
  <c r="D126" i="3"/>
  <c r="D134" i="3"/>
  <c r="D142" i="3"/>
  <c r="D150" i="3"/>
  <c r="D158" i="3"/>
  <c r="D166" i="3"/>
  <c r="D174" i="3"/>
  <c r="D182" i="3"/>
  <c r="D190" i="3"/>
  <c r="D198" i="3"/>
  <c r="D206" i="3"/>
  <c r="D214" i="3"/>
  <c r="D222" i="3"/>
  <c r="D230" i="3"/>
  <c r="D238" i="3"/>
  <c r="D246" i="3"/>
  <c r="D254" i="3"/>
  <c r="D262" i="3"/>
  <c r="D270" i="3"/>
  <c r="D278" i="3"/>
  <c r="D286" i="3"/>
  <c r="D294" i="3"/>
  <c r="D302" i="3"/>
  <c r="D310" i="3"/>
  <c r="D318" i="3"/>
  <c r="D326" i="3"/>
  <c r="D334" i="3"/>
  <c r="D342" i="3"/>
  <c r="D350" i="3"/>
  <c r="D358" i="3"/>
  <c r="D366" i="3"/>
  <c r="D374" i="3"/>
  <c r="D382" i="3"/>
  <c r="D390" i="3"/>
  <c r="D398" i="3"/>
  <c r="D406" i="3"/>
  <c r="D414" i="3"/>
  <c r="D422" i="3"/>
  <c r="D430" i="3"/>
  <c r="D438" i="3"/>
  <c r="D446" i="3"/>
  <c r="D454" i="3"/>
  <c r="D462" i="3"/>
  <c r="D470" i="3"/>
  <c r="D478" i="3"/>
  <c r="D486" i="3"/>
  <c r="D494" i="3"/>
  <c r="D502" i="3"/>
  <c r="D510" i="3"/>
  <c r="D518" i="3"/>
  <c r="D526" i="3"/>
  <c r="D534" i="3"/>
  <c r="D542" i="3"/>
  <c r="D550" i="3"/>
  <c r="D558" i="3"/>
  <c r="D566" i="3"/>
  <c r="D574" i="3"/>
  <c r="D582" i="3"/>
  <c r="D31" i="3"/>
  <c r="D39" i="3"/>
  <c r="D47" i="3"/>
  <c r="D55" i="3"/>
  <c r="D63" i="3"/>
  <c r="D71" i="3"/>
  <c r="D79" i="3"/>
  <c r="D87" i="3"/>
  <c r="D95" i="3"/>
  <c r="D103" i="3"/>
  <c r="D111" i="3"/>
  <c r="D119" i="3"/>
  <c r="D127" i="3"/>
  <c r="D135" i="3"/>
  <c r="D33" i="3"/>
  <c r="D41" i="3"/>
  <c r="D49" i="3"/>
  <c r="D57" i="3"/>
  <c r="D65" i="3"/>
  <c r="D73" i="3"/>
  <c r="D81" i="3"/>
  <c r="D89" i="3"/>
  <c r="D97" i="3"/>
  <c r="D105" i="3"/>
  <c r="D113" i="3"/>
  <c r="D121" i="3"/>
  <c r="D129" i="3"/>
  <c r="D137" i="3"/>
  <c r="D145" i="3"/>
  <c r="D153" i="3"/>
  <c r="D161" i="3"/>
  <c r="D169" i="3"/>
  <c r="D177" i="3"/>
  <c r="D185" i="3"/>
  <c r="D193" i="3"/>
  <c r="D201" i="3"/>
  <c r="D209" i="3"/>
  <c r="D217" i="3"/>
  <c r="D225" i="3"/>
  <c r="D233" i="3"/>
  <c r="D241" i="3"/>
  <c r="D249" i="3"/>
  <c r="D257" i="3"/>
  <c r="D265" i="3"/>
  <c r="D273" i="3"/>
  <c r="D281" i="3"/>
  <c r="D289" i="3"/>
  <c r="D297" i="3"/>
  <c r="D305" i="3"/>
  <c r="D313" i="3"/>
  <c r="D321" i="3"/>
  <c r="D329" i="3"/>
  <c r="D337" i="3"/>
  <c r="D345" i="3"/>
  <c r="D353" i="3"/>
  <c r="D361" i="3"/>
  <c r="D369" i="3"/>
  <c r="D377" i="3"/>
  <c r="D385" i="3"/>
  <c r="D393" i="3"/>
  <c r="D401" i="3"/>
  <c r="D409" i="3"/>
  <c r="D417" i="3"/>
  <c r="D425" i="3"/>
  <c r="D433" i="3"/>
  <c r="D441" i="3"/>
  <c r="D449" i="3"/>
  <c r="D457" i="3"/>
  <c r="D465" i="3"/>
  <c r="D473" i="3"/>
  <c r="D481" i="3"/>
  <c r="D489" i="3"/>
  <c r="D497" i="3"/>
  <c r="D505" i="3"/>
  <c r="D513" i="3"/>
  <c r="D40" i="3"/>
  <c r="D72" i="3"/>
  <c r="D104" i="3"/>
  <c r="D136" i="3"/>
  <c r="D159" i="3"/>
  <c r="D178" i="3"/>
  <c r="D200" i="3"/>
  <c r="D223" i="3"/>
  <c r="D242" i="3"/>
  <c r="D264" i="3"/>
  <c r="D287" i="3"/>
  <c r="D306" i="3"/>
  <c r="D328" i="3"/>
  <c r="D351" i="3"/>
  <c r="D370" i="3"/>
  <c r="D392" i="3"/>
  <c r="D415" i="3"/>
  <c r="D434" i="3"/>
  <c r="D456" i="3"/>
  <c r="D479" i="3"/>
  <c r="D498" i="3"/>
  <c r="D520" i="3"/>
  <c r="D536" i="3"/>
  <c r="D552" i="3"/>
  <c r="D565" i="3"/>
  <c r="D577" i="3"/>
  <c r="D590" i="3"/>
  <c r="D600" i="3"/>
  <c r="D610" i="3"/>
  <c r="D622" i="3"/>
  <c r="D631" i="3"/>
  <c r="D640" i="3"/>
  <c r="D649" i="3"/>
  <c r="D658" i="3"/>
  <c r="D667" i="3"/>
  <c r="D677" i="3"/>
  <c r="D685" i="3"/>
  <c r="D693" i="3"/>
  <c r="D701" i="3"/>
  <c r="D709" i="3"/>
  <c r="D717" i="3"/>
  <c r="D725" i="3"/>
  <c r="D733" i="3"/>
  <c r="D741" i="3"/>
  <c r="D176" i="3"/>
  <c r="D218" i="3"/>
  <c r="D304" i="3"/>
  <c r="D410" i="3"/>
  <c r="D455" i="3"/>
  <c r="D599" i="3"/>
  <c r="D692" i="3"/>
  <c r="D42" i="3"/>
  <c r="D74" i="3"/>
  <c r="D106" i="3"/>
  <c r="D138" i="3"/>
  <c r="D160" i="3"/>
  <c r="D183" i="3"/>
  <c r="D202" i="3"/>
  <c r="D224" i="3"/>
  <c r="D247" i="3"/>
  <c r="D266" i="3"/>
  <c r="D288" i="3"/>
  <c r="D311" i="3"/>
  <c r="D330" i="3"/>
  <c r="D352" i="3"/>
  <c r="D375" i="3"/>
  <c r="D394" i="3"/>
  <c r="D416" i="3"/>
  <c r="D439" i="3"/>
  <c r="D458" i="3"/>
  <c r="D480" i="3"/>
  <c r="D503" i="3"/>
  <c r="D521" i="3"/>
  <c r="D537" i="3"/>
  <c r="D553" i="3"/>
  <c r="D567" i="3"/>
  <c r="D578" i="3"/>
  <c r="D591" i="3"/>
  <c r="D601" i="3"/>
  <c r="D613" i="3"/>
  <c r="D623" i="3"/>
  <c r="D632" i="3"/>
  <c r="D641" i="3"/>
  <c r="D650" i="3"/>
  <c r="D659" i="3"/>
  <c r="D669" i="3"/>
  <c r="D678" i="3"/>
  <c r="D686" i="3"/>
  <c r="D694" i="3"/>
  <c r="D702" i="3"/>
  <c r="D710" i="3"/>
  <c r="D718" i="3"/>
  <c r="D726" i="3"/>
  <c r="D734" i="3"/>
  <c r="D742" i="3"/>
  <c r="D199" i="3"/>
  <c r="D562" i="3"/>
  <c r="D630" i="3"/>
  <c r="D666" i="3"/>
  <c r="D740" i="3"/>
  <c r="D48" i="3"/>
  <c r="D80" i="3"/>
  <c r="D112" i="3"/>
  <c r="D143" i="3"/>
  <c r="D162" i="3"/>
  <c r="D184" i="3"/>
  <c r="D207" i="3"/>
  <c r="D226" i="3"/>
  <c r="D248" i="3"/>
  <c r="D271" i="3"/>
  <c r="D290" i="3"/>
  <c r="D312" i="3"/>
  <c r="D335" i="3"/>
  <c r="D354" i="3"/>
  <c r="D376" i="3"/>
  <c r="D399" i="3"/>
  <c r="D418" i="3"/>
  <c r="D440" i="3"/>
  <c r="D463" i="3"/>
  <c r="D482" i="3"/>
  <c r="D504" i="3"/>
  <c r="D522" i="3"/>
  <c r="D538" i="3"/>
  <c r="D554" i="3"/>
  <c r="D568" i="3"/>
  <c r="D581" i="3"/>
  <c r="D592" i="3"/>
  <c r="D602" i="3"/>
  <c r="D614" i="3"/>
  <c r="D624" i="3"/>
  <c r="D633" i="3"/>
  <c r="D642" i="3"/>
  <c r="D651" i="3"/>
  <c r="D661" i="3"/>
  <c r="D670" i="3"/>
  <c r="D679" i="3"/>
  <c r="D687" i="3"/>
  <c r="D695" i="3"/>
  <c r="D703" i="3"/>
  <c r="D711" i="3"/>
  <c r="D719" i="3"/>
  <c r="D727" i="3"/>
  <c r="D735" i="3"/>
  <c r="D743" i="3"/>
  <c r="D154" i="3"/>
  <c r="D263" i="3"/>
  <c r="D391" i="3"/>
  <c r="D496" i="3"/>
  <c r="D621" i="3"/>
  <c r="D700" i="3"/>
  <c r="D724" i="3"/>
  <c r="D50" i="3"/>
  <c r="D82" i="3"/>
  <c r="D114" i="3"/>
  <c r="D144" i="3"/>
  <c r="D167" i="3"/>
  <c r="D186" i="3"/>
  <c r="D208" i="3"/>
  <c r="D231" i="3"/>
  <c r="D250" i="3"/>
  <c r="D272" i="3"/>
  <c r="D295" i="3"/>
  <c r="D314" i="3"/>
  <c r="D336" i="3"/>
  <c r="D359" i="3"/>
  <c r="D378" i="3"/>
  <c r="D400" i="3"/>
  <c r="D423" i="3"/>
  <c r="D442" i="3"/>
  <c r="D464" i="3"/>
  <c r="D487" i="3"/>
  <c r="D506" i="3"/>
  <c r="D527" i="3"/>
  <c r="D543" i="3"/>
  <c r="D557" i="3"/>
  <c r="D569" i="3"/>
  <c r="D583" i="3"/>
  <c r="D593" i="3"/>
  <c r="D605" i="3"/>
  <c r="D615" i="3"/>
  <c r="D625" i="3"/>
  <c r="D634" i="3"/>
  <c r="D643" i="3"/>
  <c r="D653" i="3"/>
  <c r="D662" i="3"/>
  <c r="D671" i="3"/>
  <c r="D680" i="3"/>
  <c r="D688" i="3"/>
  <c r="D696" i="3"/>
  <c r="D704" i="3"/>
  <c r="D712" i="3"/>
  <c r="D720" i="3"/>
  <c r="D728" i="3"/>
  <c r="D736" i="3"/>
  <c r="D744" i="3"/>
  <c r="D130" i="3"/>
  <c r="D240" i="3"/>
  <c r="D346" i="3"/>
  <c r="D519" i="3"/>
  <c r="D609" i="3"/>
  <c r="D648" i="3"/>
  <c r="D56" i="3"/>
  <c r="D88" i="3"/>
  <c r="D120" i="3"/>
  <c r="D146" i="3"/>
  <c r="D168" i="3"/>
  <c r="D191" i="3"/>
  <c r="D210" i="3"/>
  <c r="D232" i="3"/>
  <c r="D255" i="3"/>
  <c r="D274" i="3"/>
  <c r="D296" i="3"/>
  <c r="D319" i="3"/>
  <c r="D338" i="3"/>
  <c r="D360" i="3"/>
  <c r="D383" i="3"/>
  <c r="D402" i="3"/>
  <c r="D424" i="3"/>
  <c r="D447" i="3"/>
  <c r="D466" i="3"/>
  <c r="D488" i="3"/>
  <c r="D511" i="3"/>
  <c r="D528" i="3"/>
  <c r="D544" i="3"/>
  <c r="D559" i="3"/>
  <c r="D570" i="3"/>
  <c r="D584" i="3"/>
  <c r="D594" i="3"/>
  <c r="D606" i="3"/>
  <c r="D616" i="3"/>
  <c r="D626" i="3"/>
  <c r="D635" i="3"/>
  <c r="D645" i="3"/>
  <c r="D654" i="3"/>
  <c r="D663" i="3"/>
  <c r="D672" i="3"/>
  <c r="D681" i="3"/>
  <c r="D689" i="3"/>
  <c r="D697" i="3"/>
  <c r="D705" i="3"/>
  <c r="D713" i="3"/>
  <c r="D721" i="3"/>
  <c r="D729" i="3"/>
  <c r="D737" i="3"/>
  <c r="D745" i="3"/>
  <c r="D98" i="3"/>
  <c r="D432" i="3"/>
  <c r="D551" i="3"/>
  <c r="D639" i="3"/>
  <c r="D684" i="3"/>
  <c r="D732" i="3"/>
  <c r="D26" i="3"/>
  <c r="D58" i="3"/>
  <c r="D90" i="3"/>
  <c r="D122" i="3"/>
  <c r="D151" i="3"/>
  <c r="D170" i="3"/>
  <c r="D192" i="3"/>
  <c r="D215" i="3"/>
  <c r="D234" i="3"/>
  <c r="D256" i="3"/>
  <c r="D279" i="3"/>
  <c r="D298" i="3"/>
  <c r="D320" i="3"/>
  <c r="D343" i="3"/>
  <c r="D362" i="3"/>
  <c r="D384" i="3"/>
  <c r="D407" i="3"/>
  <c r="D426" i="3"/>
  <c r="D448" i="3"/>
  <c r="D471" i="3"/>
  <c r="D490" i="3"/>
  <c r="D512" i="3"/>
  <c r="D529" i="3"/>
  <c r="D545" i="3"/>
  <c r="D560" i="3"/>
  <c r="D573" i="3"/>
  <c r="D585" i="3"/>
  <c r="D597" i="3"/>
  <c r="D607" i="3"/>
  <c r="D617" i="3"/>
  <c r="D627" i="3"/>
  <c r="D637" i="3"/>
  <c r="D646" i="3"/>
  <c r="D655" i="3"/>
  <c r="D664" i="3"/>
  <c r="D673" i="3"/>
  <c r="D682" i="3"/>
  <c r="D690" i="3"/>
  <c r="D698" i="3"/>
  <c r="D706" i="3"/>
  <c r="D714" i="3"/>
  <c r="D722" i="3"/>
  <c r="D730" i="3"/>
  <c r="D738" i="3"/>
  <c r="D66" i="3"/>
  <c r="D327" i="3"/>
  <c r="D474" i="3"/>
  <c r="D589" i="3"/>
  <c r="D657" i="3"/>
  <c r="D708" i="3"/>
  <c r="D32" i="3"/>
  <c r="D64" i="3"/>
  <c r="D96" i="3"/>
  <c r="D128" i="3"/>
  <c r="D152" i="3"/>
  <c r="D175" i="3"/>
  <c r="D194" i="3"/>
  <c r="D216" i="3"/>
  <c r="D239" i="3"/>
  <c r="D258" i="3"/>
  <c r="D280" i="3"/>
  <c r="D303" i="3"/>
  <c r="D322" i="3"/>
  <c r="D344" i="3"/>
  <c r="D367" i="3"/>
  <c r="D386" i="3"/>
  <c r="D408" i="3"/>
  <c r="D431" i="3"/>
  <c r="D450" i="3"/>
  <c r="D472" i="3"/>
  <c r="D495" i="3"/>
  <c r="D514" i="3"/>
  <c r="D530" i="3"/>
  <c r="D546" i="3"/>
  <c r="D561" i="3"/>
  <c r="D575" i="3"/>
  <c r="D586" i="3"/>
  <c r="D598" i="3"/>
  <c r="D608" i="3"/>
  <c r="D618" i="3"/>
  <c r="D629" i="3"/>
  <c r="D638" i="3"/>
  <c r="D647" i="3"/>
  <c r="D656" i="3"/>
  <c r="D665" i="3"/>
  <c r="D674" i="3"/>
  <c r="D683" i="3"/>
  <c r="D691" i="3"/>
  <c r="D699" i="3"/>
  <c r="D707" i="3"/>
  <c r="D715" i="3"/>
  <c r="D723" i="3"/>
  <c r="D731" i="3"/>
  <c r="D739" i="3"/>
  <c r="D34" i="3"/>
  <c r="D282" i="3"/>
  <c r="D368" i="3"/>
  <c r="D535" i="3"/>
  <c r="D576" i="3"/>
  <c r="D675" i="3"/>
  <c r="D716" i="3"/>
  <c r="D9" i="1"/>
  <c r="D4" i="3"/>
  <c r="D14" i="3"/>
  <c r="D13" i="3"/>
  <c r="D19" i="3"/>
  <c r="D25" i="3"/>
  <c r="D24" i="3"/>
  <c r="D15" i="3"/>
  <c r="D6" i="3"/>
  <c r="D5" i="3"/>
  <c r="D11" i="3"/>
  <c r="D3" i="3"/>
  <c r="D21" i="3"/>
  <c r="D18" i="3"/>
  <c r="D8" i="3"/>
  <c r="D20" i="3"/>
  <c r="D10" i="3"/>
  <c r="D22" i="3"/>
  <c r="D17" i="3"/>
  <c r="D23" i="3"/>
  <c r="D9" i="3"/>
  <c r="D7" i="3"/>
  <c r="D12" i="3"/>
  <c r="D16" i="3"/>
  <c r="C99" i="5"/>
  <c r="C33" i="5" s="1"/>
  <c r="F1" i="3"/>
  <c r="K1" i="3"/>
  <c r="Y1" i="3"/>
  <c r="Z1" i="3"/>
  <c r="AB1" i="3"/>
  <c r="AC1" i="3"/>
  <c r="AE1" i="3"/>
  <c r="AH1" i="3"/>
  <c r="AI1" i="3"/>
  <c r="AK1" i="3"/>
  <c r="AL1" i="3"/>
  <c r="AN1" i="3"/>
  <c r="AO1" i="3"/>
  <c r="AQ1" i="3"/>
  <c r="AR1" i="3"/>
  <c r="Y2" i="3"/>
  <c r="Z2" i="3"/>
  <c r="Y3" i="3"/>
  <c r="Z3" i="3"/>
  <c r="AB3" i="3"/>
  <c r="AC3" i="3"/>
  <c r="AE3" i="3"/>
  <c r="AF3" i="3"/>
  <c r="AH3" i="3"/>
  <c r="AI3" i="3"/>
  <c r="AK3" i="3"/>
  <c r="AL3" i="3"/>
  <c r="AN3" i="3"/>
  <c r="AO3" i="3"/>
  <c r="AQ3" i="3"/>
  <c r="AR3" i="3"/>
  <c r="Y4" i="3"/>
  <c r="Z4" i="3"/>
  <c r="AB4" i="3"/>
  <c r="AC4" i="3"/>
  <c r="AE4" i="3"/>
  <c r="AF4" i="3"/>
  <c r="AH4" i="3"/>
  <c r="AI4" i="3"/>
  <c r="AK4" i="3"/>
  <c r="AL4" i="3"/>
  <c r="AN4" i="3"/>
  <c r="AO4" i="3"/>
  <c r="AQ4" i="3"/>
  <c r="AR4" i="3"/>
  <c r="Y5" i="3"/>
  <c r="Z5" i="3"/>
  <c r="AB5" i="3"/>
  <c r="AC5" i="3"/>
  <c r="AE5" i="3"/>
  <c r="AF5" i="3"/>
  <c r="AH5" i="3"/>
  <c r="AI5" i="3"/>
  <c r="AK5" i="3"/>
  <c r="AL5" i="3"/>
  <c r="AN5" i="3"/>
  <c r="AO5" i="3"/>
  <c r="AQ5" i="3"/>
  <c r="AR5" i="3"/>
  <c r="Y6" i="3"/>
  <c r="Z6" i="3"/>
  <c r="AB6" i="3"/>
  <c r="AC6" i="3"/>
  <c r="AE6" i="3"/>
  <c r="AF6" i="3"/>
  <c r="AH6" i="3"/>
  <c r="AI6" i="3"/>
  <c r="AK6" i="3"/>
  <c r="AL6" i="3"/>
  <c r="AN6" i="3"/>
  <c r="AO6" i="3"/>
  <c r="AQ6" i="3"/>
  <c r="AR6" i="3"/>
  <c r="Y7" i="3"/>
  <c r="Z7" i="3"/>
  <c r="AB7" i="3"/>
  <c r="AC7" i="3"/>
  <c r="AE7" i="3"/>
  <c r="AF7" i="3"/>
  <c r="AH7" i="3"/>
  <c r="AI7" i="3"/>
  <c r="AK7" i="3"/>
  <c r="AL7" i="3"/>
  <c r="AN7" i="3"/>
  <c r="AO7" i="3"/>
  <c r="AQ7" i="3"/>
  <c r="AR7" i="3"/>
  <c r="Y8" i="3"/>
  <c r="Z8" i="3"/>
  <c r="AB8" i="3"/>
  <c r="AC8" i="3"/>
  <c r="AE8" i="3"/>
  <c r="AF8" i="3"/>
  <c r="AH8" i="3"/>
  <c r="AI8" i="3"/>
  <c r="AK8" i="3"/>
  <c r="AL8" i="3"/>
  <c r="AN8" i="3"/>
  <c r="AO8" i="3"/>
  <c r="AQ8" i="3"/>
  <c r="AR8" i="3"/>
  <c r="Y9" i="3"/>
  <c r="Z9" i="3"/>
  <c r="AB9" i="3"/>
  <c r="AC9" i="3"/>
  <c r="AE9" i="3"/>
  <c r="AF9" i="3"/>
  <c r="AH9" i="3"/>
  <c r="AI9" i="3"/>
  <c r="AK9" i="3"/>
  <c r="AL9" i="3"/>
  <c r="AN9" i="3"/>
  <c r="AO9" i="3"/>
  <c r="AQ9" i="3"/>
  <c r="AR9" i="3"/>
  <c r="Y10" i="3"/>
  <c r="Z10" i="3"/>
  <c r="AB10" i="3"/>
  <c r="AC10" i="3"/>
  <c r="AE10" i="3"/>
  <c r="AF10" i="3"/>
  <c r="AH10" i="3"/>
  <c r="AI10" i="3"/>
  <c r="AK10" i="3"/>
  <c r="AL10" i="3"/>
  <c r="AN10" i="3"/>
  <c r="AO10" i="3"/>
  <c r="AQ10" i="3"/>
  <c r="AR10" i="3"/>
  <c r="Y11" i="3"/>
  <c r="Z11" i="3"/>
  <c r="AB11" i="3"/>
  <c r="AC11" i="3"/>
  <c r="AE11" i="3"/>
  <c r="AF11" i="3"/>
  <c r="AH11" i="3"/>
  <c r="AI11" i="3"/>
  <c r="AK11" i="3"/>
  <c r="AL11" i="3"/>
  <c r="AN11" i="3"/>
  <c r="AO11" i="3"/>
  <c r="AQ11" i="3"/>
  <c r="AR11" i="3"/>
  <c r="Y12" i="3"/>
  <c r="Z12" i="3"/>
  <c r="AB12" i="3"/>
  <c r="AC12" i="3"/>
  <c r="AE12" i="3"/>
  <c r="AF12" i="3"/>
  <c r="AH12" i="3"/>
  <c r="AI12" i="3"/>
  <c r="AK12" i="3"/>
  <c r="AL12" i="3"/>
  <c r="AN12" i="3"/>
  <c r="AO12" i="3"/>
  <c r="AQ12" i="3"/>
  <c r="AR12" i="3"/>
  <c r="Y13" i="3"/>
  <c r="Z13" i="3"/>
  <c r="AB13" i="3"/>
  <c r="AC13" i="3"/>
  <c r="AE13" i="3"/>
  <c r="AF13" i="3"/>
  <c r="AH13" i="3"/>
  <c r="AI13" i="3"/>
  <c r="AK13" i="3"/>
  <c r="AL13" i="3"/>
  <c r="AN13" i="3"/>
  <c r="AO13" i="3"/>
  <c r="AQ13" i="3"/>
  <c r="AR13" i="3"/>
  <c r="Y14" i="3"/>
  <c r="Z14" i="3"/>
  <c r="AB14" i="3"/>
  <c r="AC14" i="3"/>
  <c r="AE14" i="3"/>
  <c r="AF14" i="3"/>
  <c r="AH14" i="3"/>
  <c r="AI14" i="3"/>
  <c r="AK14" i="3"/>
  <c r="AL14" i="3"/>
  <c r="AN14" i="3"/>
  <c r="AO14" i="3"/>
  <c r="AQ14" i="3"/>
  <c r="AR14" i="3"/>
  <c r="Y15" i="3"/>
  <c r="Z15" i="3"/>
  <c r="AB15" i="3"/>
  <c r="AC15" i="3"/>
  <c r="AE15" i="3"/>
  <c r="AF15" i="3"/>
  <c r="AH15" i="3"/>
  <c r="AI15" i="3"/>
  <c r="AK15" i="3"/>
  <c r="AL15" i="3"/>
  <c r="AN15" i="3"/>
  <c r="AO15" i="3"/>
  <c r="AQ15" i="3"/>
  <c r="AR15" i="3"/>
  <c r="Y16" i="3"/>
  <c r="Z16" i="3"/>
  <c r="AB16" i="3"/>
  <c r="AC16" i="3"/>
  <c r="AE16" i="3"/>
  <c r="AF16" i="3"/>
  <c r="AH16" i="3"/>
  <c r="AI16" i="3"/>
  <c r="AK16" i="3"/>
  <c r="AL16" i="3"/>
  <c r="AN16" i="3"/>
  <c r="AO16" i="3"/>
  <c r="AQ16" i="3"/>
  <c r="AR16" i="3"/>
  <c r="Y17" i="3"/>
  <c r="Z17" i="3"/>
  <c r="AB17" i="3"/>
  <c r="AC17" i="3"/>
  <c r="AE17" i="3"/>
  <c r="AF17" i="3"/>
  <c r="AH17" i="3"/>
  <c r="AI17" i="3"/>
  <c r="AK17" i="3"/>
  <c r="AL17" i="3"/>
  <c r="AN17" i="3"/>
  <c r="AO17" i="3"/>
  <c r="AQ17" i="3"/>
  <c r="AR17" i="3"/>
  <c r="Y18" i="3"/>
  <c r="Z18" i="3"/>
  <c r="AB18" i="3"/>
  <c r="AC18" i="3"/>
  <c r="AE18" i="3"/>
  <c r="AF18" i="3"/>
  <c r="AH18" i="3"/>
  <c r="AI18" i="3"/>
  <c r="AK18" i="3"/>
  <c r="AL18" i="3"/>
  <c r="AN18" i="3"/>
  <c r="AO18" i="3"/>
  <c r="AQ18" i="3"/>
  <c r="AR18" i="3"/>
  <c r="Y19" i="3"/>
  <c r="Z19" i="3"/>
  <c r="AB19" i="3"/>
  <c r="AC19" i="3"/>
  <c r="AE19" i="3"/>
  <c r="AF19" i="3"/>
  <c r="AH19" i="3"/>
  <c r="AI19" i="3"/>
  <c r="AK19" i="3"/>
  <c r="AL19" i="3"/>
  <c r="AN19" i="3"/>
  <c r="AO19" i="3"/>
  <c r="AQ19" i="3"/>
  <c r="AR19" i="3"/>
  <c r="Y20" i="3"/>
  <c r="Z20" i="3"/>
  <c r="AB20" i="3"/>
  <c r="AC20" i="3"/>
  <c r="AE20" i="3"/>
  <c r="AF20" i="3"/>
  <c r="AH20" i="3"/>
  <c r="AI20" i="3"/>
  <c r="AK20" i="3"/>
  <c r="AL20" i="3"/>
  <c r="AN20" i="3"/>
  <c r="AO20" i="3"/>
  <c r="AQ20" i="3"/>
  <c r="AR20" i="3"/>
  <c r="Y21" i="3"/>
  <c r="Z21" i="3"/>
  <c r="AB21" i="3"/>
  <c r="AC21" i="3"/>
  <c r="AE21" i="3"/>
  <c r="AF21" i="3"/>
  <c r="AH21" i="3"/>
  <c r="AI21" i="3"/>
  <c r="AK21" i="3"/>
  <c r="AL21" i="3"/>
  <c r="AN21" i="3"/>
  <c r="AO21" i="3"/>
  <c r="AQ21" i="3"/>
  <c r="AR21" i="3"/>
  <c r="Y22" i="3"/>
  <c r="Z22" i="3"/>
  <c r="AB22" i="3"/>
  <c r="AC22" i="3"/>
  <c r="AE22" i="3"/>
  <c r="AF22" i="3"/>
  <c r="AH22" i="3"/>
  <c r="AI22" i="3"/>
  <c r="AK22" i="3"/>
  <c r="AL22" i="3"/>
  <c r="AN22" i="3"/>
  <c r="AO22" i="3"/>
  <c r="AQ22" i="3"/>
  <c r="AR22" i="3"/>
  <c r="Y23" i="3"/>
  <c r="Z23" i="3"/>
  <c r="AB23" i="3"/>
  <c r="AC23" i="3"/>
  <c r="AE23" i="3"/>
  <c r="AF23" i="3"/>
  <c r="AH23" i="3"/>
  <c r="AI23" i="3"/>
  <c r="AK23" i="3"/>
  <c r="AL23" i="3"/>
  <c r="AN23" i="3"/>
  <c r="AO23" i="3"/>
  <c r="AQ23" i="3"/>
  <c r="AR23" i="3"/>
  <c r="Y24" i="3"/>
  <c r="Z24" i="3"/>
  <c r="AB24" i="3"/>
  <c r="AC24" i="3"/>
  <c r="AE24" i="3"/>
  <c r="AF24" i="3"/>
  <c r="AH24" i="3"/>
  <c r="AI24" i="3"/>
  <c r="AK24" i="3"/>
  <c r="AL24" i="3"/>
  <c r="AN24" i="3"/>
  <c r="AO24" i="3"/>
  <c r="AQ24" i="3"/>
  <c r="AR24" i="3"/>
  <c r="Y25" i="3"/>
  <c r="Z25" i="3"/>
  <c r="AB25" i="3"/>
  <c r="AC25" i="3"/>
  <c r="AE25" i="3"/>
  <c r="AF25" i="3"/>
  <c r="AH25" i="3"/>
  <c r="AI25" i="3"/>
  <c r="AK25" i="3"/>
  <c r="AL25" i="3"/>
  <c r="AN25" i="3"/>
  <c r="AO25" i="3"/>
  <c r="AQ25" i="3"/>
  <c r="AR25" i="3"/>
  <c r="Y26" i="3"/>
  <c r="Z26" i="3"/>
  <c r="AB26" i="3"/>
  <c r="AC26" i="3"/>
  <c r="AE26" i="3"/>
  <c r="AF26" i="3"/>
  <c r="AH26" i="3"/>
  <c r="AI26" i="3"/>
  <c r="AK26" i="3"/>
  <c r="AL26" i="3"/>
  <c r="AN26" i="3"/>
  <c r="AO26" i="3"/>
  <c r="AQ26" i="3"/>
  <c r="AR26" i="3"/>
  <c r="Y27" i="3"/>
  <c r="Z27" i="3"/>
  <c r="AB27" i="3"/>
  <c r="AC27" i="3"/>
  <c r="AE27" i="3"/>
  <c r="AF27" i="3"/>
  <c r="AH27" i="3"/>
  <c r="AI27" i="3"/>
  <c r="AK27" i="3"/>
  <c r="AL27" i="3"/>
  <c r="AN27" i="3"/>
  <c r="AO27" i="3"/>
  <c r="AQ27" i="3"/>
  <c r="AR27" i="3"/>
  <c r="Y28" i="3"/>
  <c r="Z28" i="3"/>
  <c r="AB28" i="3"/>
  <c r="AC28" i="3"/>
  <c r="AE28" i="3"/>
  <c r="AF28" i="3"/>
  <c r="AH28" i="3"/>
  <c r="AI28" i="3"/>
  <c r="AK28" i="3"/>
  <c r="AL28" i="3"/>
  <c r="AN28" i="3"/>
  <c r="AO28" i="3"/>
  <c r="AQ28" i="3"/>
  <c r="AR28" i="3"/>
  <c r="Y29" i="3"/>
  <c r="Z29" i="3"/>
  <c r="AB29" i="3"/>
  <c r="AC29" i="3"/>
  <c r="AE29" i="3"/>
  <c r="AF29" i="3"/>
  <c r="AH29" i="3"/>
  <c r="AI29" i="3"/>
  <c r="AK29" i="3"/>
  <c r="AL29" i="3"/>
  <c r="AN29" i="3"/>
  <c r="AO29" i="3"/>
  <c r="AQ29" i="3"/>
  <c r="AR29" i="3"/>
  <c r="Y30" i="3"/>
  <c r="Z30" i="3"/>
  <c r="AB30" i="3"/>
  <c r="AC30" i="3"/>
  <c r="AE30" i="3"/>
  <c r="AF30" i="3"/>
  <c r="AH30" i="3"/>
  <c r="AI30" i="3"/>
  <c r="AK30" i="3"/>
  <c r="AL30" i="3"/>
  <c r="AN30" i="3"/>
  <c r="AO30" i="3"/>
  <c r="AQ30" i="3"/>
  <c r="AR30" i="3"/>
  <c r="Y31" i="3"/>
  <c r="Z31" i="3"/>
  <c r="AB31" i="3"/>
  <c r="AC31" i="3"/>
  <c r="AE31" i="3"/>
  <c r="AF31" i="3"/>
  <c r="AH31" i="3"/>
  <c r="AI31" i="3"/>
  <c r="AK31" i="3"/>
  <c r="AL31" i="3"/>
  <c r="AN31" i="3"/>
  <c r="AO31" i="3"/>
  <c r="AQ31" i="3"/>
  <c r="AR31" i="3"/>
  <c r="Y32" i="3"/>
  <c r="Z32" i="3"/>
  <c r="AB32" i="3"/>
  <c r="AC32" i="3"/>
  <c r="AE32" i="3"/>
  <c r="AF32" i="3"/>
  <c r="AH32" i="3"/>
  <c r="AI32" i="3"/>
  <c r="AK32" i="3"/>
  <c r="AL32" i="3"/>
  <c r="AN32" i="3"/>
  <c r="AO32" i="3"/>
  <c r="AQ32" i="3"/>
  <c r="AR32" i="3"/>
  <c r="Y33" i="3"/>
  <c r="Z33" i="3"/>
  <c r="AB33" i="3"/>
  <c r="AC33" i="3"/>
  <c r="AE33" i="3"/>
  <c r="AF33" i="3"/>
  <c r="AH33" i="3"/>
  <c r="AI33" i="3"/>
  <c r="AK33" i="3"/>
  <c r="AL33" i="3"/>
  <c r="AN33" i="3"/>
  <c r="AO33" i="3"/>
  <c r="AQ33" i="3"/>
  <c r="AR33" i="3"/>
  <c r="Y34" i="3"/>
  <c r="Z34" i="3"/>
  <c r="AB34" i="3"/>
  <c r="AC34" i="3"/>
  <c r="AE34" i="3"/>
  <c r="AF34" i="3"/>
  <c r="AH34" i="3"/>
  <c r="AI34" i="3"/>
  <c r="AK34" i="3"/>
  <c r="AL34" i="3"/>
  <c r="AN34" i="3"/>
  <c r="AO34" i="3"/>
  <c r="AQ34" i="3"/>
  <c r="AR34" i="3"/>
  <c r="Y35" i="3"/>
  <c r="Z35" i="3"/>
  <c r="AB35" i="3"/>
  <c r="AC35" i="3"/>
  <c r="AE35" i="3"/>
  <c r="AF35" i="3"/>
  <c r="AH35" i="3"/>
  <c r="AI35" i="3"/>
  <c r="AK35" i="3"/>
  <c r="AL35" i="3"/>
  <c r="AN35" i="3"/>
  <c r="AO35" i="3"/>
  <c r="AQ35" i="3"/>
  <c r="AR35" i="3"/>
  <c r="Y36" i="3"/>
  <c r="Z36" i="3"/>
  <c r="AB36" i="3"/>
  <c r="AC36" i="3"/>
  <c r="AE36" i="3"/>
  <c r="AF36" i="3"/>
  <c r="AH36" i="3"/>
  <c r="AI36" i="3"/>
  <c r="AK36" i="3"/>
  <c r="AL36" i="3"/>
  <c r="AN36" i="3"/>
  <c r="AO36" i="3"/>
  <c r="AQ36" i="3"/>
  <c r="AR36" i="3"/>
  <c r="Y37" i="3"/>
  <c r="Z37" i="3"/>
  <c r="AB37" i="3"/>
  <c r="AC37" i="3"/>
  <c r="AE37" i="3"/>
  <c r="AF37" i="3"/>
  <c r="AH37" i="3"/>
  <c r="AI37" i="3"/>
  <c r="AK37" i="3"/>
  <c r="AL37" i="3"/>
  <c r="AN37" i="3"/>
  <c r="AO37" i="3"/>
  <c r="AQ37" i="3"/>
  <c r="AR37" i="3"/>
  <c r="Y38" i="3"/>
  <c r="Z38" i="3"/>
  <c r="AB38" i="3"/>
  <c r="AC38" i="3"/>
  <c r="AE38" i="3"/>
  <c r="AF38" i="3"/>
  <c r="AH38" i="3"/>
  <c r="AI38" i="3"/>
  <c r="AK38" i="3"/>
  <c r="AL38" i="3"/>
  <c r="AN38" i="3"/>
  <c r="AO38" i="3"/>
  <c r="AQ38" i="3"/>
  <c r="AR38" i="3"/>
  <c r="Y39" i="3"/>
  <c r="Z39" i="3"/>
  <c r="AB39" i="3"/>
  <c r="AC39" i="3"/>
  <c r="AE39" i="3"/>
  <c r="AF39" i="3"/>
  <c r="AH39" i="3"/>
  <c r="AI39" i="3"/>
  <c r="AK39" i="3"/>
  <c r="AL39" i="3"/>
  <c r="AN39" i="3"/>
  <c r="AO39" i="3"/>
  <c r="AQ39" i="3"/>
  <c r="AR39" i="3"/>
  <c r="Y40" i="3"/>
  <c r="Z40" i="3"/>
  <c r="AB40" i="3"/>
  <c r="AC40" i="3"/>
  <c r="AE40" i="3"/>
  <c r="AF40" i="3"/>
  <c r="AH40" i="3"/>
  <c r="AI40" i="3"/>
  <c r="AK40" i="3"/>
  <c r="AL40" i="3"/>
  <c r="AN40" i="3"/>
  <c r="AO40" i="3"/>
  <c r="AQ40" i="3"/>
  <c r="AR40" i="3"/>
  <c r="Y41" i="3"/>
  <c r="Z41" i="3"/>
  <c r="AB41" i="3"/>
  <c r="AC41" i="3"/>
  <c r="AE41" i="3"/>
  <c r="AF41" i="3"/>
  <c r="AH41" i="3"/>
  <c r="AI41" i="3"/>
  <c r="AK41" i="3"/>
  <c r="AL41" i="3"/>
  <c r="AN41" i="3"/>
  <c r="AO41" i="3"/>
  <c r="AQ41" i="3"/>
  <c r="AR41" i="3"/>
  <c r="Y42" i="3"/>
  <c r="Z42" i="3"/>
  <c r="AB42" i="3"/>
  <c r="AC42" i="3"/>
  <c r="AE42" i="3"/>
  <c r="AF42" i="3"/>
  <c r="AH42" i="3"/>
  <c r="AI42" i="3"/>
  <c r="AK42" i="3"/>
  <c r="AL42" i="3"/>
  <c r="AN42" i="3"/>
  <c r="AO42" i="3"/>
  <c r="AQ42" i="3"/>
  <c r="AR42" i="3"/>
  <c r="Y43" i="3"/>
  <c r="Z43" i="3"/>
  <c r="AB43" i="3"/>
  <c r="AC43" i="3"/>
  <c r="AE43" i="3"/>
  <c r="AF43" i="3"/>
  <c r="AH43" i="3"/>
  <c r="AI43" i="3"/>
  <c r="AK43" i="3"/>
  <c r="AL43" i="3"/>
  <c r="AN43" i="3"/>
  <c r="AO43" i="3"/>
  <c r="AQ43" i="3"/>
  <c r="AR43" i="3"/>
  <c r="Y44" i="3"/>
  <c r="Z44" i="3"/>
  <c r="AB44" i="3"/>
  <c r="AC44" i="3"/>
  <c r="AE44" i="3"/>
  <c r="AF44" i="3"/>
  <c r="AH44" i="3"/>
  <c r="AI44" i="3"/>
  <c r="AK44" i="3"/>
  <c r="AL44" i="3"/>
  <c r="AN44" i="3"/>
  <c r="AO44" i="3"/>
  <c r="AQ44" i="3"/>
  <c r="AR44" i="3"/>
  <c r="Y45" i="3"/>
  <c r="Z45" i="3"/>
  <c r="AB45" i="3"/>
  <c r="AC45" i="3"/>
  <c r="AE45" i="3"/>
  <c r="AF45" i="3"/>
  <c r="AH45" i="3"/>
  <c r="AI45" i="3"/>
  <c r="AK45" i="3"/>
  <c r="AL45" i="3"/>
  <c r="AN45" i="3"/>
  <c r="AO45" i="3"/>
  <c r="AQ45" i="3"/>
  <c r="AR45" i="3"/>
  <c r="Y46" i="3"/>
  <c r="Z46" i="3"/>
  <c r="AB46" i="3"/>
  <c r="AC46" i="3"/>
  <c r="AE46" i="3"/>
  <c r="AF46" i="3"/>
  <c r="AH46" i="3"/>
  <c r="AI46" i="3"/>
  <c r="AK46" i="3"/>
  <c r="AL46" i="3"/>
  <c r="AN46" i="3"/>
  <c r="AO46" i="3"/>
  <c r="AQ46" i="3"/>
  <c r="AR46" i="3"/>
  <c r="Y47" i="3"/>
  <c r="Z47" i="3"/>
  <c r="AB47" i="3"/>
  <c r="AC47" i="3"/>
  <c r="AE47" i="3"/>
  <c r="AF47" i="3"/>
  <c r="AH47" i="3"/>
  <c r="AI47" i="3"/>
  <c r="AK47" i="3"/>
  <c r="AL47" i="3"/>
  <c r="AN47" i="3"/>
  <c r="AO47" i="3"/>
  <c r="AQ47" i="3"/>
  <c r="AR47" i="3"/>
  <c r="Y48" i="3"/>
  <c r="Z48" i="3"/>
  <c r="AB48" i="3"/>
  <c r="AC48" i="3"/>
  <c r="AE48" i="3"/>
  <c r="AF48" i="3"/>
  <c r="AH48" i="3"/>
  <c r="AI48" i="3"/>
  <c r="AK48" i="3"/>
  <c r="AL48" i="3"/>
  <c r="AN48" i="3"/>
  <c r="AO48" i="3"/>
  <c r="AQ48" i="3"/>
  <c r="AR48" i="3"/>
  <c r="Y49" i="3"/>
  <c r="Z49" i="3"/>
  <c r="AB49" i="3"/>
  <c r="AC49" i="3"/>
  <c r="AE49" i="3"/>
  <c r="AF49" i="3"/>
  <c r="AH49" i="3"/>
  <c r="AI49" i="3"/>
  <c r="AK49" i="3"/>
  <c r="AL49" i="3"/>
  <c r="AN49" i="3"/>
  <c r="AO49" i="3"/>
  <c r="AQ49" i="3"/>
  <c r="AR49" i="3"/>
  <c r="Y50" i="3"/>
  <c r="Z50" i="3"/>
  <c r="AB50" i="3"/>
  <c r="AC50" i="3"/>
  <c r="AE50" i="3"/>
  <c r="AF50" i="3"/>
  <c r="AH50" i="3"/>
  <c r="AI50" i="3"/>
  <c r="AK50" i="3"/>
  <c r="AL50" i="3"/>
  <c r="AN50" i="3"/>
  <c r="AO50" i="3"/>
  <c r="AQ50" i="3"/>
  <c r="AR50" i="3"/>
  <c r="Y51" i="3"/>
  <c r="Z51" i="3"/>
  <c r="AB51" i="3"/>
  <c r="AC51" i="3"/>
  <c r="AE51" i="3"/>
  <c r="AF51" i="3"/>
  <c r="AH51" i="3"/>
  <c r="AI51" i="3"/>
  <c r="AK51" i="3"/>
  <c r="AL51" i="3"/>
  <c r="AN51" i="3"/>
  <c r="AO51" i="3"/>
  <c r="AQ51" i="3"/>
  <c r="AR51" i="3"/>
  <c r="Y52" i="3"/>
  <c r="Z52" i="3"/>
  <c r="AB52" i="3"/>
  <c r="AC52" i="3"/>
  <c r="AE52" i="3"/>
  <c r="AF52" i="3"/>
  <c r="AH52" i="3"/>
  <c r="AI52" i="3"/>
  <c r="AK52" i="3"/>
  <c r="AL52" i="3"/>
  <c r="AN52" i="3"/>
  <c r="AO52" i="3"/>
  <c r="AQ52" i="3"/>
  <c r="AR52" i="3"/>
  <c r="Y53" i="3"/>
  <c r="Z53" i="3"/>
  <c r="AB53" i="3"/>
  <c r="AC53" i="3"/>
  <c r="AE53" i="3"/>
  <c r="AF53" i="3"/>
  <c r="AH53" i="3"/>
  <c r="AI53" i="3"/>
  <c r="AK53" i="3"/>
  <c r="AL53" i="3"/>
  <c r="AN53" i="3"/>
  <c r="AO53" i="3"/>
  <c r="AQ53" i="3"/>
  <c r="AR53" i="3"/>
  <c r="Y54" i="3"/>
  <c r="Z54" i="3"/>
  <c r="AB54" i="3"/>
  <c r="AC54" i="3"/>
  <c r="AE54" i="3"/>
  <c r="AF54" i="3"/>
  <c r="AH54" i="3"/>
  <c r="AI54" i="3"/>
  <c r="AK54" i="3"/>
  <c r="AL54" i="3"/>
  <c r="AN54" i="3"/>
  <c r="AO54" i="3"/>
  <c r="AQ54" i="3"/>
  <c r="AR54" i="3"/>
  <c r="Y55" i="3"/>
  <c r="Z55" i="3"/>
  <c r="AB55" i="3"/>
  <c r="AC55" i="3"/>
  <c r="AE55" i="3"/>
  <c r="AF55" i="3"/>
  <c r="AH55" i="3"/>
  <c r="AI55" i="3"/>
  <c r="AK55" i="3"/>
  <c r="AL55" i="3"/>
  <c r="AN55" i="3"/>
  <c r="AO55" i="3"/>
  <c r="AQ55" i="3"/>
  <c r="AR55" i="3"/>
  <c r="Y56" i="3"/>
  <c r="Z56" i="3"/>
  <c r="AB56" i="3"/>
  <c r="AC56" i="3"/>
  <c r="AE56" i="3"/>
  <c r="AF56" i="3"/>
  <c r="AH56" i="3"/>
  <c r="AI56" i="3"/>
  <c r="AK56" i="3"/>
  <c r="AL56" i="3"/>
  <c r="AN56" i="3"/>
  <c r="AO56" i="3"/>
  <c r="AQ56" i="3"/>
  <c r="AR56" i="3"/>
  <c r="Y57" i="3"/>
  <c r="Z57" i="3"/>
  <c r="AB57" i="3"/>
  <c r="AC57" i="3"/>
  <c r="AE57" i="3"/>
  <c r="AF57" i="3"/>
  <c r="AH57" i="3"/>
  <c r="AI57" i="3"/>
  <c r="AK57" i="3"/>
  <c r="AL57" i="3"/>
  <c r="AN57" i="3"/>
  <c r="AO57" i="3"/>
  <c r="AQ57" i="3"/>
  <c r="AR57" i="3"/>
  <c r="Y58" i="3"/>
  <c r="Z58" i="3"/>
  <c r="AB58" i="3"/>
  <c r="AC58" i="3"/>
  <c r="AE58" i="3"/>
  <c r="AF58" i="3"/>
  <c r="AH58" i="3"/>
  <c r="AI58" i="3"/>
  <c r="AK58" i="3"/>
  <c r="AL58" i="3"/>
  <c r="AN58" i="3"/>
  <c r="AO58" i="3"/>
  <c r="AQ58" i="3"/>
  <c r="AR58" i="3"/>
  <c r="Y59" i="3"/>
  <c r="Z59" i="3"/>
  <c r="AB59" i="3"/>
  <c r="AC59" i="3"/>
  <c r="AE59" i="3"/>
  <c r="AF59" i="3"/>
  <c r="AH59" i="3"/>
  <c r="AI59" i="3"/>
  <c r="AK59" i="3"/>
  <c r="AL59" i="3"/>
  <c r="AN59" i="3"/>
  <c r="AO59" i="3"/>
  <c r="AQ59" i="3"/>
  <c r="AR59" i="3"/>
  <c r="Y60" i="3"/>
  <c r="Z60" i="3"/>
  <c r="AB60" i="3"/>
  <c r="AC60" i="3"/>
  <c r="AE60" i="3"/>
  <c r="AF60" i="3"/>
  <c r="AH60" i="3"/>
  <c r="AI60" i="3"/>
  <c r="AK60" i="3"/>
  <c r="AL60" i="3"/>
  <c r="AN60" i="3"/>
  <c r="AO60" i="3"/>
  <c r="AQ60" i="3"/>
  <c r="AR60" i="3"/>
  <c r="Y61" i="3"/>
  <c r="Z61" i="3"/>
  <c r="AB61" i="3"/>
  <c r="AC61" i="3"/>
  <c r="AE61" i="3"/>
  <c r="AF61" i="3"/>
  <c r="AH61" i="3"/>
  <c r="AI61" i="3"/>
  <c r="AK61" i="3"/>
  <c r="AL61" i="3"/>
  <c r="AN61" i="3"/>
  <c r="AO61" i="3"/>
  <c r="AQ61" i="3"/>
  <c r="AR61" i="3"/>
  <c r="Y62" i="3"/>
  <c r="Z62" i="3"/>
  <c r="AB62" i="3"/>
  <c r="AC62" i="3"/>
  <c r="AE62" i="3"/>
  <c r="AF62" i="3"/>
  <c r="AH62" i="3"/>
  <c r="AI62" i="3"/>
  <c r="AK62" i="3"/>
  <c r="AL62" i="3"/>
  <c r="AN62" i="3"/>
  <c r="AO62" i="3"/>
  <c r="AQ62" i="3"/>
  <c r="AR62" i="3"/>
  <c r="Y63" i="3"/>
  <c r="Z63" i="3"/>
  <c r="AB63" i="3"/>
  <c r="AC63" i="3"/>
  <c r="AE63" i="3"/>
  <c r="AF63" i="3"/>
  <c r="AH63" i="3"/>
  <c r="AI63" i="3"/>
  <c r="AK63" i="3"/>
  <c r="AL63" i="3"/>
  <c r="AN63" i="3"/>
  <c r="AO63" i="3"/>
  <c r="AQ63" i="3"/>
  <c r="AR63" i="3"/>
  <c r="Y64" i="3"/>
  <c r="Z64" i="3"/>
  <c r="AB64" i="3"/>
  <c r="AC64" i="3"/>
  <c r="AE64" i="3"/>
  <c r="AF64" i="3"/>
  <c r="AH64" i="3"/>
  <c r="AI64" i="3"/>
  <c r="AK64" i="3"/>
  <c r="AL64" i="3"/>
  <c r="AN64" i="3"/>
  <c r="AO64" i="3"/>
  <c r="AQ64" i="3"/>
  <c r="AR64" i="3"/>
  <c r="Y65" i="3"/>
  <c r="Z65" i="3"/>
  <c r="AB65" i="3"/>
  <c r="AC65" i="3"/>
  <c r="AE65" i="3"/>
  <c r="AF65" i="3"/>
  <c r="AH65" i="3"/>
  <c r="AI65" i="3"/>
  <c r="AK65" i="3"/>
  <c r="AL65" i="3"/>
  <c r="AN65" i="3"/>
  <c r="AO65" i="3"/>
  <c r="AQ65" i="3"/>
  <c r="AR65" i="3"/>
  <c r="Y66" i="3"/>
  <c r="Z66" i="3"/>
  <c r="AB66" i="3"/>
  <c r="AC66" i="3"/>
  <c r="AE66" i="3"/>
  <c r="AF66" i="3"/>
  <c r="AH66" i="3"/>
  <c r="AI66" i="3"/>
  <c r="AK66" i="3"/>
  <c r="AL66" i="3"/>
  <c r="AN66" i="3"/>
  <c r="AO66" i="3"/>
  <c r="AQ66" i="3"/>
  <c r="AR66" i="3"/>
  <c r="Y67" i="3"/>
  <c r="Z67" i="3"/>
  <c r="AB67" i="3"/>
  <c r="AC67" i="3"/>
  <c r="AE67" i="3"/>
  <c r="AF67" i="3"/>
  <c r="AH67" i="3"/>
  <c r="AI67" i="3"/>
  <c r="AK67" i="3"/>
  <c r="AL67" i="3"/>
  <c r="AN67" i="3"/>
  <c r="AO67" i="3"/>
  <c r="AQ67" i="3"/>
  <c r="AR67" i="3"/>
  <c r="Y68" i="3"/>
  <c r="Z68" i="3"/>
  <c r="AB68" i="3"/>
  <c r="AC68" i="3"/>
  <c r="AE68" i="3"/>
  <c r="AF68" i="3"/>
  <c r="AH68" i="3"/>
  <c r="AI68" i="3"/>
  <c r="AK68" i="3"/>
  <c r="AL68" i="3"/>
  <c r="AN68" i="3"/>
  <c r="AO68" i="3"/>
  <c r="AQ68" i="3"/>
  <c r="AR68" i="3"/>
  <c r="Y69" i="3"/>
  <c r="Z69" i="3"/>
  <c r="AB69" i="3"/>
  <c r="AC69" i="3"/>
  <c r="AE69" i="3"/>
  <c r="AF69" i="3"/>
  <c r="AH69" i="3"/>
  <c r="AI69" i="3"/>
  <c r="AK69" i="3"/>
  <c r="AL69" i="3"/>
  <c r="AN69" i="3"/>
  <c r="AO69" i="3"/>
  <c r="AQ69" i="3"/>
  <c r="AR69" i="3"/>
  <c r="Y70" i="3"/>
  <c r="Z70" i="3"/>
  <c r="AB70" i="3"/>
  <c r="AC70" i="3"/>
  <c r="AE70" i="3"/>
  <c r="AF70" i="3"/>
  <c r="AH70" i="3"/>
  <c r="AI70" i="3"/>
  <c r="AK70" i="3"/>
  <c r="AL70" i="3"/>
  <c r="AN70" i="3"/>
  <c r="AO70" i="3"/>
  <c r="AQ70" i="3"/>
  <c r="AR70" i="3"/>
  <c r="Y71" i="3"/>
  <c r="Z71" i="3"/>
  <c r="AB71" i="3"/>
  <c r="AC71" i="3"/>
  <c r="AE71" i="3"/>
  <c r="AF71" i="3"/>
  <c r="AH71" i="3"/>
  <c r="AI71" i="3"/>
  <c r="AK71" i="3"/>
  <c r="AL71" i="3"/>
  <c r="AN71" i="3"/>
  <c r="AO71" i="3"/>
  <c r="AQ71" i="3"/>
  <c r="AR71" i="3"/>
  <c r="Y72" i="3"/>
  <c r="Z72" i="3"/>
  <c r="AB72" i="3"/>
  <c r="AC72" i="3"/>
  <c r="AE72" i="3"/>
  <c r="AF72" i="3"/>
  <c r="AH72" i="3"/>
  <c r="AI72" i="3"/>
  <c r="AK72" i="3"/>
  <c r="AL72" i="3"/>
  <c r="AN72" i="3"/>
  <c r="AO72" i="3"/>
  <c r="AQ72" i="3"/>
  <c r="AR72" i="3"/>
  <c r="Y73" i="3"/>
  <c r="Z73" i="3"/>
  <c r="AB73" i="3"/>
  <c r="AC73" i="3"/>
  <c r="AE73" i="3"/>
  <c r="AF73" i="3"/>
  <c r="AH73" i="3"/>
  <c r="AI73" i="3"/>
  <c r="AK73" i="3"/>
  <c r="AL73" i="3"/>
  <c r="AN73" i="3"/>
  <c r="AO73" i="3"/>
  <c r="AQ73" i="3"/>
  <c r="AR73" i="3"/>
  <c r="Y74" i="3"/>
  <c r="Z74" i="3"/>
  <c r="AB74" i="3"/>
  <c r="AC74" i="3"/>
  <c r="AE74" i="3"/>
  <c r="AF74" i="3"/>
  <c r="AH74" i="3"/>
  <c r="AI74" i="3"/>
  <c r="AK74" i="3"/>
  <c r="AL74" i="3"/>
  <c r="AN74" i="3"/>
  <c r="AO74" i="3"/>
  <c r="AQ74" i="3"/>
  <c r="AR74" i="3"/>
  <c r="Y75" i="3"/>
  <c r="Z75" i="3"/>
  <c r="AB75" i="3"/>
  <c r="AC75" i="3"/>
  <c r="AE75" i="3"/>
  <c r="AF75" i="3"/>
  <c r="AH75" i="3"/>
  <c r="AI75" i="3"/>
  <c r="AK75" i="3"/>
  <c r="AL75" i="3"/>
  <c r="AN75" i="3"/>
  <c r="AO75" i="3"/>
  <c r="AQ75" i="3"/>
  <c r="AR75" i="3"/>
  <c r="Y76" i="3"/>
  <c r="Z76" i="3"/>
  <c r="AB76" i="3"/>
  <c r="AC76" i="3"/>
  <c r="AE76" i="3"/>
  <c r="AF76" i="3"/>
  <c r="AH76" i="3"/>
  <c r="AI76" i="3"/>
  <c r="AK76" i="3"/>
  <c r="AL76" i="3"/>
  <c r="AN76" i="3"/>
  <c r="AO76" i="3"/>
  <c r="AQ76" i="3"/>
  <c r="AR76" i="3"/>
  <c r="Y77" i="3"/>
  <c r="Z77" i="3"/>
  <c r="AB77" i="3"/>
  <c r="AC77" i="3"/>
  <c r="AE77" i="3"/>
  <c r="AF77" i="3"/>
  <c r="AH77" i="3"/>
  <c r="AI77" i="3"/>
  <c r="AK77" i="3"/>
  <c r="AL77" i="3"/>
  <c r="AN77" i="3"/>
  <c r="AO77" i="3"/>
  <c r="AQ77" i="3"/>
  <c r="AR77" i="3"/>
  <c r="Y78" i="3"/>
  <c r="Z78" i="3"/>
  <c r="AB78" i="3"/>
  <c r="AC78" i="3"/>
  <c r="AE78" i="3"/>
  <c r="AF78" i="3"/>
  <c r="AH78" i="3"/>
  <c r="AI78" i="3"/>
  <c r="AK78" i="3"/>
  <c r="AL78" i="3"/>
  <c r="AN78" i="3"/>
  <c r="AO78" i="3"/>
  <c r="AQ78" i="3"/>
  <c r="AR78" i="3"/>
  <c r="Y79" i="3"/>
  <c r="Z79" i="3"/>
  <c r="AB79" i="3"/>
  <c r="AC79" i="3"/>
  <c r="AE79" i="3"/>
  <c r="AF79" i="3"/>
  <c r="AH79" i="3"/>
  <c r="AI79" i="3"/>
  <c r="AK79" i="3"/>
  <c r="AL79" i="3"/>
  <c r="AN79" i="3"/>
  <c r="AO79" i="3"/>
  <c r="AQ79" i="3"/>
  <c r="AR79" i="3"/>
  <c r="Y80" i="3"/>
  <c r="Z80" i="3"/>
  <c r="AB80" i="3"/>
  <c r="AC80" i="3"/>
  <c r="AE80" i="3"/>
  <c r="AF80" i="3"/>
  <c r="AH80" i="3"/>
  <c r="AI80" i="3"/>
  <c r="AK80" i="3"/>
  <c r="AL80" i="3"/>
  <c r="AN80" i="3"/>
  <c r="AO80" i="3"/>
  <c r="AQ80" i="3"/>
  <c r="AR80" i="3"/>
  <c r="Y81" i="3"/>
  <c r="Z81" i="3"/>
  <c r="AB81" i="3"/>
  <c r="AC81" i="3"/>
  <c r="AE81" i="3"/>
  <c r="AF81" i="3"/>
  <c r="AH81" i="3"/>
  <c r="AI81" i="3"/>
  <c r="AK81" i="3"/>
  <c r="AL81" i="3"/>
  <c r="AN81" i="3"/>
  <c r="AO81" i="3"/>
  <c r="AQ81" i="3"/>
  <c r="AR81" i="3"/>
  <c r="Y82" i="3"/>
  <c r="Z82" i="3"/>
  <c r="AB82" i="3"/>
  <c r="AC82" i="3"/>
  <c r="AE82" i="3"/>
  <c r="AF82" i="3"/>
  <c r="AH82" i="3"/>
  <c r="AI82" i="3"/>
  <c r="AK82" i="3"/>
  <c r="AL82" i="3"/>
  <c r="AN82" i="3"/>
  <c r="AO82" i="3"/>
  <c r="AQ82" i="3"/>
  <c r="AR82" i="3"/>
  <c r="Y83" i="3"/>
  <c r="Z83" i="3"/>
  <c r="AB83" i="3"/>
  <c r="AC83" i="3"/>
  <c r="AE83" i="3"/>
  <c r="AF83" i="3"/>
  <c r="AH83" i="3"/>
  <c r="AI83" i="3"/>
  <c r="AK83" i="3"/>
  <c r="AL83" i="3"/>
  <c r="AN83" i="3"/>
  <c r="AO83" i="3"/>
  <c r="AQ83" i="3"/>
  <c r="AR83" i="3"/>
  <c r="Y84" i="3"/>
  <c r="Z84" i="3"/>
  <c r="AB84" i="3"/>
  <c r="AC84" i="3"/>
  <c r="AE84" i="3"/>
  <c r="AF84" i="3"/>
  <c r="AH84" i="3"/>
  <c r="AI84" i="3"/>
  <c r="AK84" i="3"/>
  <c r="AL84" i="3"/>
  <c r="AN84" i="3"/>
  <c r="AO84" i="3"/>
  <c r="AQ84" i="3"/>
  <c r="AR84" i="3"/>
  <c r="Y85" i="3"/>
  <c r="Z85" i="3"/>
  <c r="AB85" i="3"/>
  <c r="AC85" i="3"/>
  <c r="AE85" i="3"/>
  <c r="AF85" i="3"/>
  <c r="AH85" i="3"/>
  <c r="AI85" i="3"/>
  <c r="AK85" i="3"/>
  <c r="AL85" i="3"/>
  <c r="AN85" i="3"/>
  <c r="AO85" i="3"/>
  <c r="AQ85" i="3"/>
  <c r="AR85" i="3"/>
  <c r="Y86" i="3"/>
  <c r="Z86" i="3"/>
  <c r="AB86" i="3"/>
  <c r="AC86" i="3"/>
  <c r="AE86" i="3"/>
  <c r="AF86" i="3"/>
  <c r="AH86" i="3"/>
  <c r="AI86" i="3"/>
  <c r="AK86" i="3"/>
  <c r="AL86" i="3"/>
  <c r="AN86" i="3"/>
  <c r="AO86" i="3"/>
  <c r="AQ86" i="3"/>
  <c r="AR86" i="3"/>
  <c r="Y87" i="3"/>
  <c r="Z87" i="3"/>
  <c r="AB87" i="3"/>
  <c r="AC87" i="3"/>
  <c r="AE87" i="3"/>
  <c r="AF87" i="3"/>
  <c r="AH87" i="3"/>
  <c r="AI87" i="3"/>
  <c r="AK87" i="3"/>
  <c r="AL87" i="3"/>
  <c r="AN87" i="3"/>
  <c r="AO87" i="3"/>
  <c r="AQ87" i="3"/>
  <c r="AR87" i="3"/>
  <c r="Y88" i="3"/>
  <c r="Z88" i="3"/>
  <c r="AB88" i="3"/>
  <c r="AC88" i="3"/>
  <c r="AE88" i="3"/>
  <c r="AF88" i="3"/>
  <c r="AH88" i="3"/>
  <c r="AI88" i="3"/>
  <c r="AK88" i="3"/>
  <c r="AL88" i="3"/>
  <c r="AN88" i="3"/>
  <c r="AO88" i="3"/>
  <c r="AQ88" i="3"/>
  <c r="AR88" i="3"/>
  <c r="Y89" i="3"/>
  <c r="Z89" i="3"/>
  <c r="AB89" i="3"/>
  <c r="AC89" i="3"/>
  <c r="AE89" i="3"/>
  <c r="AF89" i="3"/>
  <c r="AH89" i="3"/>
  <c r="AI89" i="3"/>
  <c r="AK89" i="3"/>
  <c r="AL89" i="3"/>
  <c r="AN89" i="3"/>
  <c r="AO89" i="3"/>
  <c r="AQ89" i="3"/>
  <c r="AR89" i="3"/>
  <c r="Y90" i="3"/>
  <c r="Z90" i="3"/>
  <c r="AB90" i="3"/>
  <c r="AC90" i="3"/>
  <c r="AE90" i="3"/>
  <c r="AF90" i="3"/>
  <c r="AH90" i="3"/>
  <c r="AI90" i="3"/>
  <c r="AK90" i="3"/>
  <c r="AL90" i="3"/>
  <c r="AN90" i="3"/>
  <c r="AO90" i="3"/>
  <c r="AQ90" i="3"/>
  <c r="AR90" i="3"/>
  <c r="Y91" i="3"/>
  <c r="Z91" i="3"/>
  <c r="AB91" i="3"/>
  <c r="AC91" i="3"/>
  <c r="AE91" i="3"/>
  <c r="AF91" i="3"/>
  <c r="AH91" i="3"/>
  <c r="AI91" i="3"/>
  <c r="AK91" i="3"/>
  <c r="AL91" i="3"/>
  <c r="AN91" i="3"/>
  <c r="AO91" i="3"/>
  <c r="AQ91" i="3"/>
  <c r="AR91" i="3"/>
  <c r="Y92" i="3"/>
  <c r="Z92" i="3"/>
  <c r="AB92" i="3"/>
  <c r="AC92" i="3"/>
  <c r="AE92" i="3"/>
  <c r="AF92" i="3"/>
  <c r="AH92" i="3"/>
  <c r="AI92" i="3"/>
  <c r="AK92" i="3"/>
  <c r="AL92" i="3"/>
  <c r="AN92" i="3"/>
  <c r="AO92" i="3"/>
  <c r="AQ92" i="3"/>
  <c r="AR92" i="3"/>
  <c r="Y93" i="3"/>
  <c r="Z93" i="3"/>
  <c r="AB93" i="3"/>
  <c r="AC93" i="3"/>
  <c r="AE93" i="3"/>
  <c r="AF93" i="3"/>
  <c r="AH93" i="3"/>
  <c r="AI93" i="3"/>
  <c r="AK93" i="3"/>
  <c r="AL93" i="3"/>
  <c r="AN93" i="3"/>
  <c r="AO93" i="3"/>
  <c r="AQ93" i="3"/>
  <c r="AR93" i="3"/>
  <c r="Y94" i="3"/>
  <c r="Z94" i="3"/>
  <c r="AB94" i="3"/>
  <c r="AC94" i="3"/>
  <c r="AE94" i="3"/>
  <c r="AF94" i="3"/>
  <c r="AH94" i="3"/>
  <c r="AI94" i="3"/>
  <c r="AK94" i="3"/>
  <c r="AL94" i="3"/>
  <c r="AN94" i="3"/>
  <c r="AO94" i="3"/>
  <c r="AQ94" i="3"/>
  <c r="AR94" i="3"/>
  <c r="Y95" i="3"/>
  <c r="Z95" i="3"/>
  <c r="AB95" i="3"/>
  <c r="AC95" i="3"/>
  <c r="AE95" i="3"/>
  <c r="AF95" i="3"/>
  <c r="AH95" i="3"/>
  <c r="AI95" i="3"/>
  <c r="AK95" i="3"/>
  <c r="AL95" i="3"/>
  <c r="AN95" i="3"/>
  <c r="AO95" i="3"/>
  <c r="AQ95" i="3"/>
  <c r="AR95" i="3"/>
  <c r="Y96" i="3"/>
  <c r="Z96" i="3"/>
  <c r="AB96" i="3"/>
  <c r="AC96" i="3"/>
  <c r="AE96" i="3"/>
  <c r="AF96" i="3"/>
  <c r="AH96" i="3"/>
  <c r="AI96" i="3"/>
  <c r="AK96" i="3"/>
  <c r="AL96" i="3"/>
  <c r="AN96" i="3"/>
  <c r="AO96" i="3"/>
  <c r="AQ96" i="3"/>
  <c r="AR96" i="3"/>
  <c r="Y97" i="3"/>
  <c r="Z97" i="3"/>
  <c r="AB97" i="3"/>
  <c r="AC97" i="3"/>
  <c r="AE97" i="3"/>
  <c r="AF97" i="3"/>
  <c r="AH97" i="3"/>
  <c r="AI97" i="3"/>
  <c r="AK97" i="3"/>
  <c r="AL97" i="3"/>
  <c r="AN97" i="3"/>
  <c r="AO97" i="3"/>
  <c r="AQ97" i="3"/>
  <c r="AR97" i="3"/>
  <c r="Y98" i="3"/>
  <c r="Z98" i="3"/>
  <c r="AB98" i="3"/>
  <c r="AC98" i="3"/>
  <c r="AE98" i="3"/>
  <c r="AF98" i="3"/>
  <c r="AH98" i="3"/>
  <c r="AI98" i="3"/>
  <c r="AK98" i="3"/>
  <c r="AL98" i="3"/>
  <c r="AN98" i="3"/>
  <c r="AO98" i="3"/>
  <c r="AQ98" i="3"/>
  <c r="AR98" i="3"/>
  <c r="Y99" i="3"/>
  <c r="Z99" i="3"/>
  <c r="AB99" i="3"/>
  <c r="AC99" i="3"/>
  <c r="AE99" i="3"/>
  <c r="AF99" i="3"/>
  <c r="AH99" i="3"/>
  <c r="AI99" i="3"/>
  <c r="AK99" i="3"/>
  <c r="AL99" i="3"/>
  <c r="AN99" i="3"/>
  <c r="AO99" i="3"/>
  <c r="AQ99" i="3"/>
  <c r="AR99" i="3"/>
  <c r="Y100" i="3"/>
  <c r="Z100" i="3"/>
  <c r="AB100" i="3"/>
  <c r="AC100" i="3"/>
  <c r="AE100" i="3"/>
  <c r="AF100" i="3"/>
  <c r="AH100" i="3"/>
  <c r="AI100" i="3"/>
  <c r="AK100" i="3"/>
  <c r="AL100" i="3"/>
  <c r="AN100" i="3"/>
  <c r="AO100" i="3"/>
  <c r="AQ100" i="3"/>
  <c r="AR100" i="3"/>
  <c r="Y101" i="3"/>
  <c r="Z101" i="3"/>
  <c r="AB101" i="3"/>
  <c r="AC101" i="3"/>
  <c r="AE101" i="3"/>
  <c r="AF101" i="3"/>
  <c r="AH101" i="3"/>
  <c r="AI101" i="3"/>
  <c r="AK101" i="3"/>
  <c r="AL101" i="3"/>
  <c r="AN101" i="3"/>
  <c r="AO101" i="3"/>
  <c r="AQ101" i="3"/>
  <c r="AR101" i="3"/>
  <c r="Y102" i="3"/>
  <c r="Z102" i="3"/>
  <c r="AB102" i="3"/>
  <c r="AC102" i="3"/>
  <c r="AE102" i="3"/>
  <c r="AF102" i="3"/>
  <c r="AH102" i="3"/>
  <c r="AI102" i="3"/>
  <c r="AK102" i="3"/>
  <c r="AL102" i="3"/>
  <c r="AN102" i="3"/>
  <c r="AO102" i="3"/>
  <c r="AQ102" i="3"/>
  <c r="AR102" i="3"/>
  <c r="Y103" i="3"/>
  <c r="Z103" i="3"/>
  <c r="AB103" i="3"/>
  <c r="AC103" i="3"/>
  <c r="AE103" i="3"/>
  <c r="AF103" i="3"/>
  <c r="AH103" i="3"/>
  <c r="AI103" i="3"/>
  <c r="AK103" i="3"/>
  <c r="AL103" i="3"/>
  <c r="AN103" i="3"/>
  <c r="AO103" i="3"/>
  <c r="AQ103" i="3"/>
  <c r="AR103" i="3"/>
  <c r="Y104" i="3"/>
  <c r="Z104" i="3"/>
  <c r="AB104" i="3"/>
  <c r="AC104" i="3"/>
  <c r="AE104" i="3"/>
  <c r="AF104" i="3"/>
  <c r="AH104" i="3"/>
  <c r="AI104" i="3"/>
  <c r="AK104" i="3"/>
  <c r="AL104" i="3"/>
  <c r="AN104" i="3"/>
  <c r="AO104" i="3"/>
  <c r="AQ104" i="3"/>
  <c r="AR104" i="3"/>
  <c r="Y105" i="3"/>
  <c r="Z105" i="3"/>
  <c r="AB105" i="3"/>
  <c r="AC105" i="3"/>
  <c r="AE105" i="3"/>
  <c r="AF105" i="3"/>
  <c r="AH105" i="3"/>
  <c r="AI105" i="3"/>
  <c r="AK105" i="3"/>
  <c r="AL105" i="3"/>
  <c r="AN105" i="3"/>
  <c r="AO105" i="3"/>
  <c r="AQ105" i="3"/>
  <c r="AR105" i="3"/>
  <c r="Y106" i="3"/>
  <c r="Z106" i="3"/>
  <c r="AB106" i="3"/>
  <c r="AC106" i="3"/>
  <c r="AE106" i="3"/>
  <c r="AF106" i="3"/>
  <c r="AH106" i="3"/>
  <c r="AI106" i="3"/>
  <c r="AK106" i="3"/>
  <c r="AL106" i="3"/>
  <c r="AN106" i="3"/>
  <c r="AO106" i="3"/>
  <c r="AQ106" i="3"/>
  <c r="AR106" i="3"/>
  <c r="Y107" i="3"/>
  <c r="Z107" i="3"/>
  <c r="AB107" i="3"/>
  <c r="AC107" i="3"/>
  <c r="AE107" i="3"/>
  <c r="AF107" i="3"/>
  <c r="AH107" i="3"/>
  <c r="AI107" i="3"/>
  <c r="AK107" i="3"/>
  <c r="AL107" i="3"/>
  <c r="AN107" i="3"/>
  <c r="AO107" i="3"/>
  <c r="AQ107" i="3"/>
  <c r="AR107" i="3"/>
  <c r="Y108" i="3"/>
  <c r="Z108" i="3"/>
  <c r="AB108" i="3"/>
  <c r="AC108" i="3"/>
  <c r="AE108" i="3"/>
  <c r="AF108" i="3"/>
  <c r="AH108" i="3"/>
  <c r="AI108" i="3"/>
  <c r="AK108" i="3"/>
  <c r="AL108" i="3"/>
  <c r="AN108" i="3"/>
  <c r="AO108" i="3"/>
  <c r="AQ108" i="3"/>
  <c r="AR108" i="3"/>
  <c r="Y109" i="3"/>
  <c r="Z109" i="3"/>
  <c r="AB109" i="3"/>
  <c r="AC109" i="3"/>
  <c r="AE109" i="3"/>
  <c r="AF109" i="3"/>
  <c r="AH109" i="3"/>
  <c r="AI109" i="3"/>
  <c r="AK109" i="3"/>
  <c r="AL109" i="3"/>
  <c r="AN109" i="3"/>
  <c r="AO109" i="3"/>
  <c r="AQ109" i="3"/>
  <c r="AR109" i="3"/>
  <c r="Y110" i="3"/>
  <c r="Z110" i="3"/>
  <c r="AB110" i="3"/>
  <c r="AC110" i="3"/>
  <c r="AE110" i="3"/>
  <c r="AF110" i="3"/>
  <c r="AH110" i="3"/>
  <c r="AI110" i="3"/>
  <c r="AK110" i="3"/>
  <c r="AL110" i="3"/>
  <c r="AN110" i="3"/>
  <c r="AO110" i="3"/>
  <c r="AQ110" i="3"/>
  <c r="AR110" i="3"/>
  <c r="Y111" i="3"/>
  <c r="Z111" i="3"/>
  <c r="AB111" i="3"/>
  <c r="AC111" i="3"/>
  <c r="AE111" i="3"/>
  <c r="AF111" i="3"/>
  <c r="AH111" i="3"/>
  <c r="AI111" i="3"/>
  <c r="AK111" i="3"/>
  <c r="AL111" i="3"/>
  <c r="AN111" i="3"/>
  <c r="AO111" i="3"/>
  <c r="AQ111" i="3"/>
  <c r="AR111" i="3"/>
  <c r="Y112" i="3"/>
  <c r="Z112" i="3"/>
  <c r="AB112" i="3"/>
  <c r="AC112" i="3"/>
  <c r="AE112" i="3"/>
  <c r="AF112" i="3"/>
  <c r="AH112" i="3"/>
  <c r="AI112" i="3"/>
  <c r="AK112" i="3"/>
  <c r="AL112" i="3"/>
  <c r="AN112" i="3"/>
  <c r="AO112" i="3"/>
  <c r="AQ112" i="3"/>
  <c r="AR112" i="3"/>
  <c r="Y113" i="3"/>
  <c r="Z113" i="3"/>
  <c r="AB113" i="3"/>
  <c r="AC113" i="3"/>
  <c r="AE113" i="3"/>
  <c r="AF113" i="3"/>
  <c r="AH113" i="3"/>
  <c r="AI113" i="3"/>
  <c r="AK113" i="3"/>
  <c r="AL113" i="3"/>
  <c r="AN113" i="3"/>
  <c r="AO113" i="3"/>
  <c r="AQ113" i="3"/>
  <c r="AR113" i="3"/>
  <c r="Y114" i="3"/>
  <c r="Z114" i="3"/>
  <c r="AB114" i="3"/>
  <c r="AC114" i="3"/>
  <c r="AE114" i="3"/>
  <c r="AF114" i="3"/>
  <c r="AH114" i="3"/>
  <c r="AI114" i="3"/>
  <c r="AK114" i="3"/>
  <c r="AL114" i="3"/>
  <c r="AN114" i="3"/>
  <c r="AO114" i="3"/>
  <c r="AQ114" i="3"/>
  <c r="AR114" i="3"/>
  <c r="Y115" i="3"/>
  <c r="Z115" i="3"/>
  <c r="AB115" i="3"/>
  <c r="AC115" i="3"/>
  <c r="AE115" i="3"/>
  <c r="AF115" i="3"/>
  <c r="AH115" i="3"/>
  <c r="AI115" i="3"/>
  <c r="AK115" i="3"/>
  <c r="AL115" i="3"/>
  <c r="AN115" i="3"/>
  <c r="AO115" i="3"/>
  <c r="AQ115" i="3"/>
  <c r="AR115" i="3"/>
  <c r="Y116" i="3"/>
  <c r="Z116" i="3"/>
  <c r="AB116" i="3"/>
  <c r="AC116" i="3"/>
  <c r="AE116" i="3"/>
  <c r="AF116" i="3"/>
  <c r="AH116" i="3"/>
  <c r="AI116" i="3"/>
  <c r="AK116" i="3"/>
  <c r="AL116" i="3"/>
  <c r="AN116" i="3"/>
  <c r="AO116" i="3"/>
  <c r="AQ116" i="3"/>
  <c r="AR116" i="3"/>
  <c r="Y117" i="3"/>
  <c r="Z117" i="3"/>
  <c r="AB117" i="3"/>
  <c r="AC117" i="3"/>
  <c r="AE117" i="3"/>
  <c r="AF117" i="3"/>
  <c r="AH117" i="3"/>
  <c r="AI117" i="3"/>
  <c r="AK117" i="3"/>
  <c r="AL117" i="3"/>
  <c r="AN117" i="3"/>
  <c r="AO117" i="3"/>
  <c r="AQ117" i="3"/>
  <c r="AR117" i="3"/>
  <c r="Y118" i="3"/>
  <c r="Z118" i="3"/>
  <c r="AB118" i="3"/>
  <c r="AC118" i="3"/>
  <c r="AE118" i="3"/>
  <c r="AF118" i="3"/>
  <c r="AH118" i="3"/>
  <c r="AI118" i="3"/>
  <c r="AK118" i="3"/>
  <c r="AL118" i="3"/>
  <c r="AN118" i="3"/>
  <c r="AO118" i="3"/>
  <c r="AQ118" i="3"/>
  <c r="AR118" i="3"/>
  <c r="Y119" i="3"/>
  <c r="Z119" i="3"/>
  <c r="AB119" i="3"/>
  <c r="AC119" i="3"/>
  <c r="AE119" i="3"/>
  <c r="AF119" i="3"/>
  <c r="AH119" i="3"/>
  <c r="AI119" i="3"/>
  <c r="AK119" i="3"/>
  <c r="AL119" i="3"/>
  <c r="AN119" i="3"/>
  <c r="AO119" i="3"/>
  <c r="AQ119" i="3"/>
  <c r="AR119" i="3"/>
  <c r="Y120" i="3"/>
  <c r="Z120" i="3"/>
  <c r="AB120" i="3"/>
  <c r="AC120" i="3"/>
  <c r="AE120" i="3"/>
  <c r="AF120" i="3"/>
  <c r="AH120" i="3"/>
  <c r="AI120" i="3"/>
  <c r="AK120" i="3"/>
  <c r="AL120" i="3"/>
  <c r="AN120" i="3"/>
  <c r="AO120" i="3"/>
  <c r="AQ120" i="3"/>
  <c r="AR120" i="3"/>
  <c r="Y121" i="3"/>
  <c r="Z121" i="3"/>
  <c r="AB121" i="3"/>
  <c r="AC121" i="3"/>
  <c r="AE121" i="3"/>
  <c r="AF121" i="3"/>
  <c r="AH121" i="3"/>
  <c r="AI121" i="3"/>
  <c r="AK121" i="3"/>
  <c r="AL121" i="3"/>
  <c r="AN121" i="3"/>
  <c r="AO121" i="3"/>
  <c r="AQ121" i="3"/>
  <c r="AR121" i="3"/>
  <c r="Y122" i="3"/>
  <c r="Z122" i="3"/>
  <c r="AB122" i="3"/>
  <c r="AC122" i="3"/>
  <c r="AE122" i="3"/>
  <c r="AF122" i="3"/>
  <c r="AH122" i="3"/>
  <c r="AI122" i="3"/>
  <c r="AK122" i="3"/>
  <c r="AL122" i="3"/>
  <c r="AN122" i="3"/>
  <c r="AO122" i="3"/>
  <c r="AQ122" i="3"/>
  <c r="AR122" i="3"/>
  <c r="Y123" i="3"/>
  <c r="Z123" i="3"/>
  <c r="AB123" i="3"/>
  <c r="AC123" i="3"/>
  <c r="AE123" i="3"/>
  <c r="AF123" i="3"/>
  <c r="AH123" i="3"/>
  <c r="AI123" i="3"/>
  <c r="AK123" i="3"/>
  <c r="AL123" i="3"/>
  <c r="AN123" i="3"/>
  <c r="AO123" i="3"/>
  <c r="AQ123" i="3"/>
  <c r="AR123" i="3"/>
  <c r="Y124" i="3"/>
  <c r="Z124" i="3"/>
  <c r="AB124" i="3"/>
  <c r="AC124" i="3"/>
  <c r="AE124" i="3"/>
  <c r="AF124" i="3"/>
  <c r="AH124" i="3"/>
  <c r="AI124" i="3"/>
  <c r="AK124" i="3"/>
  <c r="AL124" i="3"/>
  <c r="AN124" i="3"/>
  <c r="AO124" i="3"/>
  <c r="AQ124" i="3"/>
  <c r="AR124" i="3"/>
  <c r="Y125" i="3"/>
  <c r="Z125" i="3"/>
  <c r="AB125" i="3"/>
  <c r="AC125" i="3"/>
  <c r="AE125" i="3"/>
  <c r="AF125" i="3"/>
  <c r="AH125" i="3"/>
  <c r="AI125" i="3"/>
  <c r="AK125" i="3"/>
  <c r="AL125" i="3"/>
  <c r="AN125" i="3"/>
  <c r="AO125" i="3"/>
  <c r="AQ125" i="3"/>
  <c r="AR125" i="3"/>
  <c r="Y126" i="3"/>
  <c r="Z126" i="3"/>
  <c r="AB126" i="3"/>
  <c r="AC126" i="3"/>
  <c r="AE126" i="3"/>
  <c r="AF126" i="3"/>
  <c r="AH126" i="3"/>
  <c r="AI126" i="3"/>
  <c r="AK126" i="3"/>
  <c r="AL126" i="3"/>
  <c r="AN126" i="3"/>
  <c r="AO126" i="3"/>
  <c r="AQ126" i="3"/>
  <c r="AR126" i="3"/>
  <c r="Y127" i="3"/>
  <c r="Z127" i="3"/>
  <c r="AB127" i="3"/>
  <c r="AC127" i="3"/>
  <c r="AE127" i="3"/>
  <c r="AF127" i="3"/>
  <c r="AH127" i="3"/>
  <c r="AI127" i="3"/>
  <c r="AK127" i="3"/>
  <c r="AL127" i="3"/>
  <c r="AN127" i="3"/>
  <c r="AO127" i="3"/>
  <c r="AQ127" i="3"/>
  <c r="AR127" i="3"/>
  <c r="Y128" i="3"/>
  <c r="Z128" i="3"/>
  <c r="AB128" i="3"/>
  <c r="AC128" i="3"/>
  <c r="AE128" i="3"/>
  <c r="AF128" i="3"/>
  <c r="AH128" i="3"/>
  <c r="AI128" i="3"/>
  <c r="AK128" i="3"/>
  <c r="AL128" i="3"/>
  <c r="AN128" i="3"/>
  <c r="AO128" i="3"/>
  <c r="AQ128" i="3"/>
  <c r="AR128" i="3"/>
  <c r="Y129" i="3"/>
  <c r="Z129" i="3"/>
  <c r="AB129" i="3"/>
  <c r="AC129" i="3"/>
  <c r="AE129" i="3"/>
  <c r="AF129" i="3"/>
  <c r="AH129" i="3"/>
  <c r="AI129" i="3"/>
  <c r="AK129" i="3"/>
  <c r="AL129" i="3"/>
  <c r="AN129" i="3"/>
  <c r="AO129" i="3"/>
  <c r="AQ129" i="3"/>
  <c r="AR129" i="3"/>
  <c r="Y130" i="3"/>
  <c r="Z130" i="3"/>
  <c r="AB130" i="3"/>
  <c r="AC130" i="3"/>
  <c r="AE130" i="3"/>
  <c r="AF130" i="3"/>
  <c r="AH130" i="3"/>
  <c r="AI130" i="3"/>
  <c r="AK130" i="3"/>
  <c r="AL130" i="3"/>
  <c r="AN130" i="3"/>
  <c r="AO130" i="3"/>
  <c r="AQ130" i="3"/>
  <c r="AR130" i="3"/>
  <c r="Y131" i="3"/>
  <c r="Z131" i="3"/>
  <c r="AB131" i="3"/>
  <c r="AC131" i="3"/>
  <c r="AE131" i="3"/>
  <c r="AF131" i="3"/>
  <c r="AH131" i="3"/>
  <c r="AI131" i="3"/>
  <c r="AK131" i="3"/>
  <c r="AL131" i="3"/>
  <c r="AN131" i="3"/>
  <c r="AO131" i="3"/>
  <c r="AQ131" i="3"/>
  <c r="AR131" i="3"/>
  <c r="Y132" i="3"/>
  <c r="Z132" i="3"/>
  <c r="AB132" i="3"/>
  <c r="AC132" i="3"/>
  <c r="AE132" i="3"/>
  <c r="AF132" i="3"/>
  <c r="AH132" i="3"/>
  <c r="AI132" i="3"/>
  <c r="AK132" i="3"/>
  <c r="AL132" i="3"/>
  <c r="AN132" i="3"/>
  <c r="AO132" i="3"/>
  <c r="AQ132" i="3"/>
  <c r="AR132" i="3"/>
  <c r="Y133" i="3"/>
  <c r="Z133" i="3"/>
  <c r="AB133" i="3"/>
  <c r="AC133" i="3"/>
  <c r="AE133" i="3"/>
  <c r="AF133" i="3"/>
  <c r="AH133" i="3"/>
  <c r="AI133" i="3"/>
  <c r="AK133" i="3"/>
  <c r="AL133" i="3"/>
  <c r="AN133" i="3"/>
  <c r="AO133" i="3"/>
  <c r="AQ133" i="3"/>
  <c r="AR133" i="3"/>
  <c r="Y134" i="3"/>
  <c r="Z134" i="3"/>
  <c r="AB134" i="3"/>
  <c r="AC134" i="3"/>
  <c r="AE134" i="3"/>
  <c r="AF134" i="3"/>
  <c r="AH134" i="3"/>
  <c r="AI134" i="3"/>
  <c r="AK134" i="3"/>
  <c r="AL134" i="3"/>
  <c r="AN134" i="3"/>
  <c r="AO134" i="3"/>
  <c r="AQ134" i="3"/>
  <c r="AR134" i="3"/>
  <c r="Y135" i="3"/>
  <c r="Z135" i="3"/>
  <c r="AB135" i="3"/>
  <c r="AC135" i="3"/>
  <c r="AE135" i="3"/>
  <c r="AF135" i="3"/>
  <c r="AH135" i="3"/>
  <c r="AI135" i="3"/>
  <c r="AK135" i="3"/>
  <c r="AL135" i="3"/>
  <c r="AN135" i="3"/>
  <c r="AO135" i="3"/>
  <c r="AQ135" i="3"/>
  <c r="AR135" i="3"/>
  <c r="Y136" i="3"/>
  <c r="Z136" i="3"/>
  <c r="AB136" i="3"/>
  <c r="AC136" i="3"/>
  <c r="AE136" i="3"/>
  <c r="AF136" i="3"/>
  <c r="AH136" i="3"/>
  <c r="AI136" i="3"/>
  <c r="AK136" i="3"/>
  <c r="AL136" i="3"/>
  <c r="AN136" i="3"/>
  <c r="AO136" i="3"/>
  <c r="AQ136" i="3"/>
  <c r="AR136" i="3"/>
  <c r="Y137" i="3"/>
  <c r="Z137" i="3"/>
  <c r="AB137" i="3"/>
  <c r="AC137" i="3"/>
  <c r="AE137" i="3"/>
  <c r="AF137" i="3"/>
  <c r="AH137" i="3"/>
  <c r="AI137" i="3"/>
  <c r="AK137" i="3"/>
  <c r="AL137" i="3"/>
  <c r="AN137" i="3"/>
  <c r="AO137" i="3"/>
  <c r="AQ137" i="3"/>
  <c r="AR137" i="3"/>
  <c r="Y138" i="3"/>
  <c r="Z138" i="3"/>
  <c r="AB138" i="3"/>
  <c r="AC138" i="3"/>
  <c r="AE138" i="3"/>
  <c r="AF138" i="3"/>
  <c r="AH138" i="3"/>
  <c r="AI138" i="3"/>
  <c r="AK138" i="3"/>
  <c r="AL138" i="3"/>
  <c r="AN138" i="3"/>
  <c r="AO138" i="3"/>
  <c r="AQ138" i="3"/>
  <c r="AR138" i="3"/>
  <c r="Y139" i="3"/>
  <c r="Z139" i="3"/>
  <c r="AB139" i="3"/>
  <c r="AC139" i="3"/>
  <c r="AE139" i="3"/>
  <c r="AF139" i="3"/>
  <c r="AH139" i="3"/>
  <c r="AI139" i="3"/>
  <c r="AK139" i="3"/>
  <c r="AL139" i="3"/>
  <c r="AN139" i="3"/>
  <c r="AO139" i="3"/>
  <c r="AQ139" i="3"/>
  <c r="AR139" i="3"/>
  <c r="Y140" i="3"/>
  <c r="Z140" i="3"/>
  <c r="AB140" i="3"/>
  <c r="AC140" i="3"/>
  <c r="AE140" i="3"/>
  <c r="AF140" i="3"/>
  <c r="AH140" i="3"/>
  <c r="AI140" i="3"/>
  <c r="AK140" i="3"/>
  <c r="AL140" i="3"/>
  <c r="AN140" i="3"/>
  <c r="AO140" i="3"/>
  <c r="AQ140" i="3"/>
  <c r="AR140" i="3"/>
  <c r="Y141" i="3"/>
  <c r="Z141" i="3"/>
  <c r="AB141" i="3"/>
  <c r="AC141" i="3"/>
  <c r="AE141" i="3"/>
  <c r="AF141" i="3"/>
  <c r="AH141" i="3"/>
  <c r="AI141" i="3"/>
  <c r="AK141" i="3"/>
  <c r="AL141" i="3"/>
  <c r="AN141" i="3"/>
  <c r="AO141" i="3"/>
  <c r="AQ141" i="3"/>
  <c r="AR141" i="3"/>
  <c r="Y142" i="3"/>
  <c r="Z142" i="3"/>
  <c r="AB142" i="3"/>
  <c r="AC142" i="3"/>
  <c r="AE142" i="3"/>
  <c r="AF142" i="3"/>
  <c r="AH142" i="3"/>
  <c r="AI142" i="3"/>
  <c r="AK142" i="3"/>
  <c r="AL142" i="3"/>
  <c r="AN142" i="3"/>
  <c r="AO142" i="3"/>
  <c r="AQ142" i="3"/>
  <c r="AR142" i="3"/>
  <c r="Y143" i="3"/>
  <c r="Z143" i="3"/>
  <c r="AB143" i="3"/>
  <c r="AC143" i="3"/>
  <c r="AE143" i="3"/>
  <c r="AF143" i="3"/>
  <c r="AH143" i="3"/>
  <c r="AI143" i="3"/>
  <c r="AK143" i="3"/>
  <c r="AL143" i="3"/>
  <c r="AN143" i="3"/>
  <c r="AO143" i="3"/>
  <c r="AQ143" i="3"/>
  <c r="AR143" i="3"/>
  <c r="Y144" i="3"/>
  <c r="Z144" i="3"/>
  <c r="AB144" i="3"/>
  <c r="AC144" i="3"/>
  <c r="AE144" i="3"/>
  <c r="AF144" i="3"/>
  <c r="AH144" i="3"/>
  <c r="AI144" i="3"/>
  <c r="AK144" i="3"/>
  <c r="AL144" i="3"/>
  <c r="AN144" i="3"/>
  <c r="AO144" i="3"/>
  <c r="AQ144" i="3"/>
  <c r="AR144" i="3"/>
  <c r="Y145" i="3"/>
  <c r="Z145" i="3"/>
  <c r="AB145" i="3"/>
  <c r="AC145" i="3"/>
  <c r="AE145" i="3"/>
  <c r="AF145" i="3"/>
  <c r="AH145" i="3"/>
  <c r="AI145" i="3"/>
  <c r="AK145" i="3"/>
  <c r="AL145" i="3"/>
  <c r="AN145" i="3"/>
  <c r="AO145" i="3"/>
  <c r="AQ145" i="3"/>
  <c r="AR145" i="3"/>
  <c r="Y146" i="3"/>
  <c r="Z146" i="3"/>
  <c r="AB146" i="3"/>
  <c r="AC146" i="3"/>
  <c r="AE146" i="3"/>
  <c r="AF146" i="3"/>
  <c r="AH146" i="3"/>
  <c r="AI146" i="3"/>
  <c r="AK146" i="3"/>
  <c r="AL146" i="3"/>
  <c r="AN146" i="3"/>
  <c r="AO146" i="3"/>
  <c r="AQ146" i="3"/>
  <c r="AR146" i="3"/>
  <c r="Y147" i="3"/>
  <c r="Z147" i="3"/>
  <c r="AB147" i="3"/>
  <c r="AC147" i="3"/>
  <c r="AE147" i="3"/>
  <c r="AF147" i="3"/>
  <c r="AH147" i="3"/>
  <c r="AI147" i="3"/>
  <c r="AK147" i="3"/>
  <c r="AL147" i="3"/>
  <c r="AN147" i="3"/>
  <c r="AO147" i="3"/>
  <c r="AQ147" i="3"/>
  <c r="AR147" i="3"/>
  <c r="Y148" i="3"/>
  <c r="Z148" i="3"/>
  <c r="AB148" i="3"/>
  <c r="AC148" i="3"/>
  <c r="AE148" i="3"/>
  <c r="AF148" i="3"/>
  <c r="AH148" i="3"/>
  <c r="AI148" i="3"/>
  <c r="AK148" i="3"/>
  <c r="AL148" i="3"/>
  <c r="AN148" i="3"/>
  <c r="AO148" i="3"/>
  <c r="AQ148" i="3"/>
  <c r="AR148" i="3"/>
  <c r="Y149" i="3"/>
  <c r="Z149" i="3"/>
  <c r="AB149" i="3"/>
  <c r="AC149" i="3"/>
  <c r="AE149" i="3"/>
  <c r="AF149" i="3"/>
  <c r="AH149" i="3"/>
  <c r="AI149" i="3"/>
  <c r="AK149" i="3"/>
  <c r="AL149" i="3"/>
  <c r="AN149" i="3"/>
  <c r="AO149" i="3"/>
  <c r="AQ149" i="3"/>
  <c r="AR149" i="3"/>
  <c r="Y150" i="3"/>
  <c r="Z150" i="3"/>
  <c r="AB150" i="3"/>
  <c r="AC150" i="3"/>
  <c r="AE150" i="3"/>
  <c r="AF150" i="3"/>
  <c r="AH150" i="3"/>
  <c r="AI150" i="3"/>
  <c r="AK150" i="3"/>
  <c r="AL150" i="3"/>
  <c r="AN150" i="3"/>
  <c r="AO150" i="3"/>
  <c r="AQ150" i="3"/>
  <c r="AR150" i="3"/>
  <c r="Y151" i="3"/>
  <c r="Z151" i="3"/>
  <c r="AB151" i="3"/>
  <c r="AC151" i="3"/>
  <c r="AE151" i="3"/>
  <c r="AF151" i="3"/>
  <c r="AH151" i="3"/>
  <c r="AI151" i="3"/>
  <c r="AK151" i="3"/>
  <c r="AL151" i="3"/>
  <c r="AN151" i="3"/>
  <c r="AO151" i="3"/>
  <c r="AQ151" i="3"/>
  <c r="AR151" i="3"/>
  <c r="Y152" i="3"/>
  <c r="Z152" i="3"/>
  <c r="AB152" i="3"/>
  <c r="AC152" i="3"/>
  <c r="AE152" i="3"/>
  <c r="AF152" i="3"/>
  <c r="AH152" i="3"/>
  <c r="AI152" i="3"/>
  <c r="AK152" i="3"/>
  <c r="AL152" i="3"/>
  <c r="AN152" i="3"/>
  <c r="AO152" i="3"/>
  <c r="AQ152" i="3"/>
  <c r="AR152" i="3"/>
  <c r="Y153" i="3"/>
  <c r="Z153" i="3"/>
  <c r="AB153" i="3"/>
  <c r="AC153" i="3"/>
  <c r="AE153" i="3"/>
  <c r="AF153" i="3"/>
  <c r="AH153" i="3"/>
  <c r="AI153" i="3"/>
  <c r="AK153" i="3"/>
  <c r="AL153" i="3"/>
  <c r="AN153" i="3"/>
  <c r="AO153" i="3"/>
  <c r="AQ153" i="3"/>
  <c r="AR153" i="3"/>
  <c r="Y154" i="3"/>
  <c r="Z154" i="3"/>
  <c r="AB154" i="3"/>
  <c r="AC154" i="3"/>
  <c r="AE154" i="3"/>
  <c r="AF154" i="3"/>
  <c r="AH154" i="3"/>
  <c r="AI154" i="3"/>
  <c r="AK154" i="3"/>
  <c r="AL154" i="3"/>
  <c r="AN154" i="3"/>
  <c r="AO154" i="3"/>
  <c r="AQ154" i="3"/>
  <c r="AR154" i="3"/>
  <c r="Y155" i="3"/>
  <c r="Z155" i="3"/>
  <c r="AB155" i="3"/>
  <c r="AC155" i="3"/>
  <c r="AE155" i="3"/>
  <c r="AF155" i="3"/>
  <c r="AH155" i="3"/>
  <c r="AI155" i="3"/>
  <c r="AK155" i="3"/>
  <c r="AL155" i="3"/>
  <c r="AN155" i="3"/>
  <c r="AO155" i="3"/>
  <c r="AQ155" i="3"/>
  <c r="AR155" i="3"/>
  <c r="Y156" i="3"/>
  <c r="Z156" i="3"/>
  <c r="AB156" i="3"/>
  <c r="AC156" i="3"/>
  <c r="AE156" i="3"/>
  <c r="AF156" i="3"/>
  <c r="AH156" i="3"/>
  <c r="AI156" i="3"/>
  <c r="AK156" i="3"/>
  <c r="AL156" i="3"/>
  <c r="AN156" i="3"/>
  <c r="AO156" i="3"/>
  <c r="AQ156" i="3"/>
  <c r="AR156" i="3"/>
  <c r="Y157" i="3"/>
  <c r="Z157" i="3"/>
  <c r="AB157" i="3"/>
  <c r="AC157" i="3"/>
  <c r="AE157" i="3"/>
  <c r="AF157" i="3"/>
  <c r="AH157" i="3"/>
  <c r="AI157" i="3"/>
  <c r="AK157" i="3"/>
  <c r="AL157" i="3"/>
  <c r="AN157" i="3"/>
  <c r="AO157" i="3"/>
  <c r="AQ157" i="3"/>
  <c r="AR157" i="3"/>
  <c r="Y158" i="3"/>
  <c r="Z158" i="3"/>
  <c r="AB158" i="3"/>
  <c r="AC158" i="3"/>
  <c r="AE158" i="3"/>
  <c r="AF158" i="3"/>
  <c r="AH158" i="3"/>
  <c r="AI158" i="3"/>
  <c r="AK158" i="3"/>
  <c r="AL158" i="3"/>
  <c r="AN158" i="3"/>
  <c r="AO158" i="3"/>
  <c r="AQ158" i="3"/>
  <c r="AR158" i="3"/>
  <c r="Y159" i="3"/>
  <c r="Z159" i="3"/>
  <c r="AB159" i="3"/>
  <c r="AC159" i="3"/>
  <c r="AE159" i="3"/>
  <c r="AF159" i="3"/>
  <c r="AH159" i="3"/>
  <c r="AI159" i="3"/>
  <c r="AK159" i="3"/>
  <c r="AL159" i="3"/>
  <c r="AN159" i="3"/>
  <c r="AO159" i="3"/>
  <c r="AQ159" i="3"/>
  <c r="AR159" i="3"/>
  <c r="Y160" i="3"/>
  <c r="Z160" i="3"/>
  <c r="AB160" i="3"/>
  <c r="AC160" i="3"/>
  <c r="AE160" i="3"/>
  <c r="AF160" i="3"/>
  <c r="AH160" i="3"/>
  <c r="AI160" i="3"/>
  <c r="AK160" i="3"/>
  <c r="AL160" i="3"/>
  <c r="AN160" i="3"/>
  <c r="AO160" i="3"/>
  <c r="AQ160" i="3"/>
  <c r="AR160" i="3"/>
  <c r="Y161" i="3"/>
  <c r="Z161" i="3"/>
  <c r="AB161" i="3"/>
  <c r="AC161" i="3"/>
  <c r="AE161" i="3"/>
  <c r="AF161" i="3"/>
  <c r="AH161" i="3"/>
  <c r="AI161" i="3"/>
  <c r="AK161" i="3"/>
  <c r="AL161" i="3"/>
  <c r="AN161" i="3"/>
  <c r="AO161" i="3"/>
  <c r="AQ161" i="3"/>
  <c r="AR161" i="3"/>
  <c r="Y162" i="3"/>
  <c r="Z162" i="3"/>
  <c r="AB162" i="3"/>
  <c r="AC162" i="3"/>
  <c r="AE162" i="3"/>
  <c r="AF162" i="3"/>
  <c r="AH162" i="3"/>
  <c r="AI162" i="3"/>
  <c r="AK162" i="3"/>
  <c r="AL162" i="3"/>
  <c r="AN162" i="3"/>
  <c r="AO162" i="3"/>
  <c r="AQ162" i="3"/>
  <c r="AR162" i="3"/>
  <c r="Y163" i="3"/>
  <c r="Z163" i="3"/>
  <c r="AB163" i="3"/>
  <c r="AC163" i="3"/>
  <c r="AE163" i="3"/>
  <c r="AF163" i="3"/>
  <c r="AH163" i="3"/>
  <c r="AI163" i="3"/>
  <c r="AK163" i="3"/>
  <c r="AL163" i="3"/>
  <c r="AN163" i="3"/>
  <c r="AO163" i="3"/>
  <c r="AQ163" i="3"/>
  <c r="AR163" i="3"/>
  <c r="Y164" i="3"/>
  <c r="Z164" i="3"/>
  <c r="AB164" i="3"/>
  <c r="AC164" i="3"/>
  <c r="AE164" i="3"/>
  <c r="AF164" i="3"/>
  <c r="AH164" i="3"/>
  <c r="AI164" i="3"/>
  <c r="AK164" i="3"/>
  <c r="AL164" i="3"/>
  <c r="AN164" i="3"/>
  <c r="AO164" i="3"/>
  <c r="AQ164" i="3"/>
  <c r="AR164" i="3"/>
  <c r="Y165" i="3"/>
  <c r="Z165" i="3"/>
  <c r="AB165" i="3"/>
  <c r="AC165" i="3"/>
  <c r="AE165" i="3"/>
  <c r="AF165" i="3"/>
  <c r="AH165" i="3"/>
  <c r="AI165" i="3"/>
  <c r="AK165" i="3"/>
  <c r="AL165" i="3"/>
  <c r="AN165" i="3"/>
  <c r="AO165" i="3"/>
  <c r="AQ165" i="3"/>
  <c r="AR165" i="3"/>
  <c r="Y166" i="3"/>
  <c r="Z166" i="3"/>
  <c r="AB166" i="3"/>
  <c r="AC166" i="3"/>
  <c r="AE166" i="3"/>
  <c r="AF166" i="3"/>
  <c r="AH166" i="3"/>
  <c r="AI166" i="3"/>
  <c r="AK166" i="3"/>
  <c r="AL166" i="3"/>
  <c r="AN166" i="3"/>
  <c r="AO166" i="3"/>
  <c r="AQ166" i="3"/>
  <c r="AR166" i="3"/>
  <c r="Y167" i="3"/>
  <c r="Z167" i="3"/>
  <c r="AB167" i="3"/>
  <c r="AC167" i="3"/>
  <c r="AE167" i="3"/>
  <c r="AF167" i="3"/>
  <c r="AH167" i="3"/>
  <c r="AI167" i="3"/>
  <c r="AK167" i="3"/>
  <c r="AL167" i="3"/>
  <c r="AN167" i="3"/>
  <c r="AO167" i="3"/>
  <c r="AQ167" i="3"/>
  <c r="AR167" i="3"/>
  <c r="Y168" i="3"/>
  <c r="Z168" i="3"/>
  <c r="AB168" i="3"/>
  <c r="AC168" i="3"/>
  <c r="AE168" i="3"/>
  <c r="AF168" i="3"/>
  <c r="AH168" i="3"/>
  <c r="AI168" i="3"/>
  <c r="AK168" i="3"/>
  <c r="AL168" i="3"/>
  <c r="AN168" i="3"/>
  <c r="AO168" i="3"/>
  <c r="AQ168" i="3"/>
  <c r="AR168" i="3"/>
  <c r="Y169" i="3"/>
  <c r="Z169" i="3"/>
  <c r="AB169" i="3"/>
  <c r="AC169" i="3"/>
  <c r="AE169" i="3"/>
  <c r="AF169" i="3"/>
  <c r="AH169" i="3"/>
  <c r="AI169" i="3"/>
  <c r="AK169" i="3"/>
  <c r="AL169" i="3"/>
  <c r="AN169" i="3"/>
  <c r="AO169" i="3"/>
  <c r="AQ169" i="3"/>
  <c r="AR169" i="3"/>
  <c r="Y170" i="3"/>
  <c r="Z170" i="3"/>
  <c r="AB170" i="3"/>
  <c r="AC170" i="3"/>
  <c r="AE170" i="3"/>
  <c r="AF170" i="3"/>
  <c r="AH170" i="3"/>
  <c r="AI170" i="3"/>
  <c r="AK170" i="3"/>
  <c r="AL170" i="3"/>
  <c r="AN170" i="3"/>
  <c r="AO170" i="3"/>
  <c r="AQ170" i="3"/>
  <c r="AR170" i="3"/>
  <c r="Y171" i="3"/>
  <c r="Z171" i="3"/>
  <c r="AB171" i="3"/>
  <c r="AC171" i="3"/>
  <c r="AE171" i="3"/>
  <c r="AF171" i="3"/>
  <c r="AH171" i="3"/>
  <c r="AI171" i="3"/>
  <c r="AK171" i="3"/>
  <c r="AL171" i="3"/>
  <c r="AN171" i="3"/>
  <c r="AO171" i="3"/>
  <c r="AQ171" i="3"/>
  <c r="AR171" i="3"/>
  <c r="Y172" i="3"/>
  <c r="Z172" i="3"/>
  <c r="AB172" i="3"/>
  <c r="AC172" i="3"/>
  <c r="AE172" i="3"/>
  <c r="AF172" i="3"/>
  <c r="AH172" i="3"/>
  <c r="AI172" i="3"/>
  <c r="AK172" i="3"/>
  <c r="AL172" i="3"/>
  <c r="AN172" i="3"/>
  <c r="AO172" i="3"/>
  <c r="AQ172" i="3"/>
  <c r="AR172" i="3"/>
  <c r="Y173" i="3"/>
  <c r="Z173" i="3"/>
  <c r="AB173" i="3"/>
  <c r="AC173" i="3"/>
  <c r="AE173" i="3"/>
  <c r="AF173" i="3"/>
  <c r="AH173" i="3"/>
  <c r="AI173" i="3"/>
  <c r="AK173" i="3"/>
  <c r="AL173" i="3"/>
  <c r="AN173" i="3"/>
  <c r="AO173" i="3"/>
  <c r="AQ173" i="3"/>
  <c r="AR173" i="3"/>
  <c r="Y174" i="3"/>
  <c r="Z174" i="3"/>
  <c r="AB174" i="3"/>
  <c r="AC174" i="3"/>
  <c r="AE174" i="3"/>
  <c r="AF174" i="3"/>
  <c r="AH174" i="3"/>
  <c r="AI174" i="3"/>
  <c r="AK174" i="3"/>
  <c r="AL174" i="3"/>
  <c r="AN174" i="3"/>
  <c r="AO174" i="3"/>
  <c r="AQ174" i="3"/>
  <c r="AR174" i="3"/>
  <c r="Y175" i="3"/>
  <c r="Z175" i="3"/>
  <c r="AB175" i="3"/>
  <c r="AC175" i="3"/>
  <c r="AE175" i="3"/>
  <c r="AF175" i="3"/>
  <c r="AH175" i="3"/>
  <c r="AI175" i="3"/>
  <c r="AK175" i="3"/>
  <c r="AL175" i="3"/>
  <c r="AN175" i="3"/>
  <c r="AO175" i="3"/>
  <c r="AQ175" i="3"/>
  <c r="AR175" i="3"/>
  <c r="Y176" i="3"/>
  <c r="Z176" i="3"/>
  <c r="AB176" i="3"/>
  <c r="AC176" i="3"/>
  <c r="AE176" i="3"/>
  <c r="AF176" i="3"/>
  <c r="AH176" i="3"/>
  <c r="AI176" i="3"/>
  <c r="AK176" i="3"/>
  <c r="AL176" i="3"/>
  <c r="AN176" i="3"/>
  <c r="AO176" i="3"/>
  <c r="AQ176" i="3"/>
  <c r="AR176" i="3"/>
  <c r="Y177" i="3"/>
  <c r="Z177" i="3"/>
  <c r="AB177" i="3"/>
  <c r="AC177" i="3"/>
  <c r="AE177" i="3"/>
  <c r="AF177" i="3"/>
  <c r="AH177" i="3"/>
  <c r="AI177" i="3"/>
  <c r="AK177" i="3"/>
  <c r="AL177" i="3"/>
  <c r="AN177" i="3"/>
  <c r="AO177" i="3"/>
  <c r="AQ177" i="3"/>
  <c r="AR177" i="3"/>
  <c r="Y178" i="3"/>
  <c r="Z178" i="3"/>
  <c r="AB178" i="3"/>
  <c r="AC178" i="3"/>
  <c r="AE178" i="3"/>
  <c r="AF178" i="3"/>
  <c r="AH178" i="3"/>
  <c r="AI178" i="3"/>
  <c r="AK178" i="3"/>
  <c r="AL178" i="3"/>
  <c r="AN178" i="3"/>
  <c r="AO178" i="3"/>
  <c r="AQ178" i="3"/>
  <c r="AR178" i="3"/>
  <c r="Y179" i="3"/>
  <c r="Z179" i="3"/>
  <c r="AB179" i="3"/>
  <c r="AC179" i="3"/>
  <c r="AE179" i="3"/>
  <c r="AF179" i="3"/>
  <c r="AH179" i="3"/>
  <c r="AI179" i="3"/>
  <c r="AK179" i="3"/>
  <c r="AL179" i="3"/>
  <c r="AN179" i="3"/>
  <c r="AO179" i="3"/>
  <c r="AQ179" i="3"/>
  <c r="AR179" i="3"/>
  <c r="Y180" i="3"/>
  <c r="Z180" i="3"/>
  <c r="AB180" i="3"/>
  <c r="AC180" i="3"/>
  <c r="AE180" i="3"/>
  <c r="AF180" i="3"/>
  <c r="AH180" i="3"/>
  <c r="AI180" i="3"/>
  <c r="AK180" i="3"/>
  <c r="AL180" i="3"/>
  <c r="AN180" i="3"/>
  <c r="AO180" i="3"/>
  <c r="AQ180" i="3"/>
  <c r="AR180" i="3"/>
  <c r="Y181" i="3"/>
  <c r="Z181" i="3"/>
  <c r="AB181" i="3"/>
  <c r="AC181" i="3"/>
  <c r="AE181" i="3"/>
  <c r="AF181" i="3"/>
  <c r="AH181" i="3"/>
  <c r="AI181" i="3"/>
  <c r="AK181" i="3"/>
  <c r="AL181" i="3"/>
  <c r="AN181" i="3"/>
  <c r="AO181" i="3"/>
  <c r="AQ181" i="3"/>
  <c r="AR181" i="3"/>
  <c r="Y182" i="3"/>
  <c r="Z182" i="3"/>
  <c r="AB182" i="3"/>
  <c r="AC182" i="3"/>
  <c r="AE182" i="3"/>
  <c r="AF182" i="3"/>
  <c r="AH182" i="3"/>
  <c r="AI182" i="3"/>
  <c r="AK182" i="3"/>
  <c r="AL182" i="3"/>
  <c r="AN182" i="3"/>
  <c r="AO182" i="3"/>
  <c r="AQ182" i="3"/>
  <c r="AR182" i="3"/>
  <c r="Y183" i="3"/>
  <c r="Z183" i="3"/>
  <c r="AB183" i="3"/>
  <c r="AC183" i="3"/>
  <c r="AE183" i="3"/>
  <c r="AF183" i="3"/>
  <c r="AH183" i="3"/>
  <c r="AI183" i="3"/>
  <c r="AK183" i="3"/>
  <c r="AL183" i="3"/>
  <c r="AN183" i="3"/>
  <c r="AO183" i="3"/>
  <c r="AQ183" i="3"/>
  <c r="AR183" i="3"/>
  <c r="Y184" i="3"/>
  <c r="Z184" i="3"/>
  <c r="AB184" i="3"/>
  <c r="AC184" i="3"/>
  <c r="AE184" i="3"/>
  <c r="AF184" i="3"/>
  <c r="AH184" i="3"/>
  <c r="AI184" i="3"/>
  <c r="AK184" i="3"/>
  <c r="AL184" i="3"/>
  <c r="AN184" i="3"/>
  <c r="AO184" i="3"/>
  <c r="AQ184" i="3"/>
  <c r="AR184" i="3"/>
  <c r="Y185" i="3"/>
  <c r="Z185" i="3"/>
  <c r="AB185" i="3"/>
  <c r="AC185" i="3"/>
  <c r="AE185" i="3"/>
  <c r="AF185" i="3"/>
  <c r="AH185" i="3"/>
  <c r="AI185" i="3"/>
  <c r="AK185" i="3"/>
  <c r="AL185" i="3"/>
  <c r="AN185" i="3"/>
  <c r="AO185" i="3"/>
  <c r="AQ185" i="3"/>
  <c r="AR185" i="3"/>
  <c r="Y186" i="3"/>
  <c r="Z186" i="3"/>
  <c r="AB186" i="3"/>
  <c r="AC186" i="3"/>
  <c r="AE186" i="3"/>
  <c r="AF186" i="3"/>
  <c r="AH186" i="3"/>
  <c r="AI186" i="3"/>
  <c r="AK186" i="3"/>
  <c r="AL186" i="3"/>
  <c r="AN186" i="3"/>
  <c r="AO186" i="3"/>
  <c r="AQ186" i="3"/>
  <c r="AR186" i="3"/>
  <c r="Y187" i="3"/>
  <c r="Z187" i="3"/>
  <c r="AB187" i="3"/>
  <c r="AC187" i="3"/>
  <c r="AE187" i="3"/>
  <c r="AF187" i="3"/>
  <c r="AH187" i="3"/>
  <c r="AI187" i="3"/>
  <c r="AK187" i="3"/>
  <c r="AL187" i="3"/>
  <c r="AN187" i="3"/>
  <c r="AO187" i="3"/>
  <c r="AQ187" i="3"/>
  <c r="AR187" i="3"/>
  <c r="Y188" i="3"/>
  <c r="Z188" i="3"/>
  <c r="AB188" i="3"/>
  <c r="AC188" i="3"/>
  <c r="AE188" i="3"/>
  <c r="AF188" i="3"/>
  <c r="AH188" i="3"/>
  <c r="AI188" i="3"/>
  <c r="AK188" i="3"/>
  <c r="AL188" i="3"/>
  <c r="AN188" i="3"/>
  <c r="AO188" i="3"/>
  <c r="AQ188" i="3"/>
  <c r="AR188" i="3"/>
  <c r="Y189" i="3"/>
  <c r="Z189" i="3"/>
  <c r="AB189" i="3"/>
  <c r="AC189" i="3"/>
  <c r="AE189" i="3"/>
  <c r="AF189" i="3"/>
  <c r="AH189" i="3"/>
  <c r="AI189" i="3"/>
  <c r="AK189" i="3"/>
  <c r="AL189" i="3"/>
  <c r="AN189" i="3"/>
  <c r="AO189" i="3"/>
  <c r="AQ189" i="3"/>
  <c r="AR189" i="3"/>
  <c r="Y190" i="3"/>
  <c r="Z190" i="3"/>
  <c r="AB190" i="3"/>
  <c r="AC190" i="3"/>
  <c r="AE190" i="3"/>
  <c r="AF190" i="3"/>
  <c r="AH190" i="3"/>
  <c r="AI190" i="3"/>
  <c r="AK190" i="3"/>
  <c r="AL190" i="3"/>
  <c r="AN190" i="3"/>
  <c r="AO190" i="3"/>
  <c r="AQ190" i="3"/>
  <c r="AR190" i="3"/>
  <c r="Y191" i="3"/>
  <c r="Z191" i="3"/>
  <c r="AB191" i="3"/>
  <c r="AC191" i="3"/>
  <c r="AE191" i="3"/>
  <c r="AF191" i="3"/>
  <c r="AH191" i="3"/>
  <c r="AI191" i="3"/>
  <c r="AK191" i="3"/>
  <c r="AL191" i="3"/>
  <c r="AN191" i="3"/>
  <c r="AO191" i="3"/>
  <c r="AQ191" i="3"/>
  <c r="AR191" i="3"/>
  <c r="Y192" i="3"/>
  <c r="Z192" i="3"/>
  <c r="AB192" i="3"/>
  <c r="AC192" i="3"/>
  <c r="AE192" i="3"/>
  <c r="AF192" i="3"/>
  <c r="AH192" i="3"/>
  <c r="AI192" i="3"/>
  <c r="AK192" i="3"/>
  <c r="AL192" i="3"/>
  <c r="AN192" i="3"/>
  <c r="AO192" i="3"/>
  <c r="AQ192" i="3"/>
  <c r="AR192" i="3"/>
  <c r="Y193" i="3"/>
  <c r="Z193" i="3"/>
  <c r="AB193" i="3"/>
  <c r="AC193" i="3"/>
  <c r="AE193" i="3"/>
  <c r="AF193" i="3"/>
  <c r="AH193" i="3"/>
  <c r="AI193" i="3"/>
  <c r="AK193" i="3"/>
  <c r="AL193" i="3"/>
  <c r="AN193" i="3"/>
  <c r="AO193" i="3"/>
  <c r="AQ193" i="3"/>
  <c r="AR193" i="3"/>
  <c r="Y194" i="3"/>
  <c r="Z194" i="3"/>
  <c r="AB194" i="3"/>
  <c r="AC194" i="3"/>
  <c r="AE194" i="3"/>
  <c r="AF194" i="3"/>
  <c r="AH194" i="3"/>
  <c r="AI194" i="3"/>
  <c r="AK194" i="3"/>
  <c r="AL194" i="3"/>
  <c r="AN194" i="3"/>
  <c r="AO194" i="3"/>
  <c r="AQ194" i="3"/>
  <c r="AR194" i="3"/>
  <c r="Y195" i="3"/>
  <c r="Z195" i="3"/>
  <c r="AB195" i="3"/>
  <c r="AC195" i="3"/>
  <c r="AE195" i="3"/>
  <c r="AF195" i="3"/>
  <c r="AH195" i="3"/>
  <c r="AI195" i="3"/>
  <c r="AK195" i="3"/>
  <c r="AL195" i="3"/>
  <c r="AN195" i="3"/>
  <c r="AO195" i="3"/>
  <c r="AQ195" i="3"/>
  <c r="AR195" i="3"/>
  <c r="Y196" i="3"/>
  <c r="Z196" i="3"/>
  <c r="AB196" i="3"/>
  <c r="AC196" i="3"/>
  <c r="AE196" i="3"/>
  <c r="AF196" i="3"/>
  <c r="AH196" i="3"/>
  <c r="AI196" i="3"/>
  <c r="AK196" i="3"/>
  <c r="AL196" i="3"/>
  <c r="AN196" i="3"/>
  <c r="AO196" i="3"/>
  <c r="AQ196" i="3"/>
  <c r="AR196" i="3"/>
  <c r="Y197" i="3"/>
  <c r="Z197" i="3"/>
  <c r="AB197" i="3"/>
  <c r="AC197" i="3"/>
  <c r="AE197" i="3"/>
  <c r="AF197" i="3"/>
  <c r="AH197" i="3"/>
  <c r="AI197" i="3"/>
  <c r="AK197" i="3"/>
  <c r="AL197" i="3"/>
  <c r="AN197" i="3"/>
  <c r="AO197" i="3"/>
  <c r="AQ197" i="3"/>
  <c r="AR197" i="3"/>
  <c r="Y198" i="3"/>
  <c r="Z198" i="3"/>
  <c r="AB198" i="3"/>
  <c r="AC198" i="3"/>
  <c r="AE198" i="3"/>
  <c r="AF198" i="3"/>
  <c r="AH198" i="3"/>
  <c r="AI198" i="3"/>
  <c r="AK198" i="3"/>
  <c r="AL198" i="3"/>
  <c r="AN198" i="3"/>
  <c r="AO198" i="3"/>
  <c r="AQ198" i="3"/>
  <c r="AR198" i="3"/>
  <c r="Y199" i="3"/>
  <c r="Z199" i="3"/>
  <c r="AB199" i="3"/>
  <c r="AC199" i="3"/>
  <c r="AE199" i="3"/>
  <c r="AF199" i="3"/>
  <c r="AH199" i="3"/>
  <c r="AI199" i="3"/>
  <c r="AK199" i="3"/>
  <c r="AL199" i="3"/>
  <c r="AN199" i="3"/>
  <c r="AO199" i="3"/>
  <c r="AQ199" i="3"/>
  <c r="AR199" i="3"/>
  <c r="Y200" i="3"/>
  <c r="Z200" i="3"/>
  <c r="AB200" i="3"/>
  <c r="AC200" i="3"/>
  <c r="AE200" i="3"/>
  <c r="AF200" i="3"/>
  <c r="AH200" i="3"/>
  <c r="AI200" i="3"/>
  <c r="AK200" i="3"/>
  <c r="AL200" i="3"/>
  <c r="AN200" i="3"/>
  <c r="AO200" i="3"/>
  <c r="AQ200" i="3"/>
  <c r="AR200" i="3"/>
  <c r="Y201" i="3"/>
  <c r="Z201" i="3"/>
  <c r="AB201" i="3"/>
  <c r="AC201" i="3"/>
  <c r="AE201" i="3"/>
  <c r="AF201" i="3"/>
  <c r="AH201" i="3"/>
  <c r="AI201" i="3"/>
  <c r="AK201" i="3"/>
  <c r="AL201" i="3"/>
  <c r="AN201" i="3"/>
  <c r="AO201" i="3"/>
  <c r="AQ201" i="3"/>
  <c r="AR201" i="3"/>
  <c r="Y202" i="3"/>
  <c r="Z202" i="3"/>
  <c r="AB202" i="3"/>
  <c r="AC202" i="3"/>
  <c r="AE202" i="3"/>
  <c r="AF202" i="3"/>
  <c r="AH202" i="3"/>
  <c r="AI202" i="3"/>
  <c r="AK202" i="3"/>
  <c r="AL202" i="3"/>
  <c r="AN202" i="3"/>
  <c r="AO202" i="3"/>
  <c r="AQ202" i="3"/>
  <c r="AR202" i="3"/>
  <c r="Y203" i="3"/>
  <c r="Z203" i="3"/>
  <c r="AB203" i="3"/>
  <c r="AC203" i="3"/>
  <c r="AE203" i="3"/>
  <c r="AF203" i="3"/>
  <c r="AH203" i="3"/>
  <c r="AI203" i="3"/>
  <c r="AK203" i="3"/>
  <c r="AL203" i="3"/>
  <c r="AN203" i="3"/>
  <c r="AO203" i="3"/>
  <c r="AQ203" i="3"/>
  <c r="AR203" i="3"/>
  <c r="Y204" i="3"/>
  <c r="Z204" i="3"/>
  <c r="AB204" i="3"/>
  <c r="AC204" i="3"/>
  <c r="AE204" i="3"/>
  <c r="AF204" i="3"/>
  <c r="AH204" i="3"/>
  <c r="AI204" i="3"/>
  <c r="AK204" i="3"/>
  <c r="AL204" i="3"/>
  <c r="AN204" i="3"/>
  <c r="AO204" i="3"/>
  <c r="AQ204" i="3"/>
  <c r="AR204" i="3"/>
  <c r="Y205" i="3"/>
  <c r="Z205" i="3"/>
  <c r="AB205" i="3"/>
  <c r="AC205" i="3"/>
  <c r="AE205" i="3"/>
  <c r="AF205" i="3"/>
  <c r="AH205" i="3"/>
  <c r="AI205" i="3"/>
  <c r="AK205" i="3"/>
  <c r="AL205" i="3"/>
  <c r="AN205" i="3"/>
  <c r="AO205" i="3"/>
  <c r="AQ205" i="3"/>
  <c r="AR205" i="3"/>
  <c r="Y206" i="3"/>
  <c r="Z206" i="3"/>
  <c r="AB206" i="3"/>
  <c r="AC206" i="3"/>
  <c r="AE206" i="3"/>
  <c r="AF206" i="3"/>
  <c r="AH206" i="3"/>
  <c r="AI206" i="3"/>
  <c r="AK206" i="3"/>
  <c r="AL206" i="3"/>
  <c r="AN206" i="3"/>
  <c r="AO206" i="3"/>
  <c r="AQ206" i="3"/>
  <c r="AR206" i="3"/>
  <c r="Y207" i="3"/>
  <c r="Z207" i="3"/>
  <c r="AB207" i="3"/>
  <c r="AC207" i="3"/>
  <c r="AE207" i="3"/>
  <c r="AF207" i="3"/>
  <c r="AH207" i="3"/>
  <c r="AI207" i="3"/>
  <c r="AK207" i="3"/>
  <c r="AL207" i="3"/>
  <c r="AN207" i="3"/>
  <c r="AO207" i="3"/>
  <c r="AQ207" i="3"/>
  <c r="AR207" i="3"/>
  <c r="Y208" i="3"/>
  <c r="Z208" i="3"/>
  <c r="AB208" i="3"/>
  <c r="AC208" i="3"/>
  <c r="AE208" i="3"/>
  <c r="AF208" i="3"/>
  <c r="AH208" i="3"/>
  <c r="AI208" i="3"/>
  <c r="AK208" i="3"/>
  <c r="AL208" i="3"/>
  <c r="AN208" i="3"/>
  <c r="AO208" i="3"/>
  <c r="AQ208" i="3"/>
  <c r="AR208" i="3"/>
  <c r="Y209" i="3"/>
  <c r="Z209" i="3"/>
  <c r="AB209" i="3"/>
  <c r="AC209" i="3"/>
  <c r="AE209" i="3"/>
  <c r="AF209" i="3"/>
  <c r="AH209" i="3"/>
  <c r="AI209" i="3"/>
  <c r="AK209" i="3"/>
  <c r="AL209" i="3"/>
  <c r="AN209" i="3"/>
  <c r="AO209" i="3"/>
  <c r="AQ209" i="3"/>
  <c r="AR209" i="3"/>
  <c r="Y210" i="3"/>
  <c r="Z210" i="3"/>
  <c r="AB210" i="3"/>
  <c r="AC210" i="3"/>
  <c r="AE210" i="3"/>
  <c r="AF210" i="3"/>
  <c r="AH210" i="3"/>
  <c r="AI210" i="3"/>
  <c r="AK210" i="3"/>
  <c r="AL210" i="3"/>
  <c r="AN210" i="3"/>
  <c r="AO210" i="3"/>
  <c r="AQ210" i="3"/>
  <c r="AR210" i="3"/>
  <c r="Y211" i="3"/>
  <c r="Z211" i="3"/>
  <c r="AB211" i="3"/>
  <c r="AC211" i="3"/>
  <c r="AE211" i="3"/>
  <c r="AF211" i="3"/>
  <c r="AH211" i="3"/>
  <c r="AI211" i="3"/>
  <c r="AK211" i="3"/>
  <c r="AL211" i="3"/>
  <c r="AN211" i="3"/>
  <c r="AO211" i="3"/>
  <c r="AQ211" i="3"/>
  <c r="AR211" i="3"/>
  <c r="Y212" i="3"/>
  <c r="Z212" i="3"/>
  <c r="AB212" i="3"/>
  <c r="AC212" i="3"/>
  <c r="AE212" i="3"/>
  <c r="AF212" i="3"/>
  <c r="AH212" i="3"/>
  <c r="AI212" i="3"/>
  <c r="AK212" i="3"/>
  <c r="AL212" i="3"/>
  <c r="AN212" i="3"/>
  <c r="AO212" i="3"/>
  <c r="AQ212" i="3"/>
  <c r="AR212" i="3"/>
  <c r="Y213" i="3"/>
  <c r="Z213" i="3"/>
  <c r="AB213" i="3"/>
  <c r="AC213" i="3"/>
  <c r="AE213" i="3"/>
  <c r="AF213" i="3"/>
  <c r="AH213" i="3"/>
  <c r="AI213" i="3"/>
  <c r="AK213" i="3"/>
  <c r="AL213" i="3"/>
  <c r="AN213" i="3"/>
  <c r="AO213" i="3"/>
  <c r="AQ213" i="3"/>
  <c r="AR213" i="3"/>
  <c r="Y214" i="3"/>
  <c r="Z214" i="3"/>
  <c r="AB214" i="3"/>
  <c r="AC214" i="3"/>
  <c r="AE214" i="3"/>
  <c r="AF214" i="3"/>
  <c r="AH214" i="3"/>
  <c r="AI214" i="3"/>
  <c r="AK214" i="3"/>
  <c r="AL214" i="3"/>
  <c r="AN214" i="3"/>
  <c r="AO214" i="3"/>
  <c r="AQ214" i="3"/>
  <c r="AR214" i="3"/>
  <c r="Y215" i="3"/>
  <c r="Z215" i="3"/>
  <c r="AB215" i="3"/>
  <c r="AC215" i="3"/>
  <c r="AE215" i="3"/>
  <c r="AF215" i="3"/>
  <c r="AH215" i="3"/>
  <c r="AI215" i="3"/>
  <c r="AK215" i="3"/>
  <c r="AL215" i="3"/>
  <c r="AN215" i="3"/>
  <c r="AO215" i="3"/>
  <c r="AQ215" i="3"/>
  <c r="AR215" i="3"/>
  <c r="Y216" i="3"/>
  <c r="Z216" i="3"/>
  <c r="AB216" i="3"/>
  <c r="AC216" i="3"/>
  <c r="AE216" i="3"/>
  <c r="AF216" i="3"/>
  <c r="AH216" i="3"/>
  <c r="AI216" i="3"/>
  <c r="AK216" i="3"/>
  <c r="AL216" i="3"/>
  <c r="AN216" i="3"/>
  <c r="AO216" i="3"/>
  <c r="AQ216" i="3"/>
  <c r="AR216" i="3"/>
  <c r="Y217" i="3"/>
  <c r="Z217" i="3"/>
  <c r="AB217" i="3"/>
  <c r="AC217" i="3"/>
  <c r="AE217" i="3"/>
  <c r="AF217" i="3"/>
  <c r="AH217" i="3"/>
  <c r="AI217" i="3"/>
  <c r="AK217" i="3"/>
  <c r="AL217" i="3"/>
  <c r="AN217" i="3"/>
  <c r="AO217" i="3"/>
  <c r="AQ217" i="3"/>
  <c r="AR217" i="3"/>
  <c r="Y218" i="3"/>
  <c r="Z218" i="3"/>
  <c r="AB218" i="3"/>
  <c r="AC218" i="3"/>
  <c r="AE218" i="3"/>
  <c r="AF218" i="3"/>
  <c r="AH218" i="3"/>
  <c r="AI218" i="3"/>
  <c r="AK218" i="3"/>
  <c r="AL218" i="3"/>
  <c r="AN218" i="3"/>
  <c r="AO218" i="3"/>
  <c r="AQ218" i="3"/>
  <c r="AR218" i="3"/>
  <c r="Y219" i="3"/>
  <c r="Z219" i="3"/>
  <c r="AB219" i="3"/>
  <c r="AC219" i="3"/>
  <c r="AE219" i="3"/>
  <c r="AF219" i="3"/>
  <c r="AH219" i="3"/>
  <c r="AI219" i="3"/>
  <c r="AK219" i="3"/>
  <c r="AL219" i="3"/>
  <c r="AN219" i="3"/>
  <c r="AO219" i="3"/>
  <c r="AQ219" i="3"/>
  <c r="AR219" i="3"/>
  <c r="Y220" i="3"/>
  <c r="Z220" i="3"/>
  <c r="AB220" i="3"/>
  <c r="AC220" i="3"/>
  <c r="AE220" i="3"/>
  <c r="AF220" i="3"/>
  <c r="AH220" i="3"/>
  <c r="AI220" i="3"/>
  <c r="AK220" i="3"/>
  <c r="AL220" i="3"/>
  <c r="AN220" i="3"/>
  <c r="AO220" i="3"/>
  <c r="AQ220" i="3"/>
  <c r="AR220" i="3"/>
  <c r="Y221" i="3"/>
  <c r="Z221" i="3"/>
  <c r="AB221" i="3"/>
  <c r="AC221" i="3"/>
  <c r="AE221" i="3"/>
  <c r="AF221" i="3"/>
  <c r="AH221" i="3"/>
  <c r="AI221" i="3"/>
  <c r="AK221" i="3"/>
  <c r="AL221" i="3"/>
  <c r="AN221" i="3"/>
  <c r="AO221" i="3"/>
  <c r="AQ221" i="3"/>
  <c r="AR221" i="3"/>
  <c r="Y222" i="3"/>
  <c r="Z222" i="3"/>
  <c r="AB222" i="3"/>
  <c r="AC222" i="3"/>
  <c r="AE222" i="3"/>
  <c r="AF222" i="3"/>
  <c r="AH222" i="3"/>
  <c r="AI222" i="3"/>
  <c r="AK222" i="3"/>
  <c r="AL222" i="3"/>
  <c r="AN222" i="3"/>
  <c r="AO222" i="3"/>
  <c r="AQ222" i="3"/>
  <c r="AR222" i="3"/>
  <c r="Y223" i="3"/>
  <c r="Z223" i="3"/>
  <c r="AB223" i="3"/>
  <c r="AC223" i="3"/>
  <c r="AE223" i="3"/>
  <c r="AF223" i="3"/>
  <c r="AH223" i="3"/>
  <c r="AI223" i="3"/>
  <c r="AK223" i="3"/>
  <c r="AL223" i="3"/>
  <c r="AN223" i="3"/>
  <c r="AO223" i="3"/>
  <c r="AQ223" i="3"/>
  <c r="AR223" i="3"/>
  <c r="Y224" i="3"/>
  <c r="Z224" i="3"/>
  <c r="AB224" i="3"/>
  <c r="AC224" i="3"/>
  <c r="AE224" i="3"/>
  <c r="AF224" i="3"/>
  <c r="AH224" i="3"/>
  <c r="AI224" i="3"/>
  <c r="AK224" i="3"/>
  <c r="AL224" i="3"/>
  <c r="AN224" i="3"/>
  <c r="AO224" i="3"/>
  <c r="AQ224" i="3"/>
  <c r="AR224" i="3"/>
  <c r="Y225" i="3"/>
  <c r="Z225" i="3"/>
  <c r="AB225" i="3"/>
  <c r="AC225" i="3"/>
  <c r="AE225" i="3"/>
  <c r="AF225" i="3"/>
  <c r="AH225" i="3"/>
  <c r="AI225" i="3"/>
  <c r="AK225" i="3"/>
  <c r="AL225" i="3"/>
  <c r="AN225" i="3"/>
  <c r="AO225" i="3"/>
  <c r="AQ225" i="3"/>
  <c r="AR225" i="3"/>
  <c r="Y226" i="3"/>
  <c r="Z226" i="3"/>
  <c r="AB226" i="3"/>
  <c r="AC226" i="3"/>
  <c r="AE226" i="3"/>
  <c r="AF226" i="3"/>
  <c r="AH226" i="3"/>
  <c r="AI226" i="3"/>
  <c r="AK226" i="3"/>
  <c r="AL226" i="3"/>
  <c r="AN226" i="3"/>
  <c r="AO226" i="3"/>
  <c r="AQ226" i="3"/>
  <c r="AR226" i="3"/>
  <c r="Y227" i="3"/>
  <c r="Z227" i="3"/>
  <c r="AB227" i="3"/>
  <c r="AC227" i="3"/>
  <c r="AE227" i="3"/>
  <c r="AF227" i="3"/>
  <c r="AH227" i="3"/>
  <c r="AI227" i="3"/>
  <c r="AK227" i="3"/>
  <c r="AL227" i="3"/>
  <c r="AN227" i="3"/>
  <c r="AO227" i="3"/>
  <c r="AQ227" i="3"/>
  <c r="AR227" i="3"/>
  <c r="Y228" i="3"/>
  <c r="Z228" i="3"/>
  <c r="AB228" i="3"/>
  <c r="AC228" i="3"/>
  <c r="AE228" i="3"/>
  <c r="AF228" i="3"/>
  <c r="AH228" i="3"/>
  <c r="AI228" i="3"/>
  <c r="AK228" i="3"/>
  <c r="AL228" i="3"/>
  <c r="AN228" i="3"/>
  <c r="AO228" i="3"/>
  <c r="AQ228" i="3"/>
  <c r="AR228" i="3"/>
  <c r="Y229" i="3"/>
  <c r="Z229" i="3"/>
  <c r="AB229" i="3"/>
  <c r="AC229" i="3"/>
  <c r="AE229" i="3"/>
  <c r="AF229" i="3"/>
  <c r="AH229" i="3"/>
  <c r="AI229" i="3"/>
  <c r="AK229" i="3"/>
  <c r="AL229" i="3"/>
  <c r="AN229" i="3"/>
  <c r="AO229" i="3"/>
  <c r="AQ229" i="3"/>
  <c r="AR229" i="3"/>
  <c r="Y230" i="3"/>
  <c r="Z230" i="3"/>
  <c r="AB230" i="3"/>
  <c r="AC230" i="3"/>
  <c r="AE230" i="3"/>
  <c r="AF230" i="3"/>
  <c r="AH230" i="3"/>
  <c r="AI230" i="3"/>
  <c r="AK230" i="3"/>
  <c r="AL230" i="3"/>
  <c r="AN230" i="3"/>
  <c r="AO230" i="3"/>
  <c r="AQ230" i="3"/>
  <c r="AR230" i="3"/>
  <c r="Y231" i="3"/>
  <c r="Z231" i="3"/>
  <c r="AB231" i="3"/>
  <c r="AC231" i="3"/>
  <c r="AE231" i="3"/>
  <c r="AF231" i="3"/>
  <c r="AH231" i="3"/>
  <c r="AI231" i="3"/>
  <c r="AK231" i="3"/>
  <c r="AL231" i="3"/>
  <c r="AN231" i="3"/>
  <c r="AO231" i="3"/>
  <c r="AQ231" i="3"/>
  <c r="AR231" i="3"/>
  <c r="Y232" i="3"/>
  <c r="Z232" i="3"/>
  <c r="AB232" i="3"/>
  <c r="AC232" i="3"/>
  <c r="AE232" i="3"/>
  <c r="AF232" i="3"/>
  <c r="AH232" i="3"/>
  <c r="AI232" i="3"/>
  <c r="AK232" i="3"/>
  <c r="AL232" i="3"/>
  <c r="AN232" i="3"/>
  <c r="AO232" i="3"/>
  <c r="AQ232" i="3"/>
  <c r="AR232" i="3"/>
  <c r="Y233" i="3"/>
  <c r="Z233" i="3"/>
  <c r="AB233" i="3"/>
  <c r="AC233" i="3"/>
  <c r="AE233" i="3"/>
  <c r="AF233" i="3"/>
  <c r="AH233" i="3"/>
  <c r="AI233" i="3"/>
  <c r="AK233" i="3"/>
  <c r="AL233" i="3"/>
  <c r="AN233" i="3"/>
  <c r="AO233" i="3"/>
  <c r="AQ233" i="3"/>
  <c r="AR233" i="3"/>
  <c r="Y234" i="3"/>
  <c r="Z234" i="3"/>
  <c r="AB234" i="3"/>
  <c r="AC234" i="3"/>
  <c r="AE234" i="3"/>
  <c r="AF234" i="3"/>
  <c r="AH234" i="3"/>
  <c r="AI234" i="3"/>
  <c r="AK234" i="3"/>
  <c r="AL234" i="3"/>
  <c r="AN234" i="3"/>
  <c r="AO234" i="3"/>
  <c r="AQ234" i="3"/>
  <c r="AR234" i="3"/>
  <c r="Y235" i="3"/>
  <c r="Z235" i="3"/>
  <c r="AB235" i="3"/>
  <c r="AC235" i="3"/>
  <c r="AE235" i="3"/>
  <c r="AF235" i="3"/>
  <c r="AH235" i="3"/>
  <c r="AI235" i="3"/>
  <c r="AK235" i="3"/>
  <c r="AL235" i="3"/>
  <c r="AN235" i="3"/>
  <c r="AO235" i="3"/>
  <c r="AQ235" i="3"/>
  <c r="AR235" i="3"/>
  <c r="Y236" i="3"/>
  <c r="Z236" i="3"/>
  <c r="AB236" i="3"/>
  <c r="AC236" i="3"/>
  <c r="AE236" i="3"/>
  <c r="AF236" i="3"/>
  <c r="AH236" i="3"/>
  <c r="AI236" i="3"/>
  <c r="AK236" i="3"/>
  <c r="AL236" i="3"/>
  <c r="AN236" i="3"/>
  <c r="AO236" i="3"/>
  <c r="AQ236" i="3"/>
  <c r="AR236" i="3"/>
  <c r="Y237" i="3"/>
  <c r="Z237" i="3"/>
  <c r="AB237" i="3"/>
  <c r="AC237" i="3"/>
  <c r="AE237" i="3"/>
  <c r="AF237" i="3"/>
  <c r="AH237" i="3"/>
  <c r="AI237" i="3"/>
  <c r="AK237" i="3"/>
  <c r="AL237" i="3"/>
  <c r="AN237" i="3"/>
  <c r="AO237" i="3"/>
  <c r="AQ237" i="3"/>
  <c r="AR237" i="3"/>
  <c r="Y238" i="3"/>
  <c r="Z238" i="3"/>
  <c r="AB238" i="3"/>
  <c r="AC238" i="3"/>
  <c r="AE238" i="3"/>
  <c r="AF238" i="3"/>
  <c r="AH238" i="3"/>
  <c r="AI238" i="3"/>
  <c r="AK238" i="3"/>
  <c r="AL238" i="3"/>
  <c r="AN238" i="3"/>
  <c r="AO238" i="3"/>
  <c r="AQ238" i="3"/>
  <c r="AR238" i="3"/>
  <c r="Y239" i="3"/>
  <c r="Z239" i="3"/>
  <c r="AB239" i="3"/>
  <c r="AC239" i="3"/>
  <c r="AE239" i="3"/>
  <c r="AF239" i="3"/>
  <c r="AH239" i="3"/>
  <c r="AI239" i="3"/>
  <c r="AK239" i="3"/>
  <c r="AL239" i="3"/>
  <c r="AN239" i="3"/>
  <c r="AO239" i="3"/>
  <c r="AQ239" i="3"/>
  <c r="AR239" i="3"/>
  <c r="Y240" i="3"/>
  <c r="Z240" i="3"/>
  <c r="AB240" i="3"/>
  <c r="AC240" i="3"/>
  <c r="AE240" i="3"/>
  <c r="AF240" i="3"/>
  <c r="AH240" i="3"/>
  <c r="AI240" i="3"/>
  <c r="AK240" i="3"/>
  <c r="AL240" i="3"/>
  <c r="AN240" i="3"/>
  <c r="AO240" i="3"/>
  <c r="AQ240" i="3"/>
  <c r="AR240" i="3"/>
  <c r="Y241" i="3"/>
  <c r="Z241" i="3"/>
  <c r="AB241" i="3"/>
  <c r="AC241" i="3"/>
  <c r="AE241" i="3"/>
  <c r="AF241" i="3"/>
  <c r="AH241" i="3"/>
  <c r="AI241" i="3"/>
  <c r="AK241" i="3"/>
  <c r="AL241" i="3"/>
  <c r="AN241" i="3"/>
  <c r="AO241" i="3"/>
  <c r="AQ241" i="3"/>
  <c r="AR241" i="3"/>
  <c r="Y242" i="3"/>
  <c r="Z242" i="3"/>
  <c r="AB242" i="3"/>
  <c r="AC242" i="3"/>
  <c r="AE242" i="3"/>
  <c r="AF242" i="3"/>
  <c r="AH242" i="3"/>
  <c r="AI242" i="3"/>
  <c r="AK242" i="3"/>
  <c r="AL242" i="3"/>
  <c r="AN242" i="3"/>
  <c r="AO242" i="3"/>
  <c r="AQ242" i="3"/>
  <c r="AR242" i="3"/>
  <c r="Y243" i="3"/>
  <c r="Z243" i="3"/>
  <c r="AB243" i="3"/>
  <c r="AC243" i="3"/>
  <c r="AE243" i="3"/>
  <c r="AF243" i="3"/>
  <c r="AH243" i="3"/>
  <c r="AI243" i="3"/>
  <c r="AK243" i="3"/>
  <c r="AL243" i="3"/>
  <c r="AN243" i="3"/>
  <c r="AO243" i="3"/>
  <c r="AQ243" i="3"/>
  <c r="AR243" i="3"/>
  <c r="Y244" i="3"/>
  <c r="Z244" i="3"/>
  <c r="AB244" i="3"/>
  <c r="AC244" i="3"/>
  <c r="AE244" i="3"/>
  <c r="AF244" i="3"/>
  <c r="AH244" i="3"/>
  <c r="AI244" i="3"/>
  <c r="AK244" i="3"/>
  <c r="AL244" i="3"/>
  <c r="AN244" i="3"/>
  <c r="AO244" i="3"/>
  <c r="AQ244" i="3"/>
  <c r="AR244" i="3"/>
  <c r="Y245" i="3"/>
  <c r="Z245" i="3"/>
  <c r="AB245" i="3"/>
  <c r="AC245" i="3"/>
  <c r="AE245" i="3"/>
  <c r="AF245" i="3"/>
  <c r="AH245" i="3"/>
  <c r="AI245" i="3"/>
  <c r="AK245" i="3"/>
  <c r="AL245" i="3"/>
  <c r="AN245" i="3"/>
  <c r="AO245" i="3"/>
  <c r="AQ245" i="3"/>
  <c r="AR245" i="3"/>
  <c r="Y246" i="3"/>
  <c r="Z246" i="3"/>
  <c r="AB246" i="3"/>
  <c r="AC246" i="3"/>
  <c r="AE246" i="3"/>
  <c r="AF246" i="3"/>
  <c r="AH246" i="3"/>
  <c r="AI246" i="3"/>
  <c r="AK246" i="3"/>
  <c r="AL246" i="3"/>
  <c r="AN246" i="3"/>
  <c r="AO246" i="3"/>
  <c r="AQ246" i="3"/>
  <c r="AR246" i="3"/>
  <c r="Y247" i="3"/>
  <c r="Z247" i="3"/>
  <c r="AB247" i="3"/>
  <c r="AC247" i="3"/>
  <c r="AE247" i="3"/>
  <c r="AF247" i="3"/>
  <c r="AH247" i="3"/>
  <c r="AI247" i="3"/>
  <c r="AK247" i="3"/>
  <c r="AL247" i="3"/>
  <c r="AN247" i="3"/>
  <c r="AO247" i="3"/>
  <c r="AQ247" i="3"/>
  <c r="AR247" i="3"/>
  <c r="Y248" i="3"/>
  <c r="Z248" i="3"/>
  <c r="AB248" i="3"/>
  <c r="AC248" i="3"/>
  <c r="AE248" i="3"/>
  <c r="AF248" i="3"/>
  <c r="AH248" i="3"/>
  <c r="AI248" i="3"/>
  <c r="AK248" i="3"/>
  <c r="AL248" i="3"/>
  <c r="AN248" i="3"/>
  <c r="AO248" i="3"/>
  <c r="AQ248" i="3"/>
  <c r="AR248" i="3"/>
  <c r="Y249" i="3"/>
  <c r="Z249" i="3"/>
  <c r="AB249" i="3"/>
  <c r="AC249" i="3"/>
  <c r="AE249" i="3"/>
  <c r="AF249" i="3"/>
  <c r="AH249" i="3"/>
  <c r="AI249" i="3"/>
  <c r="AK249" i="3"/>
  <c r="AL249" i="3"/>
  <c r="AN249" i="3"/>
  <c r="AO249" i="3"/>
  <c r="AQ249" i="3"/>
  <c r="AR249" i="3"/>
  <c r="Y250" i="3"/>
  <c r="Z250" i="3"/>
  <c r="AB250" i="3"/>
  <c r="AC250" i="3"/>
  <c r="AE250" i="3"/>
  <c r="AF250" i="3"/>
  <c r="AH250" i="3"/>
  <c r="AI250" i="3"/>
  <c r="AK250" i="3"/>
  <c r="AL250" i="3"/>
  <c r="AN250" i="3"/>
  <c r="AO250" i="3"/>
  <c r="AQ250" i="3"/>
  <c r="AR250" i="3"/>
  <c r="Y251" i="3"/>
  <c r="Z251" i="3"/>
  <c r="AB251" i="3"/>
  <c r="AC251" i="3"/>
  <c r="AE251" i="3"/>
  <c r="AF251" i="3"/>
  <c r="AH251" i="3"/>
  <c r="AI251" i="3"/>
  <c r="AK251" i="3"/>
  <c r="AL251" i="3"/>
  <c r="AN251" i="3"/>
  <c r="AO251" i="3"/>
  <c r="AQ251" i="3"/>
  <c r="AR251" i="3"/>
  <c r="Y252" i="3"/>
  <c r="Z252" i="3"/>
  <c r="AB252" i="3"/>
  <c r="AC252" i="3"/>
  <c r="AE252" i="3"/>
  <c r="AF252" i="3"/>
  <c r="AH252" i="3"/>
  <c r="AI252" i="3"/>
  <c r="AK252" i="3"/>
  <c r="AL252" i="3"/>
  <c r="AN252" i="3"/>
  <c r="AO252" i="3"/>
  <c r="AQ252" i="3"/>
  <c r="AR252" i="3"/>
  <c r="Y253" i="3"/>
  <c r="Z253" i="3"/>
  <c r="AB253" i="3"/>
  <c r="AC253" i="3"/>
  <c r="AE253" i="3"/>
  <c r="AF253" i="3"/>
  <c r="AH253" i="3"/>
  <c r="AI253" i="3"/>
  <c r="AK253" i="3"/>
  <c r="AL253" i="3"/>
  <c r="AN253" i="3"/>
  <c r="AO253" i="3"/>
  <c r="AQ253" i="3"/>
  <c r="AR253" i="3"/>
  <c r="Y254" i="3"/>
  <c r="Z254" i="3"/>
  <c r="AB254" i="3"/>
  <c r="AC254" i="3"/>
  <c r="AE254" i="3"/>
  <c r="AF254" i="3"/>
  <c r="AH254" i="3"/>
  <c r="AI254" i="3"/>
  <c r="AK254" i="3"/>
  <c r="AL254" i="3"/>
  <c r="AN254" i="3"/>
  <c r="AO254" i="3"/>
  <c r="AQ254" i="3"/>
  <c r="AR254" i="3"/>
  <c r="Y255" i="3"/>
  <c r="Z255" i="3"/>
  <c r="AB255" i="3"/>
  <c r="AC255" i="3"/>
  <c r="AE255" i="3"/>
  <c r="AF255" i="3"/>
  <c r="AH255" i="3"/>
  <c r="AI255" i="3"/>
  <c r="AK255" i="3"/>
  <c r="AL255" i="3"/>
  <c r="AN255" i="3"/>
  <c r="AO255" i="3"/>
  <c r="AQ255" i="3"/>
  <c r="AR255" i="3"/>
  <c r="Y256" i="3"/>
  <c r="Z256" i="3"/>
  <c r="AB256" i="3"/>
  <c r="AC256" i="3"/>
  <c r="AE256" i="3"/>
  <c r="AF256" i="3"/>
  <c r="AH256" i="3"/>
  <c r="AI256" i="3"/>
  <c r="AK256" i="3"/>
  <c r="AL256" i="3"/>
  <c r="AN256" i="3"/>
  <c r="AO256" i="3"/>
  <c r="AQ256" i="3"/>
  <c r="AR256" i="3"/>
  <c r="Y257" i="3"/>
  <c r="Z257" i="3"/>
  <c r="AB257" i="3"/>
  <c r="AC257" i="3"/>
  <c r="AE257" i="3"/>
  <c r="AF257" i="3"/>
  <c r="AH257" i="3"/>
  <c r="AI257" i="3"/>
  <c r="AK257" i="3"/>
  <c r="AL257" i="3"/>
  <c r="AN257" i="3"/>
  <c r="AO257" i="3"/>
  <c r="AQ257" i="3"/>
  <c r="AR257" i="3"/>
  <c r="Y258" i="3"/>
  <c r="Z258" i="3"/>
  <c r="AB258" i="3"/>
  <c r="AC258" i="3"/>
  <c r="AE258" i="3"/>
  <c r="AF258" i="3"/>
  <c r="AH258" i="3"/>
  <c r="AI258" i="3"/>
  <c r="AK258" i="3"/>
  <c r="AL258" i="3"/>
  <c r="AN258" i="3"/>
  <c r="AO258" i="3"/>
  <c r="AQ258" i="3"/>
  <c r="AR258" i="3"/>
  <c r="Y259" i="3"/>
  <c r="Z259" i="3"/>
  <c r="AB259" i="3"/>
  <c r="AC259" i="3"/>
  <c r="AE259" i="3"/>
  <c r="AF259" i="3"/>
  <c r="AH259" i="3"/>
  <c r="AI259" i="3"/>
  <c r="AK259" i="3"/>
  <c r="AL259" i="3"/>
  <c r="AN259" i="3"/>
  <c r="AO259" i="3"/>
  <c r="AQ259" i="3"/>
  <c r="AR259" i="3"/>
  <c r="Y260" i="3"/>
  <c r="Z260" i="3"/>
  <c r="AB260" i="3"/>
  <c r="AC260" i="3"/>
  <c r="AE260" i="3"/>
  <c r="AF260" i="3"/>
  <c r="AH260" i="3"/>
  <c r="AI260" i="3"/>
  <c r="AK260" i="3"/>
  <c r="AL260" i="3"/>
  <c r="AN260" i="3"/>
  <c r="AO260" i="3"/>
  <c r="AQ260" i="3"/>
  <c r="AR260" i="3"/>
  <c r="Y261" i="3"/>
  <c r="Z261" i="3"/>
  <c r="AB261" i="3"/>
  <c r="AC261" i="3"/>
  <c r="AE261" i="3"/>
  <c r="AF261" i="3"/>
  <c r="AH261" i="3"/>
  <c r="AI261" i="3"/>
  <c r="AK261" i="3"/>
  <c r="AL261" i="3"/>
  <c r="AN261" i="3"/>
  <c r="AO261" i="3"/>
  <c r="AQ261" i="3"/>
  <c r="AR261" i="3"/>
  <c r="Y262" i="3"/>
  <c r="Z262" i="3"/>
  <c r="AB262" i="3"/>
  <c r="AC262" i="3"/>
  <c r="AE262" i="3"/>
  <c r="AF262" i="3"/>
  <c r="AH262" i="3"/>
  <c r="AI262" i="3"/>
  <c r="AK262" i="3"/>
  <c r="AL262" i="3"/>
  <c r="AN262" i="3"/>
  <c r="AO262" i="3"/>
  <c r="AQ262" i="3"/>
  <c r="AR262" i="3"/>
  <c r="Y263" i="3"/>
  <c r="Z263" i="3"/>
  <c r="AB263" i="3"/>
  <c r="AC263" i="3"/>
  <c r="AE263" i="3"/>
  <c r="AF263" i="3"/>
  <c r="AH263" i="3"/>
  <c r="AI263" i="3"/>
  <c r="AK263" i="3"/>
  <c r="AL263" i="3"/>
  <c r="AN263" i="3"/>
  <c r="AO263" i="3"/>
  <c r="AQ263" i="3"/>
  <c r="AR263" i="3"/>
  <c r="Y264" i="3"/>
  <c r="Z264" i="3"/>
  <c r="AB264" i="3"/>
  <c r="AC264" i="3"/>
  <c r="AE264" i="3"/>
  <c r="AF264" i="3"/>
  <c r="AH264" i="3"/>
  <c r="AI264" i="3"/>
  <c r="AK264" i="3"/>
  <c r="AL264" i="3"/>
  <c r="AN264" i="3"/>
  <c r="AO264" i="3"/>
  <c r="AQ264" i="3"/>
  <c r="AR264" i="3"/>
  <c r="Y265" i="3"/>
  <c r="Z265" i="3"/>
  <c r="AB265" i="3"/>
  <c r="AC265" i="3"/>
  <c r="AE265" i="3"/>
  <c r="AF265" i="3"/>
  <c r="AH265" i="3"/>
  <c r="AI265" i="3"/>
  <c r="AK265" i="3"/>
  <c r="AL265" i="3"/>
  <c r="AN265" i="3"/>
  <c r="AO265" i="3"/>
  <c r="AQ265" i="3"/>
  <c r="AR265" i="3"/>
  <c r="Y266" i="3"/>
  <c r="Z266" i="3"/>
  <c r="AB266" i="3"/>
  <c r="AC266" i="3"/>
  <c r="AE266" i="3"/>
  <c r="AF266" i="3"/>
  <c r="AH266" i="3"/>
  <c r="AI266" i="3"/>
  <c r="AK266" i="3"/>
  <c r="AL266" i="3"/>
  <c r="AN266" i="3"/>
  <c r="AO266" i="3"/>
  <c r="AQ266" i="3"/>
  <c r="AR266" i="3"/>
  <c r="Y267" i="3"/>
  <c r="Z267" i="3"/>
  <c r="AB267" i="3"/>
  <c r="AC267" i="3"/>
  <c r="AE267" i="3"/>
  <c r="AF267" i="3"/>
  <c r="AH267" i="3"/>
  <c r="AI267" i="3"/>
  <c r="AK267" i="3"/>
  <c r="AL267" i="3"/>
  <c r="AN267" i="3"/>
  <c r="AO267" i="3"/>
  <c r="AQ267" i="3"/>
  <c r="AR267" i="3"/>
  <c r="Y268" i="3"/>
  <c r="Z268" i="3"/>
  <c r="AB268" i="3"/>
  <c r="AC268" i="3"/>
  <c r="AE268" i="3"/>
  <c r="AF268" i="3"/>
  <c r="AH268" i="3"/>
  <c r="AI268" i="3"/>
  <c r="AK268" i="3"/>
  <c r="AL268" i="3"/>
  <c r="AN268" i="3"/>
  <c r="AO268" i="3"/>
  <c r="AQ268" i="3"/>
  <c r="AR268" i="3"/>
  <c r="Y269" i="3"/>
  <c r="Z269" i="3"/>
  <c r="AB269" i="3"/>
  <c r="AC269" i="3"/>
  <c r="AE269" i="3"/>
  <c r="AF269" i="3"/>
  <c r="AH269" i="3"/>
  <c r="AI269" i="3"/>
  <c r="AK269" i="3"/>
  <c r="AL269" i="3"/>
  <c r="AN269" i="3"/>
  <c r="AO269" i="3"/>
  <c r="AQ269" i="3"/>
  <c r="AR269" i="3"/>
  <c r="Y270" i="3"/>
  <c r="Z270" i="3"/>
  <c r="AB270" i="3"/>
  <c r="AC270" i="3"/>
  <c r="AE270" i="3"/>
  <c r="AF270" i="3"/>
  <c r="AH270" i="3"/>
  <c r="AI270" i="3"/>
  <c r="AK270" i="3"/>
  <c r="AL270" i="3"/>
  <c r="AN270" i="3"/>
  <c r="AO270" i="3"/>
  <c r="AQ270" i="3"/>
  <c r="AR270" i="3"/>
  <c r="Y271" i="3"/>
  <c r="Z271" i="3"/>
  <c r="AB271" i="3"/>
  <c r="AC271" i="3"/>
  <c r="AE271" i="3"/>
  <c r="AF271" i="3"/>
  <c r="AH271" i="3"/>
  <c r="AI271" i="3"/>
  <c r="AK271" i="3"/>
  <c r="AL271" i="3"/>
  <c r="AN271" i="3"/>
  <c r="AO271" i="3"/>
  <c r="AQ271" i="3"/>
  <c r="AR271" i="3"/>
  <c r="Y272" i="3"/>
  <c r="Z272" i="3"/>
  <c r="AB272" i="3"/>
  <c r="AC272" i="3"/>
  <c r="AE272" i="3"/>
  <c r="AF272" i="3"/>
  <c r="AH272" i="3"/>
  <c r="AI272" i="3"/>
  <c r="AK272" i="3"/>
  <c r="AL272" i="3"/>
  <c r="AN272" i="3"/>
  <c r="AO272" i="3"/>
  <c r="AQ272" i="3"/>
  <c r="AR272" i="3"/>
  <c r="Y273" i="3"/>
  <c r="Z273" i="3"/>
  <c r="AB273" i="3"/>
  <c r="AC273" i="3"/>
  <c r="AE273" i="3"/>
  <c r="AF273" i="3"/>
  <c r="AH273" i="3"/>
  <c r="AI273" i="3"/>
  <c r="AK273" i="3"/>
  <c r="AL273" i="3"/>
  <c r="AN273" i="3"/>
  <c r="AO273" i="3"/>
  <c r="AQ273" i="3"/>
  <c r="AR273" i="3"/>
  <c r="Y274" i="3"/>
  <c r="Z274" i="3"/>
  <c r="AB274" i="3"/>
  <c r="AC274" i="3"/>
  <c r="AE274" i="3"/>
  <c r="AF274" i="3"/>
  <c r="AH274" i="3"/>
  <c r="AI274" i="3"/>
  <c r="AK274" i="3"/>
  <c r="AL274" i="3"/>
  <c r="AN274" i="3"/>
  <c r="AO274" i="3"/>
  <c r="AQ274" i="3"/>
  <c r="AR274" i="3"/>
  <c r="Y275" i="3"/>
  <c r="Z275" i="3"/>
  <c r="AB275" i="3"/>
  <c r="AC275" i="3"/>
  <c r="AE275" i="3"/>
  <c r="AF275" i="3"/>
  <c r="AH275" i="3"/>
  <c r="AI275" i="3"/>
  <c r="AK275" i="3"/>
  <c r="AL275" i="3"/>
  <c r="AN275" i="3"/>
  <c r="AO275" i="3"/>
  <c r="AQ275" i="3"/>
  <c r="AR275" i="3"/>
  <c r="Y276" i="3"/>
  <c r="Z276" i="3"/>
  <c r="AB276" i="3"/>
  <c r="AC276" i="3"/>
  <c r="AE276" i="3"/>
  <c r="AF276" i="3"/>
  <c r="AH276" i="3"/>
  <c r="AI276" i="3"/>
  <c r="AK276" i="3"/>
  <c r="AL276" i="3"/>
  <c r="AN276" i="3"/>
  <c r="AO276" i="3"/>
  <c r="AQ276" i="3"/>
  <c r="AR276" i="3"/>
  <c r="Y277" i="3"/>
  <c r="Z277" i="3"/>
  <c r="AB277" i="3"/>
  <c r="AC277" i="3"/>
  <c r="AE277" i="3"/>
  <c r="AF277" i="3"/>
  <c r="AH277" i="3"/>
  <c r="AI277" i="3"/>
  <c r="AK277" i="3"/>
  <c r="AL277" i="3"/>
  <c r="AN277" i="3"/>
  <c r="AO277" i="3"/>
  <c r="AQ277" i="3"/>
  <c r="AR277" i="3"/>
  <c r="Y278" i="3"/>
  <c r="Z278" i="3"/>
  <c r="AB278" i="3"/>
  <c r="AC278" i="3"/>
  <c r="AE278" i="3"/>
  <c r="AF278" i="3"/>
  <c r="AH278" i="3"/>
  <c r="AI278" i="3"/>
  <c r="AK278" i="3"/>
  <c r="AL278" i="3"/>
  <c r="AN278" i="3"/>
  <c r="AO278" i="3"/>
  <c r="AQ278" i="3"/>
  <c r="AR278" i="3"/>
  <c r="Y279" i="3"/>
  <c r="Z279" i="3"/>
  <c r="AB279" i="3"/>
  <c r="AC279" i="3"/>
  <c r="AE279" i="3"/>
  <c r="AF279" i="3"/>
  <c r="AH279" i="3"/>
  <c r="AI279" i="3"/>
  <c r="AK279" i="3"/>
  <c r="AL279" i="3"/>
  <c r="AN279" i="3"/>
  <c r="AO279" i="3"/>
  <c r="AQ279" i="3"/>
  <c r="AR279" i="3"/>
  <c r="Y280" i="3"/>
  <c r="Z280" i="3"/>
  <c r="AB280" i="3"/>
  <c r="AC280" i="3"/>
  <c r="AE280" i="3"/>
  <c r="AF280" i="3"/>
  <c r="AH280" i="3"/>
  <c r="AI280" i="3"/>
  <c r="AK280" i="3"/>
  <c r="AL280" i="3"/>
  <c r="AN280" i="3"/>
  <c r="AO280" i="3"/>
  <c r="AQ280" i="3"/>
  <c r="AR280" i="3"/>
  <c r="Y281" i="3"/>
  <c r="Z281" i="3"/>
  <c r="AB281" i="3"/>
  <c r="AC281" i="3"/>
  <c r="AE281" i="3"/>
  <c r="AF281" i="3"/>
  <c r="AH281" i="3"/>
  <c r="AI281" i="3"/>
  <c r="AK281" i="3"/>
  <c r="AL281" i="3"/>
  <c r="AN281" i="3"/>
  <c r="AO281" i="3"/>
  <c r="AQ281" i="3"/>
  <c r="AR281" i="3"/>
  <c r="Y282" i="3"/>
  <c r="Z282" i="3"/>
  <c r="AB282" i="3"/>
  <c r="AC282" i="3"/>
  <c r="AE282" i="3"/>
  <c r="AF282" i="3"/>
  <c r="AH282" i="3"/>
  <c r="AI282" i="3"/>
  <c r="AK282" i="3"/>
  <c r="AL282" i="3"/>
  <c r="AN282" i="3"/>
  <c r="AO282" i="3"/>
  <c r="AQ282" i="3"/>
  <c r="AR282" i="3"/>
  <c r="Y283" i="3"/>
  <c r="Z283" i="3"/>
  <c r="AB283" i="3"/>
  <c r="AC283" i="3"/>
  <c r="AE283" i="3"/>
  <c r="AF283" i="3"/>
  <c r="AH283" i="3"/>
  <c r="AI283" i="3"/>
  <c r="AK283" i="3"/>
  <c r="AL283" i="3"/>
  <c r="AN283" i="3"/>
  <c r="AO283" i="3"/>
  <c r="AQ283" i="3"/>
  <c r="AR283" i="3"/>
  <c r="Y284" i="3"/>
  <c r="Z284" i="3"/>
  <c r="AB284" i="3"/>
  <c r="AC284" i="3"/>
  <c r="AE284" i="3"/>
  <c r="AF284" i="3"/>
  <c r="AH284" i="3"/>
  <c r="AI284" i="3"/>
  <c r="AK284" i="3"/>
  <c r="AL284" i="3"/>
  <c r="AN284" i="3"/>
  <c r="AO284" i="3"/>
  <c r="AQ284" i="3"/>
  <c r="AR284" i="3"/>
  <c r="Y285" i="3"/>
  <c r="Z285" i="3"/>
  <c r="AB285" i="3"/>
  <c r="AC285" i="3"/>
  <c r="AE285" i="3"/>
  <c r="AF285" i="3"/>
  <c r="AH285" i="3"/>
  <c r="AI285" i="3"/>
  <c r="AK285" i="3"/>
  <c r="AL285" i="3"/>
  <c r="AN285" i="3"/>
  <c r="AO285" i="3"/>
  <c r="AQ285" i="3"/>
  <c r="AR285" i="3"/>
  <c r="Y286" i="3"/>
  <c r="Z286" i="3"/>
  <c r="AB286" i="3"/>
  <c r="AC286" i="3"/>
  <c r="AE286" i="3"/>
  <c r="AF286" i="3"/>
  <c r="AH286" i="3"/>
  <c r="AI286" i="3"/>
  <c r="AK286" i="3"/>
  <c r="AL286" i="3"/>
  <c r="AN286" i="3"/>
  <c r="AO286" i="3"/>
  <c r="AQ286" i="3"/>
  <c r="AR286" i="3"/>
  <c r="Y287" i="3"/>
  <c r="Z287" i="3"/>
  <c r="AB287" i="3"/>
  <c r="AC287" i="3"/>
  <c r="AE287" i="3"/>
  <c r="AF287" i="3"/>
  <c r="AH287" i="3"/>
  <c r="AI287" i="3"/>
  <c r="AK287" i="3"/>
  <c r="AL287" i="3"/>
  <c r="AN287" i="3"/>
  <c r="AO287" i="3"/>
  <c r="AQ287" i="3"/>
  <c r="AR287" i="3"/>
  <c r="Y288" i="3"/>
  <c r="Z288" i="3"/>
  <c r="AB288" i="3"/>
  <c r="AC288" i="3"/>
  <c r="AE288" i="3"/>
  <c r="AF288" i="3"/>
  <c r="AH288" i="3"/>
  <c r="AI288" i="3"/>
  <c r="AK288" i="3"/>
  <c r="AL288" i="3"/>
  <c r="AN288" i="3"/>
  <c r="AO288" i="3"/>
  <c r="AQ288" i="3"/>
  <c r="AR288" i="3"/>
  <c r="Y289" i="3"/>
  <c r="Z289" i="3"/>
  <c r="AB289" i="3"/>
  <c r="AC289" i="3"/>
  <c r="AE289" i="3"/>
  <c r="AF289" i="3"/>
  <c r="AH289" i="3"/>
  <c r="AI289" i="3"/>
  <c r="AK289" i="3"/>
  <c r="AL289" i="3"/>
  <c r="AN289" i="3"/>
  <c r="AO289" i="3"/>
  <c r="AQ289" i="3"/>
  <c r="AR289" i="3"/>
  <c r="Y290" i="3"/>
  <c r="Z290" i="3"/>
  <c r="AB290" i="3"/>
  <c r="AC290" i="3"/>
  <c r="AE290" i="3"/>
  <c r="AF290" i="3"/>
  <c r="AH290" i="3"/>
  <c r="AI290" i="3"/>
  <c r="AK290" i="3"/>
  <c r="AL290" i="3"/>
  <c r="AN290" i="3"/>
  <c r="AO290" i="3"/>
  <c r="AQ290" i="3"/>
  <c r="AR290" i="3"/>
  <c r="Y291" i="3"/>
  <c r="Z291" i="3"/>
  <c r="AB291" i="3"/>
  <c r="AC291" i="3"/>
  <c r="AE291" i="3"/>
  <c r="AF291" i="3"/>
  <c r="AH291" i="3"/>
  <c r="AI291" i="3"/>
  <c r="AK291" i="3"/>
  <c r="AL291" i="3"/>
  <c r="AN291" i="3"/>
  <c r="AO291" i="3"/>
  <c r="AQ291" i="3"/>
  <c r="AR291" i="3"/>
  <c r="Y292" i="3"/>
  <c r="Z292" i="3"/>
  <c r="AB292" i="3"/>
  <c r="AC292" i="3"/>
  <c r="AE292" i="3"/>
  <c r="AF292" i="3"/>
  <c r="AH292" i="3"/>
  <c r="AI292" i="3"/>
  <c r="AK292" i="3"/>
  <c r="AL292" i="3"/>
  <c r="AN292" i="3"/>
  <c r="AO292" i="3"/>
  <c r="AQ292" i="3"/>
  <c r="AR292" i="3"/>
  <c r="Y293" i="3"/>
  <c r="Z293" i="3"/>
  <c r="AB293" i="3"/>
  <c r="AC293" i="3"/>
  <c r="AE293" i="3"/>
  <c r="AF293" i="3"/>
  <c r="AH293" i="3"/>
  <c r="AI293" i="3"/>
  <c r="AK293" i="3"/>
  <c r="AL293" i="3"/>
  <c r="AN293" i="3"/>
  <c r="AO293" i="3"/>
  <c r="AQ293" i="3"/>
  <c r="AR293" i="3"/>
  <c r="Y294" i="3"/>
  <c r="Z294" i="3"/>
  <c r="AB294" i="3"/>
  <c r="AC294" i="3"/>
  <c r="AE294" i="3"/>
  <c r="AF294" i="3"/>
  <c r="AH294" i="3"/>
  <c r="AI294" i="3"/>
  <c r="AK294" i="3"/>
  <c r="AL294" i="3"/>
  <c r="AN294" i="3"/>
  <c r="AO294" i="3"/>
  <c r="AQ294" i="3"/>
  <c r="AR294" i="3"/>
  <c r="Y295" i="3"/>
  <c r="Z295" i="3"/>
  <c r="AB295" i="3"/>
  <c r="AC295" i="3"/>
  <c r="AE295" i="3"/>
  <c r="AF295" i="3"/>
  <c r="AH295" i="3"/>
  <c r="AI295" i="3"/>
  <c r="AK295" i="3"/>
  <c r="AL295" i="3"/>
  <c r="AN295" i="3"/>
  <c r="AO295" i="3"/>
  <c r="AQ295" i="3"/>
  <c r="AR295" i="3"/>
  <c r="Y296" i="3"/>
  <c r="Z296" i="3"/>
  <c r="AB296" i="3"/>
  <c r="AC296" i="3"/>
  <c r="AE296" i="3"/>
  <c r="AF296" i="3"/>
  <c r="AH296" i="3"/>
  <c r="AI296" i="3"/>
  <c r="AK296" i="3"/>
  <c r="AL296" i="3"/>
  <c r="AN296" i="3"/>
  <c r="AO296" i="3"/>
  <c r="AQ296" i="3"/>
  <c r="AR296" i="3"/>
  <c r="Y297" i="3"/>
  <c r="Z297" i="3"/>
  <c r="AB297" i="3"/>
  <c r="AC297" i="3"/>
  <c r="AE297" i="3"/>
  <c r="AF297" i="3"/>
  <c r="AH297" i="3"/>
  <c r="AI297" i="3"/>
  <c r="AK297" i="3"/>
  <c r="AL297" i="3"/>
  <c r="AN297" i="3"/>
  <c r="AO297" i="3"/>
  <c r="AQ297" i="3"/>
  <c r="AR297" i="3"/>
  <c r="Y298" i="3"/>
  <c r="Z298" i="3"/>
  <c r="AB298" i="3"/>
  <c r="AC298" i="3"/>
  <c r="AE298" i="3"/>
  <c r="AF298" i="3"/>
  <c r="AH298" i="3"/>
  <c r="AI298" i="3"/>
  <c r="AK298" i="3"/>
  <c r="AL298" i="3"/>
  <c r="AN298" i="3"/>
  <c r="AO298" i="3"/>
  <c r="AQ298" i="3"/>
  <c r="AR298" i="3"/>
  <c r="Y299" i="3"/>
  <c r="Z299" i="3"/>
  <c r="AB299" i="3"/>
  <c r="AC299" i="3"/>
  <c r="AE299" i="3"/>
  <c r="AF299" i="3"/>
  <c r="AH299" i="3"/>
  <c r="AI299" i="3"/>
  <c r="AK299" i="3"/>
  <c r="AL299" i="3"/>
  <c r="AN299" i="3"/>
  <c r="AO299" i="3"/>
  <c r="AQ299" i="3"/>
  <c r="AR299" i="3"/>
  <c r="Y300" i="3"/>
  <c r="Z300" i="3"/>
  <c r="AB300" i="3"/>
  <c r="AC300" i="3"/>
  <c r="AE300" i="3"/>
  <c r="AF300" i="3"/>
  <c r="AH300" i="3"/>
  <c r="AI300" i="3"/>
  <c r="AK300" i="3"/>
  <c r="AL300" i="3"/>
  <c r="AN300" i="3"/>
  <c r="AO300" i="3"/>
  <c r="AQ300" i="3"/>
  <c r="AR300" i="3"/>
  <c r="Y301" i="3"/>
  <c r="Z301" i="3"/>
  <c r="AB301" i="3"/>
  <c r="AC301" i="3"/>
  <c r="AE301" i="3"/>
  <c r="AF301" i="3"/>
  <c r="AH301" i="3"/>
  <c r="AI301" i="3"/>
  <c r="AK301" i="3"/>
  <c r="AL301" i="3"/>
  <c r="AN301" i="3"/>
  <c r="AO301" i="3"/>
  <c r="AQ301" i="3"/>
  <c r="AR301" i="3"/>
  <c r="Y302" i="3"/>
  <c r="Z302" i="3"/>
  <c r="AB302" i="3"/>
  <c r="AC302" i="3"/>
  <c r="AE302" i="3"/>
  <c r="AF302" i="3"/>
  <c r="AH302" i="3"/>
  <c r="AI302" i="3"/>
  <c r="AK302" i="3"/>
  <c r="AL302" i="3"/>
  <c r="AN302" i="3"/>
  <c r="AO302" i="3"/>
  <c r="AQ302" i="3"/>
  <c r="AR302" i="3"/>
  <c r="Y303" i="3"/>
  <c r="Z303" i="3"/>
  <c r="AB303" i="3"/>
  <c r="AC303" i="3"/>
  <c r="AE303" i="3"/>
  <c r="AF303" i="3"/>
  <c r="AH303" i="3"/>
  <c r="AI303" i="3"/>
  <c r="AK303" i="3"/>
  <c r="AL303" i="3"/>
  <c r="AN303" i="3"/>
  <c r="AO303" i="3"/>
  <c r="AQ303" i="3"/>
  <c r="AR303" i="3"/>
  <c r="Y304" i="3"/>
  <c r="Z304" i="3"/>
  <c r="AB304" i="3"/>
  <c r="AC304" i="3"/>
  <c r="AE304" i="3"/>
  <c r="AF304" i="3"/>
  <c r="AH304" i="3"/>
  <c r="AI304" i="3"/>
  <c r="AK304" i="3"/>
  <c r="AL304" i="3"/>
  <c r="AN304" i="3"/>
  <c r="AO304" i="3"/>
  <c r="AQ304" i="3"/>
  <c r="AR304" i="3"/>
  <c r="Y305" i="3"/>
  <c r="Z305" i="3"/>
  <c r="AB305" i="3"/>
  <c r="AC305" i="3"/>
  <c r="AE305" i="3"/>
  <c r="AF305" i="3"/>
  <c r="AH305" i="3"/>
  <c r="AI305" i="3"/>
  <c r="AK305" i="3"/>
  <c r="AL305" i="3"/>
  <c r="AN305" i="3"/>
  <c r="AO305" i="3"/>
  <c r="AQ305" i="3"/>
  <c r="AR305" i="3"/>
  <c r="Y306" i="3"/>
  <c r="Z306" i="3"/>
  <c r="AB306" i="3"/>
  <c r="AC306" i="3"/>
  <c r="AE306" i="3"/>
  <c r="AF306" i="3"/>
  <c r="AH306" i="3"/>
  <c r="AI306" i="3"/>
  <c r="AK306" i="3"/>
  <c r="AL306" i="3"/>
  <c r="AN306" i="3"/>
  <c r="AO306" i="3"/>
  <c r="AQ306" i="3"/>
  <c r="AR306" i="3"/>
  <c r="Y307" i="3"/>
  <c r="Z307" i="3"/>
  <c r="AB307" i="3"/>
  <c r="AC307" i="3"/>
  <c r="AE307" i="3"/>
  <c r="AF307" i="3"/>
  <c r="AH307" i="3"/>
  <c r="AI307" i="3"/>
  <c r="AK307" i="3"/>
  <c r="AL307" i="3"/>
  <c r="AN307" i="3"/>
  <c r="AO307" i="3"/>
  <c r="AQ307" i="3"/>
  <c r="AR307" i="3"/>
  <c r="Y308" i="3"/>
  <c r="Z308" i="3"/>
  <c r="AB308" i="3"/>
  <c r="AC308" i="3"/>
  <c r="AE308" i="3"/>
  <c r="AF308" i="3"/>
  <c r="AH308" i="3"/>
  <c r="AI308" i="3"/>
  <c r="AK308" i="3"/>
  <c r="AL308" i="3"/>
  <c r="AN308" i="3"/>
  <c r="AO308" i="3"/>
  <c r="AQ308" i="3"/>
  <c r="AR308" i="3"/>
  <c r="Y309" i="3"/>
  <c r="Z309" i="3"/>
  <c r="AB309" i="3"/>
  <c r="AC309" i="3"/>
  <c r="AE309" i="3"/>
  <c r="AF309" i="3"/>
  <c r="AH309" i="3"/>
  <c r="AI309" i="3"/>
  <c r="AK309" i="3"/>
  <c r="AL309" i="3"/>
  <c r="AN309" i="3"/>
  <c r="AO309" i="3"/>
  <c r="AQ309" i="3"/>
  <c r="AR309" i="3"/>
  <c r="Y310" i="3"/>
  <c r="Z310" i="3"/>
  <c r="AB310" i="3"/>
  <c r="AC310" i="3"/>
  <c r="AE310" i="3"/>
  <c r="AF310" i="3"/>
  <c r="AH310" i="3"/>
  <c r="AI310" i="3"/>
  <c r="AK310" i="3"/>
  <c r="AL310" i="3"/>
  <c r="AN310" i="3"/>
  <c r="AO310" i="3"/>
  <c r="AQ310" i="3"/>
  <c r="AR310" i="3"/>
  <c r="Y311" i="3"/>
  <c r="Z311" i="3"/>
  <c r="AB311" i="3"/>
  <c r="AC311" i="3"/>
  <c r="AE311" i="3"/>
  <c r="AF311" i="3"/>
  <c r="AH311" i="3"/>
  <c r="AI311" i="3"/>
  <c r="AK311" i="3"/>
  <c r="AL311" i="3"/>
  <c r="AN311" i="3"/>
  <c r="AO311" i="3"/>
  <c r="AQ311" i="3"/>
  <c r="AR311" i="3"/>
  <c r="Y312" i="3"/>
  <c r="Z312" i="3"/>
  <c r="AB312" i="3"/>
  <c r="AC312" i="3"/>
  <c r="AE312" i="3"/>
  <c r="AF312" i="3"/>
  <c r="AH312" i="3"/>
  <c r="AI312" i="3"/>
  <c r="AK312" i="3"/>
  <c r="AL312" i="3"/>
  <c r="AN312" i="3"/>
  <c r="AO312" i="3"/>
  <c r="AQ312" i="3"/>
  <c r="AR312" i="3"/>
  <c r="Y313" i="3"/>
  <c r="Z313" i="3"/>
  <c r="AB313" i="3"/>
  <c r="AC313" i="3"/>
  <c r="AE313" i="3"/>
  <c r="AF313" i="3"/>
  <c r="AH313" i="3"/>
  <c r="AI313" i="3"/>
  <c r="AK313" i="3"/>
  <c r="AL313" i="3"/>
  <c r="AN313" i="3"/>
  <c r="AO313" i="3"/>
  <c r="AQ313" i="3"/>
  <c r="AR313" i="3"/>
  <c r="Y314" i="3"/>
  <c r="Z314" i="3"/>
  <c r="AB314" i="3"/>
  <c r="AC314" i="3"/>
  <c r="AE314" i="3"/>
  <c r="AF314" i="3"/>
  <c r="AH314" i="3"/>
  <c r="AI314" i="3"/>
  <c r="AK314" i="3"/>
  <c r="AL314" i="3"/>
  <c r="AN314" i="3"/>
  <c r="AO314" i="3"/>
  <c r="AQ314" i="3"/>
  <c r="AR314" i="3"/>
  <c r="Y315" i="3"/>
  <c r="Z315" i="3"/>
  <c r="AB315" i="3"/>
  <c r="AC315" i="3"/>
  <c r="AE315" i="3"/>
  <c r="AF315" i="3"/>
  <c r="AH315" i="3"/>
  <c r="AI315" i="3"/>
  <c r="AK315" i="3"/>
  <c r="AL315" i="3"/>
  <c r="AN315" i="3"/>
  <c r="AO315" i="3"/>
  <c r="AQ315" i="3"/>
  <c r="AR315" i="3"/>
  <c r="Y316" i="3"/>
  <c r="Z316" i="3"/>
  <c r="AB316" i="3"/>
  <c r="AC316" i="3"/>
  <c r="AE316" i="3"/>
  <c r="AF316" i="3"/>
  <c r="AH316" i="3"/>
  <c r="AI316" i="3"/>
  <c r="AK316" i="3"/>
  <c r="AL316" i="3"/>
  <c r="AN316" i="3"/>
  <c r="AO316" i="3"/>
  <c r="AQ316" i="3"/>
  <c r="AR316" i="3"/>
  <c r="Y317" i="3"/>
  <c r="Z317" i="3"/>
  <c r="AB317" i="3"/>
  <c r="AC317" i="3"/>
  <c r="AE317" i="3"/>
  <c r="AF317" i="3"/>
  <c r="AH317" i="3"/>
  <c r="AI317" i="3"/>
  <c r="AK317" i="3"/>
  <c r="AL317" i="3"/>
  <c r="AN317" i="3"/>
  <c r="AO317" i="3"/>
  <c r="AQ317" i="3"/>
  <c r="AR317" i="3"/>
  <c r="Y318" i="3"/>
  <c r="Z318" i="3"/>
  <c r="AB318" i="3"/>
  <c r="AC318" i="3"/>
  <c r="AE318" i="3"/>
  <c r="AF318" i="3"/>
  <c r="AH318" i="3"/>
  <c r="AI318" i="3"/>
  <c r="AK318" i="3"/>
  <c r="AL318" i="3"/>
  <c r="AN318" i="3"/>
  <c r="AO318" i="3"/>
  <c r="AQ318" i="3"/>
  <c r="AR318" i="3"/>
  <c r="Y319" i="3"/>
  <c r="Z319" i="3"/>
  <c r="AB319" i="3"/>
  <c r="AC319" i="3"/>
  <c r="AE319" i="3"/>
  <c r="AF319" i="3"/>
  <c r="AH319" i="3"/>
  <c r="AI319" i="3"/>
  <c r="AK319" i="3"/>
  <c r="AL319" i="3"/>
  <c r="AN319" i="3"/>
  <c r="AO319" i="3"/>
  <c r="AQ319" i="3"/>
  <c r="AR319" i="3"/>
  <c r="Y320" i="3"/>
  <c r="Z320" i="3"/>
  <c r="AB320" i="3"/>
  <c r="AC320" i="3"/>
  <c r="AE320" i="3"/>
  <c r="AF320" i="3"/>
  <c r="AH320" i="3"/>
  <c r="AI320" i="3"/>
  <c r="AK320" i="3"/>
  <c r="AL320" i="3"/>
  <c r="AN320" i="3"/>
  <c r="AO320" i="3"/>
  <c r="AQ320" i="3"/>
  <c r="AR320" i="3"/>
  <c r="Y321" i="3"/>
  <c r="Z321" i="3"/>
  <c r="AB321" i="3"/>
  <c r="AC321" i="3"/>
  <c r="AE321" i="3"/>
  <c r="AF321" i="3"/>
  <c r="AH321" i="3"/>
  <c r="AI321" i="3"/>
  <c r="AK321" i="3"/>
  <c r="AL321" i="3"/>
  <c r="AN321" i="3"/>
  <c r="AO321" i="3"/>
  <c r="AQ321" i="3"/>
  <c r="AR321" i="3"/>
  <c r="Y322" i="3"/>
  <c r="Z322" i="3"/>
  <c r="AB322" i="3"/>
  <c r="AC322" i="3"/>
  <c r="AE322" i="3"/>
  <c r="AF322" i="3"/>
  <c r="AH322" i="3"/>
  <c r="AI322" i="3"/>
  <c r="AK322" i="3"/>
  <c r="AL322" i="3"/>
  <c r="AN322" i="3"/>
  <c r="AO322" i="3"/>
  <c r="AQ322" i="3"/>
  <c r="AR322" i="3"/>
  <c r="Y323" i="3"/>
  <c r="Z323" i="3"/>
  <c r="AB323" i="3"/>
  <c r="AC323" i="3"/>
  <c r="AE323" i="3"/>
  <c r="AF323" i="3"/>
  <c r="AH323" i="3"/>
  <c r="AI323" i="3"/>
  <c r="AK323" i="3"/>
  <c r="AL323" i="3"/>
  <c r="AN323" i="3"/>
  <c r="AO323" i="3"/>
  <c r="AQ323" i="3"/>
  <c r="AR323" i="3"/>
  <c r="Y324" i="3"/>
  <c r="Z324" i="3"/>
  <c r="AB324" i="3"/>
  <c r="AC324" i="3"/>
  <c r="AE324" i="3"/>
  <c r="AF324" i="3"/>
  <c r="AH324" i="3"/>
  <c r="AI324" i="3"/>
  <c r="AK324" i="3"/>
  <c r="AL324" i="3"/>
  <c r="AN324" i="3"/>
  <c r="AO324" i="3"/>
  <c r="AQ324" i="3"/>
  <c r="AR324" i="3"/>
  <c r="Y325" i="3"/>
  <c r="Z325" i="3"/>
  <c r="AB325" i="3"/>
  <c r="AC325" i="3"/>
  <c r="AE325" i="3"/>
  <c r="AF325" i="3"/>
  <c r="AH325" i="3"/>
  <c r="AI325" i="3"/>
  <c r="AK325" i="3"/>
  <c r="AL325" i="3"/>
  <c r="AN325" i="3"/>
  <c r="AO325" i="3"/>
  <c r="AQ325" i="3"/>
  <c r="AR325" i="3"/>
  <c r="Y326" i="3"/>
  <c r="Z326" i="3"/>
  <c r="AB326" i="3"/>
  <c r="AC326" i="3"/>
  <c r="AE326" i="3"/>
  <c r="AF326" i="3"/>
  <c r="AH326" i="3"/>
  <c r="AI326" i="3"/>
  <c r="AK326" i="3"/>
  <c r="AL326" i="3"/>
  <c r="AN326" i="3"/>
  <c r="AO326" i="3"/>
  <c r="AQ326" i="3"/>
  <c r="AR326" i="3"/>
  <c r="Y327" i="3"/>
  <c r="Z327" i="3"/>
  <c r="AB327" i="3"/>
  <c r="AC327" i="3"/>
  <c r="AE327" i="3"/>
  <c r="AF327" i="3"/>
  <c r="AH327" i="3"/>
  <c r="AI327" i="3"/>
  <c r="AK327" i="3"/>
  <c r="AL327" i="3"/>
  <c r="AN327" i="3"/>
  <c r="AO327" i="3"/>
  <c r="AQ327" i="3"/>
  <c r="AR327" i="3"/>
  <c r="Y328" i="3"/>
  <c r="Z328" i="3"/>
  <c r="AB328" i="3"/>
  <c r="AC328" i="3"/>
  <c r="AE328" i="3"/>
  <c r="AF328" i="3"/>
  <c r="AH328" i="3"/>
  <c r="AI328" i="3"/>
  <c r="AK328" i="3"/>
  <c r="AL328" i="3"/>
  <c r="AN328" i="3"/>
  <c r="AO328" i="3"/>
  <c r="AQ328" i="3"/>
  <c r="AR328" i="3"/>
  <c r="Y329" i="3"/>
  <c r="Z329" i="3"/>
  <c r="AB329" i="3"/>
  <c r="AC329" i="3"/>
  <c r="AE329" i="3"/>
  <c r="AF329" i="3"/>
  <c r="AH329" i="3"/>
  <c r="AI329" i="3"/>
  <c r="AK329" i="3"/>
  <c r="AL329" i="3"/>
  <c r="AN329" i="3"/>
  <c r="AO329" i="3"/>
  <c r="AQ329" i="3"/>
  <c r="AR329" i="3"/>
  <c r="Y330" i="3"/>
  <c r="Z330" i="3"/>
  <c r="AB330" i="3"/>
  <c r="AC330" i="3"/>
  <c r="AE330" i="3"/>
  <c r="AF330" i="3"/>
  <c r="AH330" i="3"/>
  <c r="AI330" i="3"/>
  <c r="AK330" i="3"/>
  <c r="AL330" i="3"/>
  <c r="AN330" i="3"/>
  <c r="AO330" i="3"/>
  <c r="AQ330" i="3"/>
  <c r="AR330" i="3"/>
  <c r="Y331" i="3"/>
  <c r="Z331" i="3"/>
  <c r="AB331" i="3"/>
  <c r="AC331" i="3"/>
  <c r="AE331" i="3"/>
  <c r="AF331" i="3"/>
  <c r="AH331" i="3"/>
  <c r="AI331" i="3"/>
  <c r="AK331" i="3"/>
  <c r="AL331" i="3"/>
  <c r="AN331" i="3"/>
  <c r="AO331" i="3"/>
  <c r="AQ331" i="3"/>
  <c r="AR331" i="3"/>
  <c r="Y332" i="3"/>
  <c r="Z332" i="3"/>
  <c r="AB332" i="3"/>
  <c r="AC332" i="3"/>
  <c r="AE332" i="3"/>
  <c r="AF332" i="3"/>
  <c r="AH332" i="3"/>
  <c r="AI332" i="3"/>
  <c r="AK332" i="3"/>
  <c r="AL332" i="3"/>
  <c r="AN332" i="3"/>
  <c r="AO332" i="3"/>
  <c r="AQ332" i="3"/>
  <c r="AR332" i="3"/>
  <c r="Y333" i="3"/>
  <c r="Z333" i="3"/>
  <c r="AB333" i="3"/>
  <c r="AC333" i="3"/>
  <c r="AE333" i="3"/>
  <c r="AF333" i="3"/>
  <c r="AH333" i="3"/>
  <c r="AI333" i="3"/>
  <c r="AK333" i="3"/>
  <c r="AL333" i="3"/>
  <c r="AN333" i="3"/>
  <c r="AO333" i="3"/>
  <c r="AQ333" i="3"/>
  <c r="AR333" i="3"/>
  <c r="Y334" i="3"/>
  <c r="Z334" i="3"/>
  <c r="AB334" i="3"/>
  <c r="AC334" i="3"/>
  <c r="AE334" i="3"/>
  <c r="AF334" i="3"/>
  <c r="AH334" i="3"/>
  <c r="AI334" i="3"/>
  <c r="AK334" i="3"/>
  <c r="AL334" i="3"/>
  <c r="AN334" i="3"/>
  <c r="AO334" i="3"/>
  <c r="AQ334" i="3"/>
  <c r="AR334" i="3"/>
  <c r="Y335" i="3"/>
  <c r="Z335" i="3"/>
  <c r="AB335" i="3"/>
  <c r="AC335" i="3"/>
  <c r="AE335" i="3"/>
  <c r="AF335" i="3"/>
  <c r="AH335" i="3"/>
  <c r="AI335" i="3"/>
  <c r="AK335" i="3"/>
  <c r="AL335" i="3"/>
  <c r="AN335" i="3"/>
  <c r="AO335" i="3"/>
  <c r="AQ335" i="3"/>
  <c r="AR335" i="3"/>
  <c r="Y336" i="3"/>
  <c r="Z336" i="3"/>
  <c r="AB336" i="3"/>
  <c r="AC336" i="3"/>
  <c r="AE336" i="3"/>
  <c r="AF336" i="3"/>
  <c r="AH336" i="3"/>
  <c r="AI336" i="3"/>
  <c r="AK336" i="3"/>
  <c r="AL336" i="3"/>
  <c r="AN336" i="3"/>
  <c r="AO336" i="3"/>
  <c r="AQ336" i="3"/>
  <c r="AR336" i="3"/>
  <c r="Y337" i="3"/>
  <c r="Z337" i="3"/>
  <c r="AB337" i="3"/>
  <c r="AC337" i="3"/>
  <c r="AE337" i="3"/>
  <c r="AF337" i="3"/>
  <c r="AH337" i="3"/>
  <c r="AI337" i="3"/>
  <c r="AK337" i="3"/>
  <c r="AL337" i="3"/>
  <c r="AN337" i="3"/>
  <c r="AO337" i="3"/>
  <c r="AQ337" i="3"/>
  <c r="AR337" i="3"/>
  <c r="Y338" i="3"/>
  <c r="Z338" i="3"/>
  <c r="AB338" i="3"/>
  <c r="AC338" i="3"/>
  <c r="AE338" i="3"/>
  <c r="AF338" i="3"/>
  <c r="AH338" i="3"/>
  <c r="AI338" i="3"/>
  <c r="AK338" i="3"/>
  <c r="AL338" i="3"/>
  <c r="AN338" i="3"/>
  <c r="AO338" i="3"/>
  <c r="AQ338" i="3"/>
  <c r="AR338" i="3"/>
  <c r="Y339" i="3"/>
  <c r="Z339" i="3"/>
  <c r="AB339" i="3"/>
  <c r="AC339" i="3"/>
  <c r="AE339" i="3"/>
  <c r="AF339" i="3"/>
  <c r="AH339" i="3"/>
  <c r="AI339" i="3"/>
  <c r="AK339" i="3"/>
  <c r="AL339" i="3"/>
  <c r="AN339" i="3"/>
  <c r="AO339" i="3"/>
  <c r="AQ339" i="3"/>
  <c r="AR339" i="3"/>
  <c r="Y340" i="3"/>
  <c r="Z340" i="3"/>
  <c r="AB340" i="3"/>
  <c r="AC340" i="3"/>
  <c r="AE340" i="3"/>
  <c r="AF340" i="3"/>
  <c r="AH340" i="3"/>
  <c r="AI340" i="3"/>
  <c r="AK340" i="3"/>
  <c r="AL340" i="3"/>
  <c r="AN340" i="3"/>
  <c r="AO340" i="3"/>
  <c r="AQ340" i="3"/>
  <c r="AR340" i="3"/>
  <c r="Y341" i="3"/>
  <c r="Z341" i="3"/>
  <c r="AB341" i="3"/>
  <c r="AC341" i="3"/>
  <c r="AE341" i="3"/>
  <c r="AF341" i="3"/>
  <c r="AH341" i="3"/>
  <c r="AI341" i="3"/>
  <c r="AK341" i="3"/>
  <c r="AL341" i="3"/>
  <c r="AN341" i="3"/>
  <c r="AO341" i="3"/>
  <c r="AQ341" i="3"/>
  <c r="AR341" i="3"/>
  <c r="Y342" i="3"/>
  <c r="Z342" i="3"/>
  <c r="AB342" i="3"/>
  <c r="AC342" i="3"/>
  <c r="AE342" i="3"/>
  <c r="AF342" i="3"/>
  <c r="AH342" i="3"/>
  <c r="AI342" i="3"/>
  <c r="AK342" i="3"/>
  <c r="AL342" i="3"/>
  <c r="AN342" i="3"/>
  <c r="AO342" i="3"/>
  <c r="AQ342" i="3"/>
  <c r="AR342" i="3"/>
  <c r="Y343" i="3"/>
  <c r="Z343" i="3"/>
  <c r="AB343" i="3"/>
  <c r="AC343" i="3"/>
  <c r="AE343" i="3"/>
  <c r="AF343" i="3"/>
  <c r="AH343" i="3"/>
  <c r="AI343" i="3"/>
  <c r="AK343" i="3"/>
  <c r="AL343" i="3"/>
  <c r="AN343" i="3"/>
  <c r="AO343" i="3"/>
  <c r="AQ343" i="3"/>
  <c r="AR343" i="3"/>
  <c r="Y344" i="3"/>
  <c r="Z344" i="3"/>
  <c r="AB344" i="3"/>
  <c r="AC344" i="3"/>
  <c r="AE344" i="3"/>
  <c r="AF344" i="3"/>
  <c r="AH344" i="3"/>
  <c r="AI344" i="3"/>
  <c r="AK344" i="3"/>
  <c r="AL344" i="3"/>
  <c r="AN344" i="3"/>
  <c r="AO344" i="3"/>
  <c r="AQ344" i="3"/>
  <c r="AR344" i="3"/>
  <c r="Y345" i="3"/>
  <c r="Z345" i="3"/>
  <c r="AB345" i="3"/>
  <c r="AC345" i="3"/>
  <c r="AE345" i="3"/>
  <c r="AF345" i="3"/>
  <c r="AH345" i="3"/>
  <c r="AI345" i="3"/>
  <c r="AK345" i="3"/>
  <c r="AL345" i="3"/>
  <c r="AN345" i="3"/>
  <c r="AO345" i="3"/>
  <c r="AQ345" i="3"/>
  <c r="AR345" i="3"/>
  <c r="Y346" i="3"/>
  <c r="Z346" i="3"/>
  <c r="AB346" i="3"/>
  <c r="AC346" i="3"/>
  <c r="AE346" i="3"/>
  <c r="AF346" i="3"/>
  <c r="AH346" i="3"/>
  <c r="AI346" i="3"/>
  <c r="AK346" i="3"/>
  <c r="AL346" i="3"/>
  <c r="AN346" i="3"/>
  <c r="AO346" i="3"/>
  <c r="AQ346" i="3"/>
  <c r="AR346" i="3"/>
  <c r="Y347" i="3"/>
  <c r="Z347" i="3"/>
  <c r="AB347" i="3"/>
  <c r="AC347" i="3"/>
  <c r="AE347" i="3"/>
  <c r="AF347" i="3"/>
  <c r="AH347" i="3"/>
  <c r="AI347" i="3"/>
  <c r="AK347" i="3"/>
  <c r="AL347" i="3"/>
  <c r="AN347" i="3"/>
  <c r="AO347" i="3"/>
  <c r="AQ347" i="3"/>
  <c r="AR347" i="3"/>
  <c r="Y348" i="3"/>
  <c r="Z348" i="3"/>
  <c r="AB348" i="3"/>
  <c r="AC348" i="3"/>
  <c r="AE348" i="3"/>
  <c r="AF348" i="3"/>
  <c r="AH348" i="3"/>
  <c r="AI348" i="3"/>
  <c r="AK348" i="3"/>
  <c r="AL348" i="3"/>
  <c r="AN348" i="3"/>
  <c r="AO348" i="3"/>
  <c r="AQ348" i="3"/>
  <c r="AR348" i="3"/>
  <c r="Y349" i="3"/>
  <c r="Z349" i="3"/>
  <c r="AB349" i="3"/>
  <c r="AC349" i="3"/>
  <c r="AE349" i="3"/>
  <c r="AF349" i="3"/>
  <c r="AH349" i="3"/>
  <c r="AI349" i="3"/>
  <c r="AK349" i="3"/>
  <c r="AL349" i="3"/>
  <c r="AN349" i="3"/>
  <c r="AO349" i="3"/>
  <c r="AQ349" i="3"/>
  <c r="AR349" i="3"/>
  <c r="Y350" i="3"/>
  <c r="Z350" i="3"/>
  <c r="AB350" i="3"/>
  <c r="AC350" i="3"/>
  <c r="AE350" i="3"/>
  <c r="AF350" i="3"/>
  <c r="AH350" i="3"/>
  <c r="AI350" i="3"/>
  <c r="AK350" i="3"/>
  <c r="AL350" i="3"/>
  <c r="AN350" i="3"/>
  <c r="AO350" i="3"/>
  <c r="AQ350" i="3"/>
  <c r="AR350" i="3"/>
  <c r="Y351" i="3"/>
  <c r="Z351" i="3"/>
  <c r="AB351" i="3"/>
  <c r="AC351" i="3"/>
  <c r="AE351" i="3"/>
  <c r="AF351" i="3"/>
  <c r="AH351" i="3"/>
  <c r="AI351" i="3"/>
  <c r="AK351" i="3"/>
  <c r="AL351" i="3"/>
  <c r="AN351" i="3"/>
  <c r="AO351" i="3"/>
  <c r="AQ351" i="3"/>
  <c r="AR351" i="3"/>
  <c r="Y352" i="3"/>
  <c r="Z352" i="3"/>
  <c r="AB352" i="3"/>
  <c r="AC352" i="3"/>
  <c r="AE352" i="3"/>
  <c r="AF352" i="3"/>
  <c r="AH352" i="3"/>
  <c r="AI352" i="3"/>
  <c r="AK352" i="3"/>
  <c r="AL352" i="3"/>
  <c r="AN352" i="3"/>
  <c r="AO352" i="3"/>
  <c r="AQ352" i="3"/>
  <c r="AR352" i="3"/>
  <c r="Y353" i="3"/>
  <c r="Z353" i="3"/>
  <c r="AB353" i="3"/>
  <c r="AC353" i="3"/>
  <c r="AE353" i="3"/>
  <c r="AF353" i="3"/>
  <c r="AH353" i="3"/>
  <c r="AI353" i="3"/>
  <c r="AK353" i="3"/>
  <c r="AL353" i="3"/>
  <c r="AN353" i="3"/>
  <c r="AO353" i="3"/>
  <c r="AQ353" i="3"/>
  <c r="AR353" i="3"/>
  <c r="Y354" i="3"/>
  <c r="Z354" i="3"/>
  <c r="AB354" i="3"/>
  <c r="AC354" i="3"/>
  <c r="AE354" i="3"/>
  <c r="AF354" i="3"/>
  <c r="AH354" i="3"/>
  <c r="AI354" i="3"/>
  <c r="AK354" i="3"/>
  <c r="AL354" i="3"/>
  <c r="AN354" i="3"/>
  <c r="AO354" i="3"/>
  <c r="AQ354" i="3"/>
  <c r="AR354" i="3"/>
  <c r="Y355" i="3"/>
  <c r="Z355" i="3"/>
  <c r="AB355" i="3"/>
  <c r="AC355" i="3"/>
  <c r="AE355" i="3"/>
  <c r="AF355" i="3"/>
  <c r="AH355" i="3"/>
  <c r="AI355" i="3"/>
  <c r="AK355" i="3"/>
  <c r="AL355" i="3"/>
  <c r="AN355" i="3"/>
  <c r="AO355" i="3"/>
  <c r="AQ355" i="3"/>
  <c r="AR355" i="3"/>
  <c r="Y356" i="3"/>
  <c r="Z356" i="3"/>
  <c r="AB356" i="3"/>
  <c r="AC356" i="3"/>
  <c r="AE356" i="3"/>
  <c r="AF356" i="3"/>
  <c r="AH356" i="3"/>
  <c r="AI356" i="3"/>
  <c r="AK356" i="3"/>
  <c r="AL356" i="3"/>
  <c r="AN356" i="3"/>
  <c r="AO356" i="3"/>
  <c r="AQ356" i="3"/>
  <c r="AR356" i="3"/>
  <c r="Y357" i="3"/>
  <c r="Z357" i="3"/>
  <c r="AB357" i="3"/>
  <c r="AC357" i="3"/>
  <c r="AE357" i="3"/>
  <c r="AF357" i="3"/>
  <c r="AH357" i="3"/>
  <c r="AI357" i="3"/>
  <c r="AK357" i="3"/>
  <c r="AL357" i="3"/>
  <c r="AN357" i="3"/>
  <c r="AO357" i="3"/>
  <c r="AQ357" i="3"/>
  <c r="AR357" i="3"/>
  <c r="Y358" i="3"/>
  <c r="Z358" i="3"/>
  <c r="AB358" i="3"/>
  <c r="AC358" i="3"/>
  <c r="AE358" i="3"/>
  <c r="AF358" i="3"/>
  <c r="AH358" i="3"/>
  <c r="AI358" i="3"/>
  <c r="AK358" i="3"/>
  <c r="AL358" i="3"/>
  <c r="AN358" i="3"/>
  <c r="AO358" i="3"/>
  <c r="AQ358" i="3"/>
  <c r="AR358" i="3"/>
  <c r="Y359" i="3"/>
  <c r="Z359" i="3"/>
  <c r="AB359" i="3"/>
  <c r="AC359" i="3"/>
  <c r="AE359" i="3"/>
  <c r="AF359" i="3"/>
  <c r="AH359" i="3"/>
  <c r="AI359" i="3"/>
  <c r="AK359" i="3"/>
  <c r="AL359" i="3"/>
  <c r="AN359" i="3"/>
  <c r="AO359" i="3"/>
  <c r="AQ359" i="3"/>
  <c r="AR359" i="3"/>
  <c r="Y360" i="3"/>
  <c r="Z360" i="3"/>
  <c r="AB360" i="3"/>
  <c r="AC360" i="3"/>
  <c r="AE360" i="3"/>
  <c r="AF360" i="3"/>
  <c r="AH360" i="3"/>
  <c r="AI360" i="3"/>
  <c r="AK360" i="3"/>
  <c r="AL360" i="3"/>
  <c r="AN360" i="3"/>
  <c r="AO360" i="3"/>
  <c r="AQ360" i="3"/>
  <c r="AR360" i="3"/>
  <c r="Y361" i="3"/>
  <c r="Z361" i="3"/>
  <c r="AB361" i="3"/>
  <c r="AC361" i="3"/>
  <c r="AE361" i="3"/>
  <c r="AF361" i="3"/>
  <c r="AH361" i="3"/>
  <c r="AI361" i="3"/>
  <c r="AK361" i="3"/>
  <c r="AL361" i="3"/>
  <c r="AN361" i="3"/>
  <c r="AO361" i="3"/>
  <c r="AQ361" i="3"/>
  <c r="AR361" i="3"/>
  <c r="Y362" i="3"/>
  <c r="Z362" i="3"/>
  <c r="AB362" i="3"/>
  <c r="AC362" i="3"/>
  <c r="AE362" i="3"/>
  <c r="AF362" i="3"/>
  <c r="AH362" i="3"/>
  <c r="AI362" i="3"/>
  <c r="AK362" i="3"/>
  <c r="AL362" i="3"/>
  <c r="AN362" i="3"/>
  <c r="AO362" i="3"/>
  <c r="AQ362" i="3"/>
  <c r="AR362" i="3"/>
  <c r="Y363" i="3"/>
  <c r="Z363" i="3"/>
  <c r="AB363" i="3"/>
  <c r="AC363" i="3"/>
  <c r="AE363" i="3"/>
  <c r="AF363" i="3"/>
  <c r="AH363" i="3"/>
  <c r="AI363" i="3"/>
  <c r="AK363" i="3"/>
  <c r="AL363" i="3"/>
  <c r="AN363" i="3"/>
  <c r="AO363" i="3"/>
  <c r="AQ363" i="3"/>
  <c r="AR363" i="3"/>
  <c r="Y364" i="3"/>
  <c r="Z364" i="3"/>
  <c r="AB364" i="3"/>
  <c r="AC364" i="3"/>
  <c r="AE364" i="3"/>
  <c r="AF364" i="3"/>
  <c r="AH364" i="3"/>
  <c r="AI364" i="3"/>
  <c r="AK364" i="3"/>
  <c r="AL364" i="3"/>
  <c r="AN364" i="3"/>
  <c r="AO364" i="3"/>
  <c r="AQ364" i="3"/>
  <c r="AR364" i="3"/>
  <c r="Y365" i="3"/>
  <c r="Z365" i="3"/>
  <c r="AB365" i="3"/>
  <c r="AC365" i="3"/>
  <c r="AE365" i="3"/>
  <c r="AF365" i="3"/>
  <c r="AH365" i="3"/>
  <c r="AI365" i="3"/>
  <c r="AK365" i="3"/>
  <c r="AL365" i="3"/>
  <c r="AN365" i="3"/>
  <c r="AO365" i="3"/>
  <c r="AQ365" i="3"/>
  <c r="AR365" i="3"/>
  <c r="Y366" i="3"/>
  <c r="Z366" i="3"/>
  <c r="AB366" i="3"/>
  <c r="AC366" i="3"/>
  <c r="AE366" i="3"/>
  <c r="AF366" i="3"/>
  <c r="AH366" i="3"/>
  <c r="AI366" i="3"/>
  <c r="AK366" i="3"/>
  <c r="AL366" i="3"/>
  <c r="AN366" i="3"/>
  <c r="AO366" i="3"/>
  <c r="AQ366" i="3"/>
  <c r="AR366" i="3"/>
  <c r="Y367" i="3"/>
  <c r="Z367" i="3"/>
  <c r="AB367" i="3"/>
  <c r="AC367" i="3"/>
  <c r="AE367" i="3"/>
  <c r="AF367" i="3"/>
  <c r="AH367" i="3"/>
  <c r="AI367" i="3"/>
  <c r="AK367" i="3"/>
  <c r="AL367" i="3"/>
  <c r="AN367" i="3"/>
  <c r="AO367" i="3"/>
  <c r="AQ367" i="3"/>
  <c r="AR367" i="3"/>
  <c r="Y368" i="3"/>
  <c r="Z368" i="3"/>
  <c r="AB368" i="3"/>
  <c r="AC368" i="3"/>
  <c r="AE368" i="3"/>
  <c r="AF368" i="3"/>
  <c r="AH368" i="3"/>
  <c r="AI368" i="3"/>
  <c r="AK368" i="3"/>
  <c r="AL368" i="3"/>
  <c r="AN368" i="3"/>
  <c r="AO368" i="3"/>
  <c r="AQ368" i="3"/>
  <c r="AR368" i="3"/>
  <c r="Y369" i="3"/>
  <c r="Z369" i="3"/>
  <c r="AB369" i="3"/>
  <c r="AC369" i="3"/>
  <c r="AE369" i="3"/>
  <c r="AF369" i="3"/>
  <c r="AH369" i="3"/>
  <c r="AI369" i="3"/>
  <c r="AK369" i="3"/>
  <c r="AL369" i="3"/>
  <c r="AN369" i="3"/>
  <c r="AO369" i="3"/>
  <c r="AQ369" i="3"/>
  <c r="AR369" i="3"/>
  <c r="Y370" i="3"/>
  <c r="Z370" i="3"/>
  <c r="AB370" i="3"/>
  <c r="AC370" i="3"/>
  <c r="AE370" i="3"/>
  <c r="AF370" i="3"/>
  <c r="AH370" i="3"/>
  <c r="AI370" i="3"/>
  <c r="AK370" i="3"/>
  <c r="AL370" i="3"/>
  <c r="AN370" i="3"/>
  <c r="AO370" i="3"/>
  <c r="AQ370" i="3"/>
  <c r="AR370" i="3"/>
  <c r="Y371" i="3"/>
  <c r="Z371" i="3"/>
  <c r="AB371" i="3"/>
  <c r="AC371" i="3"/>
  <c r="AE371" i="3"/>
  <c r="AF371" i="3"/>
  <c r="AH371" i="3"/>
  <c r="AI371" i="3"/>
  <c r="AK371" i="3"/>
  <c r="AL371" i="3"/>
  <c r="AN371" i="3"/>
  <c r="AO371" i="3"/>
  <c r="AQ371" i="3"/>
  <c r="AR371" i="3"/>
  <c r="Y372" i="3"/>
  <c r="Z372" i="3"/>
  <c r="AB372" i="3"/>
  <c r="AC372" i="3"/>
  <c r="AE372" i="3"/>
  <c r="AF372" i="3"/>
  <c r="AH372" i="3"/>
  <c r="AI372" i="3"/>
  <c r="AK372" i="3"/>
  <c r="AL372" i="3"/>
  <c r="AN372" i="3"/>
  <c r="AO372" i="3"/>
  <c r="AQ372" i="3"/>
  <c r="AR372" i="3"/>
  <c r="Y373" i="3"/>
  <c r="Z373" i="3"/>
  <c r="AB373" i="3"/>
  <c r="AC373" i="3"/>
  <c r="AE373" i="3"/>
  <c r="AF373" i="3"/>
  <c r="AH373" i="3"/>
  <c r="AI373" i="3"/>
  <c r="AK373" i="3"/>
  <c r="AL373" i="3"/>
  <c r="AN373" i="3"/>
  <c r="AO373" i="3"/>
  <c r="AQ373" i="3"/>
  <c r="AR373" i="3"/>
  <c r="Y374" i="3"/>
  <c r="Z374" i="3"/>
  <c r="AB374" i="3"/>
  <c r="AC374" i="3"/>
  <c r="AE374" i="3"/>
  <c r="AF374" i="3"/>
  <c r="AH374" i="3"/>
  <c r="AI374" i="3"/>
  <c r="AK374" i="3"/>
  <c r="AL374" i="3"/>
  <c r="AN374" i="3"/>
  <c r="AO374" i="3"/>
  <c r="AQ374" i="3"/>
  <c r="AR374" i="3"/>
  <c r="Y375" i="3"/>
  <c r="Z375" i="3"/>
  <c r="AB375" i="3"/>
  <c r="AC375" i="3"/>
  <c r="AE375" i="3"/>
  <c r="AF375" i="3"/>
  <c r="AH375" i="3"/>
  <c r="AI375" i="3"/>
  <c r="AK375" i="3"/>
  <c r="AL375" i="3"/>
  <c r="AN375" i="3"/>
  <c r="AO375" i="3"/>
  <c r="AQ375" i="3"/>
  <c r="AR375" i="3"/>
  <c r="Y376" i="3"/>
  <c r="Z376" i="3"/>
  <c r="AB376" i="3"/>
  <c r="AC376" i="3"/>
  <c r="AE376" i="3"/>
  <c r="AF376" i="3"/>
  <c r="AH376" i="3"/>
  <c r="AI376" i="3"/>
  <c r="AK376" i="3"/>
  <c r="AL376" i="3"/>
  <c r="AN376" i="3"/>
  <c r="AO376" i="3"/>
  <c r="AQ376" i="3"/>
  <c r="AR376" i="3"/>
  <c r="Y377" i="3"/>
  <c r="Z377" i="3"/>
  <c r="AB377" i="3"/>
  <c r="AC377" i="3"/>
  <c r="AE377" i="3"/>
  <c r="AF377" i="3"/>
  <c r="AH377" i="3"/>
  <c r="AI377" i="3"/>
  <c r="AK377" i="3"/>
  <c r="AL377" i="3"/>
  <c r="AN377" i="3"/>
  <c r="AO377" i="3"/>
  <c r="AQ377" i="3"/>
  <c r="AR377" i="3"/>
  <c r="Y378" i="3"/>
  <c r="Z378" i="3"/>
  <c r="AB378" i="3"/>
  <c r="AC378" i="3"/>
  <c r="AE378" i="3"/>
  <c r="AF378" i="3"/>
  <c r="AH378" i="3"/>
  <c r="AI378" i="3"/>
  <c r="AK378" i="3"/>
  <c r="AL378" i="3"/>
  <c r="AN378" i="3"/>
  <c r="AO378" i="3"/>
  <c r="AQ378" i="3"/>
  <c r="AR378" i="3"/>
  <c r="Y379" i="3"/>
  <c r="Z379" i="3"/>
  <c r="AB379" i="3"/>
  <c r="AC379" i="3"/>
  <c r="AE379" i="3"/>
  <c r="AF379" i="3"/>
  <c r="AH379" i="3"/>
  <c r="AI379" i="3"/>
  <c r="AK379" i="3"/>
  <c r="AL379" i="3"/>
  <c r="AN379" i="3"/>
  <c r="AO379" i="3"/>
  <c r="AQ379" i="3"/>
  <c r="AR379" i="3"/>
  <c r="Y380" i="3"/>
  <c r="Z380" i="3"/>
  <c r="AB380" i="3"/>
  <c r="AC380" i="3"/>
  <c r="AE380" i="3"/>
  <c r="AF380" i="3"/>
  <c r="AH380" i="3"/>
  <c r="AI380" i="3"/>
  <c r="AK380" i="3"/>
  <c r="AL380" i="3"/>
  <c r="AN380" i="3"/>
  <c r="AO380" i="3"/>
  <c r="AQ380" i="3"/>
  <c r="AR380" i="3"/>
  <c r="Y381" i="3"/>
  <c r="Z381" i="3"/>
  <c r="AB381" i="3"/>
  <c r="AC381" i="3"/>
  <c r="AE381" i="3"/>
  <c r="AF381" i="3"/>
  <c r="AH381" i="3"/>
  <c r="AI381" i="3"/>
  <c r="AK381" i="3"/>
  <c r="AL381" i="3"/>
  <c r="AN381" i="3"/>
  <c r="AO381" i="3"/>
  <c r="AQ381" i="3"/>
  <c r="AR381" i="3"/>
  <c r="Y382" i="3"/>
  <c r="Z382" i="3"/>
  <c r="AB382" i="3"/>
  <c r="AC382" i="3"/>
  <c r="AE382" i="3"/>
  <c r="AF382" i="3"/>
  <c r="AH382" i="3"/>
  <c r="AI382" i="3"/>
  <c r="AK382" i="3"/>
  <c r="AL382" i="3"/>
  <c r="AN382" i="3"/>
  <c r="AO382" i="3"/>
  <c r="AQ382" i="3"/>
  <c r="AR382" i="3"/>
  <c r="Y383" i="3"/>
  <c r="Z383" i="3"/>
  <c r="AB383" i="3"/>
  <c r="AC383" i="3"/>
  <c r="AE383" i="3"/>
  <c r="AF383" i="3"/>
  <c r="AH383" i="3"/>
  <c r="AI383" i="3"/>
  <c r="AK383" i="3"/>
  <c r="AL383" i="3"/>
  <c r="AN383" i="3"/>
  <c r="AO383" i="3"/>
  <c r="AQ383" i="3"/>
  <c r="AR383" i="3"/>
  <c r="Y384" i="3"/>
  <c r="Z384" i="3"/>
  <c r="AB384" i="3"/>
  <c r="AC384" i="3"/>
  <c r="AE384" i="3"/>
  <c r="AF384" i="3"/>
  <c r="AH384" i="3"/>
  <c r="AI384" i="3"/>
  <c r="AK384" i="3"/>
  <c r="AL384" i="3"/>
  <c r="AN384" i="3"/>
  <c r="AO384" i="3"/>
  <c r="AQ384" i="3"/>
  <c r="AR384" i="3"/>
  <c r="Y385" i="3"/>
  <c r="Z385" i="3"/>
  <c r="AB385" i="3"/>
  <c r="AC385" i="3"/>
  <c r="AE385" i="3"/>
  <c r="AF385" i="3"/>
  <c r="AH385" i="3"/>
  <c r="AI385" i="3"/>
  <c r="AK385" i="3"/>
  <c r="AL385" i="3"/>
  <c r="AN385" i="3"/>
  <c r="AO385" i="3"/>
  <c r="AQ385" i="3"/>
  <c r="AR385" i="3"/>
  <c r="Y386" i="3"/>
  <c r="Z386" i="3"/>
  <c r="AB386" i="3"/>
  <c r="AC386" i="3"/>
  <c r="AE386" i="3"/>
  <c r="AF386" i="3"/>
  <c r="AH386" i="3"/>
  <c r="AI386" i="3"/>
  <c r="AK386" i="3"/>
  <c r="AL386" i="3"/>
  <c r="AN386" i="3"/>
  <c r="AO386" i="3"/>
  <c r="AQ386" i="3"/>
  <c r="AR386" i="3"/>
  <c r="Y387" i="3"/>
  <c r="Z387" i="3"/>
  <c r="AB387" i="3"/>
  <c r="AC387" i="3"/>
  <c r="AE387" i="3"/>
  <c r="AF387" i="3"/>
  <c r="AH387" i="3"/>
  <c r="AI387" i="3"/>
  <c r="AK387" i="3"/>
  <c r="AL387" i="3"/>
  <c r="AN387" i="3"/>
  <c r="AO387" i="3"/>
  <c r="AQ387" i="3"/>
  <c r="AR387" i="3"/>
  <c r="Y388" i="3"/>
  <c r="Z388" i="3"/>
  <c r="AB388" i="3"/>
  <c r="AC388" i="3"/>
  <c r="AE388" i="3"/>
  <c r="AF388" i="3"/>
  <c r="AH388" i="3"/>
  <c r="AI388" i="3"/>
  <c r="AK388" i="3"/>
  <c r="AL388" i="3"/>
  <c r="AN388" i="3"/>
  <c r="AO388" i="3"/>
  <c r="AQ388" i="3"/>
  <c r="AR388" i="3"/>
  <c r="Y389" i="3"/>
  <c r="Z389" i="3"/>
  <c r="AB389" i="3"/>
  <c r="AC389" i="3"/>
  <c r="AE389" i="3"/>
  <c r="AF389" i="3"/>
  <c r="AH389" i="3"/>
  <c r="AI389" i="3"/>
  <c r="AK389" i="3"/>
  <c r="AL389" i="3"/>
  <c r="AN389" i="3"/>
  <c r="AO389" i="3"/>
  <c r="AQ389" i="3"/>
  <c r="AR389" i="3"/>
  <c r="Y390" i="3"/>
  <c r="Z390" i="3"/>
  <c r="AB390" i="3"/>
  <c r="AC390" i="3"/>
  <c r="AE390" i="3"/>
  <c r="AF390" i="3"/>
  <c r="AH390" i="3"/>
  <c r="AI390" i="3"/>
  <c r="AK390" i="3"/>
  <c r="AL390" i="3"/>
  <c r="AN390" i="3"/>
  <c r="AO390" i="3"/>
  <c r="AQ390" i="3"/>
  <c r="AR390" i="3"/>
  <c r="Y391" i="3"/>
  <c r="Z391" i="3"/>
  <c r="AB391" i="3"/>
  <c r="AC391" i="3"/>
  <c r="AE391" i="3"/>
  <c r="AF391" i="3"/>
  <c r="AH391" i="3"/>
  <c r="AI391" i="3"/>
  <c r="AK391" i="3"/>
  <c r="AL391" i="3"/>
  <c r="AN391" i="3"/>
  <c r="AO391" i="3"/>
  <c r="AQ391" i="3"/>
  <c r="AR391" i="3"/>
  <c r="Y392" i="3"/>
  <c r="Z392" i="3"/>
  <c r="AB392" i="3"/>
  <c r="AC392" i="3"/>
  <c r="AE392" i="3"/>
  <c r="AF392" i="3"/>
  <c r="AH392" i="3"/>
  <c r="AI392" i="3"/>
  <c r="AK392" i="3"/>
  <c r="AL392" i="3"/>
  <c r="AN392" i="3"/>
  <c r="AO392" i="3"/>
  <c r="AQ392" i="3"/>
  <c r="AR392" i="3"/>
  <c r="Y393" i="3"/>
  <c r="Z393" i="3"/>
  <c r="AB393" i="3"/>
  <c r="AC393" i="3"/>
  <c r="AE393" i="3"/>
  <c r="AF393" i="3"/>
  <c r="AH393" i="3"/>
  <c r="AI393" i="3"/>
  <c r="AK393" i="3"/>
  <c r="AL393" i="3"/>
  <c r="AN393" i="3"/>
  <c r="AO393" i="3"/>
  <c r="AQ393" i="3"/>
  <c r="AR393" i="3"/>
  <c r="Y394" i="3"/>
  <c r="Z394" i="3"/>
  <c r="AB394" i="3"/>
  <c r="AC394" i="3"/>
  <c r="AE394" i="3"/>
  <c r="AF394" i="3"/>
  <c r="AH394" i="3"/>
  <c r="AI394" i="3"/>
  <c r="AK394" i="3"/>
  <c r="AL394" i="3"/>
  <c r="AN394" i="3"/>
  <c r="AO394" i="3"/>
  <c r="AQ394" i="3"/>
  <c r="AR394" i="3"/>
  <c r="Y395" i="3"/>
  <c r="Z395" i="3"/>
  <c r="AB395" i="3"/>
  <c r="AC395" i="3"/>
  <c r="AE395" i="3"/>
  <c r="AF395" i="3"/>
  <c r="AH395" i="3"/>
  <c r="AI395" i="3"/>
  <c r="AK395" i="3"/>
  <c r="AL395" i="3"/>
  <c r="AN395" i="3"/>
  <c r="AO395" i="3"/>
  <c r="AQ395" i="3"/>
  <c r="AR395" i="3"/>
  <c r="Y396" i="3"/>
  <c r="Z396" i="3"/>
  <c r="AB396" i="3"/>
  <c r="AC396" i="3"/>
  <c r="AE396" i="3"/>
  <c r="AF396" i="3"/>
  <c r="AH396" i="3"/>
  <c r="AI396" i="3"/>
  <c r="AK396" i="3"/>
  <c r="AL396" i="3"/>
  <c r="AN396" i="3"/>
  <c r="AO396" i="3"/>
  <c r="AQ396" i="3"/>
  <c r="AR396" i="3"/>
  <c r="Y397" i="3"/>
  <c r="Z397" i="3"/>
  <c r="AB397" i="3"/>
  <c r="AC397" i="3"/>
  <c r="AE397" i="3"/>
  <c r="AF397" i="3"/>
  <c r="AH397" i="3"/>
  <c r="AI397" i="3"/>
  <c r="AK397" i="3"/>
  <c r="AL397" i="3"/>
  <c r="AN397" i="3"/>
  <c r="AO397" i="3"/>
  <c r="AQ397" i="3"/>
  <c r="AR397" i="3"/>
  <c r="Y398" i="3"/>
  <c r="Z398" i="3"/>
  <c r="AB398" i="3"/>
  <c r="AC398" i="3"/>
  <c r="AE398" i="3"/>
  <c r="AF398" i="3"/>
  <c r="AH398" i="3"/>
  <c r="AI398" i="3"/>
  <c r="AK398" i="3"/>
  <c r="AL398" i="3"/>
  <c r="AN398" i="3"/>
  <c r="AO398" i="3"/>
  <c r="AQ398" i="3"/>
  <c r="AR398" i="3"/>
  <c r="Y399" i="3"/>
  <c r="Z399" i="3"/>
  <c r="AB399" i="3"/>
  <c r="AC399" i="3"/>
  <c r="AE399" i="3"/>
  <c r="AF399" i="3"/>
  <c r="AH399" i="3"/>
  <c r="AI399" i="3"/>
  <c r="AK399" i="3"/>
  <c r="AL399" i="3"/>
  <c r="AN399" i="3"/>
  <c r="AO399" i="3"/>
  <c r="AQ399" i="3"/>
  <c r="AR399" i="3"/>
  <c r="Y400" i="3"/>
  <c r="Z400" i="3"/>
  <c r="AB400" i="3"/>
  <c r="AC400" i="3"/>
  <c r="AE400" i="3"/>
  <c r="AF400" i="3"/>
  <c r="AH400" i="3"/>
  <c r="AI400" i="3"/>
  <c r="AK400" i="3"/>
  <c r="AL400" i="3"/>
  <c r="AN400" i="3"/>
  <c r="AO400" i="3"/>
  <c r="AQ400" i="3"/>
  <c r="AR400" i="3"/>
  <c r="Y401" i="3"/>
  <c r="Z401" i="3"/>
  <c r="AB401" i="3"/>
  <c r="AC401" i="3"/>
  <c r="AE401" i="3"/>
  <c r="AF401" i="3"/>
  <c r="AH401" i="3"/>
  <c r="AI401" i="3"/>
  <c r="AK401" i="3"/>
  <c r="AL401" i="3"/>
  <c r="AN401" i="3"/>
  <c r="AO401" i="3"/>
  <c r="AQ401" i="3"/>
  <c r="AR401" i="3"/>
  <c r="Y402" i="3"/>
  <c r="Z402" i="3"/>
  <c r="AB402" i="3"/>
  <c r="AC402" i="3"/>
  <c r="AE402" i="3"/>
  <c r="AF402" i="3"/>
  <c r="AH402" i="3"/>
  <c r="AI402" i="3"/>
  <c r="AK402" i="3"/>
  <c r="AL402" i="3"/>
  <c r="AN402" i="3"/>
  <c r="AO402" i="3"/>
  <c r="AQ402" i="3"/>
  <c r="AR402" i="3"/>
  <c r="Y403" i="3"/>
  <c r="Z403" i="3"/>
  <c r="AB403" i="3"/>
  <c r="AC403" i="3"/>
  <c r="AE403" i="3"/>
  <c r="AF403" i="3"/>
  <c r="AH403" i="3"/>
  <c r="AI403" i="3"/>
  <c r="AK403" i="3"/>
  <c r="AL403" i="3"/>
  <c r="AN403" i="3"/>
  <c r="AO403" i="3"/>
  <c r="AQ403" i="3"/>
  <c r="AR403" i="3"/>
  <c r="Y404" i="3"/>
  <c r="Z404" i="3"/>
  <c r="AB404" i="3"/>
  <c r="AC404" i="3"/>
  <c r="AE404" i="3"/>
  <c r="AF404" i="3"/>
  <c r="AH404" i="3"/>
  <c r="AI404" i="3"/>
  <c r="AK404" i="3"/>
  <c r="AL404" i="3"/>
  <c r="AN404" i="3"/>
  <c r="AO404" i="3"/>
  <c r="AQ404" i="3"/>
  <c r="AR404" i="3"/>
  <c r="Y405" i="3"/>
  <c r="Z405" i="3"/>
  <c r="AB405" i="3"/>
  <c r="AC405" i="3"/>
  <c r="AE405" i="3"/>
  <c r="AF405" i="3"/>
  <c r="AH405" i="3"/>
  <c r="AI405" i="3"/>
  <c r="AK405" i="3"/>
  <c r="AL405" i="3"/>
  <c r="AN405" i="3"/>
  <c r="AO405" i="3"/>
  <c r="AQ405" i="3"/>
  <c r="AR405" i="3"/>
  <c r="Y406" i="3"/>
  <c r="Z406" i="3"/>
  <c r="AB406" i="3"/>
  <c r="AC406" i="3"/>
  <c r="AE406" i="3"/>
  <c r="AF406" i="3"/>
  <c r="AH406" i="3"/>
  <c r="AI406" i="3"/>
  <c r="AK406" i="3"/>
  <c r="AL406" i="3"/>
  <c r="AN406" i="3"/>
  <c r="AO406" i="3"/>
  <c r="AQ406" i="3"/>
  <c r="AR406" i="3"/>
  <c r="Y407" i="3"/>
  <c r="Z407" i="3"/>
  <c r="AB407" i="3"/>
  <c r="AC407" i="3"/>
  <c r="AE407" i="3"/>
  <c r="AF407" i="3"/>
  <c r="AH407" i="3"/>
  <c r="AI407" i="3"/>
  <c r="AK407" i="3"/>
  <c r="AL407" i="3"/>
  <c r="AN407" i="3"/>
  <c r="AO407" i="3"/>
  <c r="AQ407" i="3"/>
  <c r="AR407" i="3"/>
  <c r="Y408" i="3"/>
  <c r="Z408" i="3"/>
  <c r="AB408" i="3"/>
  <c r="AC408" i="3"/>
  <c r="AE408" i="3"/>
  <c r="AF408" i="3"/>
  <c r="AH408" i="3"/>
  <c r="AI408" i="3"/>
  <c r="AK408" i="3"/>
  <c r="AL408" i="3"/>
  <c r="AN408" i="3"/>
  <c r="AO408" i="3"/>
  <c r="AQ408" i="3"/>
  <c r="AR408" i="3"/>
  <c r="Y409" i="3"/>
  <c r="Z409" i="3"/>
  <c r="AB409" i="3"/>
  <c r="AC409" i="3"/>
  <c r="AE409" i="3"/>
  <c r="AF409" i="3"/>
  <c r="AH409" i="3"/>
  <c r="AI409" i="3"/>
  <c r="AK409" i="3"/>
  <c r="AL409" i="3"/>
  <c r="AN409" i="3"/>
  <c r="AO409" i="3"/>
  <c r="AQ409" i="3"/>
  <c r="AR409" i="3"/>
  <c r="Y410" i="3"/>
  <c r="Z410" i="3"/>
  <c r="AB410" i="3"/>
  <c r="AC410" i="3"/>
  <c r="AE410" i="3"/>
  <c r="AF410" i="3"/>
  <c r="AH410" i="3"/>
  <c r="AI410" i="3"/>
  <c r="AK410" i="3"/>
  <c r="AL410" i="3"/>
  <c r="AN410" i="3"/>
  <c r="AO410" i="3"/>
  <c r="AQ410" i="3"/>
  <c r="AR410" i="3"/>
  <c r="Y411" i="3"/>
  <c r="Z411" i="3"/>
  <c r="AB411" i="3"/>
  <c r="AC411" i="3"/>
  <c r="AE411" i="3"/>
  <c r="AF411" i="3"/>
  <c r="AH411" i="3"/>
  <c r="AI411" i="3"/>
  <c r="AK411" i="3"/>
  <c r="AL411" i="3"/>
  <c r="AN411" i="3"/>
  <c r="AO411" i="3"/>
  <c r="AQ411" i="3"/>
  <c r="AR411" i="3"/>
  <c r="Y412" i="3"/>
  <c r="Z412" i="3"/>
  <c r="AB412" i="3"/>
  <c r="AC412" i="3"/>
  <c r="AE412" i="3"/>
  <c r="AF412" i="3"/>
  <c r="AH412" i="3"/>
  <c r="AI412" i="3"/>
  <c r="AK412" i="3"/>
  <c r="AL412" i="3"/>
  <c r="AN412" i="3"/>
  <c r="AO412" i="3"/>
  <c r="AQ412" i="3"/>
  <c r="AR412" i="3"/>
  <c r="Y413" i="3"/>
  <c r="Z413" i="3"/>
  <c r="AB413" i="3"/>
  <c r="AC413" i="3"/>
  <c r="AE413" i="3"/>
  <c r="AF413" i="3"/>
  <c r="AH413" i="3"/>
  <c r="AI413" i="3"/>
  <c r="AK413" i="3"/>
  <c r="AL413" i="3"/>
  <c r="AN413" i="3"/>
  <c r="AO413" i="3"/>
  <c r="AQ413" i="3"/>
  <c r="AR413" i="3"/>
  <c r="Y414" i="3"/>
  <c r="Z414" i="3"/>
  <c r="AB414" i="3"/>
  <c r="AC414" i="3"/>
  <c r="AE414" i="3"/>
  <c r="AF414" i="3"/>
  <c r="AH414" i="3"/>
  <c r="AI414" i="3"/>
  <c r="AK414" i="3"/>
  <c r="AL414" i="3"/>
  <c r="AN414" i="3"/>
  <c r="AO414" i="3"/>
  <c r="AQ414" i="3"/>
  <c r="AR414" i="3"/>
  <c r="Y415" i="3"/>
  <c r="Z415" i="3"/>
  <c r="AB415" i="3"/>
  <c r="AC415" i="3"/>
  <c r="AE415" i="3"/>
  <c r="AF415" i="3"/>
  <c r="AH415" i="3"/>
  <c r="AI415" i="3"/>
  <c r="AK415" i="3"/>
  <c r="AL415" i="3"/>
  <c r="AN415" i="3"/>
  <c r="AO415" i="3"/>
  <c r="AQ415" i="3"/>
  <c r="AR415" i="3"/>
  <c r="Y416" i="3"/>
  <c r="Z416" i="3"/>
  <c r="AB416" i="3"/>
  <c r="AC416" i="3"/>
  <c r="AE416" i="3"/>
  <c r="AF416" i="3"/>
  <c r="AH416" i="3"/>
  <c r="AI416" i="3"/>
  <c r="AK416" i="3"/>
  <c r="AL416" i="3"/>
  <c r="AN416" i="3"/>
  <c r="AO416" i="3"/>
  <c r="AQ416" i="3"/>
  <c r="AR416" i="3"/>
  <c r="Y417" i="3"/>
  <c r="Z417" i="3"/>
  <c r="AB417" i="3"/>
  <c r="AC417" i="3"/>
  <c r="AE417" i="3"/>
  <c r="AF417" i="3"/>
  <c r="AH417" i="3"/>
  <c r="AI417" i="3"/>
  <c r="AK417" i="3"/>
  <c r="AL417" i="3"/>
  <c r="AN417" i="3"/>
  <c r="AO417" i="3"/>
  <c r="AQ417" i="3"/>
  <c r="AR417" i="3"/>
  <c r="Y418" i="3"/>
  <c r="Z418" i="3"/>
  <c r="AB418" i="3"/>
  <c r="AC418" i="3"/>
  <c r="AE418" i="3"/>
  <c r="AF418" i="3"/>
  <c r="AH418" i="3"/>
  <c r="AI418" i="3"/>
  <c r="AK418" i="3"/>
  <c r="AL418" i="3"/>
  <c r="AN418" i="3"/>
  <c r="AO418" i="3"/>
  <c r="AQ418" i="3"/>
  <c r="AR418" i="3"/>
  <c r="Y419" i="3"/>
  <c r="Z419" i="3"/>
  <c r="AB419" i="3"/>
  <c r="AC419" i="3"/>
  <c r="AE419" i="3"/>
  <c r="AF419" i="3"/>
  <c r="AH419" i="3"/>
  <c r="AI419" i="3"/>
  <c r="AK419" i="3"/>
  <c r="AL419" i="3"/>
  <c r="AN419" i="3"/>
  <c r="AO419" i="3"/>
  <c r="AQ419" i="3"/>
  <c r="AR419" i="3"/>
  <c r="Y420" i="3"/>
  <c r="Z420" i="3"/>
  <c r="AB420" i="3"/>
  <c r="AC420" i="3"/>
  <c r="AE420" i="3"/>
  <c r="AF420" i="3"/>
  <c r="AH420" i="3"/>
  <c r="AI420" i="3"/>
  <c r="AK420" i="3"/>
  <c r="AL420" i="3"/>
  <c r="AN420" i="3"/>
  <c r="AO420" i="3"/>
  <c r="AQ420" i="3"/>
  <c r="AR420" i="3"/>
  <c r="Y421" i="3"/>
  <c r="Z421" i="3"/>
  <c r="AB421" i="3"/>
  <c r="AC421" i="3"/>
  <c r="AE421" i="3"/>
  <c r="AF421" i="3"/>
  <c r="AH421" i="3"/>
  <c r="AI421" i="3"/>
  <c r="AK421" i="3"/>
  <c r="AL421" i="3"/>
  <c r="AN421" i="3"/>
  <c r="AO421" i="3"/>
  <c r="AQ421" i="3"/>
  <c r="AR421" i="3"/>
  <c r="Y422" i="3"/>
  <c r="Z422" i="3"/>
  <c r="AB422" i="3"/>
  <c r="AC422" i="3"/>
  <c r="AE422" i="3"/>
  <c r="AF422" i="3"/>
  <c r="AH422" i="3"/>
  <c r="AI422" i="3"/>
  <c r="AK422" i="3"/>
  <c r="AL422" i="3"/>
  <c r="AN422" i="3"/>
  <c r="AO422" i="3"/>
  <c r="AQ422" i="3"/>
  <c r="AR422" i="3"/>
  <c r="Y423" i="3"/>
  <c r="Z423" i="3"/>
  <c r="AB423" i="3"/>
  <c r="AC423" i="3"/>
  <c r="AE423" i="3"/>
  <c r="AF423" i="3"/>
  <c r="AH423" i="3"/>
  <c r="AI423" i="3"/>
  <c r="AK423" i="3"/>
  <c r="AL423" i="3"/>
  <c r="AN423" i="3"/>
  <c r="AO423" i="3"/>
  <c r="AQ423" i="3"/>
  <c r="AR423" i="3"/>
  <c r="Y424" i="3"/>
  <c r="Z424" i="3"/>
  <c r="AB424" i="3"/>
  <c r="AC424" i="3"/>
  <c r="AE424" i="3"/>
  <c r="AF424" i="3"/>
  <c r="AH424" i="3"/>
  <c r="AI424" i="3"/>
  <c r="AK424" i="3"/>
  <c r="AL424" i="3"/>
  <c r="AN424" i="3"/>
  <c r="AO424" i="3"/>
  <c r="AQ424" i="3"/>
  <c r="AR424" i="3"/>
  <c r="Y425" i="3"/>
  <c r="Z425" i="3"/>
  <c r="AB425" i="3"/>
  <c r="AC425" i="3"/>
  <c r="AE425" i="3"/>
  <c r="AF425" i="3"/>
  <c r="AH425" i="3"/>
  <c r="AI425" i="3"/>
  <c r="AK425" i="3"/>
  <c r="AL425" i="3"/>
  <c r="AN425" i="3"/>
  <c r="AO425" i="3"/>
  <c r="AQ425" i="3"/>
  <c r="AR425" i="3"/>
  <c r="Y426" i="3"/>
  <c r="Z426" i="3"/>
  <c r="AB426" i="3"/>
  <c r="AC426" i="3"/>
  <c r="AE426" i="3"/>
  <c r="AF426" i="3"/>
  <c r="AH426" i="3"/>
  <c r="AI426" i="3"/>
  <c r="AK426" i="3"/>
  <c r="AL426" i="3"/>
  <c r="AN426" i="3"/>
  <c r="AO426" i="3"/>
  <c r="AQ426" i="3"/>
  <c r="AR426" i="3"/>
  <c r="Y427" i="3"/>
  <c r="Z427" i="3"/>
  <c r="AB427" i="3"/>
  <c r="AC427" i="3"/>
  <c r="AE427" i="3"/>
  <c r="AF427" i="3"/>
  <c r="AH427" i="3"/>
  <c r="AI427" i="3"/>
  <c r="AK427" i="3"/>
  <c r="AL427" i="3"/>
  <c r="AN427" i="3"/>
  <c r="AO427" i="3"/>
  <c r="AQ427" i="3"/>
  <c r="AR427" i="3"/>
  <c r="Y428" i="3"/>
  <c r="Z428" i="3"/>
  <c r="AB428" i="3"/>
  <c r="AC428" i="3"/>
  <c r="AE428" i="3"/>
  <c r="AF428" i="3"/>
  <c r="AH428" i="3"/>
  <c r="AI428" i="3"/>
  <c r="AK428" i="3"/>
  <c r="AL428" i="3"/>
  <c r="AN428" i="3"/>
  <c r="AO428" i="3"/>
  <c r="AQ428" i="3"/>
  <c r="AR428" i="3"/>
  <c r="Y429" i="3"/>
  <c r="Z429" i="3"/>
  <c r="AB429" i="3"/>
  <c r="AC429" i="3"/>
  <c r="AE429" i="3"/>
  <c r="AF429" i="3"/>
  <c r="AH429" i="3"/>
  <c r="AI429" i="3"/>
  <c r="AK429" i="3"/>
  <c r="AL429" i="3"/>
  <c r="AN429" i="3"/>
  <c r="AO429" i="3"/>
  <c r="AQ429" i="3"/>
  <c r="AR429" i="3"/>
  <c r="Y430" i="3"/>
  <c r="Z430" i="3"/>
  <c r="AB430" i="3"/>
  <c r="AC430" i="3"/>
  <c r="AE430" i="3"/>
  <c r="AF430" i="3"/>
  <c r="AH430" i="3"/>
  <c r="AI430" i="3"/>
  <c r="AK430" i="3"/>
  <c r="AL430" i="3"/>
  <c r="AN430" i="3"/>
  <c r="AO430" i="3"/>
  <c r="AQ430" i="3"/>
  <c r="AR430" i="3"/>
  <c r="Y431" i="3"/>
  <c r="Z431" i="3"/>
  <c r="AB431" i="3"/>
  <c r="AC431" i="3"/>
  <c r="AE431" i="3"/>
  <c r="AF431" i="3"/>
  <c r="AH431" i="3"/>
  <c r="AI431" i="3"/>
  <c r="AK431" i="3"/>
  <c r="AL431" i="3"/>
  <c r="AN431" i="3"/>
  <c r="AO431" i="3"/>
  <c r="AQ431" i="3"/>
  <c r="AR431" i="3"/>
  <c r="Y432" i="3"/>
  <c r="Z432" i="3"/>
  <c r="AB432" i="3"/>
  <c r="AC432" i="3"/>
  <c r="AE432" i="3"/>
  <c r="AF432" i="3"/>
  <c r="AH432" i="3"/>
  <c r="AI432" i="3"/>
  <c r="AK432" i="3"/>
  <c r="AL432" i="3"/>
  <c r="AN432" i="3"/>
  <c r="AO432" i="3"/>
  <c r="AQ432" i="3"/>
  <c r="AR432" i="3"/>
  <c r="Y433" i="3"/>
  <c r="Z433" i="3"/>
  <c r="AB433" i="3"/>
  <c r="AC433" i="3"/>
  <c r="AE433" i="3"/>
  <c r="AF433" i="3"/>
  <c r="AH433" i="3"/>
  <c r="AI433" i="3"/>
  <c r="AK433" i="3"/>
  <c r="AL433" i="3"/>
  <c r="AN433" i="3"/>
  <c r="AO433" i="3"/>
  <c r="AQ433" i="3"/>
  <c r="AR433" i="3"/>
  <c r="Y434" i="3"/>
  <c r="Z434" i="3"/>
  <c r="AB434" i="3"/>
  <c r="AC434" i="3"/>
  <c r="AE434" i="3"/>
  <c r="AF434" i="3"/>
  <c r="AH434" i="3"/>
  <c r="AI434" i="3"/>
  <c r="AK434" i="3"/>
  <c r="AL434" i="3"/>
  <c r="AN434" i="3"/>
  <c r="AO434" i="3"/>
  <c r="AQ434" i="3"/>
  <c r="AR434" i="3"/>
  <c r="Y435" i="3"/>
  <c r="Z435" i="3"/>
  <c r="AB435" i="3"/>
  <c r="AC435" i="3"/>
  <c r="AE435" i="3"/>
  <c r="AF435" i="3"/>
  <c r="AH435" i="3"/>
  <c r="AI435" i="3"/>
  <c r="AK435" i="3"/>
  <c r="AL435" i="3"/>
  <c r="AN435" i="3"/>
  <c r="AO435" i="3"/>
  <c r="AQ435" i="3"/>
  <c r="AR435" i="3"/>
  <c r="Y436" i="3"/>
  <c r="Z436" i="3"/>
  <c r="AB436" i="3"/>
  <c r="AC436" i="3"/>
  <c r="AE436" i="3"/>
  <c r="AF436" i="3"/>
  <c r="AH436" i="3"/>
  <c r="AI436" i="3"/>
  <c r="AK436" i="3"/>
  <c r="AL436" i="3"/>
  <c r="AN436" i="3"/>
  <c r="AO436" i="3"/>
  <c r="AQ436" i="3"/>
  <c r="AR436" i="3"/>
  <c r="Y437" i="3"/>
  <c r="Z437" i="3"/>
  <c r="AB437" i="3"/>
  <c r="AC437" i="3"/>
  <c r="AE437" i="3"/>
  <c r="AF437" i="3"/>
  <c r="AH437" i="3"/>
  <c r="AI437" i="3"/>
  <c r="AK437" i="3"/>
  <c r="AL437" i="3"/>
  <c r="AN437" i="3"/>
  <c r="AO437" i="3"/>
  <c r="AQ437" i="3"/>
  <c r="AR437" i="3"/>
  <c r="Y438" i="3"/>
  <c r="Z438" i="3"/>
  <c r="AB438" i="3"/>
  <c r="AC438" i="3"/>
  <c r="AE438" i="3"/>
  <c r="AF438" i="3"/>
  <c r="AH438" i="3"/>
  <c r="AI438" i="3"/>
  <c r="AK438" i="3"/>
  <c r="AL438" i="3"/>
  <c r="AN438" i="3"/>
  <c r="AO438" i="3"/>
  <c r="AQ438" i="3"/>
  <c r="AR438" i="3"/>
  <c r="Y439" i="3"/>
  <c r="Z439" i="3"/>
  <c r="AB439" i="3"/>
  <c r="AC439" i="3"/>
  <c r="AE439" i="3"/>
  <c r="AF439" i="3"/>
  <c r="AH439" i="3"/>
  <c r="AI439" i="3"/>
  <c r="AK439" i="3"/>
  <c r="AL439" i="3"/>
  <c r="AN439" i="3"/>
  <c r="AO439" i="3"/>
  <c r="AQ439" i="3"/>
  <c r="AR439" i="3"/>
  <c r="Y440" i="3"/>
  <c r="Z440" i="3"/>
  <c r="AB440" i="3"/>
  <c r="AC440" i="3"/>
  <c r="AE440" i="3"/>
  <c r="AF440" i="3"/>
  <c r="AH440" i="3"/>
  <c r="AI440" i="3"/>
  <c r="AK440" i="3"/>
  <c r="AL440" i="3"/>
  <c r="AN440" i="3"/>
  <c r="AO440" i="3"/>
  <c r="AQ440" i="3"/>
  <c r="AR440" i="3"/>
  <c r="Y441" i="3"/>
  <c r="Z441" i="3"/>
  <c r="AB441" i="3"/>
  <c r="AC441" i="3"/>
  <c r="AE441" i="3"/>
  <c r="AF441" i="3"/>
  <c r="AH441" i="3"/>
  <c r="AI441" i="3"/>
  <c r="AK441" i="3"/>
  <c r="AL441" i="3"/>
  <c r="AN441" i="3"/>
  <c r="AO441" i="3"/>
  <c r="AQ441" i="3"/>
  <c r="AR441" i="3"/>
  <c r="Y442" i="3"/>
  <c r="Z442" i="3"/>
  <c r="AB442" i="3"/>
  <c r="AC442" i="3"/>
  <c r="AE442" i="3"/>
  <c r="AF442" i="3"/>
  <c r="AH442" i="3"/>
  <c r="AI442" i="3"/>
  <c r="AK442" i="3"/>
  <c r="AL442" i="3"/>
  <c r="AN442" i="3"/>
  <c r="AO442" i="3"/>
  <c r="AQ442" i="3"/>
  <c r="AR442" i="3"/>
  <c r="Y443" i="3"/>
  <c r="Z443" i="3"/>
  <c r="AB443" i="3"/>
  <c r="AC443" i="3"/>
  <c r="AE443" i="3"/>
  <c r="AF443" i="3"/>
  <c r="AH443" i="3"/>
  <c r="AI443" i="3"/>
  <c r="AK443" i="3"/>
  <c r="AL443" i="3"/>
  <c r="AN443" i="3"/>
  <c r="AO443" i="3"/>
  <c r="AQ443" i="3"/>
  <c r="AR443" i="3"/>
  <c r="Y444" i="3"/>
  <c r="Z444" i="3"/>
  <c r="AB444" i="3"/>
  <c r="AC444" i="3"/>
  <c r="AE444" i="3"/>
  <c r="AF444" i="3"/>
  <c r="AH444" i="3"/>
  <c r="AI444" i="3"/>
  <c r="AK444" i="3"/>
  <c r="AL444" i="3"/>
  <c r="AN444" i="3"/>
  <c r="AO444" i="3"/>
  <c r="AQ444" i="3"/>
  <c r="AR444" i="3"/>
  <c r="Y445" i="3"/>
  <c r="Z445" i="3"/>
  <c r="AB445" i="3"/>
  <c r="AC445" i="3"/>
  <c r="AE445" i="3"/>
  <c r="AF445" i="3"/>
  <c r="AH445" i="3"/>
  <c r="AI445" i="3"/>
  <c r="AK445" i="3"/>
  <c r="AL445" i="3"/>
  <c r="AN445" i="3"/>
  <c r="AO445" i="3"/>
  <c r="AQ445" i="3"/>
  <c r="AR445" i="3"/>
  <c r="Y446" i="3"/>
  <c r="Z446" i="3"/>
  <c r="AB446" i="3"/>
  <c r="AC446" i="3"/>
  <c r="AE446" i="3"/>
  <c r="AF446" i="3"/>
  <c r="AH446" i="3"/>
  <c r="AI446" i="3"/>
  <c r="AK446" i="3"/>
  <c r="AL446" i="3"/>
  <c r="AN446" i="3"/>
  <c r="AO446" i="3"/>
  <c r="AQ446" i="3"/>
  <c r="AR446" i="3"/>
  <c r="Y447" i="3"/>
  <c r="Z447" i="3"/>
  <c r="AB447" i="3"/>
  <c r="AC447" i="3"/>
  <c r="AE447" i="3"/>
  <c r="AF447" i="3"/>
  <c r="AH447" i="3"/>
  <c r="AI447" i="3"/>
  <c r="AK447" i="3"/>
  <c r="AL447" i="3"/>
  <c r="AN447" i="3"/>
  <c r="AO447" i="3"/>
  <c r="AQ447" i="3"/>
  <c r="AR447" i="3"/>
  <c r="Y448" i="3"/>
  <c r="Z448" i="3"/>
  <c r="AB448" i="3"/>
  <c r="AC448" i="3"/>
  <c r="AE448" i="3"/>
  <c r="AF448" i="3"/>
  <c r="AH448" i="3"/>
  <c r="AI448" i="3"/>
  <c r="AK448" i="3"/>
  <c r="AL448" i="3"/>
  <c r="AN448" i="3"/>
  <c r="AO448" i="3"/>
  <c r="AQ448" i="3"/>
  <c r="AR448" i="3"/>
  <c r="Y449" i="3"/>
  <c r="Z449" i="3"/>
  <c r="AB449" i="3"/>
  <c r="AC449" i="3"/>
  <c r="AE449" i="3"/>
  <c r="AF449" i="3"/>
  <c r="AH449" i="3"/>
  <c r="AI449" i="3"/>
  <c r="AK449" i="3"/>
  <c r="AL449" i="3"/>
  <c r="AN449" i="3"/>
  <c r="AO449" i="3"/>
  <c r="AQ449" i="3"/>
  <c r="AR449" i="3"/>
  <c r="Y450" i="3"/>
  <c r="Z450" i="3"/>
  <c r="AB450" i="3"/>
  <c r="AC450" i="3"/>
  <c r="AE450" i="3"/>
  <c r="AF450" i="3"/>
  <c r="AH450" i="3"/>
  <c r="AI450" i="3"/>
  <c r="AK450" i="3"/>
  <c r="AL450" i="3"/>
  <c r="AN450" i="3"/>
  <c r="AO450" i="3"/>
  <c r="AQ450" i="3"/>
  <c r="AR450" i="3"/>
  <c r="Y451" i="3"/>
  <c r="Z451" i="3"/>
  <c r="AB451" i="3"/>
  <c r="AC451" i="3"/>
  <c r="AE451" i="3"/>
  <c r="AF451" i="3"/>
  <c r="AH451" i="3"/>
  <c r="AI451" i="3"/>
  <c r="AK451" i="3"/>
  <c r="AL451" i="3"/>
  <c r="AN451" i="3"/>
  <c r="AO451" i="3"/>
  <c r="AQ451" i="3"/>
  <c r="AR451" i="3"/>
  <c r="Y452" i="3"/>
  <c r="Z452" i="3"/>
  <c r="AB452" i="3"/>
  <c r="AC452" i="3"/>
  <c r="AE452" i="3"/>
  <c r="AF452" i="3"/>
  <c r="AH452" i="3"/>
  <c r="AI452" i="3"/>
  <c r="AK452" i="3"/>
  <c r="AL452" i="3"/>
  <c r="AN452" i="3"/>
  <c r="AO452" i="3"/>
  <c r="AQ452" i="3"/>
  <c r="AR452" i="3"/>
  <c r="Y453" i="3"/>
  <c r="Z453" i="3"/>
  <c r="AB453" i="3"/>
  <c r="AC453" i="3"/>
  <c r="AE453" i="3"/>
  <c r="AF453" i="3"/>
  <c r="AH453" i="3"/>
  <c r="AI453" i="3"/>
  <c r="AK453" i="3"/>
  <c r="AL453" i="3"/>
  <c r="AN453" i="3"/>
  <c r="AO453" i="3"/>
  <c r="AQ453" i="3"/>
  <c r="AR453" i="3"/>
  <c r="Y454" i="3"/>
  <c r="Z454" i="3"/>
  <c r="AB454" i="3"/>
  <c r="AC454" i="3"/>
  <c r="AE454" i="3"/>
  <c r="AF454" i="3"/>
  <c r="AH454" i="3"/>
  <c r="AI454" i="3"/>
  <c r="AK454" i="3"/>
  <c r="AL454" i="3"/>
  <c r="AN454" i="3"/>
  <c r="AO454" i="3"/>
  <c r="AQ454" i="3"/>
  <c r="AR454" i="3"/>
  <c r="Y455" i="3"/>
  <c r="Z455" i="3"/>
  <c r="AB455" i="3"/>
  <c r="AC455" i="3"/>
  <c r="AE455" i="3"/>
  <c r="AF455" i="3"/>
  <c r="AH455" i="3"/>
  <c r="AI455" i="3"/>
  <c r="AK455" i="3"/>
  <c r="AL455" i="3"/>
  <c r="AN455" i="3"/>
  <c r="AO455" i="3"/>
  <c r="AQ455" i="3"/>
  <c r="AR455" i="3"/>
  <c r="Y456" i="3"/>
  <c r="Z456" i="3"/>
  <c r="AB456" i="3"/>
  <c r="AC456" i="3"/>
  <c r="AE456" i="3"/>
  <c r="AF456" i="3"/>
  <c r="AH456" i="3"/>
  <c r="AI456" i="3"/>
  <c r="AK456" i="3"/>
  <c r="AL456" i="3"/>
  <c r="AN456" i="3"/>
  <c r="AO456" i="3"/>
  <c r="AQ456" i="3"/>
  <c r="AR456" i="3"/>
  <c r="Y457" i="3"/>
  <c r="Z457" i="3"/>
  <c r="AB457" i="3"/>
  <c r="AC457" i="3"/>
  <c r="AE457" i="3"/>
  <c r="AF457" i="3"/>
  <c r="AH457" i="3"/>
  <c r="AI457" i="3"/>
  <c r="AK457" i="3"/>
  <c r="AL457" i="3"/>
  <c r="AN457" i="3"/>
  <c r="AO457" i="3"/>
  <c r="AQ457" i="3"/>
  <c r="AR457" i="3"/>
  <c r="Y458" i="3"/>
  <c r="Z458" i="3"/>
  <c r="AB458" i="3"/>
  <c r="AC458" i="3"/>
  <c r="AE458" i="3"/>
  <c r="AF458" i="3"/>
  <c r="AH458" i="3"/>
  <c r="AI458" i="3"/>
  <c r="AK458" i="3"/>
  <c r="AL458" i="3"/>
  <c r="AN458" i="3"/>
  <c r="AO458" i="3"/>
  <c r="AQ458" i="3"/>
  <c r="AR458" i="3"/>
  <c r="Y459" i="3"/>
  <c r="Z459" i="3"/>
  <c r="AB459" i="3"/>
  <c r="AC459" i="3"/>
  <c r="AE459" i="3"/>
  <c r="AF459" i="3"/>
  <c r="AH459" i="3"/>
  <c r="AI459" i="3"/>
  <c r="AK459" i="3"/>
  <c r="AL459" i="3"/>
  <c r="AN459" i="3"/>
  <c r="AO459" i="3"/>
  <c r="AQ459" i="3"/>
  <c r="AR459" i="3"/>
  <c r="Y460" i="3"/>
  <c r="Z460" i="3"/>
  <c r="AB460" i="3"/>
  <c r="AC460" i="3"/>
  <c r="AE460" i="3"/>
  <c r="AF460" i="3"/>
  <c r="AH460" i="3"/>
  <c r="AI460" i="3"/>
  <c r="AK460" i="3"/>
  <c r="AL460" i="3"/>
  <c r="AN460" i="3"/>
  <c r="AO460" i="3"/>
  <c r="AQ460" i="3"/>
  <c r="AR460" i="3"/>
  <c r="Y461" i="3"/>
  <c r="Z461" i="3"/>
  <c r="AB461" i="3"/>
  <c r="AC461" i="3"/>
  <c r="AE461" i="3"/>
  <c r="AF461" i="3"/>
  <c r="AH461" i="3"/>
  <c r="AI461" i="3"/>
  <c r="AK461" i="3"/>
  <c r="AL461" i="3"/>
  <c r="AN461" i="3"/>
  <c r="AO461" i="3"/>
  <c r="AQ461" i="3"/>
  <c r="AR461" i="3"/>
  <c r="Y462" i="3"/>
  <c r="Z462" i="3"/>
  <c r="AB462" i="3"/>
  <c r="AC462" i="3"/>
  <c r="AE462" i="3"/>
  <c r="AF462" i="3"/>
  <c r="AH462" i="3"/>
  <c r="AI462" i="3"/>
  <c r="AK462" i="3"/>
  <c r="AL462" i="3"/>
  <c r="AN462" i="3"/>
  <c r="AO462" i="3"/>
  <c r="AQ462" i="3"/>
  <c r="AR462" i="3"/>
  <c r="Y463" i="3"/>
  <c r="Z463" i="3"/>
  <c r="AB463" i="3"/>
  <c r="AC463" i="3"/>
  <c r="AE463" i="3"/>
  <c r="AF463" i="3"/>
  <c r="AH463" i="3"/>
  <c r="AI463" i="3"/>
  <c r="AK463" i="3"/>
  <c r="AL463" i="3"/>
  <c r="AN463" i="3"/>
  <c r="AO463" i="3"/>
  <c r="AQ463" i="3"/>
  <c r="AR463" i="3"/>
  <c r="Y464" i="3"/>
  <c r="Z464" i="3"/>
  <c r="AB464" i="3"/>
  <c r="AC464" i="3"/>
  <c r="AE464" i="3"/>
  <c r="AF464" i="3"/>
  <c r="AH464" i="3"/>
  <c r="AI464" i="3"/>
  <c r="AK464" i="3"/>
  <c r="AL464" i="3"/>
  <c r="AN464" i="3"/>
  <c r="AO464" i="3"/>
  <c r="AQ464" i="3"/>
  <c r="AR464" i="3"/>
  <c r="Y465" i="3"/>
  <c r="Z465" i="3"/>
  <c r="AB465" i="3"/>
  <c r="AC465" i="3"/>
  <c r="AE465" i="3"/>
  <c r="AF465" i="3"/>
  <c r="AH465" i="3"/>
  <c r="AI465" i="3"/>
  <c r="AK465" i="3"/>
  <c r="AL465" i="3"/>
  <c r="AN465" i="3"/>
  <c r="AO465" i="3"/>
  <c r="AQ465" i="3"/>
  <c r="AR465" i="3"/>
  <c r="Y466" i="3"/>
  <c r="Z466" i="3"/>
  <c r="AB466" i="3"/>
  <c r="AC466" i="3"/>
  <c r="AE466" i="3"/>
  <c r="AF466" i="3"/>
  <c r="AH466" i="3"/>
  <c r="AI466" i="3"/>
  <c r="AK466" i="3"/>
  <c r="AL466" i="3"/>
  <c r="AN466" i="3"/>
  <c r="AO466" i="3"/>
  <c r="AQ466" i="3"/>
  <c r="AR466" i="3"/>
  <c r="Y467" i="3"/>
  <c r="Z467" i="3"/>
  <c r="AB467" i="3"/>
  <c r="AC467" i="3"/>
  <c r="AE467" i="3"/>
  <c r="AF467" i="3"/>
  <c r="AH467" i="3"/>
  <c r="AI467" i="3"/>
  <c r="AK467" i="3"/>
  <c r="AL467" i="3"/>
  <c r="AN467" i="3"/>
  <c r="AO467" i="3"/>
  <c r="AQ467" i="3"/>
  <c r="AR467" i="3"/>
  <c r="Y468" i="3"/>
  <c r="Z468" i="3"/>
  <c r="AB468" i="3"/>
  <c r="AC468" i="3"/>
  <c r="AE468" i="3"/>
  <c r="AF468" i="3"/>
  <c r="AH468" i="3"/>
  <c r="AI468" i="3"/>
  <c r="AK468" i="3"/>
  <c r="AL468" i="3"/>
  <c r="AN468" i="3"/>
  <c r="AO468" i="3"/>
  <c r="AQ468" i="3"/>
  <c r="AR468" i="3"/>
  <c r="Y469" i="3"/>
  <c r="Z469" i="3"/>
  <c r="AB469" i="3"/>
  <c r="AC469" i="3"/>
  <c r="AE469" i="3"/>
  <c r="AF469" i="3"/>
  <c r="AH469" i="3"/>
  <c r="AI469" i="3"/>
  <c r="AK469" i="3"/>
  <c r="AL469" i="3"/>
  <c r="AN469" i="3"/>
  <c r="AO469" i="3"/>
  <c r="AQ469" i="3"/>
  <c r="AR469" i="3"/>
  <c r="Y470" i="3"/>
  <c r="Z470" i="3"/>
  <c r="AB470" i="3"/>
  <c r="AC470" i="3"/>
  <c r="AE470" i="3"/>
  <c r="AF470" i="3"/>
  <c r="AH470" i="3"/>
  <c r="AI470" i="3"/>
  <c r="AK470" i="3"/>
  <c r="AL470" i="3"/>
  <c r="AN470" i="3"/>
  <c r="AO470" i="3"/>
  <c r="AQ470" i="3"/>
  <c r="AR470" i="3"/>
  <c r="Y471" i="3"/>
  <c r="Z471" i="3"/>
  <c r="AB471" i="3"/>
  <c r="AC471" i="3"/>
  <c r="AE471" i="3"/>
  <c r="AF471" i="3"/>
  <c r="AH471" i="3"/>
  <c r="AI471" i="3"/>
  <c r="AK471" i="3"/>
  <c r="AL471" i="3"/>
  <c r="AN471" i="3"/>
  <c r="AO471" i="3"/>
  <c r="AQ471" i="3"/>
  <c r="AR471" i="3"/>
  <c r="Y472" i="3"/>
  <c r="Z472" i="3"/>
  <c r="AB472" i="3"/>
  <c r="AC472" i="3"/>
  <c r="AE472" i="3"/>
  <c r="AF472" i="3"/>
  <c r="AH472" i="3"/>
  <c r="AI472" i="3"/>
  <c r="AK472" i="3"/>
  <c r="AL472" i="3"/>
  <c r="AN472" i="3"/>
  <c r="AO472" i="3"/>
  <c r="AQ472" i="3"/>
  <c r="AR472" i="3"/>
  <c r="Y473" i="3"/>
  <c r="Z473" i="3"/>
  <c r="AB473" i="3"/>
  <c r="AC473" i="3"/>
  <c r="AE473" i="3"/>
  <c r="AF473" i="3"/>
  <c r="AH473" i="3"/>
  <c r="AI473" i="3"/>
  <c r="AK473" i="3"/>
  <c r="AL473" i="3"/>
  <c r="AN473" i="3"/>
  <c r="AO473" i="3"/>
  <c r="AQ473" i="3"/>
  <c r="AR473" i="3"/>
  <c r="Y474" i="3"/>
  <c r="Z474" i="3"/>
  <c r="AB474" i="3"/>
  <c r="AC474" i="3"/>
  <c r="AE474" i="3"/>
  <c r="AF474" i="3"/>
  <c r="AH474" i="3"/>
  <c r="AI474" i="3"/>
  <c r="AK474" i="3"/>
  <c r="AL474" i="3"/>
  <c r="AN474" i="3"/>
  <c r="AO474" i="3"/>
  <c r="AQ474" i="3"/>
  <c r="AR474" i="3"/>
  <c r="Y475" i="3"/>
  <c r="Z475" i="3"/>
  <c r="AB475" i="3"/>
  <c r="AC475" i="3"/>
  <c r="AE475" i="3"/>
  <c r="AF475" i="3"/>
  <c r="AH475" i="3"/>
  <c r="AI475" i="3"/>
  <c r="AK475" i="3"/>
  <c r="AL475" i="3"/>
  <c r="AN475" i="3"/>
  <c r="AO475" i="3"/>
  <c r="AQ475" i="3"/>
  <c r="AR475" i="3"/>
  <c r="Y476" i="3"/>
  <c r="Z476" i="3"/>
  <c r="AB476" i="3"/>
  <c r="AC476" i="3"/>
  <c r="AE476" i="3"/>
  <c r="AF476" i="3"/>
  <c r="AH476" i="3"/>
  <c r="AI476" i="3"/>
  <c r="AK476" i="3"/>
  <c r="AL476" i="3"/>
  <c r="AN476" i="3"/>
  <c r="AO476" i="3"/>
  <c r="AQ476" i="3"/>
  <c r="AR476" i="3"/>
  <c r="Y477" i="3"/>
  <c r="Z477" i="3"/>
  <c r="AB477" i="3"/>
  <c r="AC477" i="3"/>
  <c r="AE477" i="3"/>
  <c r="AF477" i="3"/>
  <c r="AH477" i="3"/>
  <c r="AI477" i="3"/>
  <c r="AK477" i="3"/>
  <c r="AL477" i="3"/>
  <c r="AN477" i="3"/>
  <c r="AO477" i="3"/>
  <c r="AQ477" i="3"/>
  <c r="AR477" i="3"/>
  <c r="Y478" i="3"/>
  <c r="Z478" i="3"/>
  <c r="AB478" i="3"/>
  <c r="AC478" i="3"/>
  <c r="AE478" i="3"/>
  <c r="AF478" i="3"/>
  <c r="AH478" i="3"/>
  <c r="AI478" i="3"/>
  <c r="AK478" i="3"/>
  <c r="AL478" i="3"/>
  <c r="AN478" i="3"/>
  <c r="AO478" i="3"/>
  <c r="AQ478" i="3"/>
  <c r="AR478" i="3"/>
  <c r="Y479" i="3"/>
  <c r="Z479" i="3"/>
  <c r="AB479" i="3"/>
  <c r="AC479" i="3"/>
  <c r="AE479" i="3"/>
  <c r="AF479" i="3"/>
  <c r="AH479" i="3"/>
  <c r="AI479" i="3"/>
  <c r="AK479" i="3"/>
  <c r="AL479" i="3"/>
  <c r="AN479" i="3"/>
  <c r="AO479" i="3"/>
  <c r="AQ479" i="3"/>
  <c r="AR479" i="3"/>
  <c r="Y480" i="3"/>
  <c r="Z480" i="3"/>
  <c r="AB480" i="3"/>
  <c r="AC480" i="3"/>
  <c r="AE480" i="3"/>
  <c r="AF480" i="3"/>
  <c r="AH480" i="3"/>
  <c r="AI480" i="3"/>
  <c r="AK480" i="3"/>
  <c r="AL480" i="3"/>
  <c r="AN480" i="3"/>
  <c r="AO480" i="3"/>
  <c r="AQ480" i="3"/>
  <c r="AR480" i="3"/>
  <c r="Y481" i="3"/>
  <c r="Z481" i="3"/>
  <c r="AB481" i="3"/>
  <c r="AC481" i="3"/>
  <c r="AE481" i="3"/>
  <c r="AF481" i="3"/>
  <c r="AH481" i="3"/>
  <c r="AI481" i="3"/>
  <c r="AK481" i="3"/>
  <c r="AL481" i="3"/>
  <c r="AN481" i="3"/>
  <c r="AO481" i="3"/>
  <c r="AQ481" i="3"/>
  <c r="AR481" i="3"/>
  <c r="Y482" i="3"/>
  <c r="Z482" i="3"/>
  <c r="AB482" i="3"/>
  <c r="AC482" i="3"/>
  <c r="AE482" i="3"/>
  <c r="AF482" i="3"/>
  <c r="AH482" i="3"/>
  <c r="AI482" i="3"/>
  <c r="AK482" i="3"/>
  <c r="AL482" i="3"/>
  <c r="AN482" i="3"/>
  <c r="AO482" i="3"/>
  <c r="AQ482" i="3"/>
  <c r="AR482" i="3"/>
  <c r="Y483" i="3"/>
  <c r="Z483" i="3"/>
  <c r="AB483" i="3"/>
  <c r="AC483" i="3"/>
  <c r="AE483" i="3"/>
  <c r="AF483" i="3"/>
  <c r="AH483" i="3"/>
  <c r="AI483" i="3"/>
  <c r="AK483" i="3"/>
  <c r="AL483" i="3"/>
  <c r="AN483" i="3"/>
  <c r="AO483" i="3"/>
  <c r="AQ483" i="3"/>
  <c r="AR483" i="3"/>
  <c r="Y484" i="3"/>
  <c r="Z484" i="3"/>
  <c r="AB484" i="3"/>
  <c r="AC484" i="3"/>
  <c r="AE484" i="3"/>
  <c r="AF484" i="3"/>
  <c r="AH484" i="3"/>
  <c r="AI484" i="3"/>
  <c r="AK484" i="3"/>
  <c r="AL484" i="3"/>
  <c r="AN484" i="3"/>
  <c r="AO484" i="3"/>
  <c r="AQ484" i="3"/>
  <c r="AR484" i="3"/>
  <c r="Y485" i="3"/>
  <c r="Z485" i="3"/>
  <c r="AB485" i="3"/>
  <c r="AC485" i="3"/>
  <c r="AE485" i="3"/>
  <c r="AF485" i="3"/>
  <c r="AH485" i="3"/>
  <c r="AI485" i="3"/>
  <c r="AK485" i="3"/>
  <c r="AL485" i="3"/>
  <c r="AN485" i="3"/>
  <c r="AO485" i="3"/>
  <c r="AQ485" i="3"/>
  <c r="AR485" i="3"/>
  <c r="Y486" i="3"/>
  <c r="Z486" i="3"/>
  <c r="AB486" i="3"/>
  <c r="AC486" i="3"/>
  <c r="AE486" i="3"/>
  <c r="AF486" i="3"/>
  <c r="AH486" i="3"/>
  <c r="AI486" i="3"/>
  <c r="AK486" i="3"/>
  <c r="AL486" i="3"/>
  <c r="AN486" i="3"/>
  <c r="AO486" i="3"/>
  <c r="AQ486" i="3"/>
  <c r="AR486" i="3"/>
  <c r="Y487" i="3"/>
  <c r="Z487" i="3"/>
  <c r="AB487" i="3"/>
  <c r="AC487" i="3"/>
  <c r="AE487" i="3"/>
  <c r="AF487" i="3"/>
  <c r="AH487" i="3"/>
  <c r="AI487" i="3"/>
  <c r="AK487" i="3"/>
  <c r="AL487" i="3"/>
  <c r="AN487" i="3"/>
  <c r="AO487" i="3"/>
  <c r="AQ487" i="3"/>
  <c r="AR487" i="3"/>
  <c r="Y488" i="3"/>
  <c r="Z488" i="3"/>
  <c r="AB488" i="3"/>
  <c r="AC488" i="3"/>
  <c r="AE488" i="3"/>
  <c r="AF488" i="3"/>
  <c r="AH488" i="3"/>
  <c r="AI488" i="3"/>
  <c r="AK488" i="3"/>
  <c r="AL488" i="3"/>
  <c r="AN488" i="3"/>
  <c r="AO488" i="3"/>
  <c r="AQ488" i="3"/>
  <c r="AR488" i="3"/>
  <c r="Y489" i="3"/>
  <c r="Z489" i="3"/>
  <c r="AB489" i="3"/>
  <c r="AC489" i="3"/>
  <c r="AE489" i="3"/>
  <c r="AF489" i="3"/>
  <c r="AH489" i="3"/>
  <c r="AI489" i="3"/>
  <c r="AK489" i="3"/>
  <c r="AL489" i="3"/>
  <c r="AN489" i="3"/>
  <c r="AO489" i="3"/>
  <c r="AQ489" i="3"/>
  <c r="AR489" i="3"/>
  <c r="Y490" i="3"/>
  <c r="Z490" i="3"/>
  <c r="AB490" i="3"/>
  <c r="AC490" i="3"/>
  <c r="AE490" i="3"/>
  <c r="AF490" i="3"/>
  <c r="AH490" i="3"/>
  <c r="AI490" i="3"/>
  <c r="AK490" i="3"/>
  <c r="AL490" i="3"/>
  <c r="AN490" i="3"/>
  <c r="AO490" i="3"/>
  <c r="AQ490" i="3"/>
  <c r="AR490" i="3"/>
  <c r="Y491" i="3"/>
  <c r="Z491" i="3"/>
  <c r="AB491" i="3"/>
  <c r="AC491" i="3"/>
  <c r="AE491" i="3"/>
  <c r="AF491" i="3"/>
  <c r="AH491" i="3"/>
  <c r="AI491" i="3"/>
  <c r="AK491" i="3"/>
  <c r="AL491" i="3"/>
  <c r="AN491" i="3"/>
  <c r="AO491" i="3"/>
  <c r="AQ491" i="3"/>
  <c r="AR491" i="3"/>
  <c r="Y492" i="3"/>
  <c r="Z492" i="3"/>
  <c r="AB492" i="3"/>
  <c r="AC492" i="3"/>
  <c r="AE492" i="3"/>
  <c r="AF492" i="3"/>
  <c r="AH492" i="3"/>
  <c r="AI492" i="3"/>
  <c r="AK492" i="3"/>
  <c r="AL492" i="3"/>
  <c r="AN492" i="3"/>
  <c r="AO492" i="3"/>
  <c r="AQ492" i="3"/>
  <c r="AR492" i="3"/>
  <c r="Y493" i="3"/>
  <c r="Z493" i="3"/>
  <c r="AB493" i="3"/>
  <c r="AC493" i="3"/>
  <c r="AE493" i="3"/>
  <c r="AF493" i="3"/>
  <c r="AH493" i="3"/>
  <c r="AI493" i="3"/>
  <c r="AK493" i="3"/>
  <c r="AL493" i="3"/>
  <c r="AN493" i="3"/>
  <c r="AO493" i="3"/>
  <c r="AQ493" i="3"/>
  <c r="AR493" i="3"/>
  <c r="Y494" i="3"/>
  <c r="Z494" i="3"/>
  <c r="AB494" i="3"/>
  <c r="AC494" i="3"/>
  <c r="AE494" i="3"/>
  <c r="AF494" i="3"/>
  <c r="AH494" i="3"/>
  <c r="AI494" i="3"/>
  <c r="AK494" i="3"/>
  <c r="AL494" i="3"/>
  <c r="AN494" i="3"/>
  <c r="AO494" i="3"/>
  <c r="AQ494" i="3"/>
  <c r="AR494" i="3"/>
  <c r="Y495" i="3"/>
  <c r="Z495" i="3"/>
  <c r="AB495" i="3"/>
  <c r="AC495" i="3"/>
  <c r="AE495" i="3"/>
  <c r="AF495" i="3"/>
  <c r="AH495" i="3"/>
  <c r="AI495" i="3"/>
  <c r="AK495" i="3"/>
  <c r="AL495" i="3"/>
  <c r="AN495" i="3"/>
  <c r="AO495" i="3"/>
  <c r="AQ495" i="3"/>
  <c r="AR495" i="3"/>
  <c r="Y496" i="3"/>
  <c r="Z496" i="3"/>
  <c r="AB496" i="3"/>
  <c r="AC496" i="3"/>
  <c r="AE496" i="3"/>
  <c r="AF496" i="3"/>
  <c r="AH496" i="3"/>
  <c r="AI496" i="3"/>
  <c r="AK496" i="3"/>
  <c r="AL496" i="3"/>
  <c r="AN496" i="3"/>
  <c r="AO496" i="3"/>
  <c r="AQ496" i="3"/>
  <c r="AR496" i="3"/>
  <c r="Y497" i="3"/>
  <c r="Z497" i="3"/>
  <c r="AB497" i="3"/>
  <c r="AC497" i="3"/>
  <c r="AE497" i="3"/>
  <c r="AF497" i="3"/>
  <c r="AH497" i="3"/>
  <c r="AI497" i="3"/>
  <c r="AK497" i="3"/>
  <c r="AL497" i="3"/>
  <c r="AN497" i="3"/>
  <c r="AO497" i="3"/>
  <c r="AQ497" i="3"/>
  <c r="AR497" i="3"/>
  <c r="Y498" i="3"/>
  <c r="Z498" i="3"/>
  <c r="AB498" i="3"/>
  <c r="AC498" i="3"/>
  <c r="AE498" i="3"/>
  <c r="AF498" i="3"/>
  <c r="AH498" i="3"/>
  <c r="AI498" i="3"/>
  <c r="AK498" i="3"/>
  <c r="AL498" i="3"/>
  <c r="AN498" i="3"/>
  <c r="AO498" i="3"/>
  <c r="AQ498" i="3"/>
  <c r="AR498" i="3"/>
  <c r="Y499" i="3"/>
  <c r="Z499" i="3"/>
  <c r="AB499" i="3"/>
  <c r="AC499" i="3"/>
  <c r="AE499" i="3"/>
  <c r="AF499" i="3"/>
  <c r="AH499" i="3"/>
  <c r="AI499" i="3"/>
  <c r="AK499" i="3"/>
  <c r="AL499" i="3"/>
  <c r="AN499" i="3"/>
  <c r="AO499" i="3"/>
  <c r="AQ499" i="3"/>
  <c r="AR499" i="3"/>
  <c r="Y500" i="3"/>
  <c r="Z500" i="3"/>
  <c r="AB500" i="3"/>
  <c r="AC500" i="3"/>
  <c r="AE500" i="3"/>
  <c r="AF500" i="3"/>
  <c r="AH500" i="3"/>
  <c r="AI500" i="3"/>
  <c r="AK500" i="3"/>
  <c r="AL500" i="3"/>
  <c r="AN500" i="3"/>
  <c r="AO500" i="3"/>
  <c r="AQ500" i="3"/>
  <c r="AR500" i="3"/>
  <c r="Y501" i="3"/>
  <c r="Z501" i="3"/>
  <c r="AB501" i="3"/>
  <c r="AC501" i="3"/>
  <c r="AE501" i="3"/>
  <c r="AF501" i="3"/>
  <c r="AH501" i="3"/>
  <c r="AI501" i="3"/>
  <c r="AK501" i="3"/>
  <c r="AL501" i="3"/>
  <c r="AN501" i="3"/>
  <c r="AO501" i="3"/>
  <c r="AQ501" i="3"/>
  <c r="AR501" i="3"/>
  <c r="Y502" i="3"/>
  <c r="Z502" i="3"/>
  <c r="AB502" i="3"/>
  <c r="AC502" i="3"/>
  <c r="AE502" i="3"/>
  <c r="AF502" i="3"/>
  <c r="AH502" i="3"/>
  <c r="AI502" i="3"/>
  <c r="AK502" i="3"/>
  <c r="AL502" i="3"/>
  <c r="AN502" i="3"/>
  <c r="AO502" i="3"/>
  <c r="AQ502" i="3"/>
  <c r="AR502" i="3"/>
  <c r="Y503" i="3"/>
  <c r="Z503" i="3"/>
  <c r="AB503" i="3"/>
  <c r="AC503" i="3"/>
  <c r="AE503" i="3"/>
  <c r="AF503" i="3"/>
  <c r="AH503" i="3"/>
  <c r="AI503" i="3"/>
  <c r="AK503" i="3"/>
  <c r="AL503" i="3"/>
  <c r="AN503" i="3"/>
  <c r="AO503" i="3"/>
  <c r="AQ503" i="3"/>
  <c r="AR503" i="3"/>
  <c r="Y504" i="3"/>
  <c r="Z504" i="3"/>
  <c r="AB504" i="3"/>
  <c r="AC504" i="3"/>
  <c r="AE504" i="3"/>
  <c r="AF504" i="3"/>
  <c r="AH504" i="3"/>
  <c r="AI504" i="3"/>
  <c r="AK504" i="3"/>
  <c r="AL504" i="3"/>
  <c r="AN504" i="3"/>
  <c r="AO504" i="3"/>
  <c r="AQ504" i="3"/>
  <c r="AR504" i="3"/>
  <c r="Y505" i="3"/>
  <c r="Z505" i="3"/>
  <c r="AB505" i="3"/>
  <c r="AC505" i="3"/>
  <c r="AE505" i="3"/>
  <c r="AF505" i="3"/>
  <c r="AH505" i="3"/>
  <c r="AI505" i="3"/>
  <c r="AK505" i="3"/>
  <c r="AL505" i="3"/>
  <c r="AN505" i="3"/>
  <c r="AO505" i="3"/>
  <c r="AQ505" i="3"/>
  <c r="AR505" i="3"/>
  <c r="Y506" i="3"/>
  <c r="Z506" i="3"/>
  <c r="AB506" i="3"/>
  <c r="AC506" i="3"/>
  <c r="AE506" i="3"/>
  <c r="AF506" i="3"/>
  <c r="AH506" i="3"/>
  <c r="AI506" i="3"/>
  <c r="AK506" i="3"/>
  <c r="AL506" i="3"/>
  <c r="AN506" i="3"/>
  <c r="AO506" i="3"/>
  <c r="AQ506" i="3"/>
  <c r="AR506" i="3"/>
  <c r="Y507" i="3"/>
  <c r="Z507" i="3"/>
  <c r="AB507" i="3"/>
  <c r="AC507" i="3"/>
  <c r="AE507" i="3"/>
  <c r="AF507" i="3"/>
  <c r="AH507" i="3"/>
  <c r="AI507" i="3"/>
  <c r="AK507" i="3"/>
  <c r="AL507" i="3"/>
  <c r="AN507" i="3"/>
  <c r="AO507" i="3"/>
  <c r="AQ507" i="3"/>
  <c r="AR507" i="3"/>
  <c r="Y508" i="3"/>
  <c r="Z508" i="3"/>
  <c r="AB508" i="3"/>
  <c r="AC508" i="3"/>
  <c r="AE508" i="3"/>
  <c r="AF508" i="3"/>
  <c r="AH508" i="3"/>
  <c r="AI508" i="3"/>
  <c r="AK508" i="3"/>
  <c r="AL508" i="3"/>
  <c r="AN508" i="3"/>
  <c r="AO508" i="3"/>
  <c r="AQ508" i="3"/>
  <c r="AR508" i="3"/>
  <c r="Y509" i="3"/>
  <c r="Z509" i="3"/>
  <c r="AB509" i="3"/>
  <c r="AC509" i="3"/>
  <c r="AE509" i="3"/>
  <c r="AF509" i="3"/>
  <c r="AH509" i="3"/>
  <c r="AI509" i="3"/>
  <c r="AK509" i="3"/>
  <c r="AL509" i="3"/>
  <c r="AN509" i="3"/>
  <c r="AO509" i="3"/>
  <c r="AQ509" i="3"/>
  <c r="AR509" i="3"/>
  <c r="Y510" i="3"/>
  <c r="Z510" i="3"/>
  <c r="AB510" i="3"/>
  <c r="AC510" i="3"/>
  <c r="AE510" i="3"/>
  <c r="AF510" i="3"/>
  <c r="AH510" i="3"/>
  <c r="AI510" i="3"/>
  <c r="AK510" i="3"/>
  <c r="AL510" i="3"/>
  <c r="AN510" i="3"/>
  <c r="AO510" i="3"/>
  <c r="AQ510" i="3"/>
  <c r="AR510" i="3"/>
  <c r="Y511" i="3"/>
  <c r="Z511" i="3"/>
  <c r="AB511" i="3"/>
  <c r="AC511" i="3"/>
  <c r="AE511" i="3"/>
  <c r="AF511" i="3"/>
  <c r="AH511" i="3"/>
  <c r="AI511" i="3"/>
  <c r="AK511" i="3"/>
  <c r="AL511" i="3"/>
  <c r="AN511" i="3"/>
  <c r="AO511" i="3"/>
  <c r="AQ511" i="3"/>
  <c r="AR511" i="3"/>
  <c r="Y512" i="3"/>
  <c r="Z512" i="3"/>
  <c r="AB512" i="3"/>
  <c r="AC512" i="3"/>
  <c r="AE512" i="3"/>
  <c r="AF512" i="3"/>
  <c r="AH512" i="3"/>
  <c r="AI512" i="3"/>
  <c r="AK512" i="3"/>
  <c r="AL512" i="3"/>
  <c r="AN512" i="3"/>
  <c r="AO512" i="3"/>
  <c r="AQ512" i="3"/>
  <c r="AR512" i="3"/>
  <c r="Y513" i="3"/>
  <c r="Z513" i="3"/>
  <c r="AB513" i="3"/>
  <c r="AC513" i="3"/>
  <c r="AE513" i="3"/>
  <c r="AF513" i="3"/>
  <c r="AH513" i="3"/>
  <c r="AI513" i="3"/>
  <c r="AK513" i="3"/>
  <c r="AL513" i="3"/>
  <c r="AN513" i="3"/>
  <c r="AO513" i="3"/>
  <c r="AQ513" i="3"/>
  <c r="AR513" i="3"/>
  <c r="Y514" i="3"/>
  <c r="Z514" i="3"/>
  <c r="AB514" i="3"/>
  <c r="AC514" i="3"/>
  <c r="AE514" i="3"/>
  <c r="AF514" i="3"/>
  <c r="AH514" i="3"/>
  <c r="AI514" i="3"/>
  <c r="AK514" i="3"/>
  <c r="AL514" i="3"/>
  <c r="AN514" i="3"/>
  <c r="AO514" i="3"/>
  <c r="AQ514" i="3"/>
  <c r="AR514" i="3"/>
  <c r="Y515" i="3"/>
  <c r="Z515" i="3"/>
  <c r="AB515" i="3"/>
  <c r="AC515" i="3"/>
  <c r="AE515" i="3"/>
  <c r="AF515" i="3"/>
  <c r="AH515" i="3"/>
  <c r="AI515" i="3"/>
  <c r="AK515" i="3"/>
  <c r="AL515" i="3"/>
  <c r="AN515" i="3"/>
  <c r="AO515" i="3"/>
  <c r="AQ515" i="3"/>
  <c r="AR515" i="3"/>
  <c r="Y516" i="3"/>
  <c r="Z516" i="3"/>
  <c r="AB516" i="3"/>
  <c r="AC516" i="3"/>
  <c r="AE516" i="3"/>
  <c r="AF516" i="3"/>
  <c r="AH516" i="3"/>
  <c r="AI516" i="3"/>
  <c r="AK516" i="3"/>
  <c r="AL516" i="3"/>
  <c r="AN516" i="3"/>
  <c r="AO516" i="3"/>
  <c r="AQ516" i="3"/>
  <c r="AR516" i="3"/>
  <c r="Y517" i="3"/>
  <c r="Z517" i="3"/>
  <c r="AB517" i="3"/>
  <c r="AC517" i="3"/>
  <c r="AE517" i="3"/>
  <c r="AF517" i="3"/>
  <c r="AH517" i="3"/>
  <c r="AI517" i="3"/>
  <c r="AK517" i="3"/>
  <c r="AL517" i="3"/>
  <c r="AN517" i="3"/>
  <c r="AO517" i="3"/>
  <c r="AQ517" i="3"/>
  <c r="AR517" i="3"/>
  <c r="Y518" i="3"/>
  <c r="Z518" i="3"/>
  <c r="AB518" i="3"/>
  <c r="AC518" i="3"/>
  <c r="AE518" i="3"/>
  <c r="AF518" i="3"/>
  <c r="AH518" i="3"/>
  <c r="AI518" i="3"/>
  <c r="AK518" i="3"/>
  <c r="AL518" i="3"/>
  <c r="AN518" i="3"/>
  <c r="AO518" i="3"/>
  <c r="AQ518" i="3"/>
  <c r="AR518" i="3"/>
  <c r="Y519" i="3"/>
  <c r="Z519" i="3"/>
  <c r="AB519" i="3"/>
  <c r="AC519" i="3"/>
  <c r="AE519" i="3"/>
  <c r="AF519" i="3"/>
  <c r="AH519" i="3"/>
  <c r="AI519" i="3"/>
  <c r="AK519" i="3"/>
  <c r="AL519" i="3"/>
  <c r="AN519" i="3"/>
  <c r="AO519" i="3"/>
  <c r="AQ519" i="3"/>
  <c r="AR519" i="3"/>
  <c r="Y520" i="3"/>
  <c r="Z520" i="3"/>
  <c r="AB520" i="3"/>
  <c r="AC520" i="3"/>
  <c r="AE520" i="3"/>
  <c r="AF520" i="3"/>
  <c r="AH520" i="3"/>
  <c r="AI520" i="3"/>
  <c r="AK520" i="3"/>
  <c r="AL520" i="3"/>
  <c r="AN520" i="3"/>
  <c r="AO520" i="3"/>
  <c r="AQ520" i="3"/>
  <c r="AR520" i="3"/>
  <c r="Y521" i="3"/>
  <c r="Z521" i="3"/>
  <c r="AB521" i="3"/>
  <c r="AC521" i="3"/>
  <c r="AE521" i="3"/>
  <c r="AF521" i="3"/>
  <c r="AH521" i="3"/>
  <c r="AI521" i="3"/>
  <c r="AK521" i="3"/>
  <c r="AL521" i="3"/>
  <c r="AN521" i="3"/>
  <c r="AO521" i="3"/>
  <c r="AQ521" i="3"/>
  <c r="AR521" i="3"/>
  <c r="Y522" i="3"/>
  <c r="Z522" i="3"/>
  <c r="AB522" i="3"/>
  <c r="AC522" i="3"/>
  <c r="AE522" i="3"/>
  <c r="AF522" i="3"/>
  <c r="AH522" i="3"/>
  <c r="AI522" i="3"/>
  <c r="AK522" i="3"/>
  <c r="AL522" i="3"/>
  <c r="AN522" i="3"/>
  <c r="AO522" i="3"/>
  <c r="AQ522" i="3"/>
  <c r="AR522" i="3"/>
  <c r="Y523" i="3"/>
  <c r="Z523" i="3"/>
  <c r="AB523" i="3"/>
  <c r="AC523" i="3"/>
  <c r="AE523" i="3"/>
  <c r="AF523" i="3"/>
  <c r="AH523" i="3"/>
  <c r="AI523" i="3"/>
  <c r="AK523" i="3"/>
  <c r="AL523" i="3"/>
  <c r="AN523" i="3"/>
  <c r="AO523" i="3"/>
  <c r="AQ523" i="3"/>
  <c r="AR523" i="3"/>
  <c r="Y524" i="3"/>
  <c r="Z524" i="3"/>
  <c r="AB524" i="3"/>
  <c r="AC524" i="3"/>
  <c r="AE524" i="3"/>
  <c r="AF524" i="3"/>
  <c r="AH524" i="3"/>
  <c r="AI524" i="3"/>
  <c r="AK524" i="3"/>
  <c r="AL524" i="3"/>
  <c r="AN524" i="3"/>
  <c r="AO524" i="3"/>
  <c r="AQ524" i="3"/>
  <c r="AR524" i="3"/>
  <c r="Y525" i="3"/>
  <c r="Z525" i="3"/>
  <c r="AB525" i="3"/>
  <c r="AC525" i="3"/>
  <c r="AE525" i="3"/>
  <c r="AF525" i="3"/>
  <c r="AH525" i="3"/>
  <c r="AI525" i="3"/>
  <c r="AK525" i="3"/>
  <c r="AL525" i="3"/>
  <c r="AN525" i="3"/>
  <c r="AO525" i="3"/>
  <c r="AQ525" i="3"/>
  <c r="AR525" i="3"/>
  <c r="Y526" i="3"/>
  <c r="Z526" i="3"/>
  <c r="AB526" i="3"/>
  <c r="AC526" i="3"/>
  <c r="AE526" i="3"/>
  <c r="AF526" i="3"/>
  <c r="AH526" i="3"/>
  <c r="AI526" i="3"/>
  <c r="AK526" i="3"/>
  <c r="AL526" i="3"/>
  <c r="AN526" i="3"/>
  <c r="AO526" i="3"/>
  <c r="AQ526" i="3"/>
  <c r="AR526" i="3"/>
  <c r="Y527" i="3"/>
  <c r="Z527" i="3"/>
  <c r="AB527" i="3"/>
  <c r="AC527" i="3"/>
  <c r="AE527" i="3"/>
  <c r="AF527" i="3"/>
  <c r="AH527" i="3"/>
  <c r="AI527" i="3"/>
  <c r="AK527" i="3"/>
  <c r="AL527" i="3"/>
  <c r="AN527" i="3"/>
  <c r="AO527" i="3"/>
  <c r="AQ527" i="3"/>
  <c r="AR527" i="3"/>
  <c r="Y528" i="3"/>
  <c r="Z528" i="3"/>
  <c r="AB528" i="3"/>
  <c r="AC528" i="3"/>
  <c r="AE528" i="3"/>
  <c r="AF528" i="3"/>
  <c r="AH528" i="3"/>
  <c r="AI528" i="3"/>
  <c r="AK528" i="3"/>
  <c r="AL528" i="3"/>
  <c r="AN528" i="3"/>
  <c r="AO528" i="3"/>
  <c r="AQ528" i="3"/>
  <c r="AR528" i="3"/>
  <c r="Y529" i="3"/>
  <c r="Z529" i="3"/>
  <c r="AB529" i="3"/>
  <c r="AC529" i="3"/>
  <c r="AE529" i="3"/>
  <c r="AF529" i="3"/>
  <c r="AH529" i="3"/>
  <c r="AI529" i="3"/>
  <c r="AK529" i="3"/>
  <c r="AL529" i="3"/>
  <c r="AN529" i="3"/>
  <c r="AO529" i="3"/>
  <c r="AQ529" i="3"/>
  <c r="AR529" i="3"/>
  <c r="Y530" i="3"/>
  <c r="Z530" i="3"/>
  <c r="AB530" i="3"/>
  <c r="AC530" i="3"/>
  <c r="AE530" i="3"/>
  <c r="AF530" i="3"/>
  <c r="AH530" i="3"/>
  <c r="AI530" i="3"/>
  <c r="AK530" i="3"/>
  <c r="AL530" i="3"/>
  <c r="AN530" i="3"/>
  <c r="AO530" i="3"/>
  <c r="AQ530" i="3"/>
  <c r="AR530" i="3"/>
  <c r="Y531" i="3"/>
  <c r="Z531" i="3"/>
  <c r="AB531" i="3"/>
  <c r="AC531" i="3"/>
  <c r="AE531" i="3"/>
  <c r="AF531" i="3"/>
  <c r="AH531" i="3"/>
  <c r="AI531" i="3"/>
  <c r="AK531" i="3"/>
  <c r="AL531" i="3"/>
  <c r="AN531" i="3"/>
  <c r="AO531" i="3"/>
  <c r="AQ531" i="3"/>
  <c r="AR531" i="3"/>
  <c r="Y532" i="3"/>
  <c r="Z532" i="3"/>
  <c r="AB532" i="3"/>
  <c r="AC532" i="3"/>
  <c r="AE532" i="3"/>
  <c r="AF532" i="3"/>
  <c r="AH532" i="3"/>
  <c r="AI532" i="3"/>
  <c r="AK532" i="3"/>
  <c r="AL532" i="3"/>
  <c r="AN532" i="3"/>
  <c r="AO532" i="3"/>
  <c r="AQ532" i="3"/>
  <c r="AR532" i="3"/>
  <c r="Y533" i="3"/>
  <c r="Z533" i="3"/>
  <c r="AB533" i="3"/>
  <c r="AC533" i="3"/>
  <c r="AE533" i="3"/>
  <c r="AF533" i="3"/>
  <c r="AH533" i="3"/>
  <c r="AI533" i="3"/>
  <c r="AK533" i="3"/>
  <c r="AL533" i="3"/>
  <c r="AN533" i="3"/>
  <c r="AO533" i="3"/>
  <c r="AQ533" i="3"/>
  <c r="AR533" i="3"/>
  <c r="Y534" i="3"/>
  <c r="Z534" i="3"/>
  <c r="AB534" i="3"/>
  <c r="AC534" i="3"/>
  <c r="AE534" i="3"/>
  <c r="AF534" i="3"/>
  <c r="AH534" i="3"/>
  <c r="AI534" i="3"/>
  <c r="AK534" i="3"/>
  <c r="AL534" i="3"/>
  <c r="AN534" i="3"/>
  <c r="AO534" i="3"/>
  <c r="AQ534" i="3"/>
  <c r="AR534" i="3"/>
  <c r="Y535" i="3"/>
  <c r="Z535" i="3"/>
  <c r="AB535" i="3"/>
  <c r="AC535" i="3"/>
  <c r="AE535" i="3"/>
  <c r="AF535" i="3"/>
  <c r="AH535" i="3"/>
  <c r="AI535" i="3"/>
  <c r="AK535" i="3"/>
  <c r="AL535" i="3"/>
  <c r="AN535" i="3"/>
  <c r="AO535" i="3"/>
  <c r="AQ535" i="3"/>
  <c r="AR535" i="3"/>
  <c r="Y536" i="3"/>
  <c r="Z536" i="3"/>
  <c r="AB536" i="3"/>
  <c r="AC536" i="3"/>
  <c r="AE536" i="3"/>
  <c r="AF536" i="3"/>
  <c r="AH536" i="3"/>
  <c r="AI536" i="3"/>
  <c r="AK536" i="3"/>
  <c r="AL536" i="3"/>
  <c r="AN536" i="3"/>
  <c r="AO536" i="3"/>
  <c r="AQ536" i="3"/>
  <c r="AR536" i="3"/>
  <c r="Y537" i="3"/>
  <c r="Z537" i="3"/>
  <c r="AB537" i="3"/>
  <c r="AC537" i="3"/>
  <c r="AE537" i="3"/>
  <c r="AF537" i="3"/>
  <c r="AH537" i="3"/>
  <c r="AI537" i="3"/>
  <c r="AK537" i="3"/>
  <c r="AL537" i="3"/>
  <c r="AN537" i="3"/>
  <c r="AO537" i="3"/>
  <c r="AQ537" i="3"/>
  <c r="AR537" i="3"/>
  <c r="Y538" i="3"/>
  <c r="Z538" i="3"/>
  <c r="AB538" i="3"/>
  <c r="AC538" i="3"/>
  <c r="AE538" i="3"/>
  <c r="AF538" i="3"/>
  <c r="AH538" i="3"/>
  <c r="AI538" i="3"/>
  <c r="AK538" i="3"/>
  <c r="AL538" i="3"/>
  <c r="AN538" i="3"/>
  <c r="AO538" i="3"/>
  <c r="AQ538" i="3"/>
  <c r="AR538" i="3"/>
  <c r="Y539" i="3"/>
  <c r="Z539" i="3"/>
  <c r="AB539" i="3"/>
  <c r="AC539" i="3"/>
  <c r="AE539" i="3"/>
  <c r="AF539" i="3"/>
  <c r="AH539" i="3"/>
  <c r="AI539" i="3"/>
  <c r="AK539" i="3"/>
  <c r="AL539" i="3"/>
  <c r="AN539" i="3"/>
  <c r="AO539" i="3"/>
  <c r="AQ539" i="3"/>
  <c r="AR539" i="3"/>
  <c r="Y540" i="3"/>
  <c r="Z540" i="3"/>
  <c r="AB540" i="3"/>
  <c r="AC540" i="3"/>
  <c r="AE540" i="3"/>
  <c r="AF540" i="3"/>
  <c r="AH540" i="3"/>
  <c r="AI540" i="3"/>
  <c r="AK540" i="3"/>
  <c r="AL540" i="3"/>
  <c r="AN540" i="3"/>
  <c r="AO540" i="3"/>
  <c r="AQ540" i="3"/>
  <c r="AR540" i="3"/>
  <c r="Y541" i="3"/>
  <c r="Z541" i="3"/>
  <c r="AB541" i="3"/>
  <c r="AC541" i="3"/>
  <c r="AE541" i="3"/>
  <c r="AF541" i="3"/>
  <c r="AH541" i="3"/>
  <c r="AI541" i="3"/>
  <c r="AK541" i="3"/>
  <c r="AL541" i="3"/>
  <c r="AN541" i="3"/>
  <c r="AO541" i="3"/>
  <c r="AQ541" i="3"/>
  <c r="AR541" i="3"/>
  <c r="Y542" i="3"/>
  <c r="Z542" i="3"/>
  <c r="AB542" i="3"/>
  <c r="AC542" i="3"/>
  <c r="AE542" i="3"/>
  <c r="AF542" i="3"/>
  <c r="AH542" i="3"/>
  <c r="AI542" i="3"/>
  <c r="AK542" i="3"/>
  <c r="AL542" i="3"/>
  <c r="AN542" i="3"/>
  <c r="AO542" i="3"/>
  <c r="AQ542" i="3"/>
  <c r="AR542" i="3"/>
  <c r="Y543" i="3"/>
  <c r="Z543" i="3"/>
  <c r="AB543" i="3"/>
  <c r="AC543" i="3"/>
  <c r="AE543" i="3"/>
  <c r="AF543" i="3"/>
  <c r="AH543" i="3"/>
  <c r="AI543" i="3"/>
  <c r="AK543" i="3"/>
  <c r="AL543" i="3"/>
  <c r="AN543" i="3"/>
  <c r="AO543" i="3"/>
  <c r="AQ543" i="3"/>
  <c r="AR543" i="3"/>
  <c r="Y544" i="3"/>
  <c r="Z544" i="3"/>
  <c r="AB544" i="3"/>
  <c r="AC544" i="3"/>
  <c r="AE544" i="3"/>
  <c r="AF544" i="3"/>
  <c r="AH544" i="3"/>
  <c r="AI544" i="3"/>
  <c r="AK544" i="3"/>
  <c r="AL544" i="3"/>
  <c r="AN544" i="3"/>
  <c r="AO544" i="3"/>
  <c r="AQ544" i="3"/>
  <c r="AR544" i="3"/>
  <c r="Y545" i="3"/>
  <c r="Z545" i="3"/>
  <c r="AB545" i="3"/>
  <c r="AC545" i="3"/>
  <c r="AE545" i="3"/>
  <c r="AF545" i="3"/>
  <c r="AH545" i="3"/>
  <c r="AI545" i="3"/>
  <c r="AK545" i="3"/>
  <c r="AL545" i="3"/>
  <c r="AN545" i="3"/>
  <c r="AO545" i="3"/>
  <c r="AQ545" i="3"/>
  <c r="AR545" i="3"/>
  <c r="Y546" i="3"/>
  <c r="Z546" i="3"/>
  <c r="AB546" i="3"/>
  <c r="AC546" i="3"/>
  <c r="AE546" i="3"/>
  <c r="AF546" i="3"/>
  <c r="AH546" i="3"/>
  <c r="AI546" i="3"/>
  <c r="AK546" i="3"/>
  <c r="AL546" i="3"/>
  <c r="AN546" i="3"/>
  <c r="AO546" i="3"/>
  <c r="AQ546" i="3"/>
  <c r="AR546" i="3"/>
  <c r="Y547" i="3"/>
  <c r="Z547" i="3"/>
  <c r="AB547" i="3"/>
  <c r="AC547" i="3"/>
  <c r="AE547" i="3"/>
  <c r="AF547" i="3"/>
  <c r="AH547" i="3"/>
  <c r="AI547" i="3"/>
  <c r="AK547" i="3"/>
  <c r="AL547" i="3"/>
  <c r="AN547" i="3"/>
  <c r="AO547" i="3"/>
  <c r="AQ547" i="3"/>
  <c r="AR547" i="3"/>
  <c r="Y548" i="3"/>
  <c r="Z548" i="3"/>
  <c r="AB548" i="3"/>
  <c r="AC548" i="3"/>
  <c r="AE548" i="3"/>
  <c r="AF548" i="3"/>
  <c r="AH548" i="3"/>
  <c r="AI548" i="3"/>
  <c r="AK548" i="3"/>
  <c r="AL548" i="3"/>
  <c r="AN548" i="3"/>
  <c r="AO548" i="3"/>
  <c r="AQ548" i="3"/>
  <c r="AR548" i="3"/>
  <c r="Y549" i="3"/>
  <c r="Z549" i="3"/>
  <c r="AB549" i="3"/>
  <c r="AC549" i="3"/>
  <c r="AE549" i="3"/>
  <c r="AF549" i="3"/>
  <c r="AH549" i="3"/>
  <c r="AI549" i="3"/>
  <c r="AK549" i="3"/>
  <c r="AL549" i="3"/>
  <c r="AN549" i="3"/>
  <c r="AO549" i="3"/>
  <c r="AQ549" i="3"/>
  <c r="AR549" i="3"/>
  <c r="Y550" i="3"/>
  <c r="Z550" i="3"/>
  <c r="AB550" i="3"/>
  <c r="AC550" i="3"/>
  <c r="AE550" i="3"/>
  <c r="AF550" i="3"/>
  <c r="AH550" i="3"/>
  <c r="AI550" i="3"/>
  <c r="AK550" i="3"/>
  <c r="AL550" i="3"/>
  <c r="AN550" i="3"/>
  <c r="AO550" i="3"/>
  <c r="AQ550" i="3"/>
  <c r="AR550" i="3"/>
  <c r="Y551" i="3"/>
  <c r="Z551" i="3"/>
  <c r="AB551" i="3"/>
  <c r="AC551" i="3"/>
  <c r="AE551" i="3"/>
  <c r="AF551" i="3"/>
  <c r="AH551" i="3"/>
  <c r="AI551" i="3"/>
  <c r="AK551" i="3"/>
  <c r="AL551" i="3"/>
  <c r="AN551" i="3"/>
  <c r="AO551" i="3"/>
  <c r="AQ551" i="3"/>
  <c r="AR551" i="3"/>
  <c r="Y552" i="3"/>
  <c r="Z552" i="3"/>
  <c r="AB552" i="3"/>
  <c r="AC552" i="3"/>
  <c r="AE552" i="3"/>
  <c r="AF552" i="3"/>
  <c r="AH552" i="3"/>
  <c r="AI552" i="3"/>
  <c r="AK552" i="3"/>
  <c r="AL552" i="3"/>
  <c r="AN552" i="3"/>
  <c r="AO552" i="3"/>
  <c r="AQ552" i="3"/>
  <c r="AR552" i="3"/>
  <c r="Y553" i="3"/>
  <c r="Z553" i="3"/>
  <c r="AB553" i="3"/>
  <c r="AC553" i="3"/>
  <c r="AE553" i="3"/>
  <c r="AF553" i="3"/>
  <c r="AH553" i="3"/>
  <c r="AI553" i="3"/>
  <c r="AK553" i="3"/>
  <c r="AL553" i="3"/>
  <c r="AN553" i="3"/>
  <c r="AO553" i="3"/>
  <c r="AQ553" i="3"/>
  <c r="AR553" i="3"/>
  <c r="Y554" i="3"/>
  <c r="Z554" i="3"/>
  <c r="AB554" i="3"/>
  <c r="AC554" i="3"/>
  <c r="AE554" i="3"/>
  <c r="AF554" i="3"/>
  <c r="AH554" i="3"/>
  <c r="AI554" i="3"/>
  <c r="AK554" i="3"/>
  <c r="AL554" i="3"/>
  <c r="AN554" i="3"/>
  <c r="AO554" i="3"/>
  <c r="AQ554" i="3"/>
  <c r="AR554" i="3"/>
  <c r="Y555" i="3"/>
  <c r="Z555" i="3"/>
  <c r="AB555" i="3"/>
  <c r="AC555" i="3"/>
  <c r="AE555" i="3"/>
  <c r="AF555" i="3"/>
  <c r="AH555" i="3"/>
  <c r="AI555" i="3"/>
  <c r="AK555" i="3"/>
  <c r="AL555" i="3"/>
  <c r="AN555" i="3"/>
  <c r="AO555" i="3"/>
  <c r="AQ555" i="3"/>
  <c r="AR555" i="3"/>
  <c r="Y556" i="3"/>
  <c r="Z556" i="3"/>
  <c r="AB556" i="3"/>
  <c r="AC556" i="3"/>
  <c r="AE556" i="3"/>
  <c r="AF556" i="3"/>
  <c r="AH556" i="3"/>
  <c r="AI556" i="3"/>
  <c r="AK556" i="3"/>
  <c r="AL556" i="3"/>
  <c r="AN556" i="3"/>
  <c r="AO556" i="3"/>
  <c r="AQ556" i="3"/>
  <c r="AR556" i="3"/>
  <c r="Y557" i="3"/>
  <c r="Z557" i="3"/>
  <c r="AB557" i="3"/>
  <c r="AC557" i="3"/>
  <c r="AE557" i="3"/>
  <c r="AF557" i="3"/>
  <c r="AH557" i="3"/>
  <c r="AI557" i="3"/>
  <c r="AK557" i="3"/>
  <c r="AL557" i="3"/>
  <c r="AN557" i="3"/>
  <c r="AO557" i="3"/>
  <c r="AQ557" i="3"/>
  <c r="AR557" i="3"/>
  <c r="Y558" i="3"/>
  <c r="Z558" i="3"/>
  <c r="AB558" i="3"/>
  <c r="AC558" i="3"/>
  <c r="AE558" i="3"/>
  <c r="AF558" i="3"/>
  <c r="AH558" i="3"/>
  <c r="AI558" i="3"/>
  <c r="AK558" i="3"/>
  <c r="AL558" i="3"/>
  <c r="AN558" i="3"/>
  <c r="AO558" i="3"/>
  <c r="AQ558" i="3"/>
  <c r="AR558" i="3"/>
  <c r="Y559" i="3"/>
  <c r="Z559" i="3"/>
  <c r="AB559" i="3"/>
  <c r="AC559" i="3"/>
  <c r="AE559" i="3"/>
  <c r="AF559" i="3"/>
  <c r="AH559" i="3"/>
  <c r="AI559" i="3"/>
  <c r="AK559" i="3"/>
  <c r="AL559" i="3"/>
  <c r="AN559" i="3"/>
  <c r="AO559" i="3"/>
  <c r="AQ559" i="3"/>
  <c r="AR559" i="3"/>
  <c r="Y560" i="3"/>
  <c r="Z560" i="3"/>
  <c r="AB560" i="3"/>
  <c r="AC560" i="3"/>
  <c r="AE560" i="3"/>
  <c r="AF560" i="3"/>
  <c r="AH560" i="3"/>
  <c r="AI560" i="3"/>
  <c r="AK560" i="3"/>
  <c r="AL560" i="3"/>
  <c r="AN560" i="3"/>
  <c r="AO560" i="3"/>
  <c r="AQ560" i="3"/>
  <c r="AR560" i="3"/>
  <c r="Y561" i="3"/>
  <c r="Z561" i="3"/>
  <c r="AB561" i="3"/>
  <c r="AC561" i="3"/>
  <c r="AE561" i="3"/>
  <c r="AF561" i="3"/>
  <c r="AH561" i="3"/>
  <c r="AI561" i="3"/>
  <c r="AK561" i="3"/>
  <c r="AL561" i="3"/>
  <c r="AN561" i="3"/>
  <c r="AO561" i="3"/>
  <c r="AQ561" i="3"/>
  <c r="AR561" i="3"/>
  <c r="Y562" i="3"/>
  <c r="Z562" i="3"/>
  <c r="AB562" i="3"/>
  <c r="AC562" i="3"/>
  <c r="AE562" i="3"/>
  <c r="AF562" i="3"/>
  <c r="AH562" i="3"/>
  <c r="AI562" i="3"/>
  <c r="AK562" i="3"/>
  <c r="AL562" i="3"/>
  <c r="AN562" i="3"/>
  <c r="AO562" i="3"/>
  <c r="AQ562" i="3"/>
  <c r="AR562" i="3"/>
  <c r="Y563" i="3"/>
  <c r="Z563" i="3"/>
  <c r="AB563" i="3"/>
  <c r="AC563" i="3"/>
  <c r="AE563" i="3"/>
  <c r="AF563" i="3"/>
  <c r="AH563" i="3"/>
  <c r="AI563" i="3"/>
  <c r="AK563" i="3"/>
  <c r="AL563" i="3"/>
  <c r="AN563" i="3"/>
  <c r="AO563" i="3"/>
  <c r="AQ563" i="3"/>
  <c r="AR563" i="3"/>
  <c r="Y564" i="3"/>
  <c r="Z564" i="3"/>
  <c r="AB564" i="3"/>
  <c r="AC564" i="3"/>
  <c r="AE564" i="3"/>
  <c r="AF564" i="3"/>
  <c r="AH564" i="3"/>
  <c r="AI564" i="3"/>
  <c r="AK564" i="3"/>
  <c r="AL564" i="3"/>
  <c r="AN564" i="3"/>
  <c r="AO564" i="3"/>
  <c r="AQ564" i="3"/>
  <c r="AR564" i="3"/>
  <c r="Y565" i="3"/>
  <c r="Z565" i="3"/>
  <c r="AB565" i="3"/>
  <c r="AC565" i="3"/>
  <c r="AE565" i="3"/>
  <c r="AF565" i="3"/>
  <c r="AH565" i="3"/>
  <c r="AI565" i="3"/>
  <c r="AK565" i="3"/>
  <c r="AL565" i="3"/>
  <c r="AN565" i="3"/>
  <c r="AO565" i="3"/>
  <c r="AQ565" i="3"/>
  <c r="AR565" i="3"/>
  <c r="Y566" i="3"/>
  <c r="Z566" i="3"/>
  <c r="AB566" i="3"/>
  <c r="AC566" i="3"/>
  <c r="AE566" i="3"/>
  <c r="AF566" i="3"/>
  <c r="AH566" i="3"/>
  <c r="AI566" i="3"/>
  <c r="AK566" i="3"/>
  <c r="AL566" i="3"/>
  <c r="AN566" i="3"/>
  <c r="AO566" i="3"/>
  <c r="AQ566" i="3"/>
  <c r="AR566" i="3"/>
  <c r="Y567" i="3"/>
  <c r="Z567" i="3"/>
  <c r="AB567" i="3"/>
  <c r="AC567" i="3"/>
  <c r="AE567" i="3"/>
  <c r="AF567" i="3"/>
  <c r="AH567" i="3"/>
  <c r="AI567" i="3"/>
  <c r="AK567" i="3"/>
  <c r="AL567" i="3"/>
  <c r="AN567" i="3"/>
  <c r="AO567" i="3"/>
  <c r="AQ567" i="3"/>
  <c r="AR567" i="3"/>
  <c r="Y568" i="3"/>
  <c r="Z568" i="3"/>
  <c r="AB568" i="3"/>
  <c r="AC568" i="3"/>
  <c r="AE568" i="3"/>
  <c r="AF568" i="3"/>
  <c r="AH568" i="3"/>
  <c r="AI568" i="3"/>
  <c r="AK568" i="3"/>
  <c r="AL568" i="3"/>
  <c r="AN568" i="3"/>
  <c r="AO568" i="3"/>
  <c r="AQ568" i="3"/>
  <c r="AR568" i="3"/>
  <c r="Y569" i="3"/>
  <c r="Z569" i="3"/>
  <c r="AB569" i="3"/>
  <c r="AC569" i="3"/>
  <c r="AE569" i="3"/>
  <c r="AF569" i="3"/>
  <c r="AH569" i="3"/>
  <c r="AI569" i="3"/>
  <c r="AK569" i="3"/>
  <c r="AL569" i="3"/>
  <c r="AN569" i="3"/>
  <c r="AO569" i="3"/>
  <c r="AQ569" i="3"/>
  <c r="AR569" i="3"/>
  <c r="Y570" i="3"/>
  <c r="Z570" i="3"/>
  <c r="AB570" i="3"/>
  <c r="AC570" i="3"/>
  <c r="AE570" i="3"/>
  <c r="AF570" i="3"/>
  <c r="AH570" i="3"/>
  <c r="AI570" i="3"/>
  <c r="AK570" i="3"/>
  <c r="AL570" i="3"/>
  <c r="AN570" i="3"/>
  <c r="AO570" i="3"/>
  <c r="AQ570" i="3"/>
  <c r="AR570" i="3"/>
  <c r="Y571" i="3"/>
  <c r="Z571" i="3"/>
  <c r="AB571" i="3"/>
  <c r="AC571" i="3"/>
  <c r="AE571" i="3"/>
  <c r="AF571" i="3"/>
  <c r="AH571" i="3"/>
  <c r="AI571" i="3"/>
  <c r="AK571" i="3"/>
  <c r="AL571" i="3"/>
  <c r="AN571" i="3"/>
  <c r="AO571" i="3"/>
  <c r="AQ571" i="3"/>
  <c r="AR571" i="3"/>
  <c r="Y572" i="3"/>
  <c r="Z572" i="3"/>
  <c r="AB572" i="3"/>
  <c r="AC572" i="3"/>
  <c r="AE572" i="3"/>
  <c r="AF572" i="3"/>
  <c r="AH572" i="3"/>
  <c r="AI572" i="3"/>
  <c r="AK572" i="3"/>
  <c r="AL572" i="3"/>
  <c r="AN572" i="3"/>
  <c r="AO572" i="3"/>
  <c r="AQ572" i="3"/>
  <c r="AR572" i="3"/>
  <c r="Y573" i="3"/>
  <c r="Z573" i="3"/>
  <c r="AB573" i="3"/>
  <c r="AC573" i="3"/>
  <c r="AE573" i="3"/>
  <c r="AF573" i="3"/>
  <c r="AH573" i="3"/>
  <c r="AI573" i="3"/>
  <c r="AK573" i="3"/>
  <c r="AL573" i="3"/>
  <c r="AN573" i="3"/>
  <c r="AO573" i="3"/>
  <c r="AQ573" i="3"/>
  <c r="AR573" i="3"/>
  <c r="Y574" i="3"/>
  <c r="Z574" i="3"/>
  <c r="AB574" i="3"/>
  <c r="AC574" i="3"/>
  <c r="AE574" i="3"/>
  <c r="AF574" i="3"/>
  <c r="AH574" i="3"/>
  <c r="AI574" i="3"/>
  <c r="AK574" i="3"/>
  <c r="AL574" i="3"/>
  <c r="AN574" i="3"/>
  <c r="AO574" i="3"/>
  <c r="AQ574" i="3"/>
  <c r="AR574" i="3"/>
  <c r="Y575" i="3"/>
  <c r="Z575" i="3"/>
  <c r="AB575" i="3"/>
  <c r="AC575" i="3"/>
  <c r="AE575" i="3"/>
  <c r="AF575" i="3"/>
  <c r="AH575" i="3"/>
  <c r="AI575" i="3"/>
  <c r="AK575" i="3"/>
  <c r="AL575" i="3"/>
  <c r="AN575" i="3"/>
  <c r="AO575" i="3"/>
  <c r="AQ575" i="3"/>
  <c r="AR575" i="3"/>
  <c r="Y576" i="3"/>
  <c r="Z576" i="3"/>
  <c r="AB576" i="3"/>
  <c r="AC576" i="3"/>
  <c r="AE576" i="3"/>
  <c r="AF576" i="3"/>
  <c r="AH576" i="3"/>
  <c r="AI576" i="3"/>
  <c r="AK576" i="3"/>
  <c r="AL576" i="3"/>
  <c r="AN576" i="3"/>
  <c r="AO576" i="3"/>
  <c r="AQ576" i="3"/>
  <c r="AR576" i="3"/>
  <c r="Y577" i="3"/>
  <c r="Z577" i="3"/>
  <c r="AB577" i="3"/>
  <c r="AC577" i="3"/>
  <c r="AE577" i="3"/>
  <c r="AF577" i="3"/>
  <c r="AH577" i="3"/>
  <c r="AI577" i="3"/>
  <c r="AK577" i="3"/>
  <c r="AL577" i="3"/>
  <c r="AN577" i="3"/>
  <c r="AO577" i="3"/>
  <c r="AQ577" i="3"/>
  <c r="AR577" i="3"/>
  <c r="Y578" i="3"/>
  <c r="Z578" i="3"/>
  <c r="AB578" i="3"/>
  <c r="AC578" i="3"/>
  <c r="AE578" i="3"/>
  <c r="AF578" i="3"/>
  <c r="AH578" i="3"/>
  <c r="AI578" i="3"/>
  <c r="AK578" i="3"/>
  <c r="AL578" i="3"/>
  <c r="AN578" i="3"/>
  <c r="AO578" i="3"/>
  <c r="AQ578" i="3"/>
  <c r="AR578" i="3"/>
  <c r="Y579" i="3"/>
  <c r="Z579" i="3"/>
  <c r="AB579" i="3"/>
  <c r="AC579" i="3"/>
  <c r="AE579" i="3"/>
  <c r="AF579" i="3"/>
  <c r="AH579" i="3"/>
  <c r="AI579" i="3"/>
  <c r="AK579" i="3"/>
  <c r="AL579" i="3"/>
  <c r="AN579" i="3"/>
  <c r="AO579" i="3"/>
  <c r="AQ579" i="3"/>
  <c r="AR579" i="3"/>
  <c r="Y580" i="3"/>
  <c r="Z580" i="3"/>
  <c r="AB580" i="3"/>
  <c r="AC580" i="3"/>
  <c r="AE580" i="3"/>
  <c r="AF580" i="3"/>
  <c r="AH580" i="3"/>
  <c r="AI580" i="3"/>
  <c r="AK580" i="3"/>
  <c r="AL580" i="3"/>
  <c r="AN580" i="3"/>
  <c r="AO580" i="3"/>
  <c r="AQ580" i="3"/>
  <c r="AR580" i="3"/>
  <c r="Y581" i="3"/>
  <c r="Z581" i="3"/>
  <c r="AB581" i="3"/>
  <c r="AC581" i="3"/>
  <c r="AE581" i="3"/>
  <c r="AF581" i="3"/>
  <c r="AH581" i="3"/>
  <c r="AI581" i="3"/>
  <c r="AK581" i="3"/>
  <c r="AL581" i="3"/>
  <c r="AN581" i="3"/>
  <c r="AO581" i="3"/>
  <c r="AQ581" i="3"/>
  <c r="AR581" i="3"/>
  <c r="Y582" i="3"/>
  <c r="Z582" i="3"/>
  <c r="AB582" i="3"/>
  <c r="AC582" i="3"/>
  <c r="AE582" i="3"/>
  <c r="AF582" i="3"/>
  <c r="AH582" i="3"/>
  <c r="AI582" i="3"/>
  <c r="AK582" i="3"/>
  <c r="AL582" i="3"/>
  <c r="AN582" i="3"/>
  <c r="AO582" i="3"/>
  <c r="AQ582" i="3"/>
  <c r="AR582" i="3"/>
  <c r="Y583" i="3"/>
  <c r="Z583" i="3"/>
  <c r="AB583" i="3"/>
  <c r="AC583" i="3"/>
  <c r="AE583" i="3"/>
  <c r="AF583" i="3"/>
  <c r="AH583" i="3"/>
  <c r="AI583" i="3"/>
  <c r="AK583" i="3"/>
  <c r="AL583" i="3"/>
  <c r="AN583" i="3"/>
  <c r="AO583" i="3"/>
  <c r="AQ583" i="3"/>
  <c r="AR583" i="3"/>
  <c r="Y584" i="3"/>
  <c r="Z584" i="3"/>
  <c r="AB584" i="3"/>
  <c r="AC584" i="3"/>
  <c r="AE584" i="3"/>
  <c r="AF584" i="3"/>
  <c r="AH584" i="3"/>
  <c r="AI584" i="3"/>
  <c r="AK584" i="3"/>
  <c r="AL584" i="3"/>
  <c r="AN584" i="3"/>
  <c r="AO584" i="3"/>
  <c r="AQ584" i="3"/>
  <c r="AR584" i="3"/>
  <c r="Y585" i="3"/>
  <c r="Z585" i="3"/>
  <c r="AB585" i="3"/>
  <c r="AC585" i="3"/>
  <c r="AE585" i="3"/>
  <c r="AF585" i="3"/>
  <c r="AH585" i="3"/>
  <c r="AI585" i="3"/>
  <c r="AK585" i="3"/>
  <c r="AL585" i="3"/>
  <c r="AN585" i="3"/>
  <c r="AO585" i="3"/>
  <c r="AQ585" i="3"/>
  <c r="AR585" i="3"/>
  <c r="Y586" i="3"/>
  <c r="Z586" i="3"/>
  <c r="AB586" i="3"/>
  <c r="AC586" i="3"/>
  <c r="AE586" i="3"/>
  <c r="AF586" i="3"/>
  <c r="AH586" i="3"/>
  <c r="AI586" i="3"/>
  <c r="AK586" i="3"/>
  <c r="AL586" i="3"/>
  <c r="AN586" i="3"/>
  <c r="AO586" i="3"/>
  <c r="AQ586" i="3"/>
  <c r="AR586" i="3"/>
  <c r="Y587" i="3"/>
  <c r="Z587" i="3"/>
  <c r="AB587" i="3"/>
  <c r="AC587" i="3"/>
  <c r="AE587" i="3"/>
  <c r="AF587" i="3"/>
  <c r="AH587" i="3"/>
  <c r="AI587" i="3"/>
  <c r="AK587" i="3"/>
  <c r="AL587" i="3"/>
  <c r="AN587" i="3"/>
  <c r="AO587" i="3"/>
  <c r="AQ587" i="3"/>
  <c r="AR587" i="3"/>
  <c r="Y588" i="3"/>
  <c r="Z588" i="3"/>
  <c r="AB588" i="3"/>
  <c r="AC588" i="3"/>
  <c r="AE588" i="3"/>
  <c r="AF588" i="3"/>
  <c r="AH588" i="3"/>
  <c r="AI588" i="3"/>
  <c r="AK588" i="3"/>
  <c r="AL588" i="3"/>
  <c r="AN588" i="3"/>
  <c r="AO588" i="3"/>
  <c r="AQ588" i="3"/>
  <c r="AR588" i="3"/>
  <c r="Y589" i="3"/>
  <c r="Z589" i="3"/>
  <c r="AB589" i="3"/>
  <c r="AC589" i="3"/>
  <c r="AE589" i="3"/>
  <c r="AF589" i="3"/>
  <c r="AH589" i="3"/>
  <c r="AI589" i="3"/>
  <c r="AK589" i="3"/>
  <c r="AL589" i="3"/>
  <c r="AN589" i="3"/>
  <c r="AO589" i="3"/>
  <c r="AQ589" i="3"/>
  <c r="AR589" i="3"/>
  <c r="Y590" i="3"/>
  <c r="Z590" i="3"/>
  <c r="AB590" i="3"/>
  <c r="AC590" i="3"/>
  <c r="AE590" i="3"/>
  <c r="AF590" i="3"/>
  <c r="AH590" i="3"/>
  <c r="AI590" i="3"/>
  <c r="AK590" i="3"/>
  <c r="AL590" i="3"/>
  <c r="AN590" i="3"/>
  <c r="AO590" i="3"/>
  <c r="AQ590" i="3"/>
  <c r="AR590" i="3"/>
  <c r="Y591" i="3"/>
  <c r="Z591" i="3"/>
  <c r="AB591" i="3"/>
  <c r="AC591" i="3"/>
  <c r="AE591" i="3"/>
  <c r="AF591" i="3"/>
  <c r="AH591" i="3"/>
  <c r="AI591" i="3"/>
  <c r="AK591" i="3"/>
  <c r="AL591" i="3"/>
  <c r="AN591" i="3"/>
  <c r="AO591" i="3"/>
  <c r="AQ591" i="3"/>
  <c r="AR591" i="3"/>
  <c r="Y592" i="3"/>
  <c r="Z592" i="3"/>
  <c r="AB592" i="3"/>
  <c r="AC592" i="3"/>
  <c r="AE592" i="3"/>
  <c r="AF592" i="3"/>
  <c r="AH592" i="3"/>
  <c r="AI592" i="3"/>
  <c r="AK592" i="3"/>
  <c r="AL592" i="3"/>
  <c r="AN592" i="3"/>
  <c r="AO592" i="3"/>
  <c r="AQ592" i="3"/>
  <c r="AR592" i="3"/>
  <c r="Y593" i="3"/>
  <c r="Z593" i="3"/>
  <c r="AB593" i="3"/>
  <c r="AC593" i="3"/>
  <c r="AE593" i="3"/>
  <c r="AF593" i="3"/>
  <c r="AH593" i="3"/>
  <c r="AI593" i="3"/>
  <c r="AK593" i="3"/>
  <c r="AL593" i="3"/>
  <c r="AN593" i="3"/>
  <c r="AO593" i="3"/>
  <c r="AQ593" i="3"/>
  <c r="AR593" i="3"/>
  <c r="Y594" i="3"/>
  <c r="Z594" i="3"/>
  <c r="AB594" i="3"/>
  <c r="AC594" i="3"/>
  <c r="AE594" i="3"/>
  <c r="AF594" i="3"/>
  <c r="AH594" i="3"/>
  <c r="AI594" i="3"/>
  <c r="AK594" i="3"/>
  <c r="AL594" i="3"/>
  <c r="AN594" i="3"/>
  <c r="AO594" i="3"/>
  <c r="AQ594" i="3"/>
  <c r="AR594" i="3"/>
  <c r="Y595" i="3"/>
  <c r="Z595" i="3"/>
  <c r="AB595" i="3"/>
  <c r="AC595" i="3"/>
  <c r="AE595" i="3"/>
  <c r="AF595" i="3"/>
  <c r="AH595" i="3"/>
  <c r="AI595" i="3"/>
  <c r="AK595" i="3"/>
  <c r="AL595" i="3"/>
  <c r="AN595" i="3"/>
  <c r="AO595" i="3"/>
  <c r="AQ595" i="3"/>
  <c r="AR595" i="3"/>
  <c r="Y596" i="3"/>
  <c r="Z596" i="3"/>
  <c r="AB596" i="3"/>
  <c r="AC596" i="3"/>
  <c r="AE596" i="3"/>
  <c r="AF596" i="3"/>
  <c r="AH596" i="3"/>
  <c r="AI596" i="3"/>
  <c r="AK596" i="3"/>
  <c r="AL596" i="3"/>
  <c r="AN596" i="3"/>
  <c r="AO596" i="3"/>
  <c r="AQ596" i="3"/>
  <c r="AR596" i="3"/>
  <c r="Y597" i="3"/>
  <c r="Z597" i="3"/>
  <c r="AB597" i="3"/>
  <c r="AC597" i="3"/>
  <c r="AE597" i="3"/>
  <c r="AF597" i="3"/>
  <c r="AH597" i="3"/>
  <c r="AI597" i="3"/>
  <c r="AK597" i="3"/>
  <c r="AL597" i="3"/>
  <c r="AN597" i="3"/>
  <c r="AO597" i="3"/>
  <c r="AQ597" i="3"/>
  <c r="AR597" i="3"/>
  <c r="Y598" i="3"/>
  <c r="Z598" i="3"/>
  <c r="AB598" i="3"/>
  <c r="AC598" i="3"/>
  <c r="AE598" i="3"/>
  <c r="AF598" i="3"/>
  <c r="AH598" i="3"/>
  <c r="AI598" i="3"/>
  <c r="AK598" i="3"/>
  <c r="AL598" i="3"/>
  <c r="AN598" i="3"/>
  <c r="AO598" i="3"/>
  <c r="AQ598" i="3"/>
  <c r="AR598" i="3"/>
  <c r="Y599" i="3"/>
  <c r="Z599" i="3"/>
  <c r="AB599" i="3"/>
  <c r="AC599" i="3"/>
  <c r="AE599" i="3"/>
  <c r="AF599" i="3"/>
  <c r="AH599" i="3"/>
  <c r="AI599" i="3"/>
  <c r="AK599" i="3"/>
  <c r="AL599" i="3"/>
  <c r="AN599" i="3"/>
  <c r="AO599" i="3"/>
  <c r="AQ599" i="3"/>
  <c r="AR599" i="3"/>
  <c r="Y600" i="3"/>
  <c r="Z600" i="3"/>
  <c r="AB600" i="3"/>
  <c r="AC600" i="3"/>
  <c r="AE600" i="3"/>
  <c r="AF600" i="3"/>
  <c r="AH600" i="3"/>
  <c r="AI600" i="3"/>
  <c r="AK600" i="3"/>
  <c r="AL600" i="3"/>
  <c r="AN600" i="3"/>
  <c r="AO600" i="3"/>
  <c r="AQ600" i="3"/>
  <c r="AR600" i="3"/>
  <c r="Y601" i="3"/>
  <c r="Z601" i="3"/>
  <c r="AB601" i="3"/>
  <c r="AC601" i="3"/>
  <c r="AE601" i="3"/>
  <c r="AF601" i="3"/>
  <c r="AH601" i="3"/>
  <c r="AI601" i="3"/>
  <c r="AK601" i="3"/>
  <c r="AL601" i="3"/>
  <c r="AN601" i="3"/>
  <c r="AO601" i="3"/>
  <c r="AQ601" i="3"/>
  <c r="AR601" i="3"/>
  <c r="Y602" i="3"/>
  <c r="Z602" i="3"/>
  <c r="AB602" i="3"/>
  <c r="AC602" i="3"/>
  <c r="AE602" i="3"/>
  <c r="AF602" i="3"/>
  <c r="AH602" i="3"/>
  <c r="AI602" i="3"/>
  <c r="AK602" i="3"/>
  <c r="AL602" i="3"/>
  <c r="AN602" i="3"/>
  <c r="AO602" i="3"/>
  <c r="AQ602" i="3"/>
  <c r="AR602" i="3"/>
  <c r="Y603" i="3"/>
  <c r="Z603" i="3"/>
  <c r="AB603" i="3"/>
  <c r="AC603" i="3"/>
  <c r="AE603" i="3"/>
  <c r="AF603" i="3"/>
  <c r="AH603" i="3"/>
  <c r="AI603" i="3"/>
  <c r="AK603" i="3"/>
  <c r="AL603" i="3"/>
  <c r="AN603" i="3"/>
  <c r="AO603" i="3"/>
  <c r="AQ603" i="3"/>
  <c r="AR603" i="3"/>
  <c r="Y604" i="3"/>
  <c r="Z604" i="3"/>
  <c r="AB604" i="3"/>
  <c r="AC604" i="3"/>
  <c r="AE604" i="3"/>
  <c r="AF604" i="3"/>
  <c r="AH604" i="3"/>
  <c r="AI604" i="3"/>
  <c r="AK604" i="3"/>
  <c r="AL604" i="3"/>
  <c r="AN604" i="3"/>
  <c r="AO604" i="3"/>
  <c r="AQ604" i="3"/>
  <c r="AR604" i="3"/>
  <c r="Y605" i="3"/>
  <c r="Z605" i="3"/>
  <c r="AB605" i="3"/>
  <c r="AC605" i="3"/>
  <c r="AE605" i="3"/>
  <c r="AF605" i="3"/>
  <c r="AH605" i="3"/>
  <c r="AI605" i="3"/>
  <c r="AK605" i="3"/>
  <c r="AL605" i="3"/>
  <c r="AN605" i="3"/>
  <c r="AO605" i="3"/>
  <c r="AQ605" i="3"/>
  <c r="AR605" i="3"/>
  <c r="Y606" i="3"/>
  <c r="Z606" i="3"/>
  <c r="AB606" i="3"/>
  <c r="AC606" i="3"/>
  <c r="AE606" i="3"/>
  <c r="AF606" i="3"/>
  <c r="AH606" i="3"/>
  <c r="AI606" i="3"/>
  <c r="AK606" i="3"/>
  <c r="AL606" i="3"/>
  <c r="AN606" i="3"/>
  <c r="AO606" i="3"/>
  <c r="AQ606" i="3"/>
  <c r="AR606" i="3"/>
  <c r="Y607" i="3"/>
  <c r="Z607" i="3"/>
  <c r="AB607" i="3"/>
  <c r="AC607" i="3"/>
  <c r="AE607" i="3"/>
  <c r="AF607" i="3"/>
  <c r="AH607" i="3"/>
  <c r="AI607" i="3"/>
  <c r="AK607" i="3"/>
  <c r="AL607" i="3"/>
  <c r="AN607" i="3"/>
  <c r="AO607" i="3"/>
  <c r="AQ607" i="3"/>
  <c r="AR607" i="3"/>
  <c r="Y608" i="3"/>
  <c r="Z608" i="3"/>
  <c r="AB608" i="3"/>
  <c r="AC608" i="3"/>
  <c r="AE608" i="3"/>
  <c r="AF608" i="3"/>
  <c r="AH608" i="3"/>
  <c r="AI608" i="3"/>
  <c r="AK608" i="3"/>
  <c r="AL608" i="3"/>
  <c r="AN608" i="3"/>
  <c r="AO608" i="3"/>
  <c r="AQ608" i="3"/>
  <c r="AR608" i="3"/>
  <c r="Y609" i="3"/>
  <c r="Z609" i="3"/>
  <c r="AB609" i="3"/>
  <c r="AC609" i="3"/>
  <c r="AE609" i="3"/>
  <c r="AF609" i="3"/>
  <c r="AH609" i="3"/>
  <c r="AI609" i="3"/>
  <c r="AK609" i="3"/>
  <c r="AL609" i="3"/>
  <c r="AN609" i="3"/>
  <c r="AO609" i="3"/>
  <c r="AQ609" i="3"/>
  <c r="AR609" i="3"/>
  <c r="Y610" i="3"/>
  <c r="Z610" i="3"/>
  <c r="AB610" i="3"/>
  <c r="AC610" i="3"/>
  <c r="AE610" i="3"/>
  <c r="AF610" i="3"/>
  <c r="AH610" i="3"/>
  <c r="AI610" i="3"/>
  <c r="AK610" i="3"/>
  <c r="AL610" i="3"/>
  <c r="AN610" i="3"/>
  <c r="AO610" i="3"/>
  <c r="AQ610" i="3"/>
  <c r="AR610" i="3"/>
  <c r="Y611" i="3"/>
  <c r="Z611" i="3"/>
  <c r="AB611" i="3"/>
  <c r="AC611" i="3"/>
  <c r="AE611" i="3"/>
  <c r="AF611" i="3"/>
  <c r="AH611" i="3"/>
  <c r="AI611" i="3"/>
  <c r="AK611" i="3"/>
  <c r="AL611" i="3"/>
  <c r="AN611" i="3"/>
  <c r="AO611" i="3"/>
  <c r="AQ611" i="3"/>
  <c r="AR611" i="3"/>
  <c r="Y612" i="3"/>
  <c r="Z612" i="3"/>
  <c r="AB612" i="3"/>
  <c r="AC612" i="3"/>
  <c r="AE612" i="3"/>
  <c r="AF612" i="3"/>
  <c r="AH612" i="3"/>
  <c r="AI612" i="3"/>
  <c r="AK612" i="3"/>
  <c r="AL612" i="3"/>
  <c r="AN612" i="3"/>
  <c r="AO612" i="3"/>
  <c r="AQ612" i="3"/>
  <c r="AR612" i="3"/>
  <c r="Y613" i="3"/>
  <c r="Z613" i="3"/>
  <c r="AB613" i="3"/>
  <c r="AC613" i="3"/>
  <c r="AE613" i="3"/>
  <c r="AF613" i="3"/>
  <c r="AH613" i="3"/>
  <c r="AI613" i="3"/>
  <c r="AK613" i="3"/>
  <c r="AL613" i="3"/>
  <c r="AN613" i="3"/>
  <c r="AO613" i="3"/>
  <c r="AQ613" i="3"/>
  <c r="AR613" i="3"/>
  <c r="Y614" i="3"/>
  <c r="Z614" i="3"/>
  <c r="AB614" i="3"/>
  <c r="AC614" i="3"/>
  <c r="AE614" i="3"/>
  <c r="AF614" i="3"/>
  <c r="AH614" i="3"/>
  <c r="AI614" i="3"/>
  <c r="AK614" i="3"/>
  <c r="AL614" i="3"/>
  <c r="AN614" i="3"/>
  <c r="AO614" i="3"/>
  <c r="AQ614" i="3"/>
  <c r="AR614" i="3"/>
  <c r="Y615" i="3"/>
  <c r="Z615" i="3"/>
  <c r="AB615" i="3"/>
  <c r="AC615" i="3"/>
  <c r="AE615" i="3"/>
  <c r="AF615" i="3"/>
  <c r="AH615" i="3"/>
  <c r="AI615" i="3"/>
  <c r="AK615" i="3"/>
  <c r="AL615" i="3"/>
  <c r="AN615" i="3"/>
  <c r="AO615" i="3"/>
  <c r="AQ615" i="3"/>
  <c r="AR615" i="3"/>
  <c r="Y616" i="3"/>
  <c r="Z616" i="3"/>
  <c r="AB616" i="3"/>
  <c r="AC616" i="3"/>
  <c r="AE616" i="3"/>
  <c r="AF616" i="3"/>
  <c r="AH616" i="3"/>
  <c r="AI616" i="3"/>
  <c r="AK616" i="3"/>
  <c r="AL616" i="3"/>
  <c r="AN616" i="3"/>
  <c r="AO616" i="3"/>
  <c r="AQ616" i="3"/>
  <c r="AR616" i="3"/>
  <c r="Y617" i="3"/>
  <c r="Z617" i="3"/>
  <c r="AB617" i="3"/>
  <c r="AC617" i="3"/>
  <c r="AE617" i="3"/>
  <c r="AF617" i="3"/>
  <c r="AH617" i="3"/>
  <c r="AI617" i="3"/>
  <c r="AK617" i="3"/>
  <c r="AL617" i="3"/>
  <c r="AN617" i="3"/>
  <c r="AO617" i="3"/>
  <c r="AQ617" i="3"/>
  <c r="AR617" i="3"/>
  <c r="Y618" i="3"/>
  <c r="Z618" i="3"/>
  <c r="AB618" i="3"/>
  <c r="AC618" i="3"/>
  <c r="AE618" i="3"/>
  <c r="AF618" i="3"/>
  <c r="AH618" i="3"/>
  <c r="AI618" i="3"/>
  <c r="AK618" i="3"/>
  <c r="AL618" i="3"/>
  <c r="AN618" i="3"/>
  <c r="AO618" i="3"/>
  <c r="AQ618" i="3"/>
  <c r="AR618" i="3"/>
  <c r="Y619" i="3"/>
  <c r="Z619" i="3"/>
  <c r="AB619" i="3"/>
  <c r="AC619" i="3"/>
  <c r="AE619" i="3"/>
  <c r="AF619" i="3"/>
  <c r="AH619" i="3"/>
  <c r="AI619" i="3"/>
  <c r="AK619" i="3"/>
  <c r="AL619" i="3"/>
  <c r="AN619" i="3"/>
  <c r="AO619" i="3"/>
  <c r="AQ619" i="3"/>
  <c r="AR619" i="3"/>
  <c r="Y620" i="3"/>
  <c r="Z620" i="3"/>
  <c r="AB620" i="3"/>
  <c r="AC620" i="3"/>
  <c r="AE620" i="3"/>
  <c r="AF620" i="3"/>
  <c r="AH620" i="3"/>
  <c r="AI620" i="3"/>
  <c r="AK620" i="3"/>
  <c r="AL620" i="3"/>
  <c r="AN620" i="3"/>
  <c r="AO620" i="3"/>
  <c r="AQ620" i="3"/>
  <c r="AR620" i="3"/>
  <c r="Y621" i="3"/>
  <c r="Z621" i="3"/>
  <c r="AB621" i="3"/>
  <c r="AC621" i="3"/>
  <c r="AE621" i="3"/>
  <c r="AF621" i="3"/>
  <c r="AH621" i="3"/>
  <c r="AI621" i="3"/>
  <c r="AK621" i="3"/>
  <c r="AL621" i="3"/>
  <c r="AN621" i="3"/>
  <c r="AO621" i="3"/>
  <c r="AQ621" i="3"/>
  <c r="AR621" i="3"/>
  <c r="Y622" i="3"/>
  <c r="Z622" i="3"/>
  <c r="AB622" i="3"/>
  <c r="AC622" i="3"/>
  <c r="AE622" i="3"/>
  <c r="AF622" i="3"/>
  <c r="AH622" i="3"/>
  <c r="AI622" i="3"/>
  <c r="AK622" i="3"/>
  <c r="AL622" i="3"/>
  <c r="AN622" i="3"/>
  <c r="AO622" i="3"/>
  <c r="AQ622" i="3"/>
  <c r="AR622" i="3"/>
  <c r="Y623" i="3"/>
  <c r="Z623" i="3"/>
  <c r="AB623" i="3"/>
  <c r="AC623" i="3"/>
  <c r="AE623" i="3"/>
  <c r="AF623" i="3"/>
  <c r="AH623" i="3"/>
  <c r="AI623" i="3"/>
  <c r="AK623" i="3"/>
  <c r="AL623" i="3"/>
  <c r="AN623" i="3"/>
  <c r="AO623" i="3"/>
  <c r="AQ623" i="3"/>
  <c r="AR623" i="3"/>
  <c r="Y624" i="3"/>
  <c r="Z624" i="3"/>
  <c r="AB624" i="3"/>
  <c r="AC624" i="3"/>
  <c r="AE624" i="3"/>
  <c r="AF624" i="3"/>
  <c r="AH624" i="3"/>
  <c r="AI624" i="3"/>
  <c r="AK624" i="3"/>
  <c r="AL624" i="3"/>
  <c r="AN624" i="3"/>
  <c r="AO624" i="3"/>
  <c r="AQ624" i="3"/>
  <c r="AR624" i="3"/>
  <c r="Y625" i="3"/>
  <c r="Z625" i="3"/>
  <c r="AB625" i="3"/>
  <c r="AC625" i="3"/>
  <c r="AE625" i="3"/>
  <c r="AF625" i="3"/>
  <c r="AH625" i="3"/>
  <c r="AI625" i="3"/>
  <c r="AK625" i="3"/>
  <c r="AL625" i="3"/>
  <c r="AN625" i="3"/>
  <c r="AO625" i="3"/>
  <c r="AQ625" i="3"/>
  <c r="AR625" i="3"/>
  <c r="Y626" i="3"/>
  <c r="Z626" i="3"/>
  <c r="AB626" i="3"/>
  <c r="AC626" i="3"/>
  <c r="AE626" i="3"/>
  <c r="AF626" i="3"/>
  <c r="AH626" i="3"/>
  <c r="AI626" i="3"/>
  <c r="AK626" i="3"/>
  <c r="AL626" i="3"/>
  <c r="AN626" i="3"/>
  <c r="AO626" i="3"/>
  <c r="AQ626" i="3"/>
  <c r="AR626" i="3"/>
  <c r="Y627" i="3"/>
  <c r="Z627" i="3"/>
  <c r="AB627" i="3"/>
  <c r="AC627" i="3"/>
  <c r="AE627" i="3"/>
  <c r="AF627" i="3"/>
  <c r="AH627" i="3"/>
  <c r="AI627" i="3"/>
  <c r="AK627" i="3"/>
  <c r="AL627" i="3"/>
  <c r="AN627" i="3"/>
  <c r="AO627" i="3"/>
  <c r="AQ627" i="3"/>
  <c r="AR627" i="3"/>
  <c r="Y628" i="3"/>
  <c r="Z628" i="3"/>
  <c r="AB628" i="3"/>
  <c r="AC628" i="3"/>
  <c r="AE628" i="3"/>
  <c r="AF628" i="3"/>
  <c r="AH628" i="3"/>
  <c r="AI628" i="3"/>
  <c r="AK628" i="3"/>
  <c r="AL628" i="3"/>
  <c r="AN628" i="3"/>
  <c r="AO628" i="3"/>
  <c r="AQ628" i="3"/>
  <c r="AR628" i="3"/>
  <c r="Y629" i="3"/>
  <c r="Z629" i="3"/>
  <c r="AB629" i="3"/>
  <c r="AC629" i="3"/>
  <c r="AE629" i="3"/>
  <c r="AF629" i="3"/>
  <c r="AH629" i="3"/>
  <c r="AI629" i="3"/>
  <c r="AK629" i="3"/>
  <c r="AL629" i="3"/>
  <c r="AN629" i="3"/>
  <c r="AO629" i="3"/>
  <c r="AQ629" i="3"/>
  <c r="AR629" i="3"/>
  <c r="Y630" i="3"/>
  <c r="Z630" i="3"/>
  <c r="AB630" i="3"/>
  <c r="AC630" i="3"/>
  <c r="AE630" i="3"/>
  <c r="AF630" i="3"/>
  <c r="AH630" i="3"/>
  <c r="AI630" i="3"/>
  <c r="AK630" i="3"/>
  <c r="AL630" i="3"/>
  <c r="AN630" i="3"/>
  <c r="AO630" i="3"/>
  <c r="AQ630" i="3"/>
  <c r="AR630" i="3"/>
  <c r="Y631" i="3"/>
  <c r="Z631" i="3"/>
  <c r="AB631" i="3"/>
  <c r="AC631" i="3"/>
  <c r="AE631" i="3"/>
  <c r="AF631" i="3"/>
  <c r="AH631" i="3"/>
  <c r="AI631" i="3"/>
  <c r="AK631" i="3"/>
  <c r="AL631" i="3"/>
  <c r="AN631" i="3"/>
  <c r="AO631" i="3"/>
  <c r="AQ631" i="3"/>
  <c r="AR631" i="3"/>
  <c r="Y632" i="3"/>
  <c r="Z632" i="3"/>
  <c r="AB632" i="3"/>
  <c r="AC632" i="3"/>
  <c r="AE632" i="3"/>
  <c r="AF632" i="3"/>
  <c r="AH632" i="3"/>
  <c r="AI632" i="3"/>
  <c r="AK632" i="3"/>
  <c r="AL632" i="3"/>
  <c r="AN632" i="3"/>
  <c r="AO632" i="3"/>
  <c r="AQ632" i="3"/>
  <c r="AR632" i="3"/>
  <c r="Y633" i="3"/>
  <c r="Z633" i="3"/>
  <c r="AB633" i="3"/>
  <c r="AC633" i="3"/>
  <c r="AE633" i="3"/>
  <c r="AF633" i="3"/>
  <c r="AH633" i="3"/>
  <c r="AI633" i="3"/>
  <c r="AK633" i="3"/>
  <c r="AL633" i="3"/>
  <c r="AN633" i="3"/>
  <c r="AO633" i="3"/>
  <c r="AQ633" i="3"/>
  <c r="AR633" i="3"/>
  <c r="Y634" i="3"/>
  <c r="Z634" i="3"/>
  <c r="AB634" i="3"/>
  <c r="AC634" i="3"/>
  <c r="AE634" i="3"/>
  <c r="AF634" i="3"/>
  <c r="AH634" i="3"/>
  <c r="AI634" i="3"/>
  <c r="AK634" i="3"/>
  <c r="AL634" i="3"/>
  <c r="AN634" i="3"/>
  <c r="AO634" i="3"/>
  <c r="AQ634" i="3"/>
  <c r="AR634" i="3"/>
  <c r="Y635" i="3"/>
  <c r="Z635" i="3"/>
  <c r="AB635" i="3"/>
  <c r="AC635" i="3"/>
  <c r="AE635" i="3"/>
  <c r="AF635" i="3"/>
  <c r="AH635" i="3"/>
  <c r="AI635" i="3"/>
  <c r="AK635" i="3"/>
  <c r="AL635" i="3"/>
  <c r="AN635" i="3"/>
  <c r="AO635" i="3"/>
  <c r="AQ635" i="3"/>
  <c r="AR635" i="3"/>
  <c r="Y636" i="3"/>
  <c r="Z636" i="3"/>
  <c r="AB636" i="3"/>
  <c r="AC636" i="3"/>
  <c r="AE636" i="3"/>
  <c r="AF636" i="3"/>
  <c r="AH636" i="3"/>
  <c r="AI636" i="3"/>
  <c r="AK636" i="3"/>
  <c r="AL636" i="3"/>
  <c r="AN636" i="3"/>
  <c r="AO636" i="3"/>
  <c r="AQ636" i="3"/>
  <c r="AR636" i="3"/>
  <c r="Y637" i="3"/>
  <c r="Z637" i="3"/>
  <c r="AB637" i="3"/>
  <c r="AC637" i="3"/>
  <c r="AE637" i="3"/>
  <c r="AF637" i="3"/>
  <c r="AH637" i="3"/>
  <c r="AI637" i="3"/>
  <c r="AK637" i="3"/>
  <c r="AL637" i="3"/>
  <c r="AN637" i="3"/>
  <c r="AO637" i="3"/>
  <c r="AQ637" i="3"/>
  <c r="AR637" i="3"/>
  <c r="Y638" i="3"/>
  <c r="Z638" i="3"/>
  <c r="AB638" i="3"/>
  <c r="AC638" i="3"/>
  <c r="AE638" i="3"/>
  <c r="AF638" i="3"/>
  <c r="AH638" i="3"/>
  <c r="AI638" i="3"/>
  <c r="AK638" i="3"/>
  <c r="AL638" i="3"/>
  <c r="AN638" i="3"/>
  <c r="AO638" i="3"/>
  <c r="AQ638" i="3"/>
  <c r="AR638" i="3"/>
  <c r="Y639" i="3"/>
  <c r="Z639" i="3"/>
  <c r="AB639" i="3"/>
  <c r="AC639" i="3"/>
  <c r="AE639" i="3"/>
  <c r="AF639" i="3"/>
  <c r="AH639" i="3"/>
  <c r="AI639" i="3"/>
  <c r="AK639" i="3"/>
  <c r="AL639" i="3"/>
  <c r="AN639" i="3"/>
  <c r="AO639" i="3"/>
  <c r="AQ639" i="3"/>
  <c r="AR639" i="3"/>
  <c r="Y640" i="3"/>
  <c r="Z640" i="3"/>
  <c r="AB640" i="3"/>
  <c r="AC640" i="3"/>
  <c r="AE640" i="3"/>
  <c r="AF640" i="3"/>
  <c r="AH640" i="3"/>
  <c r="AI640" i="3"/>
  <c r="AK640" i="3"/>
  <c r="AL640" i="3"/>
  <c r="AN640" i="3"/>
  <c r="AO640" i="3"/>
  <c r="AQ640" i="3"/>
  <c r="AR640" i="3"/>
  <c r="Y641" i="3"/>
  <c r="Z641" i="3"/>
  <c r="AB641" i="3"/>
  <c r="AC641" i="3"/>
  <c r="AE641" i="3"/>
  <c r="AF641" i="3"/>
  <c r="AH641" i="3"/>
  <c r="AI641" i="3"/>
  <c r="AK641" i="3"/>
  <c r="AL641" i="3"/>
  <c r="AN641" i="3"/>
  <c r="AO641" i="3"/>
  <c r="AQ641" i="3"/>
  <c r="AR641" i="3"/>
  <c r="Y642" i="3"/>
  <c r="Z642" i="3"/>
  <c r="AB642" i="3"/>
  <c r="AC642" i="3"/>
  <c r="AE642" i="3"/>
  <c r="AF642" i="3"/>
  <c r="AH642" i="3"/>
  <c r="AI642" i="3"/>
  <c r="AK642" i="3"/>
  <c r="AL642" i="3"/>
  <c r="AN642" i="3"/>
  <c r="AO642" i="3"/>
  <c r="AQ642" i="3"/>
  <c r="AR642" i="3"/>
  <c r="Y643" i="3"/>
  <c r="Z643" i="3"/>
  <c r="AB643" i="3"/>
  <c r="AC643" i="3"/>
  <c r="AE643" i="3"/>
  <c r="AF643" i="3"/>
  <c r="AH643" i="3"/>
  <c r="AI643" i="3"/>
  <c r="AK643" i="3"/>
  <c r="AL643" i="3"/>
  <c r="AN643" i="3"/>
  <c r="AO643" i="3"/>
  <c r="AQ643" i="3"/>
  <c r="AR643" i="3"/>
  <c r="Y644" i="3"/>
  <c r="Z644" i="3"/>
  <c r="AB644" i="3"/>
  <c r="AC644" i="3"/>
  <c r="AE644" i="3"/>
  <c r="AF644" i="3"/>
  <c r="AH644" i="3"/>
  <c r="AI644" i="3"/>
  <c r="AK644" i="3"/>
  <c r="AL644" i="3"/>
  <c r="AN644" i="3"/>
  <c r="AO644" i="3"/>
  <c r="AQ644" i="3"/>
  <c r="AR644" i="3"/>
  <c r="Y645" i="3"/>
  <c r="Z645" i="3"/>
  <c r="AB645" i="3"/>
  <c r="AC645" i="3"/>
  <c r="AE645" i="3"/>
  <c r="AF645" i="3"/>
  <c r="AH645" i="3"/>
  <c r="AI645" i="3"/>
  <c r="AK645" i="3"/>
  <c r="AL645" i="3"/>
  <c r="AN645" i="3"/>
  <c r="AO645" i="3"/>
  <c r="AQ645" i="3"/>
  <c r="AR645" i="3"/>
  <c r="Y646" i="3"/>
  <c r="Z646" i="3"/>
  <c r="AB646" i="3"/>
  <c r="AC646" i="3"/>
  <c r="AE646" i="3"/>
  <c r="AF646" i="3"/>
  <c r="AH646" i="3"/>
  <c r="AI646" i="3"/>
  <c r="AK646" i="3"/>
  <c r="AL646" i="3"/>
  <c r="AN646" i="3"/>
  <c r="AO646" i="3"/>
  <c r="AQ646" i="3"/>
  <c r="AR646" i="3"/>
  <c r="Y647" i="3"/>
  <c r="Z647" i="3"/>
  <c r="AB647" i="3"/>
  <c r="AC647" i="3"/>
  <c r="AE647" i="3"/>
  <c r="AF647" i="3"/>
  <c r="AH647" i="3"/>
  <c r="AI647" i="3"/>
  <c r="AK647" i="3"/>
  <c r="AL647" i="3"/>
  <c r="AN647" i="3"/>
  <c r="AO647" i="3"/>
  <c r="AQ647" i="3"/>
  <c r="AR647" i="3"/>
  <c r="Y648" i="3"/>
  <c r="Z648" i="3"/>
  <c r="AB648" i="3"/>
  <c r="AC648" i="3"/>
  <c r="AE648" i="3"/>
  <c r="AF648" i="3"/>
  <c r="AH648" i="3"/>
  <c r="AI648" i="3"/>
  <c r="AK648" i="3"/>
  <c r="AL648" i="3"/>
  <c r="AN648" i="3"/>
  <c r="AO648" i="3"/>
  <c r="AQ648" i="3"/>
  <c r="AR648" i="3"/>
  <c r="Y649" i="3"/>
  <c r="Z649" i="3"/>
  <c r="AB649" i="3"/>
  <c r="AC649" i="3"/>
  <c r="AE649" i="3"/>
  <c r="AF649" i="3"/>
  <c r="AH649" i="3"/>
  <c r="AI649" i="3"/>
  <c r="AK649" i="3"/>
  <c r="AL649" i="3"/>
  <c r="AN649" i="3"/>
  <c r="AO649" i="3"/>
  <c r="AQ649" i="3"/>
  <c r="AR649" i="3"/>
  <c r="Y650" i="3"/>
  <c r="Z650" i="3"/>
  <c r="AB650" i="3"/>
  <c r="AC650" i="3"/>
  <c r="AE650" i="3"/>
  <c r="AF650" i="3"/>
  <c r="AH650" i="3"/>
  <c r="AI650" i="3"/>
  <c r="AK650" i="3"/>
  <c r="AL650" i="3"/>
  <c r="AN650" i="3"/>
  <c r="AO650" i="3"/>
  <c r="AQ650" i="3"/>
  <c r="AR650" i="3"/>
  <c r="Y651" i="3"/>
  <c r="Z651" i="3"/>
  <c r="AB651" i="3"/>
  <c r="AC651" i="3"/>
  <c r="AE651" i="3"/>
  <c r="AF651" i="3"/>
  <c r="AH651" i="3"/>
  <c r="AI651" i="3"/>
  <c r="AK651" i="3"/>
  <c r="AL651" i="3"/>
  <c r="AN651" i="3"/>
  <c r="AO651" i="3"/>
  <c r="AQ651" i="3"/>
  <c r="AR651" i="3"/>
  <c r="Y652" i="3"/>
  <c r="Z652" i="3"/>
  <c r="AB652" i="3"/>
  <c r="AC652" i="3"/>
  <c r="AE652" i="3"/>
  <c r="AF652" i="3"/>
  <c r="AH652" i="3"/>
  <c r="AI652" i="3"/>
  <c r="AK652" i="3"/>
  <c r="AL652" i="3"/>
  <c r="AN652" i="3"/>
  <c r="AO652" i="3"/>
  <c r="AQ652" i="3"/>
  <c r="AR652" i="3"/>
  <c r="Y653" i="3"/>
  <c r="Z653" i="3"/>
  <c r="AB653" i="3"/>
  <c r="AC653" i="3"/>
  <c r="AE653" i="3"/>
  <c r="AF653" i="3"/>
  <c r="AH653" i="3"/>
  <c r="AI653" i="3"/>
  <c r="AK653" i="3"/>
  <c r="AL653" i="3"/>
  <c r="AN653" i="3"/>
  <c r="AO653" i="3"/>
  <c r="AQ653" i="3"/>
  <c r="AR653" i="3"/>
  <c r="Y654" i="3"/>
  <c r="Z654" i="3"/>
  <c r="AB654" i="3"/>
  <c r="AC654" i="3"/>
  <c r="AE654" i="3"/>
  <c r="AF654" i="3"/>
  <c r="AH654" i="3"/>
  <c r="AI654" i="3"/>
  <c r="AK654" i="3"/>
  <c r="AL654" i="3"/>
  <c r="AN654" i="3"/>
  <c r="AO654" i="3"/>
  <c r="AQ654" i="3"/>
  <c r="AR654" i="3"/>
  <c r="Y655" i="3"/>
  <c r="Z655" i="3"/>
  <c r="AB655" i="3"/>
  <c r="AC655" i="3"/>
  <c r="AE655" i="3"/>
  <c r="AF655" i="3"/>
  <c r="AH655" i="3"/>
  <c r="AI655" i="3"/>
  <c r="AK655" i="3"/>
  <c r="AL655" i="3"/>
  <c r="AN655" i="3"/>
  <c r="AO655" i="3"/>
  <c r="AQ655" i="3"/>
  <c r="AR655" i="3"/>
  <c r="Y656" i="3"/>
  <c r="Z656" i="3"/>
  <c r="AB656" i="3"/>
  <c r="AC656" i="3"/>
  <c r="AE656" i="3"/>
  <c r="AF656" i="3"/>
  <c r="AH656" i="3"/>
  <c r="AI656" i="3"/>
  <c r="AK656" i="3"/>
  <c r="AL656" i="3"/>
  <c r="AN656" i="3"/>
  <c r="AO656" i="3"/>
  <c r="AQ656" i="3"/>
  <c r="AR656" i="3"/>
  <c r="Y657" i="3"/>
  <c r="Z657" i="3"/>
  <c r="AB657" i="3"/>
  <c r="AC657" i="3"/>
  <c r="AE657" i="3"/>
  <c r="AF657" i="3"/>
  <c r="AH657" i="3"/>
  <c r="AI657" i="3"/>
  <c r="AK657" i="3"/>
  <c r="AL657" i="3"/>
  <c r="AN657" i="3"/>
  <c r="AO657" i="3"/>
  <c r="AQ657" i="3"/>
  <c r="AR657" i="3"/>
  <c r="Y658" i="3"/>
  <c r="Z658" i="3"/>
  <c r="AB658" i="3"/>
  <c r="AC658" i="3"/>
  <c r="AE658" i="3"/>
  <c r="AF658" i="3"/>
  <c r="AH658" i="3"/>
  <c r="AI658" i="3"/>
  <c r="AK658" i="3"/>
  <c r="AL658" i="3"/>
  <c r="AN658" i="3"/>
  <c r="AO658" i="3"/>
  <c r="AQ658" i="3"/>
  <c r="AR658" i="3"/>
  <c r="Y659" i="3"/>
  <c r="Z659" i="3"/>
  <c r="AB659" i="3"/>
  <c r="AC659" i="3"/>
  <c r="AE659" i="3"/>
  <c r="AF659" i="3"/>
  <c r="AH659" i="3"/>
  <c r="AI659" i="3"/>
  <c r="AK659" i="3"/>
  <c r="AL659" i="3"/>
  <c r="AN659" i="3"/>
  <c r="AO659" i="3"/>
  <c r="AQ659" i="3"/>
  <c r="AR659" i="3"/>
  <c r="Y660" i="3"/>
  <c r="Z660" i="3"/>
  <c r="AB660" i="3"/>
  <c r="AC660" i="3"/>
  <c r="AE660" i="3"/>
  <c r="AF660" i="3"/>
  <c r="AH660" i="3"/>
  <c r="AI660" i="3"/>
  <c r="AK660" i="3"/>
  <c r="AL660" i="3"/>
  <c r="AN660" i="3"/>
  <c r="AO660" i="3"/>
  <c r="AQ660" i="3"/>
  <c r="AR660" i="3"/>
  <c r="Y661" i="3"/>
  <c r="Z661" i="3"/>
  <c r="AB661" i="3"/>
  <c r="AC661" i="3"/>
  <c r="AE661" i="3"/>
  <c r="AF661" i="3"/>
  <c r="AH661" i="3"/>
  <c r="AI661" i="3"/>
  <c r="AK661" i="3"/>
  <c r="AL661" i="3"/>
  <c r="AN661" i="3"/>
  <c r="AO661" i="3"/>
  <c r="AQ661" i="3"/>
  <c r="AR661" i="3"/>
  <c r="Y662" i="3"/>
  <c r="Z662" i="3"/>
  <c r="AB662" i="3"/>
  <c r="AC662" i="3"/>
  <c r="AE662" i="3"/>
  <c r="AF662" i="3"/>
  <c r="AH662" i="3"/>
  <c r="AI662" i="3"/>
  <c r="AK662" i="3"/>
  <c r="AL662" i="3"/>
  <c r="AN662" i="3"/>
  <c r="AO662" i="3"/>
  <c r="AQ662" i="3"/>
  <c r="AR662" i="3"/>
  <c r="Y663" i="3"/>
  <c r="Z663" i="3"/>
  <c r="AB663" i="3"/>
  <c r="AC663" i="3"/>
  <c r="AE663" i="3"/>
  <c r="AF663" i="3"/>
  <c r="AH663" i="3"/>
  <c r="AI663" i="3"/>
  <c r="AK663" i="3"/>
  <c r="AL663" i="3"/>
  <c r="AN663" i="3"/>
  <c r="AO663" i="3"/>
  <c r="AQ663" i="3"/>
  <c r="AR663" i="3"/>
  <c r="Y664" i="3"/>
  <c r="Z664" i="3"/>
  <c r="AB664" i="3"/>
  <c r="AC664" i="3"/>
  <c r="AE664" i="3"/>
  <c r="AF664" i="3"/>
  <c r="AH664" i="3"/>
  <c r="AI664" i="3"/>
  <c r="AK664" i="3"/>
  <c r="AL664" i="3"/>
  <c r="AN664" i="3"/>
  <c r="AO664" i="3"/>
  <c r="AQ664" i="3"/>
  <c r="AR664" i="3"/>
  <c r="Y665" i="3"/>
  <c r="Z665" i="3"/>
  <c r="AB665" i="3"/>
  <c r="AC665" i="3"/>
  <c r="AE665" i="3"/>
  <c r="AF665" i="3"/>
  <c r="AH665" i="3"/>
  <c r="AI665" i="3"/>
  <c r="AK665" i="3"/>
  <c r="AL665" i="3"/>
  <c r="AN665" i="3"/>
  <c r="AO665" i="3"/>
  <c r="AQ665" i="3"/>
  <c r="AR665" i="3"/>
  <c r="Y666" i="3"/>
  <c r="Z666" i="3"/>
  <c r="AB666" i="3"/>
  <c r="AC666" i="3"/>
  <c r="AE666" i="3"/>
  <c r="AF666" i="3"/>
  <c r="AH666" i="3"/>
  <c r="AI666" i="3"/>
  <c r="AK666" i="3"/>
  <c r="AL666" i="3"/>
  <c r="AN666" i="3"/>
  <c r="AO666" i="3"/>
  <c r="AQ666" i="3"/>
  <c r="AR666" i="3"/>
  <c r="Y667" i="3"/>
  <c r="Z667" i="3"/>
  <c r="AB667" i="3"/>
  <c r="AC667" i="3"/>
  <c r="AE667" i="3"/>
  <c r="AF667" i="3"/>
  <c r="AH667" i="3"/>
  <c r="AI667" i="3"/>
  <c r="AK667" i="3"/>
  <c r="AL667" i="3"/>
  <c r="AN667" i="3"/>
  <c r="AO667" i="3"/>
  <c r="AQ667" i="3"/>
  <c r="AR667" i="3"/>
  <c r="Y668" i="3"/>
  <c r="Z668" i="3"/>
  <c r="AB668" i="3"/>
  <c r="AC668" i="3"/>
  <c r="AE668" i="3"/>
  <c r="AF668" i="3"/>
  <c r="AH668" i="3"/>
  <c r="AI668" i="3"/>
  <c r="AK668" i="3"/>
  <c r="AL668" i="3"/>
  <c r="AN668" i="3"/>
  <c r="AO668" i="3"/>
  <c r="AQ668" i="3"/>
  <c r="AR668" i="3"/>
  <c r="Y669" i="3"/>
  <c r="Z669" i="3"/>
  <c r="AB669" i="3"/>
  <c r="AC669" i="3"/>
  <c r="AE669" i="3"/>
  <c r="AF669" i="3"/>
  <c r="AH669" i="3"/>
  <c r="AI669" i="3"/>
  <c r="AK669" i="3"/>
  <c r="AL669" i="3"/>
  <c r="AN669" i="3"/>
  <c r="AO669" i="3"/>
  <c r="AQ669" i="3"/>
  <c r="AR669" i="3"/>
  <c r="Y670" i="3"/>
  <c r="Z670" i="3"/>
  <c r="AB670" i="3"/>
  <c r="AC670" i="3"/>
  <c r="AE670" i="3"/>
  <c r="AF670" i="3"/>
  <c r="AH670" i="3"/>
  <c r="AI670" i="3"/>
  <c r="AK670" i="3"/>
  <c r="AL670" i="3"/>
  <c r="AN670" i="3"/>
  <c r="AO670" i="3"/>
  <c r="AQ670" i="3"/>
  <c r="AR670" i="3"/>
  <c r="Y671" i="3"/>
  <c r="Z671" i="3"/>
  <c r="AB671" i="3"/>
  <c r="AC671" i="3"/>
  <c r="AE671" i="3"/>
  <c r="AF671" i="3"/>
  <c r="AH671" i="3"/>
  <c r="AI671" i="3"/>
  <c r="AK671" i="3"/>
  <c r="AL671" i="3"/>
  <c r="AN671" i="3"/>
  <c r="AO671" i="3"/>
  <c r="AQ671" i="3"/>
  <c r="AR671" i="3"/>
  <c r="Y672" i="3"/>
  <c r="Z672" i="3"/>
  <c r="AB672" i="3"/>
  <c r="AC672" i="3"/>
  <c r="AE672" i="3"/>
  <c r="AF672" i="3"/>
  <c r="AH672" i="3"/>
  <c r="AI672" i="3"/>
  <c r="AK672" i="3"/>
  <c r="AL672" i="3"/>
  <c r="AN672" i="3"/>
  <c r="AO672" i="3"/>
  <c r="AQ672" i="3"/>
  <c r="AR672" i="3"/>
  <c r="Y673" i="3"/>
  <c r="Z673" i="3"/>
  <c r="AB673" i="3"/>
  <c r="AC673" i="3"/>
  <c r="AE673" i="3"/>
  <c r="AF673" i="3"/>
  <c r="AH673" i="3"/>
  <c r="AI673" i="3"/>
  <c r="AK673" i="3"/>
  <c r="AL673" i="3"/>
  <c r="AN673" i="3"/>
  <c r="AO673" i="3"/>
  <c r="AQ673" i="3"/>
  <c r="AR673" i="3"/>
  <c r="Y674" i="3"/>
  <c r="Z674" i="3"/>
  <c r="AB674" i="3"/>
  <c r="AC674" i="3"/>
  <c r="AE674" i="3"/>
  <c r="AF674" i="3"/>
  <c r="AH674" i="3"/>
  <c r="AI674" i="3"/>
  <c r="AK674" i="3"/>
  <c r="AL674" i="3"/>
  <c r="AN674" i="3"/>
  <c r="AO674" i="3"/>
  <c r="AQ674" i="3"/>
  <c r="AR674" i="3"/>
  <c r="Y675" i="3"/>
  <c r="Z675" i="3"/>
  <c r="AB675" i="3"/>
  <c r="AC675" i="3"/>
  <c r="AE675" i="3"/>
  <c r="AF675" i="3"/>
  <c r="AH675" i="3"/>
  <c r="AI675" i="3"/>
  <c r="AK675" i="3"/>
  <c r="AL675" i="3"/>
  <c r="AN675" i="3"/>
  <c r="AO675" i="3"/>
  <c r="AQ675" i="3"/>
  <c r="AR675" i="3"/>
  <c r="Y676" i="3"/>
  <c r="Z676" i="3"/>
  <c r="AB676" i="3"/>
  <c r="AC676" i="3"/>
  <c r="AE676" i="3"/>
  <c r="AF676" i="3"/>
  <c r="AH676" i="3"/>
  <c r="AI676" i="3"/>
  <c r="AK676" i="3"/>
  <c r="AL676" i="3"/>
  <c r="AN676" i="3"/>
  <c r="AO676" i="3"/>
  <c r="AQ676" i="3"/>
  <c r="AR676" i="3"/>
  <c r="Y677" i="3"/>
  <c r="Z677" i="3"/>
  <c r="AB677" i="3"/>
  <c r="AC677" i="3"/>
  <c r="AE677" i="3"/>
  <c r="AF677" i="3"/>
  <c r="AH677" i="3"/>
  <c r="AI677" i="3"/>
  <c r="AK677" i="3"/>
  <c r="AL677" i="3"/>
  <c r="AN677" i="3"/>
  <c r="AO677" i="3"/>
  <c r="AQ677" i="3"/>
  <c r="AR677" i="3"/>
  <c r="Y678" i="3"/>
  <c r="Z678" i="3"/>
  <c r="AB678" i="3"/>
  <c r="AC678" i="3"/>
  <c r="AE678" i="3"/>
  <c r="AF678" i="3"/>
  <c r="AH678" i="3"/>
  <c r="AI678" i="3"/>
  <c r="AK678" i="3"/>
  <c r="AL678" i="3"/>
  <c r="AN678" i="3"/>
  <c r="AO678" i="3"/>
  <c r="AQ678" i="3"/>
  <c r="AR678" i="3"/>
  <c r="Y679" i="3"/>
  <c r="Z679" i="3"/>
  <c r="AB679" i="3"/>
  <c r="AC679" i="3"/>
  <c r="AE679" i="3"/>
  <c r="AF679" i="3"/>
  <c r="AH679" i="3"/>
  <c r="AI679" i="3"/>
  <c r="AK679" i="3"/>
  <c r="AL679" i="3"/>
  <c r="AN679" i="3"/>
  <c r="AO679" i="3"/>
  <c r="AQ679" i="3"/>
  <c r="AR679" i="3"/>
  <c r="Y680" i="3"/>
  <c r="Z680" i="3"/>
  <c r="AB680" i="3"/>
  <c r="AC680" i="3"/>
  <c r="AE680" i="3"/>
  <c r="AF680" i="3"/>
  <c r="AH680" i="3"/>
  <c r="AI680" i="3"/>
  <c r="AK680" i="3"/>
  <c r="AL680" i="3"/>
  <c r="AN680" i="3"/>
  <c r="AO680" i="3"/>
  <c r="AQ680" i="3"/>
  <c r="AR680" i="3"/>
  <c r="Y681" i="3"/>
  <c r="Z681" i="3"/>
  <c r="AB681" i="3"/>
  <c r="AC681" i="3"/>
  <c r="AE681" i="3"/>
  <c r="AF681" i="3"/>
  <c r="AH681" i="3"/>
  <c r="AI681" i="3"/>
  <c r="AK681" i="3"/>
  <c r="AL681" i="3"/>
  <c r="AN681" i="3"/>
  <c r="AO681" i="3"/>
  <c r="AQ681" i="3"/>
  <c r="AR681" i="3"/>
  <c r="Y682" i="3"/>
  <c r="Z682" i="3"/>
  <c r="AB682" i="3"/>
  <c r="AC682" i="3"/>
  <c r="AE682" i="3"/>
  <c r="AF682" i="3"/>
  <c r="AH682" i="3"/>
  <c r="AI682" i="3"/>
  <c r="AK682" i="3"/>
  <c r="AL682" i="3"/>
  <c r="AN682" i="3"/>
  <c r="AO682" i="3"/>
  <c r="AQ682" i="3"/>
  <c r="AR682" i="3"/>
  <c r="Y683" i="3"/>
  <c r="Z683" i="3"/>
  <c r="AB683" i="3"/>
  <c r="AC683" i="3"/>
  <c r="AE683" i="3"/>
  <c r="AF683" i="3"/>
  <c r="AH683" i="3"/>
  <c r="AI683" i="3"/>
  <c r="AK683" i="3"/>
  <c r="AL683" i="3"/>
  <c r="AN683" i="3"/>
  <c r="AO683" i="3"/>
  <c r="AQ683" i="3"/>
  <c r="AR683" i="3"/>
  <c r="Y684" i="3"/>
  <c r="Z684" i="3"/>
  <c r="AB684" i="3"/>
  <c r="AC684" i="3"/>
  <c r="AE684" i="3"/>
  <c r="AF684" i="3"/>
  <c r="AH684" i="3"/>
  <c r="AI684" i="3"/>
  <c r="AK684" i="3"/>
  <c r="AL684" i="3"/>
  <c r="AN684" i="3"/>
  <c r="AO684" i="3"/>
  <c r="AQ684" i="3"/>
  <c r="AR684" i="3"/>
  <c r="Y685" i="3"/>
  <c r="Z685" i="3"/>
  <c r="AB685" i="3"/>
  <c r="AC685" i="3"/>
  <c r="AE685" i="3"/>
  <c r="AF685" i="3"/>
  <c r="AH685" i="3"/>
  <c r="AI685" i="3"/>
  <c r="AK685" i="3"/>
  <c r="AL685" i="3"/>
  <c r="AN685" i="3"/>
  <c r="AO685" i="3"/>
  <c r="AQ685" i="3"/>
  <c r="AR685" i="3"/>
  <c r="Y686" i="3"/>
  <c r="Z686" i="3"/>
  <c r="AB686" i="3"/>
  <c r="AC686" i="3"/>
  <c r="AE686" i="3"/>
  <c r="AF686" i="3"/>
  <c r="AH686" i="3"/>
  <c r="AI686" i="3"/>
  <c r="AK686" i="3"/>
  <c r="AL686" i="3"/>
  <c r="AN686" i="3"/>
  <c r="AO686" i="3"/>
  <c r="AQ686" i="3"/>
  <c r="AR686" i="3"/>
  <c r="Y687" i="3"/>
  <c r="Z687" i="3"/>
  <c r="AB687" i="3"/>
  <c r="AC687" i="3"/>
  <c r="AE687" i="3"/>
  <c r="AF687" i="3"/>
  <c r="AH687" i="3"/>
  <c r="AI687" i="3"/>
  <c r="AK687" i="3"/>
  <c r="AL687" i="3"/>
  <c r="AN687" i="3"/>
  <c r="AO687" i="3"/>
  <c r="AQ687" i="3"/>
  <c r="AR687" i="3"/>
  <c r="Y688" i="3"/>
  <c r="Z688" i="3"/>
  <c r="AB688" i="3"/>
  <c r="AC688" i="3"/>
  <c r="AE688" i="3"/>
  <c r="AF688" i="3"/>
  <c r="AH688" i="3"/>
  <c r="AI688" i="3"/>
  <c r="AK688" i="3"/>
  <c r="AL688" i="3"/>
  <c r="AN688" i="3"/>
  <c r="AO688" i="3"/>
  <c r="AQ688" i="3"/>
  <c r="AR688" i="3"/>
  <c r="Y689" i="3"/>
  <c r="Z689" i="3"/>
  <c r="AB689" i="3"/>
  <c r="AC689" i="3"/>
  <c r="AE689" i="3"/>
  <c r="AF689" i="3"/>
  <c r="AH689" i="3"/>
  <c r="AI689" i="3"/>
  <c r="AK689" i="3"/>
  <c r="AL689" i="3"/>
  <c r="AN689" i="3"/>
  <c r="AO689" i="3"/>
  <c r="AQ689" i="3"/>
  <c r="AR689" i="3"/>
  <c r="Y690" i="3"/>
  <c r="Z690" i="3"/>
  <c r="AB690" i="3"/>
  <c r="AC690" i="3"/>
  <c r="AE690" i="3"/>
  <c r="AF690" i="3"/>
  <c r="AH690" i="3"/>
  <c r="AI690" i="3"/>
  <c r="AK690" i="3"/>
  <c r="AL690" i="3"/>
  <c r="AN690" i="3"/>
  <c r="AO690" i="3"/>
  <c r="AQ690" i="3"/>
  <c r="AR690" i="3"/>
  <c r="Y691" i="3"/>
  <c r="Z691" i="3"/>
  <c r="AB691" i="3"/>
  <c r="AC691" i="3"/>
  <c r="AE691" i="3"/>
  <c r="AF691" i="3"/>
  <c r="AH691" i="3"/>
  <c r="AI691" i="3"/>
  <c r="AK691" i="3"/>
  <c r="AL691" i="3"/>
  <c r="AN691" i="3"/>
  <c r="AO691" i="3"/>
  <c r="AQ691" i="3"/>
  <c r="AR691" i="3"/>
  <c r="Y692" i="3"/>
  <c r="Z692" i="3"/>
  <c r="AB692" i="3"/>
  <c r="AC692" i="3"/>
  <c r="AE692" i="3"/>
  <c r="AF692" i="3"/>
  <c r="AH692" i="3"/>
  <c r="AI692" i="3"/>
  <c r="AK692" i="3"/>
  <c r="AL692" i="3"/>
  <c r="AN692" i="3"/>
  <c r="AO692" i="3"/>
  <c r="AQ692" i="3"/>
  <c r="AR692" i="3"/>
  <c r="Y693" i="3"/>
  <c r="Z693" i="3"/>
  <c r="AB693" i="3"/>
  <c r="AC693" i="3"/>
  <c r="AE693" i="3"/>
  <c r="AF693" i="3"/>
  <c r="AH693" i="3"/>
  <c r="AI693" i="3"/>
  <c r="AK693" i="3"/>
  <c r="AL693" i="3"/>
  <c r="AN693" i="3"/>
  <c r="AO693" i="3"/>
  <c r="AQ693" i="3"/>
  <c r="AR693" i="3"/>
  <c r="Y694" i="3"/>
  <c r="Z694" i="3"/>
  <c r="AB694" i="3"/>
  <c r="AC694" i="3"/>
  <c r="AE694" i="3"/>
  <c r="AF694" i="3"/>
  <c r="AH694" i="3"/>
  <c r="AI694" i="3"/>
  <c r="AK694" i="3"/>
  <c r="AL694" i="3"/>
  <c r="AN694" i="3"/>
  <c r="AO694" i="3"/>
  <c r="AQ694" i="3"/>
  <c r="AR694" i="3"/>
  <c r="Y695" i="3"/>
  <c r="Z695" i="3"/>
  <c r="AB695" i="3"/>
  <c r="AC695" i="3"/>
  <c r="AE695" i="3"/>
  <c r="AF695" i="3"/>
  <c r="AH695" i="3"/>
  <c r="AI695" i="3"/>
  <c r="AK695" i="3"/>
  <c r="AL695" i="3"/>
  <c r="AN695" i="3"/>
  <c r="AO695" i="3"/>
  <c r="AQ695" i="3"/>
  <c r="AR695" i="3"/>
  <c r="Y696" i="3"/>
  <c r="Z696" i="3"/>
  <c r="AB696" i="3"/>
  <c r="AC696" i="3"/>
  <c r="AE696" i="3"/>
  <c r="AF696" i="3"/>
  <c r="AH696" i="3"/>
  <c r="AI696" i="3"/>
  <c r="AK696" i="3"/>
  <c r="AL696" i="3"/>
  <c r="AN696" i="3"/>
  <c r="AO696" i="3"/>
  <c r="AQ696" i="3"/>
  <c r="AR696" i="3"/>
  <c r="Y697" i="3"/>
  <c r="Z697" i="3"/>
  <c r="AB697" i="3"/>
  <c r="AC697" i="3"/>
  <c r="AE697" i="3"/>
  <c r="AF697" i="3"/>
  <c r="AH697" i="3"/>
  <c r="AI697" i="3"/>
  <c r="AK697" i="3"/>
  <c r="AL697" i="3"/>
  <c r="AN697" i="3"/>
  <c r="AO697" i="3"/>
  <c r="AQ697" i="3"/>
  <c r="AR697" i="3"/>
  <c r="Y698" i="3"/>
  <c r="Z698" i="3"/>
  <c r="AB698" i="3"/>
  <c r="AC698" i="3"/>
  <c r="AE698" i="3"/>
  <c r="AF698" i="3"/>
  <c r="AH698" i="3"/>
  <c r="AI698" i="3"/>
  <c r="AK698" i="3"/>
  <c r="AL698" i="3"/>
  <c r="AN698" i="3"/>
  <c r="AO698" i="3"/>
  <c r="AQ698" i="3"/>
  <c r="AR698" i="3"/>
  <c r="Y699" i="3"/>
  <c r="Z699" i="3"/>
  <c r="AB699" i="3"/>
  <c r="AC699" i="3"/>
  <c r="AE699" i="3"/>
  <c r="AF699" i="3"/>
  <c r="AH699" i="3"/>
  <c r="AI699" i="3"/>
  <c r="AK699" i="3"/>
  <c r="AL699" i="3"/>
  <c r="AN699" i="3"/>
  <c r="AO699" i="3"/>
  <c r="AQ699" i="3"/>
  <c r="AR699" i="3"/>
  <c r="Y700" i="3"/>
  <c r="Z700" i="3"/>
  <c r="AB700" i="3"/>
  <c r="AC700" i="3"/>
  <c r="AE700" i="3"/>
  <c r="AF700" i="3"/>
  <c r="AH700" i="3"/>
  <c r="AI700" i="3"/>
  <c r="AK700" i="3"/>
  <c r="AL700" i="3"/>
  <c r="AN700" i="3"/>
  <c r="AO700" i="3"/>
  <c r="AQ700" i="3"/>
  <c r="AR700" i="3"/>
  <c r="Y701" i="3"/>
  <c r="Z701" i="3"/>
  <c r="AB701" i="3"/>
  <c r="AC701" i="3"/>
  <c r="AE701" i="3"/>
  <c r="AF701" i="3"/>
  <c r="AH701" i="3"/>
  <c r="AI701" i="3"/>
  <c r="AK701" i="3"/>
  <c r="AL701" i="3"/>
  <c r="AN701" i="3"/>
  <c r="AO701" i="3"/>
  <c r="AQ701" i="3"/>
  <c r="AR701" i="3"/>
  <c r="Y702" i="3"/>
  <c r="Z702" i="3"/>
  <c r="AB702" i="3"/>
  <c r="AC702" i="3"/>
  <c r="AE702" i="3"/>
  <c r="AF702" i="3"/>
  <c r="AH702" i="3"/>
  <c r="AI702" i="3"/>
  <c r="AK702" i="3"/>
  <c r="AL702" i="3"/>
  <c r="AN702" i="3"/>
  <c r="AO702" i="3"/>
  <c r="AQ702" i="3"/>
  <c r="AR702" i="3"/>
  <c r="Y703" i="3"/>
  <c r="Z703" i="3"/>
  <c r="AB703" i="3"/>
  <c r="AC703" i="3"/>
  <c r="AE703" i="3"/>
  <c r="AF703" i="3"/>
  <c r="AH703" i="3"/>
  <c r="AI703" i="3"/>
  <c r="AK703" i="3"/>
  <c r="AL703" i="3"/>
  <c r="AN703" i="3"/>
  <c r="AO703" i="3"/>
  <c r="AQ703" i="3"/>
  <c r="AR703" i="3"/>
  <c r="Y704" i="3"/>
  <c r="Z704" i="3"/>
  <c r="AB704" i="3"/>
  <c r="AC704" i="3"/>
  <c r="AE704" i="3"/>
  <c r="AF704" i="3"/>
  <c r="AH704" i="3"/>
  <c r="AI704" i="3"/>
  <c r="AK704" i="3"/>
  <c r="AL704" i="3"/>
  <c r="AN704" i="3"/>
  <c r="AO704" i="3"/>
  <c r="AQ704" i="3"/>
  <c r="AR704" i="3"/>
  <c r="Y705" i="3"/>
  <c r="Z705" i="3"/>
  <c r="AB705" i="3"/>
  <c r="AC705" i="3"/>
  <c r="AE705" i="3"/>
  <c r="AF705" i="3"/>
  <c r="AH705" i="3"/>
  <c r="AI705" i="3"/>
  <c r="AK705" i="3"/>
  <c r="AL705" i="3"/>
  <c r="AN705" i="3"/>
  <c r="AO705" i="3"/>
  <c r="AQ705" i="3"/>
  <c r="AR705" i="3"/>
  <c r="Y706" i="3"/>
  <c r="Z706" i="3"/>
  <c r="AB706" i="3"/>
  <c r="AC706" i="3"/>
  <c r="AE706" i="3"/>
  <c r="AF706" i="3"/>
  <c r="AH706" i="3"/>
  <c r="AI706" i="3"/>
  <c r="AK706" i="3"/>
  <c r="AL706" i="3"/>
  <c r="AN706" i="3"/>
  <c r="AO706" i="3"/>
  <c r="AQ706" i="3"/>
  <c r="AR706" i="3"/>
  <c r="Y707" i="3"/>
  <c r="Z707" i="3"/>
  <c r="AB707" i="3"/>
  <c r="AC707" i="3"/>
  <c r="AE707" i="3"/>
  <c r="AF707" i="3"/>
  <c r="AH707" i="3"/>
  <c r="AI707" i="3"/>
  <c r="AK707" i="3"/>
  <c r="AL707" i="3"/>
  <c r="AN707" i="3"/>
  <c r="AO707" i="3"/>
  <c r="AQ707" i="3"/>
  <c r="AR707" i="3"/>
  <c r="Y708" i="3"/>
  <c r="Z708" i="3"/>
  <c r="AB708" i="3"/>
  <c r="AC708" i="3"/>
  <c r="AE708" i="3"/>
  <c r="AF708" i="3"/>
  <c r="AH708" i="3"/>
  <c r="AI708" i="3"/>
  <c r="AK708" i="3"/>
  <c r="AL708" i="3"/>
  <c r="AN708" i="3"/>
  <c r="AO708" i="3"/>
  <c r="AQ708" i="3"/>
  <c r="AR708" i="3"/>
  <c r="Y709" i="3"/>
  <c r="Z709" i="3"/>
  <c r="AB709" i="3"/>
  <c r="AC709" i="3"/>
  <c r="AE709" i="3"/>
  <c r="AF709" i="3"/>
  <c r="AH709" i="3"/>
  <c r="AI709" i="3"/>
  <c r="AK709" i="3"/>
  <c r="AL709" i="3"/>
  <c r="AN709" i="3"/>
  <c r="AO709" i="3"/>
  <c r="AQ709" i="3"/>
  <c r="AR709" i="3"/>
  <c r="Y710" i="3"/>
  <c r="Z710" i="3"/>
  <c r="AB710" i="3"/>
  <c r="AC710" i="3"/>
  <c r="AE710" i="3"/>
  <c r="AF710" i="3"/>
  <c r="AH710" i="3"/>
  <c r="AI710" i="3"/>
  <c r="AK710" i="3"/>
  <c r="AL710" i="3"/>
  <c r="AN710" i="3"/>
  <c r="AO710" i="3"/>
  <c r="AQ710" i="3"/>
  <c r="AR710" i="3"/>
  <c r="Y711" i="3"/>
  <c r="Z711" i="3"/>
  <c r="AB711" i="3"/>
  <c r="AC711" i="3"/>
  <c r="AE711" i="3"/>
  <c r="AF711" i="3"/>
  <c r="AH711" i="3"/>
  <c r="AI711" i="3"/>
  <c r="AK711" i="3"/>
  <c r="AL711" i="3"/>
  <c r="AN711" i="3"/>
  <c r="AO711" i="3"/>
  <c r="AQ711" i="3"/>
  <c r="AR711" i="3"/>
  <c r="Y712" i="3"/>
  <c r="Z712" i="3"/>
  <c r="AB712" i="3"/>
  <c r="AC712" i="3"/>
  <c r="AE712" i="3"/>
  <c r="AF712" i="3"/>
  <c r="AH712" i="3"/>
  <c r="AI712" i="3"/>
  <c r="AK712" i="3"/>
  <c r="AL712" i="3"/>
  <c r="AN712" i="3"/>
  <c r="AO712" i="3"/>
  <c r="AQ712" i="3"/>
  <c r="AR712" i="3"/>
  <c r="Y713" i="3"/>
  <c r="Z713" i="3"/>
  <c r="AB713" i="3"/>
  <c r="AC713" i="3"/>
  <c r="AE713" i="3"/>
  <c r="AF713" i="3"/>
  <c r="AH713" i="3"/>
  <c r="AI713" i="3"/>
  <c r="AK713" i="3"/>
  <c r="AL713" i="3"/>
  <c r="AN713" i="3"/>
  <c r="AO713" i="3"/>
  <c r="AQ713" i="3"/>
  <c r="AR713" i="3"/>
  <c r="Y714" i="3"/>
  <c r="Z714" i="3"/>
  <c r="AB714" i="3"/>
  <c r="AC714" i="3"/>
  <c r="AE714" i="3"/>
  <c r="AF714" i="3"/>
  <c r="AH714" i="3"/>
  <c r="AI714" i="3"/>
  <c r="AK714" i="3"/>
  <c r="AL714" i="3"/>
  <c r="AN714" i="3"/>
  <c r="AO714" i="3"/>
  <c r="AQ714" i="3"/>
  <c r="AR714" i="3"/>
  <c r="Y715" i="3"/>
  <c r="Z715" i="3"/>
  <c r="AB715" i="3"/>
  <c r="AC715" i="3"/>
  <c r="AE715" i="3"/>
  <c r="AF715" i="3"/>
  <c r="AH715" i="3"/>
  <c r="AI715" i="3"/>
  <c r="AK715" i="3"/>
  <c r="AL715" i="3"/>
  <c r="AN715" i="3"/>
  <c r="AO715" i="3"/>
  <c r="AQ715" i="3"/>
  <c r="AR715" i="3"/>
  <c r="Y716" i="3"/>
  <c r="Z716" i="3"/>
  <c r="AB716" i="3"/>
  <c r="AC716" i="3"/>
  <c r="AE716" i="3"/>
  <c r="AF716" i="3"/>
  <c r="AH716" i="3"/>
  <c r="AI716" i="3"/>
  <c r="AK716" i="3"/>
  <c r="AL716" i="3"/>
  <c r="AN716" i="3"/>
  <c r="AO716" i="3"/>
  <c r="AQ716" i="3"/>
  <c r="AR716" i="3"/>
  <c r="Y717" i="3"/>
  <c r="Z717" i="3"/>
  <c r="AB717" i="3"/>
  <c r="AC717" i="3"/>
  <c r="AE717" i="3"/>
  <c r="AF717" i="3"/>
  <c r="AH717" i="3"/>
  <c r="AI717" i="3"/>
  <c r="AK717" i="3"/>
  <c r="AL717" i="3"/>
  <c r="AN717" i="3"/>
  <c r="AO717" i="3"/>
  <c r="AQ717" i="3"/>
  <c r="AR717" i="3"/>
  <c r="Y718" i="3"/>
  <c r="Z718" i="3"/>
  <c r="AB718" i="3"/>
  <c r="AC718" i="3"/>
  <c r="AE718" i="3"/>
  <c r="AF718" i="3"/>
  <c r="AH718" i="3"/>
  <c r="AI718" i="3"/>
  <c r="AK718" i="3"/>
  <c r="AL718" i="3"/>
  <c r="AN718" i="3"/>
  <c r="AO718" i="3"/>
  <c r="AQ718" i="3"/>
  <c r="AR718" i="3"/>
  <c r="Y719" i="3"/>
  <c r="Z719" i="3"/>
  <c r="AB719" i="3"/>
  <c r="AC719" i="3"/>
  <c r="AE719" i="3"/>
  <c r="AF719" i="3"/>
  <c r="AH719" i="3"/>
  <c r="AI719" i="3"/>
  <c r="AK719" i="3"/>
  <c r="AL719" i="3"/>
  <c r="AN719" i="3"/>
  <c r="AO719" i="3"/>
  <c r="AQ719" i="3"/>
  <c r="AR719" i="3"/>
  <c r="Y720" i="3"/>
  <c r="Z720" i="3"/>
  <c r="AB720" i="3"/>
  <c r="AC720" i="3"/>
  <c r="AE720" i="3"/>
  <c r="AF720" i="3"/>
  <c r="AH720" i="3"/>
  <c r="AI720" i="3"/>
  <c r="AK720" i="3"/>
  <c r="AL720" i="3"/>
  <c r="AN720" i="3"/>
  <c r="AO720" i="3"/>
  <c r="AQ720" i="3"/>
  <c r="AR720" i="3"/>
  <c r="Y721" i="3"/>
  <c r="Z721" i="3"/>
  <c r="AB721" i="3"/>
  <c r="AC721" i="3"/>
  <c r="AE721" i="3"/>
  <c r="AF721" i="3"/>
  <c r="AH721" i="3"/>
  <c r="AI721" i="3"/>
  <c r="AK721" i="3"/>
  <c r="AL721" i="3"/>
  <c r="AN721" i="3"/>
  <c r="AO721" i="3"/>
  <c r="AQ721" i="3"/>
  <c r="AR721" i="3"/>
  <c r="Y722" i="3"/>
  <c r="Z722" i="3"/>
  <c r="AB722" i="3"/>
  <c r="AC722" i="3"/>
  <c r="AE722" i="3"/>
  <c r="AF722" i="3"/>
  <c r="AH722" i="3"/>
  <c r="AI722" i="3"/>
  <c r="AK722" i="3"/>
  <c r="AL722" i="3"/>
  <c r="AN722" i="3"/>
  <c r="AO722" i="3"/>
  <c r="AQ722" i="3"/>
  <c r="AR722" i="3"/>
  <c r="Y723" i="3"/>
  <c r="Z723" i="3"/>
  <c r="AB723" i="3"/>
  <c r="AC723" i="3"/>
  <c r="AE723" i="3"/>
  <c r="AF723" i="3"/>
  <c r="AH723" i="3"/>
  <c r="AI723" i="3"/>
  <c r="AK723" i="3"/>
  <c r="AL723" i="3"/>
  <c r="AN723" i="3"/>
  <c r="AO723" i="3"/>
  <c r="AQ723" i="3"/>
  <c r="AR723" i="3"/>
  <c r="Y724" i="3"/>
  <c r="Z724" i="3"/>
  <c r="AB724" i="3"/>
  <c r="AC724" i="3"/>
  <c r="AE724" i="3"/>
  <c r="AF724" i="3"/>
  <c r="AH724" i="3"/>
  <c r="AI724" i="3"/>
  <c r="AK724" i="3"/>
  <c r="AL724" i="3"/>
  <c r="AN724" i="3"/>
  <c r="AO724" i="3"/>
  <c r="AQ724" i="3"/>
  <c r="AR724" i="3"/>
  <c r="Y725" i="3"/>
  <c r="Z725" i="3"/>
  <c r="AB725" i="3"/>
  <c r="AC725" i="3"/>
  <c r="AE725" i="3"/>
  <c r="AF725" i="3"/>
  <c r="AH725" i="3"/>
  <c r="AI725" i="3"/>
  <c r="AK725" i="3"/>
  <c r="AL725" i="3"/>
  <c r="AN725" i="3"/>
  <c r="AO725" i="3"/>
  <c r="AQ725" i="3"/>
  <c r="AR725" i="3"/>
  <c r="Y726" i="3"/>
  <c r="Z726" i="3"/>
  <c r="AB726" i="3"/>
  <c r="AC726" i="3"/>
  <c r="AE726" i="3"/>
  <c r="AF726" i="3"/>
  <c r="AH726" i="3"/>
  <c r="AI726" i="3"/>
  <c r="AK726" i="3"/>
  <c r="AL726" i="3"/>
  <c r="AN726" i="3"/>
  <c r="AO726" i="3"/>
  <c r="AQ726" i="3"/>
  <c r="AR726" i="3"/>
  <c r="Y727" i="3"/>
  <c r="Z727" i="3"/>
  <c r="AB727" i="3"/>
  <c r="AC727" i="3"/>
  <c r="AE727" i="3"/>
  <c r="AF727" i="3"/>
  <c r="AH727" i="3"/>
  <c r="AI727" i="3"/>
  <c r="AK727" i="3"/>
  <c r="AL727" i="3"/>
  <c r="AN727" i="3"/>
  <c r="AO727" i="3"/>
  <c r="AQ727" i="3"/>
  <c r="AR727" i="3"/>
  <c r="Y728" i="3"/>
  <c r="Z728" i="3"/>
  <c r="AB728" i="3"/>
  <c r="AC728" i="3"/>
  <c r="AE728" i="3"/>
  <c r="AF728" i="3"/>
  <c r="AH728" i="3"/>
  <c r="AI728" i="3"/>
  <c r="AK728" i="3"/>
  <c r="AL728" i="3"/>
  <c r="AN728" i="3"/>
  <c r="AO728" i="3"/>
  <c r="AQ728" i="3"/>
  <c r="AR728" i="3"/>
  <c r="Y729" i="3"/>
  <c r="Z729" i="3"/>
  <c r="AB729" i="3"/>
  <c r="AC729" i="3"/>
  <c r="AE729" i="3"/>
  <c r="AF729" i="3"/>
  <c r="AH729" i="3"/>
  <c r="AI729" i="3"/>
  <c r="AK729" i="3"/>
  <c r="AL729" i="3"/>
  <c r="AN729" i="3"/>
  <c r="AO729" i="3"/>
  <c r="AQ729" i="3"/>
  <c r="AR729" i="3"/>
  <c r="Y730" i="3"/>
  <c r="Z730" i="3"/>
  <c r="AB730" i="3"/>
  <c r="AC730" i="3"/>
  <c r="AE730" i="3"/>
  <c r="AF730" i="3"/>
  <c r="AH730" i="3"/>
  <c r="AI730" i="3"/>
  <c r="AK730" i="3"/>
  <c r="AL730" i="3"/>
  <c r="AN730" i="3"/>
  <c r="AO730" i="3"/>
  <c r="AQ730" i="3"/>
  <c r="AR730" i="3"/>
  <c r="Y731" i="3"/>
  <c r="Z731" i="3"/>
  <c r="AB731" i="3"/>
  <c r="AC731" i="3"/>
  <c r="AE731" i="3"/>
  <c r="AF731" i="3"/>
  <c r="AH731" i="3"/>
  <c r="AI731" i="3"/>
  <c r="AK731" i="3"/>
  <c r="AL731" i="3"/>
  <c r="AN731" i="3"/>
  <c r="AO731" i="3"/>
  <c r="AQ731" i="3"/>
  <c r="AR731" i="3"/>
  <c r="Y732" i="3"/>
  <c r="Z732" i="3"/>
  <c r="AB732" i="3"/>
  <c r="AC732" i="3"/>
  <c r="AE732" i="3"/>
  <c r="AF732" i="3"/>
  <c r="AH732" i="3"/>
  <c r="AI732" i="3"/>
  <c r="AK732" i="3"/>
  <c r="AL732" i="3"/>
  <c r="AN732" i="3"/>
  <c r="AO732" i="3"/>
  <c r="AQ732" i="3"/>
  <c r="AR732" i="3"/>
  <c r="Y733" i="3"/>
  <c r="Z733" i="3"/>
  <c r="AB733" i="3"/>
  <c r="AC733" i="3"/>
  <c r="AE733" i="3"/>
  <c r="AF733" i="3"/>
  <c r="AH733" i="3"/>
  <c r="AI733" i="3"/>
  <c r="AK733" i="3"/>
  <c r="AL733" i="3"/>
  <c r="AN733" i="3"/>
  <c r="AO733" i="3"/>
  <c r="AQ733" i="3"/>
  <c r="AR733" i="3"/>
  <c r="Y734" i="3"/>
  <c r="Z734" i="3"/>
  <c r="AB734" i="3"/>
  <c r="AC734" i="3"/>
  <c r="AE734" i="3"/>
  <c r="AF734" i="3"/>
  <c r="AH734" i="3"/>
  <c r="AI734" i="3"/>
  <c r="AK734" i="3"/>
  <c r="AL734" i="3"/>
  <c r="AN734" i="3"/>
  <c r="AO734" i="3"/>
  <c r="AQ734" i="3"/>
  <c r="AR734" i="3"/>
  <c r="Y735" i="3"/>
  <c r="Z735" i="3"/>
  <c r="AB735" i="3"/>
  <c r="AC735" i="3"/>
  <c r="AE735" i="3"/>
  <c r="AF735" i="3"/>
  <c r="AH735" i="3"/>
  <c r="AI735" i="3"/>
  <c r="AK735" i="3"/>
  <c r="AL735" i="3"/>
  <c r="AN735" i="3"/>
  <c r="AO735" i="3"/>
  <c r="AQ735" i="3"/>
  <c r="AR735" i="3"/>
  <c r="Y736" i="3"/>
  <c r="Z736" i="3"/>
  <c r="AB736" i="3"/>
  <c r="AC736" i="3"/>
  <c r="AE736" i="3"/>
  <c r="AF736" i="3"/>
  <c r="AH736" i="3"/>
  <c r="AI736" i="3"/>
  <c r="AK736" i="3"/>
  <c r="AL736" i="3"/>
  <c r="AN736" i="3"/>
  <c r="AO736" i="3"/>
  <c r="AQ736" i="3"/>
  <c r="AR736" i="3"/>
  <c r="Y737" i="3"/>
  <c r="Z737" i="3"/>
  <c r="AB737" i="3"/>
  <c r="AC737" i="3"/>
  <c r="AE737" i="3"/>
  <c r="AF737" i="3"/>
  <c r="AH737" i="3"/>
  <c r="AI737" i="3"/>
  <c r="AK737" i="3"/>
  <c r="AL737" i="3"/>
  <c r="AN737" i="3"/>
  <c r="AO737" i="3"/>
  <c r="AQ737" i="3"/>
  <c r="AR737" i="3"/>
  <c r="Y738" i="3"/>
  <c r="Z738" i="3"/>
  <c r="AB738" i="3"/>
  <c r="AC738" i="3"/>
  <c r="AE738" i="3"/>
  <c r="AF738" i="3"/>
  <c r="AH738" i="3"/>
  <c r="AI738" i="3"/>
  <c r="AK738" i="3"/>
  <c r="AL738" i="3"/>
  <c r="AN738" i="3"/>
  <c r="AO738" i="3"/>
  <c r="AQ738" i="3"/>
  <c r="AR738" i="3"/>
  <c r="Y739" i="3"/>
  <c r="Z739" i="3"/>
  <c r="AB739" i="3"/>
  <c r="AC739" i="3"/>
  <c r="AE739" i="3"/>
  <c r="AF739" i="3"/>
  <c r="AH739" i="3"/>
  <c r="AI739" i="3"/>
  <c r="AK739" i="3"/>
  <c r="AL739" i="3"/>
  <c r="AN739" i="3"/>
  <c r="AO739" i="3"/>
  <c r="AQ739" i="3"/>
  <c r="AR739" i="3"/>
  <c r="Y740" i="3"/>
  <c r="Z740" i="3"/>
  <c r="AB740" i="3"/>
  <c r="AC740" i="3"/>
  <c r="AE740" i="3"/>
  <c r="AF740" i="3"/>
  <c r="AH740" i="3"/>
  <c r="AI740" i="3"/>
  <c r="AK740" i="3"/>
  <c r="AL740" i="3"/>
  <c r="AN740" i="3"/>
  <c r="AO740" i="3"/>
  <c r="AQ740" i="3"/>
  <c r="AR740" i="3"/>
  <c r="Y741" i="3"/>
  <c r="Z741" i="3"/>
  <c r="AB741" i="3"/>
  <c r="AC741" i="3"/>
  <c r="AE741" i="3"/>
  <c r="AF741" i="3"/>
  <c r="AH741" i="3"/>
  <c r="AI741" i="3"/>
  <c r="AK741" i="3"/>
  <c r="AL741" i="3"/>
  <c r="AN741" i="3"/>
  <c r="AO741" i="3"/>
  <c r="AQ741" i="3"/>
  <c r="AR741" i="3"/>
  <c r="Y742" i="3"/>
  <c r="Z742" i="3"/>
  <c r="AB742" i="3"/>
  <c r="AC742" i="3"/>
  <c r="AE742" i="3"/>
  <c r="AF742" i="3"/>
  <c r="AH742" i="3"/>
  <c r="AI742" i="3"/>
  <c r="AK742" i="3"/>
  <c r="AL742" i="3"/>
  <c r="AN742" i="3"/>
  <c r="AO742" i="3"/>
  <c r="AQ742" i="3"/>
  <c r="AR742" i="3"/>
  <c r="Y743" i="3"/>
  <c r="Z743" i="3"/>
  <c r="AB743" i="3"/>
  <c r="AC743" i="3"/>
  <c r="AE743" i="3"/>
  <c r="AF743" i="3"/>
  <c r="AH743" i="3"/>
  <c r="AI743" i="3"/>
  <c r="AK743" i="3"/>
  <c r="AL743" i="3"/>
  <c r="AN743" i="3"/>
  <c r="AO743" i="3"/>
  <c r="AQ743" i="3"/>
  <c r="AR743" i="3"/>
  <c r="Y744" i="3"/>
  <c r="Z744" i="3"/>
  <c r="AB744" i="3"/>
  <c r="AC744" i="3"/>
  <c r="AE744" i="3"/>
  <c r="AF744" i="3"/>
  <c r="AH744" i="3"/>
  <c r="AI744" i="3"/>
  <c r="AK744" i="3"/>
  <c r="AL744" i="3"/>
  <c r="AN744" i="3"/>
  <c r="AO744" i="3"/>
  <c r="AQ744" i="3"/>
  <c r="AR744" i="3"/>
  <c r="Y745" i="3"/>
  <c r="Z745" i="3"/>
  <c r="AB745" i="3"/>
  <c r="AC745" i="3"/>
  <c r="AE745" i="3"/>
  <c r="AF745" i="3"/>
  <c r="AH745" i="3"/>
  <c r="AI745" i="3"/>
  <c r="AK745" i="3"/>
  <c r="AL745" i="3"/>
  <c r="AN745" i="3"/>
  <c r="AO745" i="3"/>
  <c r="AQ745" i="3"/>
  <c r="AR745" i="3"/>
  <c r="F146" i="3"/>
  <c r="F170" i="3"/>
  <c r="F194" i="3"/>
  <c r="F218" i="3"/>
  <c r="F242" i="3"/>
  <c r="F266" i="3"/>
  <c r="F290" i="3"/>
  <c r="F314" i="3"/>
  <c r="F338" i="3"/>
  <c r="F362" i="3"/>
  <c r="F386" i="3"/>
  <c r="F410" i="3"/>
  <c r="F434" i="3"/>
  <c r="F458" i="3"/>
  <c r="F482" i="3"/>
  <c r="T482" i="3" s="1"/>
  <c r="F506" i="3"/>
  <c r="F530" i="3"/>
  <c r="F554" i="3"/>
  <c r="F578" i="3"/>
  <c r="T578" i="3" s="1"/>
  <c r="F602" i="3"/>
  <c r="F626" i="3"/>
  <c r="F650" i="3"/>
  <c r="F674" i="3"/>
  <c r="F698" i="3"/>
  <c r="F722" i="3"/>
  <c r="T722" i="3" s="1"/>
  <c r="F123" i="3"/>
  <c r="F147" i="3"/>
  <c r="F171" i="3"/>
  <c r="F195" i="3"/>
  <c r="F219" i="3"/>
  <c r="F243" i="3"/>
  <c r="F267" i="3"/>
  <c r="F315" i="3"/>
  <c r="T315" i="3" s="1"/>
  <c r="F339" i="3"/>
  <c r="T339" i="3" s="1"/>
  <c r="F363" i="3"/>
  <c r="F387" i="3"/>
  <c r="F411" i="3"/>
  <c r="F435" i="3"/>
  <c r="F459" i="3"/>
  <c r="F483" i="3"/>
  <c r="F507" i="3"/>
  <c r="T507" i="3" s="1"/>
  <c r="F531" i="3"/>
  <c r="F555" i="3"/>
  <c r="F579" i="3"/>
  <c r="F603" i="3"/>
  <c r="F627" i="3"/>
  <c r="F651" i="3"/>
  <c r="T651" i="3" s="1"/>
  <c r="F675" i="3"/>
  <c r="F699" i="3"/>
  <c r="F723" i="3"/>
  <c r="F148" i="3"/>
  <c r="F172" i="3"/>
  <c r="F196" i="3"/>
  <c r="F220" i="3"/>
  <c r="F244" i="3"/>
  <c r="T244" i="3" s="1"/>
  <c r="F268" i="3"/>
  <c r="F292" i="3"/>
  <c r="F316" i="3"/>
  <c r="F340" i="3"/>
  <c r="F364" i="3"/>
  <c r="F388" i="3"/>
  <c r="T388" i="3" s="1"/>
  <c r="F412" i="3"/>
  <c r="T412" i="3" s="1"/>
  <c r="F436" i="3"/>
  <c r="F460" i="3"/>
  <c r="F484" i="3"/>
  <c r="F508" i="3"/>
  <c r="F532" i="3"/>
  <c r="F556" i="3"/>
  <c r="F580" i="3"/>
  <c r="T580" i="3" s="1"/>
  <c r="F604" i="3"/>
  <c r="F628" i="3"/>
  <c r="F652" i="3"/>
  <c r="F676" i="3"/>
  <c r="F700" i="3"/>
  <c r="F724" i="3"/>
  <c r="F77" i="3"/>
  <c r="F125" i="3"/>
  <c r="F149" i="3"/>
  <c r="F173" i="3"/>
  <c r="F197" i="3"/>
  <c r="F221" i="3"/>
  <c r="F245" i="3"/>
  <c r="F269" i="3"/>
  <c r="F293" i="3"/>
  <c r="F317" i="3"/>
  <c r="F341" i="3"/>
  <c r="F365" i="3"/>
  <c r="F389" i="3"/>
  <c r="F413" i="3"/>
  <c r="F437" i="3"/>
  <c r="F461" i="3"/>
  <c r="F485" i="3"/>
  <c r="F509" i="3"/>
  <c r="F533" i="3"/>
  <c r="F557" i="3"/>
  <c r="F581" i="3"/>
  <c r="T581" i="3" s="1"/>
  <c r="F605" i="3"/>
  <c r="F629" i="3"/>
  <c r="F653" i="3"/>
  <c r="F677" i="3"/>
  <c r="T677" i="3" s="1"/>
  <c r="F701" i="3"/>
  <c r="F725" i="3"/>
  <c r="F126" i="3"/>
  <c r="F150" i="3"/>
  <c r="F174" i="3"/>
  <c r="F198" i="3"/>
  <c r="F222" i="3"/>
  <c r="F246" i="3"/>
  <c r="F270" i="3"/>
  <c r="F294" i="3"/>
  <c r="F318" i="3"/>
  <c r="F342" i="3"/>
  <c r="F366" i="3"/>
  <c r="F390" i="3"/>
  <c r="F414" i="3"/>
  <c r="F438" i="3"/>
  <c r="F462" i="3"/>
  <c r="F486" i="3"/>
  <c r="F510" i="3"/>
  <c r="F534" i="3"/>
  <c r="F558" i="3"/>
  <c r="F582" i="3"/>
  <c r="F606" i="3"/>
  <c r="F630" i="3"/>
  <c r="T630" i="3" s="1"/>
  <c r="F654" i="3"/>
  <c r="F678" i="3"/>
  <c r="F702" i="3"/>
  <c r="F726" i="3"/>
  <c r="F127" i="3"/>
  <c r="F151" i="3"/>
  <c r="F175" i="3"/>
  <c r="F199" i="3"/>
  <c r="F223" i="3"/>
  <c r="F247" i="3"/>
  <c r="F271" i="3"/>
  <c r="F295" i="3"/>
  <c r="F319" i="3"/>
  <c r="F343" i="3"/>
  <c r="F367" i="3"/>
  <c r="T367" i="3" s="1"/>
  <c r="F391" i="3"/>
  <c r="F415" i="3"/>
  <c r="T415" i="3" s="1"/>
  <c r="F439" i="3"/>
  <c r="F463" i="3"/>
  <c r="F487" i="3"/>
  <c r="F511" i="3"/>
  <c r="F535" i="3"/>
  <c r="F559" i="3"/>
  <c r="F583" i="3"/>
  <c r="F607" i="3"/>
  <c r="F631" i="3"/>
  <c r="F655" i="3"/>
  <c r="F679" i="3"/>
  <c r="F703" i="3"/>
  <c r="F727" i="3"/>
  <c r="T727" i="3" s="1"/>
  <c r="F32" i="3"/>
  <c r="T32" i="3" s="1"/>
  <c r="F80" i="3"/>
  <c r="T80" i="3" s="1"/>
  <c r="F152" i="3"/>
  <c r="F176" i="3"/>
  <c r="F200" i="3"/>
  <c r="T200" i="3" s="1"/>
  <c r="F224" i="3"/>
  <c r="F248" i="3"/>
  <c r="F272" i="3"/>
  <c r="F296" i="3"/>
  <c r="F320" i="3"/>
  <c r="T320" i="3" s="1"/>
  <c r="F344" i="3"/>
  <c r="F368" i="3"/>
  <c r="F392" i="3"/>
  <c r="F416" i="3"/>
  <c r="F440" i="3"/>
  <c r="F464" i="3"/>
  <c r="F488" i="3"/>
  <c r="F512" i="3"/>
  <c r="F536" i="3"/>
  <c r="F560" i="3"/>
  <c r="F584" i="3"/>
  <c r="F608" i="3"/>
  <c r="F632" i="3"/>
  <c r="F656" i="3"/>
  <c r="F680" i="3"/>
  <c r="F704" i="3"/>
  <c r="T704" i="3" s="1"/>
  <c r="F728" i="3"/>
  <c r="F129" i="3"/>
  <c r="F153" i="3"/>
  <c r="F177" i="3"/>
  <c r="F201" i="3"/>
  <c r="F225" i="3"/>
  <c r="T225" i="3" s="1"/>
  <c r="F249" i="3"/>
  <c r="F273" i="3"/>
  <c r="F297" i="3"/>
  <c r="F321" i="3"/>
  <c r="F345" i="3"/>
  <c r="F369" i="3"/>
  <c r="F393" i="3"/>
  <c r="T393" i="3" s="1"/>
  <c r="F417" i="3"/>
  <c r="F441" i="3"/>
  <c r="F465" i="3"/>
  <c r="F489" i="3"/>
  <c r="F513" i="3"/>
  <c r="F537" i="3"/>
  <c r="F561" i="3"/>
  <c r="F585" i="3"/>
  <c r="F609" i="3"/>
  <c r="F633" i="3"/>
  <c r="F657" i="3"/>
  <c r="F681" i="3"/>
  <c r="F705" i="3"/>
  <c r="F729" i="3"/>
  <c r="F130" i="3"/>
  <c r="T130" i="3" s="1"/>
  <c r="F154" i="3"/>
  <c r="F178" i="3"/>
  <c r="F202" i="3"/>
  <c r="F226" i="3"/>
  <c r="F250" i="3"/>
  <c r="F274" i="3"/>
  <c r="F298" i="3"/>
  <c r="F322" i="3"/>
  <c r="F346" i="3"/>
  <c r="F370" i="3"/>
  <c r="F394" i="3"/>
  <c r="T394" i="3" s="1"/>
  <c r="F418" i="3"/>
  <c r="F442" i="3"/>
  <c r="F466" i="3"/>
  <c r="F490" i="3"/>
  <c r="F514" i="3"/>
  <c r="F538" i="3"/>
  <c r="F562" i="3"/>
  <c r="F586" i="3"/>
  <c r="F610" i="3"/>
  <c r="F634" i="3"/>
  <c r="F658" i="3"/>
  <c r="F682" i="3"/>
  <c r="F706" i="3"/>
  <c r="F730" i="3"/>
  <c r="F131" i="3"/>
  <c r="F155" i="3"/>
  <c r="T155" i="3" s="1"/>
  <c r="F179" i="3"/>
  <c r="F203" i="3"/>
  <c r="F227" i="3"/>
  <c r="T227" i="3" s="1"/>
  <c r="F251" i="3"/>
  <c r="F275" i="3"/>
  <c r="F299" i="3"/>
  <c r="F323" i="3"/>
  <c r="T323" i="3" s="1"/>
  <c r="F347" i="3"/>
  <c r="F371" i="3"/>
  <c r="F395" i="3"/>
  <c r="F419" i="3"/>
  <c r="F443" i="3"/>
  <c r="F467" i="3"/>
  <c r="F491" i="3"/>
  <c r="T491" i="3" s="1"/>
  <c r="F515" i="3"/>
  <c r="F539" i="3"/>
  <c r="F563" i="3"/>
  <c r="T563" i="3" s="1"/>
  <c r="F587" i="3"/>
  <c r="F611" i="3"/>
  <c r="F635" i="3"/>
  <c r="F659" i="3"/>
  <c r="F683" i="3"/>
  <c r="F707" i="3"/>
  <c r="F731" i="3"/>
  <c r="F132" i="3"/>
  <c r="F156" i="3"/>
  <c r="F180" i="3"/>
  <c r="F204" i="3"/>
  <c r="F228" i="3"/>
  <c r="F252" i="3"/>
  <c r="F276" i="3"/>
  <c r="F300" i="3"/>
  <c r="T300" i="3" s="1"/>
  <c r="F324" i="3"/>
  <c r="F348" i="3"/>
  <c r="F372" i="3"/>
  <c r="F396" i="3"/>
  <c r="F420" i="3"/>
  <c r="F444" i="3"/>
  <c r="F468" i="3"/>
  <c r="F492" i="3"/>
  <c r="F516" i="3"/>
  <c r="F540" i="3"/>
  <c r="F564" i="3"/>
  <c r="F588" i="3"/>
  <c r="F612" i="3"/>
  <c r="F636" i="3"/>
  <c r="T636" i="3" s="1"/>
  <c r="F660" i="3"/>
  <c r="F684" i="3"/>
  <c r="F708" i="3"/>
  <c r="F732" i="3"/>
  <c r="F133" i="3"/>
  <c r="F157" i="3"/>
  <c r="F181" i="3"/>
  <c r="F205" i="3"/>
  <c r="F229" i="3"/>
  <c r="F253" i="3"/>
  <c r="F277" i="3"/>
  <c r="F301" i="3"/>
  <c r="F325" i="3"/>
  <c r="F349" i="3"/>
  <c r="F373" i="3"/>
  <c r="F397" i="3"/>
  <c r="F421" i="3"/>
  <c r="F445" i="3"/>
  <c r="F469" i="3"/>
  <c r="F493" i="3"/>
  <c r="F517" i="3"/>
  <c r="F541" i="3"/>
  <c r="F565" i="3"/>
  <c r="F589" i="3"/>
  <c r="F613" i="3"/>
  <c r="F637" i="3"/>
  <c r="F661" i="3"/>
  <c r="F685" i="3"/>
  <c r="F709" i="3"/>
  <c r="F733" i="3"/>
  <c r="F134" i="3"/>
  <c r="F158" i="3"/>
  <c r="F182" i="3"/>
  <c r="F206" i="3"/>
  <c r="F230" i="3"/>
  <c r="F254" i="3"/>
  <c r="F278" i="3"/>
  <c r="F302" i="3"/>
  <c r="F326" i="3"/>
  <c r="F350" i="3"/>
  <c r="T350" i="3" s="1"/>
  <c r="F374" i="3"/>
  <c r="F398" i="3"/>
  <c r="F422" i="3"/>
  <c r="F446" i="3"/>
  <c r="F470" i="3"/>
  <c r="F494" i="3"/>
  <c r="F518" i="3"/>
  <c r="F542" i="3"/>
  <c r="F566" i="3"/>
  <c r="F590" i="3"/>
  <c r="F614" i="3"/>
  <c r="F638" i="3"/>
  <c r="F662" i="3"/>
  <c r="F686" i="3"/>
  <c r="F710" i="3"/>
  <c r="F734" i="3"/>
  <c r="F135" i="3"/>
  <c r="F159" i="3"/>
  <c r="T159" i="3" s="1"/>
  <c r="F183" i="3"/>
  <c r="F207" i="3"/>
  <c r="F231" i="3"/>
  <c r="F255" i="3"/>
  <c r="F279" i="3"/>
  <c r="T279" i="3" s="1"/>
  <c r="F303" i="3"/>
  <c r="F327" i="3"/>
  <c r="F351" i="3"/>
  <c r="F375" i="3"/>
  <c r="F399" i="3"/>
  <c r="F423" i="3"/>
  <c r="F447" i="3"/>
  <c r="F471" i="3"/>
  <c r="F495" i="3"/>
  <c r="F519" i="3"/>
  <c r="F543" i="3"/>
  <c r="F567" i="3"/>
  <c r="F591" i="3"/>
  <c r="F615" i="3"/>
  <c r="F639" i="3"/>
  <c r="T639" i="3" s="1"/>
  <c r="F663" i="3"/>
  <c r="F687" i="3"/>
  <c r="F711" i="3"/>
  <c r="T711" i="3" s="1"/>
  <c r="F735" i="3"/>
  <c r="F136" i="3"/>
  <c r="F160" i="3"/>
  <c r="F184" i="3"/>
  <c r="T184" i="3" s="1"/>
  <c r="F208" i="3"/>
  <c r="F232" i="3"/>
  <c r="F256" i="3"/>
  <c r="F280" i="3"/>
  <c r="F304" i="3"/>
  <c r="F328" i="3"/>
  <c r="F352" i="3"/>
  <c r="F376" i="3"/>
  <c r="F400" i="3"/>
  <c r="T400" i="3" s="1"/>
  <c r="F424" i="3"/>
  <c r="T424" i="3" s="1"/>
  <c r="F448" i="3"/>
  <c r="F472" i="3"/>
  <c r="F496" i="3"/>
  <c r="T496" i="3" s="1"/>
  <c r="F520" i="3"/>
  <c r="T520" i="3" s="1"/>
  <c r="F544" i="3"/>
  <c r="F568" i="3"/>
  <c r="F592" i="3"/>
  <c r="F616" i="3"/>
  <c r="F640" i="3"/>
  <c r="F664" i="3"/>
  <c r="F688" i="3"/>
  <c r="F712" i="3"/>
  <c r="F736" i="3"/>
  <c r="F137" i="3"/>
  <c r="F161" i="3"/>
  <c r="F185" i="3"/>
  <c r="F209" i="3"/>
  <c r="F233" i="3"/>
  <c r="F257" i="3"/>
  <c r="F281" i="3"/>
  <c r="F305" i="3"/>
  <c r="F329" i="3"/>
  <c r="F353" i="3"/>
  <c r="F377" i="3"/>
  <c r="F401" i="3"/>
  <c r="F425" i="3"/>
  <c r="F449" i="3"/>
  <c r="F473" i="3"/>
  <c r="F497" i="3"/>
  <c r="F521" i="3"/>
  <c r="F545" i="3"/>
  <c r="F569" i="3"/>
  <c r="T569" i="3" s="1"/>
  <c r="F593" i="3"/>
  <c r="F617" i="3"/>
  <c r="F641" i="3"/>
  <c r="F665" i="3"/>
  <c r="F689" i="3"/>
  <c r="F713" i="3"/>
  <c r="F737" i="3"/>
  <c r="F138" i="3"/>
  <c r="F162" i="3"/>
  <c r="F186" i="3"/>
  <c r="F210" i="3"/>
  <c r="F234" i="3"/>
  <c r="F258" i="3"/>
  <c r="F282" i="3"/>
  <c r="F306" i="3"/>
  <c r="F330" i="3"/>
  <c r="F354" i="3"/>
  <c r="F378" i="3"/>
  <c r="F402" i="3"/>
  <c r="F426" i="3"/>
  <c r="F450" i="3"/>
  <c r="F474" i="3"/>
  <c r="F498" i="3"/>
  <c r="F522" i="3"/>
  <c r="F546" i="3"/>
  <c r="F570" i="3"/>
  <c r="T570" i="3" s="1"/>
  <c r="F594" i="3"/>
  <c r="F618" i="3"/>
  <c r="F642" i="3"/>
  <c r="F666" i="3"/>
  <c r="F690" i="3"/>
  <c r="F714" i="3"/>
  <c r="F738" i="3"/>
  <c r="F139" i="3"/>
  <c r="F163" i="3"/>
  <c r="F187" i="3"/>
  <c r="F211" i="3"/>
  <c r="F235" i="3"/>
  <c r="F259" i="3"/>
  <c r="F283" i="3"/>
  <c r="F307" i="3"/>
  <c r="F331" i="3"/>
  <c r="F355" i="3"/>
  <c r="F379" i="3"/>
  <c r="F403" i="3"/>
  <c r="F427" i="3"/>
  <c r="F451" i="3"/>
  <c r="F475" i="3"/>
  <c r="F499" i="3"/>
  <c r="F523" i="3"/>
  <c r="F547" i="3"/>
  <c r="F571" i="3"/>
  <c r="F595" i="3"/>
  <c r="F619" i="3"/>
  <c r="F643" i="3"/>
  <c r="F667" i="3"/>
  <c r="F691" i="3"/>
  <c r="F715" i="3"/>
  <c r="T715" i="3" s="1"/>
  <c r="F739" i="3"/>
  <c r="F68" i="3"/>
  <c r="F140" i="3"/>
  <c r="F164" i="3"/>
  <c r="F188" i="3"/>
  <c r="F212" i="3"/>
  <c r="F236" i="3"/>
  <c r="F260" i="3"/>
  <c r="F284" i="3"/>
  <c r="F308" i="3"/>
  <c r="F332" i="3"/>
  <c r="F356" i="3"/>
  <c r="F380" i="3"/>
  <c r="F404" i="3"/>
  <c r="F428" i="3"/>
  <c r="F452" i="3"/>
  <c r="F476" i="3"/>
  <c r="F500" i="3"/>
  <c r="F524" i="3"/>
  <c r="F548" i="3"/>
  <c r="F572" i="3"/>
  <c r="F596" i="3"/>
  <c r="F620" i="3"/>
  <c r="F644" i="3"/>
  <c r="F668" i="3"/>
  <c r="F692" i="3"/>
  <c r="F716" i="3"/>
  <c r="F740" i="3"/>
  <c r="F141" i="3"/>
  <c r="F165" i="3"/>
  <c r="F189" i="3"/>
  <c r="F213" i="3"/>
  <c r="F237" i="3"/>
  <c r="F261" i="3"/>
  <c r="F285" i="3"/>
  <c r="F309" i="3"/>
  <c r="F333" i="3"/>
  <c r="F357" i="3"/>
  <c r="F381" i="3"/>
  <c r="F405" i="3"/>
  <c r="F429" i="3"/>
  <c r="F453" i="3"/>
  <c r="F477" i="3"/>
  <c r="F501" i="3"/>
  <c r="F525" i="3"/>
  <c r="F549" i="3"/>
  <c r="F573" i="3"/>
  <c r="T573" i="3" s="1"/>
  <c r="F597" i="3"/>
  <c r="F621" i="3"/>
  <c r="F645" i="3"/>
  <c r="F669" i="3"/>
  <c r="F693" i="3"/>
  <c r="F717" i="3"/>
  <c r="F741" i="3"/>
  <c r="F142" i="3"/>
  <c r="F166" i="3"/>
  <c r="F190" i="3"/>
  <c r="F214" i="3"/>
  <c r="F238" i="3"/>
  <c r="F262" i="3"/>
  <c r="F286" i="3"/>
  <c r="F310" i="3"/>
  <c r="F334" i="3"/>
  <c r="F358" i="3"/>
  <c r="F382" i="3"/>
  <c r="F406" i="3"/>
  <c r="F430" i="3"/>
  <c r="F454" i="3"/>
  <c r="F478" i="3"/>
  <c r="F502" i="3"/>
  <c r="F526" i="3"/>
  <c r="F550" i="3"/>
  <c r="F574" i="3"/>
  <c r="F598" i="3"/>
  <c r="F622" i="3"/>
  <c r="F646" i="3"/>
  <c r="F670" i="3"/>
  <c r="F694" i="3"/>
  <c r="F718" i="3"/>
  <c r="T718" i="3" s="1"/>
  <c r="F742" i="3"/>
  <c r="F47" i="3"/>
  <c r="F143" i="3"/>
  <c r="F167" i="3"/>
  <c r="F191" i="3"/>
  <c r="F215" i="3"/>
  <c r="T215" i="3" s="1"/>
  <c r="F239" i="3"/>
  <c r="F263" i="3"/>
  <c r="F287" i="3"/>
  <c r="F311" i="3"/>
  <c r="F335" i="3"/>
  <c r="F359" i="3"/>
  <c r="F383" i="3"/>
  <c r="F407" i="3"/>
  <c r="F431" i="3"/>
  <c r="F455" i="3"/>
  <c r="F479" i="3"/>
  <c r="F503" i="3"/>
  <c r="F527" i="3"/>
  <c r="F551" i="3"/>
  <c r="F575" i="3"/>
  <c r="F599" i="3"/>
  <c r="F623" i="3"/>
  <c r="F647" i="3"/>
  <c r="F671" i="3"/>
  <c r="F695" i="3"/>
  <c r="F719" i="3"/>
  <c r="F743" i="3"/>
  <c r="F144" i="3"/>
  <c r="F168" i="3"/>
  <c r="F192" i="3"/>
  <c r="F216" i="3"/>
  <c r="F240" i="3"/>
  <c r="F264" i="3"/>
  <c r="F312" i="3"/>
  <c r="F336" i="3"/>
  <c r="F360" i="3"/>
  <c r="F384" i="3"/>
  <c r="F408" i="3"/>
  <c r="F432" i="3"/>
  <c r="F456" i="3"/>
  <c r="F480" i="3"/>
  <c r="T480" i="3" s="1"/>
  <c r="F504" i="3"/>
  <c r="F528" i="3"/>
  <c r="F552" i="3"/>
  <c r="F576" i="3"/>
  <c r="F600" i="3"/>
  <c r="F624" i="3"/>
  <c r="F648" i="3"/>
  <c r="F672" i="3"/>
  <c r="F696" i="3"/>
  <c r="F720" i="3"/>
  <c r="F744" i="3"/>
  <c r="F121" i="3"/>
  <c r="F145" i="3"/>
  <c r="F169" i="3"/>
  <c r="F193" i="3"/>
  <c r="F217" i="3"/>
  <c r="F241" i="3"/>
  <c r="T241" i="3" s="1"/>
  <c r="F265" i="3"/>
  <c r="F289" i="3"/>
  <c r="F313" i="3"/>
  <c r="F337" i="3"/>
  <c r="F361" i="3"/>
  <c r="T361" i="3" s="1"/>
  <c r="F385" i="3"/>
  <c r="F409" i="3"/>
  <c r="F433" i="3"/>
  <c r="F457" i="3"/>
  <c r="F481" i="3"/>
  <c r="F505" i="3"/>
  <c r="F529" i="3"/>
  <c r="F553" i="3"/>
  <c r="F577" i="3"/>
  <c r="F601" i="3"/>
  <c r="F625" i="3"/>
  <c r="F649" i="3"/>
  <c r="T649" i="3" s="1"/>
  <c r="F673" i="3"/>
  <c r="F697" i="3"/>
  <c r="F721" i="3"/>
  <c r="F745" i="3"/>
  <c r="F8" i="3"/>
  <c r="F10" i="3"/>
  <c r="T451" i="3" l="1"/>
  <c r="T463" i="3"/>
  <c r="T454" i="3"/>
  <c r="T219" i="3"/>
  <c r="T331" i="3"/>
  <c r="T233" i="3"/>
  <c r="T553" i="3"/>
  <c r="T217" i="3"/>
  <c r="T455" i="3"/>
  <c r="T628" i="3"/>
  <c r="T292" i="3"/>
  <c r="T555" i="3"/>
  <c r="T405" i="3"/>
  <c r="T710" i="3"/>
  <c r="T612" i="3"/>
  <c r="T276" i="3"/>
  <c r="T391" i="3"/>
  <c r="T342" i="3"/>
  <c r="T293" i="3"/>
  <c r="T539" i="3"/>
  <c r="T203" i="3"/>
  <c r="T441" i="3"/>
  <c r="T309" i="3"/>
  <c r="T457" i="3"/>
  <c r="T121" i="3"/>
  <c r="T498" i="3"/>
  <c r="T162" i="3"/>
  <c r="T667" i="3"/>
  <c r="T516" i="3"/>
  <c r="T180" i="3"/>
  <c r="T418" i="3"/>
  <c r="T533" i="3"/>
  <c r="T197" i="3"/>
  <c r="T311" i="3"/>
  <c r="T443" i="3"/>
  <c r="T345" i="3"/>
  <c r="T500" i="3"/>
  <c r="T164" i="3"/>
  <c r="T566" i="3"/>
  <c r="T230" i="3"/>
  <c r="T517" i="3"/>
  <c r="T181" i="3"/>
  <c r="T272" i="3"/>
  <c r="T304" i="3"/>
  <c r="T633" i="3"/>
  <c r="T214" i="3"/>
  <c r="T68" i="3"/>
  <c r="T427" i="3"/>
  <c r="T527" i="3"/>
  <c r="T404" i="3"/>
  <c r="T421" i="3"/>
  <c r="T438" i="3"/>
  <c r="T258" i="3"/>
  <c r="T333" i="3"/>
  <c r="T654" i="3"/>
  <c r="T506" i="3"/>
  <c r="T282" i="3"/>
  <c r="T660" i="3"/>
  <c r="T324" i="3"/>
  <c r="T341" i="3"/>
  <c r="T359" i="3"/>
  <c r="T687" i="3"/>
  <c r="T638" i="3"/>
  <c r="T479" i="3"/>
  <c r="T178" i="3"/>
  <c r="T620" i="3"/>
  <c r="T284" i="3"/>
  <c r="T301" i="3"/>
  <c r="T490" i="3"/>
  <c r="T410" i="3"/>
  <c r="T334" i="3"/>
  <c r="T547" i="3"/>
  <c r="T211" i="3"/>
  <c r="T449" i="3"/>
  <c r="T192" i="3"/>
  <c r="T508" i="3"/>
  <c r="T435" i="3"/>
  <c r="T737" i="3"/>
  <c r="T688" i="3"/>
  <c r="T558" i="3"/>
  <c r="T222" i="3"/>
  <c r="T360" i="3"/>
  <c r="T664" i="3"/>
  <c r="T657" i="3"/>
  <c r="T143" i="3"/>
  <c r="T440" i="3"/>
  <c r="T702" i="3"/>
  <c r="T172" i="3"/>
  <c r="T263" i="3"/>
  <c r="T525" i="3"/>
  <c r="T189" i="3"/>
  <c r="T337" i="3"/>
  <c r="T616" i="3"/>
  <c r="T567" i="3"/>
  <c r="T658" i="3"/>
  <c r="T77" i="3"/>
  <c r="T543" i="3"/>
  <c r="T396" i="3"/>
  <c r="T413" i="3"/>
  <c r="T642" i="3"/>
  <c r="T446" i="3"/>
  <c r="T586" i="3"/>
  <c r="T250" i="3"/>
  <c r="T595" i="3"/>
  <c r="T259" i="3"/>
  <c r="T147" i="3"/>
  <c r="T471" i="3"/>
  <c r="T170" i="3"/>
  <c r="T154" i="3"/>
  <c r="T456" i="3"/>
  <c r="T383" i="3"/>
  <c r="T694" i="3"/>
  <c r="T326" i="3"/>
  <c r="T10" i="3"/>
  <c r="T589" i="3"/>
  <c r="T729" i="3"/>
  <c r="T680" i="3"/>
  <c r="T344" i="3"/>
  <c r="T655" i="3"/>
  <c r="T606" i="3"/>
  <c r="T557" i="3"/>
  <c r="T745" i="3"/>
  <c r="T303" i="3"/>
  <c r="T723" i="3"/>
  <c r="T696" i="3"/>
  <c r="T598" i="3"/>
  <c r="T402" i="3"/>
  <c r="T626" i="3"/>
  <c r="T673" i="3"/>
  <c r="T648" i="3"/>
  <c r="T575" i="3"/>
  <c r="T550" i="3"/>
  <c r="T329" i="3"/>
  <c r="T231" i="3"/>
  <c r="T707" i="3"/>
  <c r="T322" i="3"/>
  <c r="T266" i="3"/>
  <c r="T708" i="3"/>
  <c r="T512" i="3"/>
  <c r="T188" i="3"/>
  <c r="T193" i="3"/>
  <c r="T540" i="3"/>
  <c r="T204" i="3"/>
  <c r="T221" i="3"/>
  <c r="T317" i="3"/>
  <c r="T524" i="3"/>
  <c r="T728" i="3"/>
  <c r="T605" i="3"/>
  <c r="T548" i="3"/>
  <c r="T212" i="3"/>
  <c r="T663" i="3"/>
  <c r="T565" i="3"/>
  <c r="T229" i="3"/>
  <c r="T486" i="3"/>
  <c r="T150" i="3"/>
  <c r="T298" i="3"/>
  <c r="T724" i="3"/>
  <c r="T191" i="3"/>
  <c r="T453" i="3"/>
  <c r="T265" i="3"/>
  <c r="T701" i="3"/>
  <c r="T47" i="3"/>
  <c r="T668" i="3"/>
  <c r="T332" i="3"/>
  <c r="T349" i="3"/>
  <c r="T695" i="3"/>
  <c r="T736" i="3"/>
  <c r="T270" i="3"/>
  <c r="T237" i="3"/>
  <c r="T444" i="3"/>
  <c r="T461" i="3"/>
  <c r="T125" i="3"/>
  <c r="T371" i="3"/>
  <c r="AS218" i="3"/>
  <c r="AA2" i="3"/>
  <c r="X2" i="3"/>
  <c r="T529" i="3"/>
  <c r="T234" i="3"/>
  <c r="T661" i="3"/>
  <c r="T465" i="3"/>
  <c r="T129" i="3"/>
  <c r="T295" i="3"/>
  <c r="T541" i="3"/>
  <c r="T205" i="3"/>
  <c r="T608" i="3"/>
  <c r="T599" i="3"/>
  <c r="T574" i="3"/>
  <c r="T238" i="3"/>
  <c r="T353" i="3"/>
  <c r="T591" i="3"/>
  <c r="T731" i="3"/>
  <c r="T682" i="3"/>
  <c r="T223" i="3"/>
  <c r="T462" i="3"/>
  <c r="T126" i="3"/>
  <c r="T330" i="3"/>
  <c r="T429" i="3"/>
  <c r="T635" i="3"/>
  <c r="T127" i="3"/>
  <c r="C607" i="3"/>
  <c r="X607" i="3"/>
  <c r="C20" i="3"/>
  <c r="X20" i="3"/>
  <c r="C4" i="3"/>
  <c r="X4" i="3"/>
  <c r="C699" i="3"/>
  <c r="X699" i="3"/>
  <c r="C561" i="3"/>
  <c r="X561" i="3"/>
  <c r="C280" i="3"/>
  <c r="X280" i="3"/>
  <c r="C474" i="3"/>
  <c r="X474" i="3"/>
  <c r="C646" i="3"/>
  <c r="X646" i="3"/>
  <c r="C448" i="3"/>
  <c r="X448" i="3"/>
  <c r="C151" i="3"/>
  <c r="X151" i="3"/>
  <c r="C721" i="3"/>
  <c r="X721" i="3"/>
  <c r="C594" i="3"/>
  <c r="U594" i="3" s="1"/>
  <c r="X594" i="3"/>
  <c r="C338" i="3"/>
  <c r="X338" i="3"/>
  <c r="C609" i="3"/>
  <c r="X609" i="3"/>
  <c r="C671" i="3"/>
  <c r="X671" i="3"/>
  <c r="C506" i="3"/>
  <c r="X506" i="3"/>
  <c r="C208" i="3"/>
  <c r="X208" i="3"/>
  <c r="C743" i="3"/>
  <c r="X743" i="3"/>
  <c r="C624" i="3"/>
  <c r="X624" i="3"/>
  <c r="C399" i="3"/>
  <c r="X399" i="3"/>
  <c r="C80" i="3"/>
  <c r="X80" i="3"/>
  <c r="C686" i="3"/>
  <c r="X686" i="3"/>
  <c r="C537" i="3"/>
  <c r="X537" i="3"/>
  <c r="C247" i="3"/>
  <c r="X247" i="3"/>
  <c r="C218" i="3"/>
  <c r="X218" i="3"/>
  <c r="C640" i="3"/>
  <c r="X640" i="3"/>
  <c r="C434" i="3"/>
  <c r="X434" i="3"/>
  <c r="C136" i="3"/>
  <c r="X136" i="3"/>
  <c r="C433" i="3"/>
  <c r="X433" i="3"/>
  <c r="C321" i="3"/>
  <c r="U321" i="3" s="1"/>
  <c r="X321" i="3"/>
  <c r="C209" i="3"/>
  <c r="X209" i="3"/>
  <c r="C97" i="3"/>
  <c r="X97" i="3"/>
  <c r="C95" i="3"/>
  <c r="X95" i="3"/>
  <c r="C542" i="3"/>
  <c r="X542" i="3"/>
  <c r="C430" i="3"/>
  <c r="X430" i="3"/>
  <c r="C318" i="3"/>
  <c r="X318" i="3"/>
  <c r="C206" i="3"/>
  <c r="X206" i="3"/>
  <c r="C94" i="3"/>
  <c r="X94" i="3"/>
  <c r="C509" i="3"/>
  <c r="X509" i="3"/>
  <c r="C397" i="3"/>
  <c r="X397" i="3"/>
  <c r="C285" i="3"/>
  <c r="X285" i="3"/>
  <c r="C173" i="3"/>
  <c r="X173" i="3"/>
  <c r="C61" i="3"/>
  <c r="X61" i="3"/>
  <c r="C604" i="3"/>
  <c r="R604" i="3" s="1"/>
  <c r="X604" i="3"/>
  <c r="C492" i="3"/>
  <c r="X492" i="3"/>
  <c r="C380" i="3"/>
  <c r="X380" i="3"/>
  <c r="C268" i="3"/>
  <c r="X268" i="3"/>
  <c r="C156" i="3"/>
  <c r="X156" i="3"/>
  <c r="C44" i="3"/>
  <c r="U44" i="3" s="1"/>
  <c r="X44" i="3"/>
  <c r="C531" i="3"/>
  <c r="X531" i="3"/>
  <c r="C419" i="3"/>
  <c r="X419" i="3"/>
  <c r="C307" i="3"/>
  <c r="X307" i="3"/>
  <c r="C195" i="3"/>
  <c r="U195" i="3" s="1"/>
  <c r="X195" i="3"/>
  <c r="C83" i="3"/>
  <c r="X83" i="3"/>
  <c r="C564" i="3"/>
  <c r="X564" i="3"/>
  <c r="C691" i="3"/>
  <c r="X691" i="3"/>
  <c r="C258" i="3"/>
  <c r="U258" i="3" s="1"/>
  <c r="X258" i="3"/>
  <c r="C426" i="3"/>
  <c r="X426" i="3"/>
  <c r="C713" i="3"/>
  <c r="R713" i="3" s="1"/>
  <c r="X713" i="3"/>
  <c r="C319" i="3"/>
  <c r="X319" i="3"/>
  <c r="C662" i="3"/>
  <c r="X662" i="3"/>
  <c r="C376" i="3"/>
  <c r="U376" i="3" s="1"/>
  <c r="X376" i="3"/>
  <c r="C48" i="3"/>
  <c r="X48" i="3"/>
  <c r="C678" i="3"/>
  <c r="X678" i="3"/>
  <c r="C521" i="3"/>
  <c r="X521" i="3"/>
  <c r="C224" i="3"/>
  <c r="X224" i="3"/>
  <c r="C176" i="3"/>
  <c r="U176" i="3" s="1"/>
  <c r="X176" i="3"/>
  <c r="C104" i="3"/>
  <c r="X104" i="3"/>
  <c r="C425" i="3"/>
  <c r="U425" i="3" s="1"/>
  <c r="X425" i="3"/>
  <c r="C313" i="3"/>
  <c r="X313" i="3"/>
  <c r="C201" i="3"/>
  <c r="X201" i="3"/>
  <c r="C89" i="3"/>
  <c r="X89" i="3"/>
  <c r="C87" i="3"/>
  <c r="X87" i="3"/>
  <c r="C534" i="3"/>
  <c r="U534" i="3" s="1"/>
  <c r="X534" i="3"/>
  <c r="C422" i="3"/>
  <c r="X422" i="3"/>
  <c r="C310" i="3"/>
  <c r="X310" i="3"/>
  <c r="C198" i="3"/>
  <c r="X198" i="3"/>
  <c r="C86" i="3"/>
  <c r="X86" i="3"/>
  <c r="C501" i="3"/>
  <c r="U501" i="3" s="1"/>
  <c r="X501" i="3"/>
  <c r="C389" i="3"/>
  <c r="X389" i="3"/>
  <c r="C277" i="3"/>
  <c r="X277" i="3"/>
  <c r="C165" i="3"/>
  <c r="X165" i="3"/>
  <c r="C53" i="3"/>
  <c r="X53" i="3"/>
  <c r="C596" i="3"/>
  <c r="X596" i="3"/>
  <c r="C484" i="3"/>
  <c r="X484" i="3"/>
  <c r="C372" i="3"/>
  <c r="X372" i="3"/>
  <c r="C260" i="3"/>
  <c r="X260" i="3"/>
  <c r="C148" i="3"/>
  <c r="U148" i="3" s="1"/>
  <c r="X148" i="3"/>
  <c r="C36" i="3"/>
  <c r="X36" i="3"/>
  <c r="C523" i="3"/>
  <c r="X523" i="3"/>
  <c r="C411" i="3"/>
  <c r="X411" i="3"/>
  <c r="C299" i="3"/>
  <c r="X299" i="3"/>
  <c r="C187" i="3"/>
  <c r="R187" i="3" s="1"/>
  <c r="X187" i="3"/>
  <c r="C75" i="3"/>
  <c r="X75" i="3"/>
  <c r="C340" i="3"/>
  <c r="U340" i="3" s="1"/>
  <c r="X340" i="3"/>
  <c r="C8" i="3"/>
  <c r="X8" i="3"/>
  <c r="C546" i="3"/>
  <c r="X546" i="3"/>
  <c r="C327" i="3"/>
  <c r="X327" i="3"/>
  <c r="C637" i="3"/>
  <c r="X637" i="3"/>
  <c r="C122" i="3"/>
  <c r="X122" i="3"/>
  <c r="C584" i="3"/>
  <c r="X584" i="3"/>
  <c r="C519" i="3"/>
  <c r="X519" i="3"/>
  <c r="C487" i="3"/>
  <c r="U487" i="3" s="1"/>
  <c r="X487" i="3"/>
  <c r="C186" i="3"/>
  <c r="X186" i="3"/>
  <c r="C735" i="3"/>
  <c r="X735" i="3"/>
  <c r="C614" i="3"/>
  <c r="X614" i="3"/>
  <c r="C631" i="3"/>
  <c r="X631" i="3"/>
  <c r="C18" i="3"/>
  <c r="X18" i="3"/>
  <c r="C716" i="3"/>
  <c r="X716" i="3"/>
  <c r="C683" i="3"/>
  <c r="X683" i="3"/>
  <c r="C530" i="3"/>
  <c r="X530" i="3"/>
  <c r="C239" i="3"/>
  <c r="X239" i="3"/>
  <c r="C66" i="3"/>
  <c r="X66" i="3"/>
  <c r="C627" i="3"/>
  <c r="R627" i="3" s="1"/>
  <c r="X627" i="3"/>
  <c r="C407" i="3"/>
  <c r="X407" i="3"/>
  <c r="C90" i="3"/>
  <c r="X90" i="3"/>
  <c r="C705" i="3"/>
  <c r="X705" i="3"/>
  <c r="C570" i="3"/>
  <c r="R570" i="3" s="1"/>
  <c r="X570" i="3"/>
  <c r="C296" i="3"/>
  <c r="X296" i="3"/>
  <c r="C346" i="3"/>
  <c r="X346" i="3"/>
  <c r="C653" i="3"/>
  <c r="X653" i="3"/>
  <c r="C464" i="3"/>
  <c r="X464" i="3"/>
  <c r="C167" i="3"/>
  <c r="X167" i="3"/>
  <c r="C727" i="3"/>
  <c r="X727" i="3"/>
  <c r="C602" i="3"/>
  <c r="X602" i="3"/>
  <c r="C354" i="3"/>
  <c r="X354" i="3"/>
  <c r="C740" i="3"/>
  <c r="X740" i="3"/>
  <c r="C669" i="3"/>
  <c r="U669" i="3" s="1"/>
  <c r="X669" i="3"/>
  <c r="C503" i="3"/>
  <c r="X503" i="3"/>
  <c r="C202" i="3"/>
  <c r="X202" i="3"/>
  <c r="C741" i="3"/>
  <c r="X741" i="3"/>
  <c r="C622" i="3"/>
  <c r="R622" i="3" s="1"/>
  <c r="X622" i="3"/>
  <c r="C392" i="3"/>
  <c r="X392" i="3"/>
  <c r="C72" i="3"/>
  <c r="X72" i="3"/>
  <c r="C417" i="3"/>
  <c r="X417" i="3"/>
  <c r="C305" i="3"/>
  <c r="X305" i="3"/>
  <c r="C193" i="3"/>
  <c r="U193" i="3" s="1"/>
  <c r="X193" i="3"/>
  <c r="C81" i="3"/>
  <c r="X81" i="3"/>
  <c r="C79" i="3"/>
  <c r="X79" i="3"/>
  <c r="C526" i="3"/>
  <c r="X526" i="3"/>
  <c r="C414" i="3"/>
  <c r="U414" i="3" s="1"/>
  <c r="X414" i="3"/>
  <c r="C302" i="3"/>
  <c r="U302" i="3" s="1"/>
  <c r="X302" i="3"/>
  <c r="C190" i="3"/>
  <c r="X190" i="3"/>
  <c r="C78" i="3"/>
  <c r="X78" i="3"/>
  <c r="C493" i="3"/>
  <c r="X493" i="3"/>
  <c r="C381" i="3"/>
  <c r="R381" i="3" s="1"/>
  <c r="X381" i="3"/>
  <c r="C269" i="3"/>
  <c r="X269" i="3"/>
  <c r="C157" i="3"/>
  <c r="X157" i="3"/>
  <c r="C45" i="3"/>
  <c r="X45" i="3"/>
  <c r="C588" i="3"/>
  <c r="X588" i="3"/>
  <c r="C476" i="3"/>
  <c r="X476" i="3"/>
  <c r="C364" i="3"/>
  <c r="X364" i="3"/>
  <c r="C252" i="3"/>
  <c r="X252" i="3"/>
  <c r="C140" i="3"/>
  <c r="X140" i="3"/>
  <c r="C28" i="3"/>
  <c r="X28" i="3"/>
  <c r="C515" i="3"/>
  <c r="X515" i="3"/>
  <c r="C403" i="3"/>
  <c r="X403" i="3"/>
  <c r="C291" i="3"/>
  <c r="X291" i="3"/>
  <c r="C179" i="3"/>
  <c r="X179" i="3"/>
  <c r="C67" i="3"/>
  <c r="R67" i="3" s="1"/>
  <c r="X67" i="3"/>
  <c r="C278" i="3"/>
  <c r="R278" i="3" s="1"/>
  <c r="X278" i="3"/>
  <c r="C415" i="3"/>
  <c r="X415" i="3"/>
  <c r="C21" i="3"/>
  <c r="X21" i="3"/>
  <c r="C675" i="3"/>
  <c r="X675" i="3"/>
  <c r="C674" i="3"/>
  <c r="X674" i="3"/>
  <c r="C514" i="3"/>
  <c r="R514" i="3" s="1"/>
  <c r="X514" i="3"/>
  <c r="C216" i="3"/>
  <c r="X216" i="3"/>
  <c r="C738" i="3"/>
  <c r="X738" i="3"/>
  <c r="C617" i="3"/>
  <c r="U617" i="3" s="1"/>
  <c r="X617" i="3"/>
  <c r="C384" i="3"/>
  <c r="U384" i="3" s="1"/>
  <c r="X384" i="3"/>
  <c r="C58" i="3"/>
  <c r="X58" i="3"/>
  <c r="C697" i="3"/>
  <c r="X697" i="3"/>
  <c r="C559" i="3"/>
  <c r="X559" i="3"/>
  <c r="C274" i="3"/>
  <c r="X274" i="3"/>
  <c r="C240" i="3"/>
  <c r="U240" i="3" s="1"/>
  <c r="X240" i="3"/>
  <c r="C643" i="3"/>
  <c r="X643" i="3"/>
  <c r="C442" i="3"/>
  <c r="X442" i="3"/>
  <c r="C144" i="3"/>
  <c r="X144" i="3"/>
  <c r="C719" i="3"/>
  <c r="R719" i="3" s="1"/>
  <c r="X719" i="3"/>
  <c r="C592" i="3"/>
  <c r="U592" i="3" s="1"/>
  <c r="X592" i="3"/>
  <c r="C335" i="3"/>
  <c r="X335" i="3"/>
  <c r="C666" i="3"/>
  <c r="X666" i="3"/>
  <c r="C659" i="3"/>
  <c r="X659" i="3"/>
  <c r="C480" i="3"/>
  <c r="X480" i="3"/>
  <c r="C183" i="3"/>
  <c r="U183" i="3" s="1"/>
  <c r="X183" i="3"/>
  <c r="C733" i="3"/>
  <c r="X733" i="3"/>
  <c r="C610" i="3"/>
  <c r="X610" i="3"/>
  <c r="C370" i="3"/>
  <c r="X370" i="3"/>
  <c r="C40" i="3"/>
  <c r="X40" i="3"/>
  <c r="C409" i="3"/>
  <c r="X409" i="3"/>
  <c r="C297" i="3"/>
  <c r="X297" i="3"/>
  <c r="C185" i="3"/>
  <c r="X185" i="3"/>
  <c r="C73" i="3"/>
  <c r="U73" i="3" s="1"/>
  <c r="X73" i="3"/>
  <c r="C71" i="3"/>
  <c r="U71" i="3" s="1"/>
  <c r="X71" i="3"/>
  <c r="C518" i="3"/>
  <c r="X518" i="3"/>
  <c r="C406" i="3"/>
  <c r="X406" i="3"/>
  <c r="C294" i="3"/>
  <c r="X294" i="3"/>
  <c r="C182" i="3"/>
  <c r="U182" i="3" s="1"/>
  <c r="X182" i="3"/>
  <c r="C70" i="3"/>
  <c r="X70" i="3"/>
  <c r="C485" i="3"/>
  <c r="X485" i="3"/>
  <c r="C373" i="3"/>
  <c r="X373" i="3"/>
  <c r="C261" i="3"/>
  <c r="X261" i="3"/>
  <c r="C149" i="3"/>
  <c r="U149" i="3" s="1"/>
  <c r="X149" i="3"/>
  <c r="C37" i="3"/>
  <c r="X37" i="3"/>
  <c r="C580" i="3"/>
  <c r="X580" i="3"/>
  <c r="C468" i="3"/>
  <c r="X468" i="3"/>
  <c r="C356" i="3"/>
  <c r="X356" i="3"/>
  <c r="C244" i="3"/>
  <c r="R244" i="3" s="1"/>
  <c r="X244" i="3"/>
  <c r="C132" i="3"/>
  <c r="X132" i="3"/>
  <c r="C619" i="3"/>
  <c r="X619" i="3"/>
  <c r="C507" i="3"/>
  <c r="U507" i="3" s="1"/>
  <c r="X507" i="3"/>
  <c r="C395" i="3"/>
  <c r="U395" i="3" s="1"/>
  <c r="X395" i="3"/>
  <c r="C283" i="3"/>
  <c r="U283" i="3" s="1"/>
  <c r="X283" i="3"/>
  <c r="C171" i="3"/>
  <c r="X171" i="3"/>
  <c r="C59" i="3"/>
  <c r="X59" i="3"/>
  <c r="C378" i="3"/>
  <c r="R378" i="3" s="1"/>
  <c r="X378" i="3"/>
  <c r="C50" i="3"/>
  <c r="R50" i="3" s="1"/>
  <c r="X50" i="3"/>
  <c r="C695" i="3"/>
  <c r="U695" i="3" s="1"/>
  <c r="X695" i="3"/>
  <c r="C554" i="3"/>
  <c r="X554" i="3"/>
  <c r="C271" i="3"/>
  <c r="X271" i="3"/>
  <c r="C199" i="3"/>
  <c r="X199" i="3"/>
  <c r="C632" i="3"/>
  <c r="X632" i="3"/>
  <c r="C416" i="3"/>
  <c r="R416" i="3" s="1"/>
  <c r="X416" i="3"/>
  <c r="C106" i="3"/>
  <c r="X106" i="3"/>
  <c r="C577" i="3"/>
  <c r="U577" i="3" s="1"/>
  <c r="X577" i="3"/>
  <c r="C306" i="3"/>
  <c r="X306" i="3"/>
  <c r="C497" i="3"/>
  <c r="X497" i="3"/>
  <c r="C273" i="3"/>
  <c r="R273" i="3" s="1"/>
  <c r="X273" i="3"/>
  <c r="C161" i="3"/>
  <c r="R161" i="3" s="1"/>
  <c r="X161" i="3"/>
  <c r="C49" i="3"/>
  <c r="U49" i="3" s="1"/>
  <c r="X49" i="3"/>
  <c r="C47" i="3"/>
  <c r="X47" i="3"/>
  <c r="C494" i="3"/>
  <c r="U494" i="3" s="1"/>
  <c r="X494" i="3"/>
  <c r="C382" i="3"/>
  <c r="R382" i="3" s="1"/>
  <c r="X382" i="3"/>
  <c r="C270" i="3"/>
  <c r="U270" i="3" s="1"/>
  <c r="X270" i="3"/>
  <c r="C158" i="3"/>
  <c r="R158" i="3" s="1"/>
  <c r="X158" i="3"/>
  <c r="C46" i="3"/>
  <c r="X46" i="3"/>
  <c r="C461" i="3"/>
  <c r="U461" i="3" s="1"/>
  <c r="X461" i="3"/>
  <c r="C349" i="3"/>
  <c r="X349" i="3"/>
  <c r="C237" i="3"/>
  <c r="U237" i="3" s="1"/>
  <c r="X237" i="3"/>
  <c r="C125" i="3"/>
  <c r="X125" i="3"/>
  <c r="C668" i="3"/>
  <c r="X668" i="3"/>
  <c r="C556" i="3"/>
  <c r="R556" i="3" s="1"/>
  <c r="X556" i="3"/>
  <c r="C444" i="3"/>
  <c r="M444" i="3" s="1"/>
  <c r="X444" i="3"/>
  <c r="C332" i="3"/>
  <c r="X332" i="3"/>
  <c r="C220" i="3"/>
  <c r="U220" i="3" s="1"/>
  <c r="X220" i="3"/>
  <c r="C108" i="3"/>
  <c r="U108" i="3" s="1"/>
  <c r="X108" i="3"/>
  <c r="C595" i="3"/>
  <c r="U595" i="3" s="1"/>
  <c r="X595" i="3"/>
  <c r="C483" i="3"/>
  <c r="X483" i="3"/>
  <c r="C371" i="3"/>
  <c r="X371" i="3"/>
  <c r="C259" i="3"/>
  <c r="X259" i="3"/>
  <c r="C147" i="3"/>
  <c r="U147" i="3" s="1"/>
  <c r="X147" i="3"/>
  <c r="C35" i="3"/>
  <c r="R35" i="3" s="1"/>
  <c r="X35" i="3"/>
  <c r="C3" i="3"/>
  <c r="X3" i="3"/>
  <c r="C194" i="3"/>
  <c r="X194" i="3"/>
  <c r="C689" i="3"/>
  <c r="U689" i="3" s="1"/>
  <c r="X689" i="3"/>
  <c r="C423" i="3"/>
  <c r="U423" i="3" s="1"/>
  <c r="X423" i="3"/>
  <c r="C312" i="3"/>
  <c r="X312" i="3"/>
  <c r="C160" i="3"/>
  <c r="X160" i="3"/>
  <c r="C351" i="3"/>
  <c r="X351" i="3"/>
  <c r="C289" i="3"/>
  <c r="U289" i="3" s="1"/>
  <c r="X289" i="3"/>
  <c r="C63" i="3"/>
  <c r="X63" i="3"/>
  <c r="C398" i="3"/>
  <c r="U398" i="3" s="1"/>
  <c r="X398" i="3"/>
  <c r="C62" i="3"/>
  <c r="X62" i="3"/>
  <c r="C253" i="3"/>
  <c r="U253" i="3" s="1"/>
  <c r="X253" i="3"/>
  <c r="C29" i="3"/>
  <c r="X29" i="3"/>
  <c r="C348" i="3"/>
  <c r="X348" i="3"/>
  <c r="C611" i="3"/>
  <c r="R611" i="3" s="1"/>
  <c r="X611" i="3"/>
  <c r="C275" i="3"/>
  <c r="R275" i="3" s="1"/>
  <c r="X275" i="3"/>
  <c r="C51" i="3"/>
  <c r="X51" i="3"/>
  <c r="C11" i="3"/>
  <c r="X11" i="3"/>
  <c r="C656" i="3"/>
  <c r="U656" i="3" s="1"/>
  <c r="X656" i="3"/>
  <c r="C597" i="3"/>
  <c r="X597" i="3"/>
  <c r="C732" i="3"/>
  <c r="U732" i="3" s="1"/>
  <c r="X732" i="3"/>
  <c r="C681" i="3"/>
  <c r="X681" i="3"/>
  <c r="C232" i="3"/>
  <c r="X232" i="3"/>
  <c r="C625" i="3"/>
  <c r="U625" i="3" s="1"/>
  <c r="X625" i="3"/>
  <c r="C82" i="3"/>
  <c r="X82" i="3"/>
  <c r="C568" i="3"/>
  <c r="U568" i="3" s="1"/>
  <c r="X568" i="3"/>
  <c r="C290" i="3"/>
  <c r="X290" i="3"/>
  <c r="C641" i="3"/>
  <c r="X641" i="3"/>
  <c r="C439" i="3"/>
  <c r="U439" i="3" s="1"/>
  <c r="X439" i="3"/>
  <c r="C138" i="3"/>
  <c r="X138" i="3"/>
  <c r="C590" i="3"/>
  <c r="X590" i="3"/>
  <c r="C328" i="3"/>
  <c r="X328" i="3"/>
  <c r="C505" i="3"/>
  <c r="U505" i="3" s="1"/>
  <c r="X505" i="3"/>
  <c r="C393" i="3"/>
  <c r="R393" i="3" s="1"/>
  <c r="X393" i="3"/>
  <c r="C281" i="3"/>
  <c r="X281" i="3"/>
  <c r="C169" i="3"/>
  <c r="X169" i="3"/>
  <c r="C57" i="3"/>
  <c r="U57" i="3" s="1"/>
  <c r="X57" i="3"/>
  <c r="C55" i="3"/>
  <c r="X55" i="3"/>
  <c r="C502" i="3"/>
  <c r="X502" i="3"/>
  <c r="C390" i="3"/>
  <c r="X390" i="3"/>
  <c r="C166" i="3"/>
  <c r="R166" i="3" s="1"/>
  <c r="X166" i="3"/>
  <c r="C54" i="3"/>
  <c r="U54" i="3" s="1"/>
  <c r="X54" i="3"/>
  <c r="C469" i="3"/>
  <c r="X469" i="3"/>
  <c r="C357" i="3"/>
  <c r="U357" i="3" s="1"/>
  <c r="X357" i="3"/>
  <c r="C245" i="3"/>
  <c r="X245" i="3"/>
  <c r="C133" i="3"/>
  <c r="U133" i="3" s="1"/>
  <c r="X133" i="3"/>
  <c r="C676" i="3"/>
  <c r="R676" i="3" s="1"/>
  <c r="X676" i="3"/>
  <c r="C452" i="3"/>
  <c r="X452" i="3"/>
  <c r="C228" i="3"/>
  <c r="X228" i="3"/>
  <c r="C116" i="3"/>
  <c r="U116" i="3" s="1"/>
  <c r="X116" i="3"/>
  <c r="C603" i="3"/>
  <c r="X603" i="3"/>
  <c r="C491" i="3"/>
  <c r="R491" i="3" s="1"/>
  <c r="X491" i="3"/>
  <c r="C379" i="3"/>
  <c r="R379" i="3" s="1"/>
  <c r="X379" i="3"/>
  <c r="C267" i="3"/>
  <c r="X267" i="3"/>
  <c r="C155" i="3"/>
  <c r="X155" i="3"/>
  <c r="C43" i="3"/>
  <c r="X43" i="3"/>
  <c r="C16" i="3"/>
  <c r="U16" i="3" s="1"/>
  <c r="X16" i="3"/>
  <c r="C5" i="3"/>
  <c r="R5" i="3" s="1"/>
  <c r="X5" i="3"/>
  <c r="C368" i="3"/>
  <c r="U368" i="3" s="1"/>
  <c r="X368" i="3"/>
  <c r="C647" i="3"/>
  <c r="X647" i="3"/>
  <c r="C450" i="3"/>
  <c r="X450" i="3"/>
  <c r="C152" i="3"/>
  <c r="U152" i="3" s="1"/>
  <c r="X152" i="3"/>
  <c r="C714" i="3"/>
  <c r="U714" i="3" s="1"/>
  <c r="X714" i="3"/>
  <c r="C585" i="3"/>
  <c r="X585" i="3"/>
  <c r="C320" i="3"/>
  <c r="U320" i="3" s="1"/>
  <c r="X320" i="3"/>
  <c r="C684" i="3"/>
  <c r="X684" i="3"/>
  <c r="C672" i="3"/>
  <c r="U672" i="3" s="1"/>
  <c r="X672" i="3"/>
  <c r="C511" i="3"/>
  <c r="X511" i="3"/>
  <c r="C210" i="3"/>
  <c r="X210" i="3"/>
  <c r="C736" i="3"/>
  <c r="X736" i="3"/>
  <c r="C615" i="3"/>
  <c r="U615" i="3" s="1"/>
  <c r="X615" i="3"/>
  <c r="C385" i="3"/>
  <c r="U385" i="3" s="1"/>
  <c r="X385" i="3"/>
  <c r="C12" i="3"/>
  <c r="X12" i="3"/>
  <c r="C6" i="3"/>
  <c r="U6" i="3" s="1"/>
  <c r="X6" i="3"/>
  <c r="C282" i="3"/>
  <c r="U282" i="3" s="1"/>
  <c r="X282" i="3"/>
  <c r="C638" i="3"/>
  <c r="X638" i="3"/>
  <c r="C431" i="3"/>
  <c r="R431" i="3" s="1"/>
  <c r="X431" i="3"/>
  <c r="C128" i="3"/>
  <c r="X128" i="3"/>
  <c r="C706" i="3"/>
  <c r="N706" i="3" s="1"/>
  <c r="X706" i="3"/>
  <c r="C573" i="3"/>
  <c r="X573" i="3"/>
  <c r="C298" i="3"/>
  <c r="X298" i="3"/>
  <c r="C639" i="3"/>
  <c r="X639" i="3"/>
  <c r="C663" i="3"/>
  <c r="R663" i="3" s="1"/>
  <c r="X663" i="3"/>
  <c r="C488" i="3"/>
  <c r="X488" i="3"/>
  <c r="C191" i="3"/>
  <c r="U191" i="3" s="1"/>
  <c r="X191" i="3"/>
  <c r="C728" i="3"/>
  <c r="U728" i="3" s="1"/>
  <c r="X728" i="3"/>
  <c r="C605" i="3"/>
  <c r="U605" i="3" s="1"/>
  <c r="X605" i="3"/>
  <c r="C359" i="3"/>
  <c r="X359" i="3"/>
  <c r="C724" i="3"/>
  <c r="U724" i="3" s="1"/>
  <c r="X724" i="3"/>
  <c r="C687" i="3"/>
  <c r="X687" i="3"/>
  <c r="C538" i="3"/>
  <c r="U538" i="3" s="1"/>
  <c r="X538" i="3"/>
  <c r="C248" i="3"/>
  <c r="X248" i="3"/>
  <c r="C742" i="3"/>
  <c r="X742" i="3"/>
  <c r="C623" i="3"/>
  <c r="X623" i="3"/>
  <c r="C394" i="3"/>
  <c r="U394" i="3" s="1"/>
  <c r="X394" i="3"/>
  <c r="C74" i="3"/>
  <c r="M74" i="3" s="1"/>
  <c r="X74" i="3"/>
  <c r="C701" i="3"/>
  <c r="X701" i="3"/>
  <c r="C565" i="3"/>
  <c r="U565" i="3" s="1"/>
  <c r="X565" i="3"/>
  <c r="C287" i="3"/>
  <c r="U287" i="3" s="1"/>
  <c r="X287" i="3"/>
  <c r="C489" i="3"/>
  <c r="U489" i="3" s="1"/>
  <c r="X489" i="3"/>
  <c r="C377" i="3"/>
  <c r="U377" i="3" s="1"/>
  <c r="X377" i="3"/>
  <c r="C265" i="3"/>
  <c r="R265" i="3" s="1"/>
  <c r="X265" i="3"/>
  <c r="C153" i="3"/>
  <c r="U153" i="3" s="1"/>
  <c r="X153" i="3"/>
  <c r="C41" i="3"/>
  <c r="U41" i="3" s="1"/>
  <c r="X41" i="3"/>
  <c r="C39" i="3"/>
  <c r="R39" i="3" s="1"/>
  <c r="X39" i="3"/>
  <c r="C486" i="3"/>
  <c r="R486" i="3" s="1"/>
  <c r="X486" i="3"/>
  <c r="C374" i="3"/>
  <c r="U374" i="3" s="1"/>
  <c r="X374" i="3"/>
  <c r="C262" i="3"/>
  <c r="X262" i="3"/>
  <c r="C150" i="3"/>
  <c r="X150" i="3"/>
  <c r="C38" i="3"/>
  <c r="X38" i="3"/>
  <c r="C453" i="3"/>
  <c r="X453" i="3"/>
  <c r="C341" i="3"/>
  <c r="U341" i="3" s="1"/>
  <c r="X341" i="3"/>
  <c r="C229" i="3"/>
  <c r="X229" i="3"/>
  <c r="C117" i="3"/>
  <c r="U117" i="3" s="1"/>
  <c r="X117" i="3"/>
  <c r="C660" i="3"/>
  <c r="X660" i="3"/>
  <c r="C548" i="3"/>
  <c r="X548" i="3"/>
  <c r="C436" i="3"/>
  <c r="U436" i="3" s="1"/>
  <c r="X436" i="3"/>
  <c r="C324" i="3"/>
  <c r="U324" i="3" s="1"/>
  <c r="X324" i="3"/>
  <c r="C212" i="3"/>
  <c r="R212" i="3" s="1"/>
  <c r="X212" i="3"/>
  <c r="C100" i="3"/>
  <c r="R100" i="3" s="1"/>
  <c r="X100" i="3"/>
  <c r="C587" i="3"/>
  <c r="X587" i="3"/>
  <c r="C475" i="3"/>
  <c r="X475" i="3"/>
  <c r="C363" i="3"/>
  <c r="X363" i="3"/>
  <c r="C251" i="3"/>
  <c r="U251" i="3" s="1"/>
  <c r="X251" i="3"/>
  <c r="C139" i="3"/>
  <c r="U139" i="3" s="1"/>
  <c r="X139" i="3"/>
  <c r="C27" i="3"/>
  <c r="X27" i="3"/>
  <c r="C665" i="3"/>
  <c r="X665" i="3"/>
  <c r="C26" i="3"/>
  <c r="X26" i="3"/>
  <c r="C255" i="3"/>
  <c r="X255" i="3"/>
  <c r="C114" i="3"/>
  <c r="X114" i="3"/>
  <c r="C581" i="3"/>
  <c r="X581" i="3"/>
  <c r="C650" i="3"/>
  <c r="X650" i="3"/>
  <c r="C725" i="3"/>
  <c r="U725" i="3" s="1"/>
  <c r="X725" i="3"/>
  <c r="C513" i="3"/>
  <c r="X513" i="3"/>
  <c r="C177" i="3"/>
  <c r="U177" i="3" s="1"/>
  <c r="X177" i="3"/>
  <c r="C510" i="3"/>
  <c r="X510" i="3"/>
  <c r="C477" i="3"/>
  <c r="U477" i="3" s="1"/>
  <c r="X477" i="3"/>
  <c r="C141" i="3"/>
  <c r="X141" i="3"/>
  <c r="C236" i="3"/>
  <c r="X236" i="3"/>
  <c r="C387" i="3"/>
  <c r="X387" i="3"/>
  <c r="C535" i="3"/>
  <c r="X535" i="3"/>
  <c r="C472" i="3"/>
  <c r="X472" i="3"/>
  <c r="C175" i="3"/>
  <c r="X175" i="3"/>
  <c r="C343" i="3"/>
  <c r="R343" i="3" s="1"/>
  <c r="X343" i="3"/>
  <c r="C528" i="3"/>
  <c r="U528" i="3" s="1"/>
  <c r="X528" i="3"/>
  <c r="C744" i="3"/>
  <c r="X744" i="3"/>
  <c r="C400" i="3"/>
  <c r="X400" i="3"/>
  <c r="C703" i="3"/>
  <c r="R703" i="3" s="1"/>
  <c r="X703" i="3"/>
  <c r="C562" i="3"/>
  <c r="U562" i="3" s="1"/>
  <c r="X562" i="3"/>
  <c r="C717" i="3"/>
  <c r="X717" i="3"/>
  <c r="C709" i="3"/>
  <c r="X709" i="3"/>
  <c r="T385" i="3"/>
  <c r="C7" i="3"/>
  <c r="X7" i="3"/>
  <c r="C15" i="3"/>
  <c r="X15" i="3"/>
  <c r="C34" i="3"/>
  <c r="U34" i="3" s="1"/>
  <c r="X34" i="3"/>
  <c r="C629" i="3"/>
  <c r="U629" i="3" s="1"/>
  <c r="X629" i="3"/>
  <c r="C408" i="3"/>
  <c r="X408" i="3"/>
  <c r="C96" i="3"/>
  <c r="X96" i="3"/>
  <c r="C698" i="3"/>
  <c r="X698" i="3"/>
  <c r="C560" i="3"/>
  <c r="U560" i="3" s="1"/>
  <c r="X560" i="3"/>
  <c r="C279" i="3"/>
  <c r="X279" i="3"/>
  <c r="C551" i="3"/>
  <c r="U551" i="3" s="1"/>
  <c r="X551" i="3"/>
  <c r="C654" i="3"/>
  <c r="R654" i="3" s="1"/>
  <c r="X654" i="3"/>
  <c r="C466" i="3"/>
  <c r="X466" i="3"/>
  <c r="C168" i="3"/>
  <c r="X168" i="3"/>
  <c r="C720" i="3"/>
  <c r="X720" i="3"/>
  <c r="C593" i="3"/>
  <c r="X593" i="3"/>
  <c r="C336" i="3"/>
  <c r="X336" i="3"/>
  <c r="C700" i="3"/>
  <c r="X700" i="3"/>
  <c r="C679" i="3"/>
  <c r="X679" i="3"/>
  <c r="C522" i="3"/>
  <c r="X522" i="3"/>
  <c r="C226" i="3"/>
  <c r="U226" i="3" s="1"/>
  <c r="X226" i="3"/>
  <c r="C734" i="3"/>
  <c r="X734" i="3"/>
  <c r="C613" i="3"/>
  <c r="X613" i="3"/>
  <c r="C375" i="3"/>
  <c r="U375" i="3" s="1"/>
  <c r="X375" i="3"/>
  <c r="C42" i="3"/>
  <c r="U42" i="3" s="1"/>
  <c r="X42" i="3"/>
  <c r="C693" i="3"/>
  <c r="X693" i="3"/>
  <c r="C552" i="3"/>
  <c r="X552" i="3"/>
  <c r="C264" i="3"/>
  <c r="U264" i="3" s="1"/>
  <c r="X264" i="3"/>
  <c r="C481" i="3"/>
  <c r="X481" i="3"/>
  <c r="C369" i="3"/>
  <c r="X369" i="3"/>
  <c r="C257" i="3"/>
  <c r="U257" i="3" s="1"/>
  <c r="X257" i="3"/>
  <c r="C145" i="3"/>
  <c r="X145" i="3"/>
  <c r="C33" i="3"/>
  <c r="U33" i="3" s="1"/>
  <c r="X33" i="3"/>
  <c r="C31" i="3"/>
  <c r="X31" i="3"/>
  <c r="C478" i="3"/>
  <c r="U478" i="3" s="1"/>
  <c r="X478" i="3"/>
  <c r="C366" i="3"/>
  <c r="U366" i="3" s="1"/>
  <c r="X366" i="3"/>
  <c r="C254" i="3"/>
  <c r="X254" i="3"/>
  <c r="C142" i="3"/>
  <c r="X142" i="3"/>
  <c r="C30" i="3"/>
  <c r="X30" i="3"/>
  <c r="C445" i="3"/>
  <c r="X445" i="3"/>
  <c r="C333" i="3"/>
  <c r="X333" i="3"/>
  <c r="C221" i="3"/>
  <c r="X221" i="3"/>
  <c r="C109" i="3"/>
  <c r="X109" i="3"/>
  <c r="C652" i="3"/>
  <c r="X652" i="3"/>
  <c r="C540" i="3"/>
  <c r="U540" i="3" s="1"/>
  <c r="X540" i="3"/>
  <c r="C428" i="3"/>
  <c r="X428" i="3"/>
  <c r="C316" i="3"/>
  <c r="X316" i="3"/>
  <c r="C204" i="3"/>
  <c r="X204" i="3"/>
  <c r="C92" i="3"/>
  <c r="X92" i="3"/>
  <c r="C579" i="3"/>
  <c r="X579" i="3"/>
  <c r="C467" i="3"/>
  <c r="X467" i="3"/>
  <c r="C355" i="3"/>
  <c r="X355" i="3"/>
  <c r="C243" i="3"/>
  <c r="X243" i="3"/>
  <c r="C131" i="3"/>
  <c r="X131" i="3"/>
  <c r="C730" i="3"/>
  <c r="U730" i="3" s="1"/>
  <c r="X730" i="3"/>
  <c r="C24" i="3"/>
  <c r="X24" i="3"/>
  <c r="C64" i="3"/>
  <c r="X64" i="3"/>
  <c r="C432" i="3"/>
  <c r="X432" i="3"/>
  <c r="C146" i="3"/>
  <c r="X146" i="3"/>
  <c r="C621" i="3"/>
  <c r="X621" i="3"/>
  <c r="C601" i="3"/>
  <c r="X601" i="3"/>
  <c r="C685" i="3"/>
  <c r="X685" i="3"/>
  <c r="C242" i="3"/>
  <c r="X242" i="3"/>
  <c r="C137" i="3"/>
  <c r="X137" i="3"/>
  <c r="C358" i="3"/>
  <c r="X358" i="3"/>
  <c r="C134" i="3"/>
  <c r="X134" i="3"/>
  <c r="C325" i="3"/>
  <c r="X325" i="3"/>
  <c r="C644" i="3"/>
  <c r="X644" i="3"/>
  <c r="C420" i="3"/>
  <c r="X420" i="3"/>
  <c r="C84" i="3"/>
  <c r="X84" i="3"/>
  <c r="C347" i="3"/>
  <c r="X347" i="3"/>
  <c r="C123" i="3"/>
  <c r="X123" i="3"/>
  <c r="C23" i="3"/>
  <c r="U23" i="3" s="1"/>
  <c r="X23" i="3"/>
  <c r="C25" i="3"/>
  <c r="X25" i="3"/>
  <c r="C731" i="3"/>
  <c r="X731" i="3"/>
  <c r="C608" i="3"/>
  <c r="X608" i="3"/>
  <c r="C367" i="3"/>
  <c r="X367" i="3"/>
  <c r="C32" i="3"/>
  <c r="X32" i="3"/>
  <c r="C682" i="3"/>
  <c r="X682" i="3"/>
  <c r="C529" i="3"/>
  <c r="X529" i="3"/>
  <c r="C234" i="3"/>
  <c r="X234" i="3"/>
  <c r="C98" i="3"/>
  <c r="X98" i="3"/>
  <c r="C635" i="3"/>
  <c r="R635" i="3" s="1"/>
  <c r="X635" i="3"/>
  <c r="C424" i="3"/>
  <c r="X424" i="3"/>
  <c r="C120" i="3"/>
  <c r="U120" i="3" s="1"/>
  <c r="X120" i="3"/>
  <c r="C704" i="3"/>
  <c r="X704" i="3"/>
  <c r="C569" i="3"/>
  <c r="U569" i="3" s="1"/>
  <c r="X569" i="3"/>
  <c r="C295" i="3"/>
  <c r="X295" i="3"/>
  <c r="C496" i="3"/>
  <c r="U496" i="3" s="1"/>
  <c r="X496" i="3"/>
  <c r="C661" i="3"/>
  <c r="R661" i="3" s="1"/>
  <c r="X661" i="3"/>
  <c r="C482" i="3"/>
  <c r="X482" i="3"/>
  <c r="C184" i="3"/>
  <c r="X184" i="3"/>
  <c r="C718" i="3"/>
  <c r="X718" i="3"/>
  <c r="C591" i="3"/>
  <c r="X591" i="3"/>
  <c r="C330" i="3"/>
  <c r="X330" i="3"/>
  <c r="C599" i="3"/>
  <c r="X599" i="3"/>
  <c r="C677" i="3"/>
  <c r="X677" i="3"/>
  <c r="C520" i="3"/>
  <c r="X520" i="3"/>
  <c r="C223" i="3"/>
  <c r="U223" i="3" s="1"/>
  <c r="X223" i="3"/>
  <c r="C465" i="3"/>
  <c r="X465" i="3"/>
  <c r="C353" i="3"/>
  <c r="X353" i="3"/>
  <c r="C241" i="3"/>
  <c r="X241" i="3"/>
  <c r="C129" i="3"/>
  <c r="X129" i="3"/>
  <c r="C127" i="3"/>
  <c r="X127" i="3"/>
  <c r="C574" i="3"/>
  <c r="R574" i="3" s="1"/>
  <c r="X574" i="3"/>
  <c r="C462" i="3"/>
  <c r="X462" i="3"/>
  <c r="C350" i="3"/>
  <c r="U350" i="3" s="1"/>
  <c r="X350" i="3"/>
  <c r="C238" i="3"/>
  <c r="R238" i="3" s="1"/>
  <c r="X238" i="3"/>
  <c r="C126" i="3"/>
  <c r="U126" i="3" s="1"/>
  <c r="X126" i="3"/>
  <c r="C541" i="3"/>
  <c r="X541" i="3"/>
  <c r="C429" i="3"/>
  <c r="X429" i="3"/>
  <c r="C317" i="3"/>
  <c r="X317" i="3"/>
  <c r="C205" i="3"/>
  <c r="X205" i="3"/>
  <c r="C93" i="3"/>
  <c r="X93" i="3"/>
  <c r="C636" i="3"/>
  <c r="X636" i="3"/>
  <c r="C524" i="3"/>
  <c r="X524" i="3"/>
  <c r="C412" i="3"/>
  <c r="X412" i="3"/>
  <c r="C300" i="3"/>
  <c r="X300" i="3"/>
  <c r="C188" i="3"/>
  <c r="X188" i="3"/>
  <c r="C76" i="3"/>
  <c r="X76" i="3"/>
  <c r="C563" i="3"/>
  <c r="R563" i="3" s="1"/>
  <c r="X563" i="3"/>
  <c r="C451" i="3"/>
  <c r="X451" i="3"/>
  <c r="C339" i="3"/>
  <c r="U339" i="3" s="1"/>
  <c r="X339" i="3"/>
  <c r="C227" i="3"/>
  <c r="U227" i="3" s="1"/>
  <c r="X227" i="3"/>
  <c r="C115" i="3"/>
  <c r="X115" i="3"/>
  <c r="C495" i="3"/>
  <c r="X495" i="3"/>
  <c r="C130" i="3"/>
  <c r="X130" i="3"/>
  <c r="C458" i="3"/>
  <c r="X458" i="3"/>
  <c r="C17" i="3"/>
  <c r="X17" i="3"/>
  <c r="C19" i="3"/>
  <c r="U19" i="3" s="1"/>
  <c r="X19" i="3"/>
  <c r="C723" i="3"/>
  <c r="U723" i="3" s="1"/>
  <c r="X723" i="3"/>
  <c r="C598" i="3"/>
  <c r="X598" i="3"/>
  <c r="C344" i="3"/>
  <c r="X344" i="3"/>
  <c r="C708" i="3"/>
  <c r="X708" i="3"/>
  <c r="C673" i="3"/>
  <c r="X673" i="3"/>
  <c r="C512" i="3"/>
  <c r="X512" i="3"/>
  <c r="C215" i="3"/>
  <c r="X215" i="3"/>
  <c r="C745" i="3"/>
  <c r="X745" i="3"/>
  <c r="C626" i="3"/>
  <c r="X626" i="3"/>
  <c r="C402" i="3"/>
  <c r="X402" i="3"/>
  <c r="C88" i="3"/>
  <c r="X88" i="3"/>
  <c r="C696" i="3"/>
  <c r="X696" i="3"/>
  <c r="C557" i="3"/>
  <c r="X557" i="3"/>
  <c r="C272" i="3"/>
  <c r="U272" i="3" s="1"/>
  <c r="X272" i="3"/>
  <c r="C391" i="3"/>
  <c r="X391" i="3"/>
  <c r="C651" i="3"/>
  <c r="X651" i="3"/>
  <c r="C463" i="3"/>
  <c r="X463" i="3"/>
  <c r="C162" i="3"/>
  <c r="X162" i="3"/>
  <c r="C710" i="3"/>
  <c r="U710" i="3" s="1"/>
  <c r="X710" i="3"/>
  <c r="C578" i="3"/>
  <c r="X578" i="3"/>
  <c r="C311" i="3"/>
  <c r="X311" i="3"/>
  <c r="C455" i="3"/>
  <c r="X455" i="3"/>
  <c r="C667" i="3"/>
  <c r="X667" i="3"/>
  <c r="C498" i="3"/>
  <c r="U498" i="3" s="1"/>
  <c r="X498" i="3"/>
  <c r="C200" i="3"/>
  <c r="X200" i="3"/>
  <c r="C457" i="3"/>
  <c r="X457" i="3"/>
  <c r="C345" i="3"/>
  <c r="X345" i="3"/>
  <c r="C233" i="3"/>
  <c r="X233" i="3"/>
  <c r="C121" i="3"/>
  <c r="X121" i="3"/>
  <c r="C119" i="3"/>
  <c r="X119" i="3"/>
  <c r="C566" i="3"/>
  <c r="X566" i="3"/>
  <c r="C454" i="3"/>
  <c r="X454" i="3"/>
  <c r="C342" i="3"/>
  <c r="U342" i="3" s="1"/>
  <c r="X342" i="3"/>
  <c r="C230" i="3"/>
  <c r="X230" i="3"/>
  <c r="C118" i="3"/>
  <c r="X118" i="3"/>
  <c r="C533" i="3"/>
  <c r="X533" i="3"/>
  <c r="C421" i="3"/>
  <c r="X421" i="3"/>
  <c r="C309" i="3"/>
  <c r="X309" i="3"/>
  <c r="C197" i="3"/>
  <c r="X197" i="3"/>
  <c r="C85" i="3"/>
  <c r="X85" i="3"/>
  <c r="C628" i="3"/>
  <c r="X628" i="3"/>
  <c r="C516" i="3"/>
  <c r="X516" i="3"/>
  <c r="C404" i="3"/>
  <c r="U404" i="3" s="1"/>
  <c r="X404" i="3"/>
  <c r="C292" i="3"/>
  <c r="X292" i="3"/>
  <c r="C180" i="3"/>
  <c r="X180" i="3"/>
  <c r="C68" i="3"/>
  <c r="X68" i="3"/>
  <c r="C555" i="3"/>
  <c r="X555" i="3"/>
  <c r="C443" i="3"/>
  <c r="X443" i="3"/>
  <c r="C331" i="3"/>
  <c r="X331" i="3"/>
  <c r="C219" i="3"/>
  <c r="X219" i="3"/>
  <c r="C107" i="3"/>
  <c r="X107" i="3"/>
  <c r="C499" i="3"/>
  <c r="X499" i="3"/>
  <c r="C618" i="3"/>
  <c r="X618" i="3"/>
  <c r="C545" i="3"/>
  <c r="X545" i="3"/>
  <c r="C447" i="3"/>
  <c r="X447" i="3"/>
  <c r="C583" i="3"/>
  <c r="X583" i="3"/>
  <c r="C504" i="3"/>
  <c r="X504" i="3"/>
  <c r="C692" i="3"/>
  <c r="X692" i="3"/>
  <c r="C473" i="3"/>
  <c r="X473" i="3"/>
  <c r="C582" i="3"/>
  <c r="X582" i="3"/>
  <c r="C22" i="3"/>
  <c r="X22" i="3"/>
  <c r="C13" i="3"/>
  <c r="X13" i="3"/>
  <c r="C715" i="3"/>
  <c r="X715" i="3"/>
  <c r="C586" i="3"/>
  <c r="X586" i="3"/>
  <c r="C322" i="3"/>
  <c r="X322" i="3"/>
  <c r="C657" i="3"/>
  <c r="U657" i="3" s="1"/>
  <c r="X657" i="3"/>
  <c r="C664" i="3"/>
  <c r="X664" i="3"/>
  <c r="C490" i="3"/>
  <c r="X490" i="3"/>
  <c r="C192" i="3"/>
  <c r="X192" i="3"/>
  <c r="C737" i="3"/>
  <c r="X737" i="3"/>
  <c r="C616" i="3"/>
  <c r="X616" i="3"/>
  <c r="C383" i="3"/>
  <c r="X383" i="3"/>
  <c r="C56" i="3"/>
  <c r="X56" i="3"/>
  <c r="C688" i="3"/>
  <c r="X688" i="3"/>
  <c r="C543" i="3"/>
  <c r="X543" i="3"/>
  <c r="C250" i="3"/>
  <c r="X250" i="3"/>
  <c r="C263" i="3"/>
  <c r="X263" i="3"/>
  <c r="C642" i="3"/>
  <c r="X642" i="3"/>
  <c r="C440" i="3"/>
  <c r="U440" i="3" s="1"/>
  <c r="X440" i="3"/>
  <c r="C143" i="3"/>
  <c r="X143" i="3"/>
  <c r="C702" i="3"/>
  <c r="X702" i="3"/>
  <c r="C567" i="3"/>
  <c r="X567" i="3"/>
  <c r="C288" i="3"/>
  <c r="X288" i="3"/>
  <c r="C410" i="3"/>
  <c r="M410" i="3" s="1"/>
  <c r="X410" i="3"/>
  <c r="C658" i="3"/>
  <c r="X658" i="3"/>
  <c r="C479" i="3"/>
  <c r="X479" i="3"/>
  <c r="C178" i="3"/>
  <c r="X178" i="3"/>
  <c r="C449" i="3"/>
  <c r="X449" i="3"/>
  <c r="C337" i="3"/>
  <c r="X337" i="3"/>
  <c r="C225" i="3"/>
  <c r="X225" i="3"/>
  <c r="C113" i="3"/>
  <c r="X113" i="3"/>
  <c r="C111" i="3"/>
  <c r="X111" i="3"/>
  <c r="C558" i="3"/>
  <c r="X558" i="3"/>
  <c r="C446" i="3"/>
  <c r="U446" i="3" s="1"/>
  <c r="X446" i="3"/>
  <c r="C334" i="3"/>
  <c r="X334" i="3"/>
  <c r="C222" i="3"/>
  <c r="X222" i="3"/>
  <c r="C110" i="3"/>
  <c r="X110" i="3"/>
  <c r="C525" i="3"/>
  <c r="U525" i="3" s="1"/>
  <c r="X525" i="3"/>
  <c r="C413" i="3"/>
  <c r="X413" i="3"/>
  <c r="C301" i="3"/>
  <c r="X301" i="3"/>
  <c r="C189" i="3"/>
  <c r="X189" i="3"/>
  <c r="C77" i="3"/>
  <c r="X77" i="3"/>
  <c r="C620" i="3"/>
  <c r="U620" i="3" s="1"/>
  <c r="X620" i="3"/>
  <c r="C508" i="3"/>
  <c r="X508" i="3"/>
  <c r="C396" i="3"/>
  <c r="X396" i="3"/>
  <c r="C284" i="3"/>
  <c r="X284" i="3"/>
  <c r="C172" i="3"/>
  <c r="U172" i="3" s="1"/>
  <c r="X172" i="3"/>
  <c r="C60" i="3"/>
  <c r="X60" i="3"/>
  <c r="C547" i="3"/>
  <c r="X547" i="3"/>
  <c r="C435" i="3"/>
  <c r="X435" i="3"/>
  <c r="C323" i="3"/>
  <c r="X323" i="3"/>
  <c r="C211" i="3"/>
  <c r="U211" i="3" s="1"/>
  <c r="X211" i="3"/>
  <c r="C99" i="3"/>
  <c r="X99" i="3"/>
  <c r="C576" i="3"/>
  <c r="R576" i="3" s="1"/>
  <c r="X576" i="3"/>
  <c r="C362" i="3"/>
  <c r="X362" i="3"/>
  <c r="C544" i="3"/>
  <c r="U544" i="3" s="1"/>
  <c r="X544" i="3"/>
  <c r="C634" i="3"/>
  <c r="X634" i="3"/>
  <c r="C711" i="3"/>
  <c r="X711" i="3"/>
  <c r="C630" i="3"/>
  <c r="N630" i="3" s="1"/>
  <c r="X630" i="3"/>
  <c r="C600" i="3"/>
  <c r="X600" i="3"/>
  <c r="C401" i="3"/>
  <c r="X401" i="3"/>
  <c r="C65" i="3"/>
  <c r="X65" i="3"/>
  <c r="C286" i="3"/>
  <c r="X286" i="3"/>
  <c r="C174" i="3"/>
  <c r="X174" i="3"/>
  <c r="C365" i="3"/>
  <c r="U365" i="3" s="1"/>
  <c r="X365" i="3"/>
  <c r="C572" i="3"/>
  <c r="X572" i="3"/>
  <c r="C460" i="3"/>
  <c r="U460" i="3" s="1"/>
  <c r="X460" i="3"/>
  <c r="C124" i="3"/>
  <c r="U124" i="3" s="1"/>
  <c r="X124" i="3"/>
  <c r="C163" i="3"/>
  <c r="U163" i="3" s="1"/>
  <c r="X163" i="3"/>
  <c r="C722" i="3"/>
  <c r="X722" i="3"/>
  <c r="C9" i="3"/>
  <c r="X9" i="3"/>
  <c r="C739" i="3"/>
  <c r="X739" i="3"/>
  <c r="C386" i="3"/>
  <c r="U386" i="3" s="1"/>
  <c r="X386" i="3"/>
  <c r="C690" i="3"/>
  <c r="X690" i="3"/>
  <c r="C256" i="3"/>
  <c r="X256" i="3"/>
  <c r="C645" i="3"/>
  <c r="X645" i="3"/>
  <c r="C712" i="3"/>
  <c r="X712" i="3"/>
  <c r="C314" i="3"/>
  <c r="X314" i="3"/>
  <c r="C670" i="3"/>
  <c r="X670" i="3"/>
  <c r="C207" i="3"/>
  <c r="X207" i="3"/>
  <c r="C726" i="3"/>
  <c r="X726" i="3"/>
  <c r="C352" i="3"/>
  <c r="X352" i="3"/>
  <c r="C536" i="3"/>
  <c r="X536" i="3"/>
  <c r="C361" i="3"/>
  <c r="U361" i="3" s="1"/>
  <c r="X361" i="3"/>
  <c r="C249" i="3"/>
  <c r="X249" i="3"/>
  <c r="C135" i="3"/>
  <c r="X135" i="3"/>
  <c r="C470" i="3"/>
  <c r="X470" i="3"/>
  <c r="C246" i="3"/>
  <c r="X246" i="3"/>
  <c r="C549" i="3"/>
  <c r="X549" i="3"/>
  <c r="C437" i="3"/>
  <c r="X437" i="3"/>
  <c r="C213" i="3"/>
  <c r="X213" i="3"/>
  <c r="C101" i="3"/>
  <c r="U101" i="3" s="1"/>
  <c r="X101" i="3"/>
  <c r="C532" i="3"/>
  <c r="X532" i="3"/>
  <c r="C308" i="3"/>
  <c r="X308" i="3"/>
  <c r="C196" i="3"/>
  <c r="R196" i="3" s="1"/>
  <c r="X196" i="3"/>
  <c r="C571" i="3"/>
  <c r="X571" i="3"/>
  <c r="C459" i="3"/>
  <c r="X459" i="3"/>
  <c r="C235" i="3"/>
  <c r="X235" i="3"/>
  <c r="C10" i="3"/>
  <c r="X10" i="3"/>
  <c r="C14" i="3"/>
  <c r="X14" i="3"/>
  <c r="C707" i="3"/>
  <c r="U707" i="3" s="1"/>
  <c r="X707" i="3"/>
  <c r="C575" i="3"/>
  <c r="X575" i="3"/>
  <c r="C303" i="3"/>
  <c r="X303" i="3"/>
  <c r="C589" i="3"/>
  <c r="X589" i="3"/>
  <c r="C655" i="3"/>
  <c r="X655" i="3"/>
  <c r="C471" i="3"/>
  <c r="X471" i="3"/>
  <c r="C170" i="3"/>
  <c r="X170" i="3"/>
  <c r="C729" i="3"/>
  <c r="X729" i="3"/>
  <c r="C606" i="3"/>
  <c r="X606" i="3"/>
  <c r="C360" i="3"/>
  <c r="X360" i="3"/>
  <c r="C648" i="3"/>
  <c r="X648" i="3"/>
  <c r="C680" i="3"/>
  <c r="X680" i="3"/>
  <c r="C527" i="3"/>
  <c r="X527" i="3"/>
  <c r="C231" i="3"/>
  <c r="X231" i="3"/>
  <c r="C154" i="3"/>
  <c r="U154" i="3" s="1"/>
  <c r="X154" i="3"/>
  <c r="C633" i="3"/>
  <c r="X633" i="3"/>
  <c r="C418" i="3"/>
  <c r="X418" i="3"/>
  <c r="C112" i="3"/>
  <c r="X112" i="3"/>
  <c r="C694" i="3"/>
  <c r="X694" i="3"/>
  <c r="C553" i="3"/>
  <c r="X553" i="3"/>
  <c r="C266" i="3"/>
  <c r="X266" i="3"/>
  <c r="C304" i="3"/>
  <c r="X304" i="3"/>
  <c r="C649" i="3"/>
  <c r="X649" i="3"/>
  <c r="C456" i="3"/>
  <c r="X456" i="3"/>
  <c r="C159" i="3"/>
  <c r="X159" i="3"/>
  <c r="C441" i="3"/>
  <c r="X441" i="3"/>
  <c r="C329" i="3"/>
  <c r="X329" i="3"/>
  <c r="C217" i="3"/>
  <c r="X217" i="3"/>
  <c r="C105" i="3"/>
  <c r="U105" i="3" s="1"/>
  <c r="X105" i="3"/>
  <c r="C103" i="3"/>
  <c r="X103" i="3"/>
  <c r="C550" i="3"/>
  <c r="X550" i="3"/>
  <c r="C438" i="3"/>
  <c r="X438" i="3"/>
  <c r="C326" i="3"/>
  <c r="X326" i="3"/>
  <c r="C214" i="3"/>
  <c r="X214" i="3"/>
  <c r="C102" i="3"/>
  <c r="X102" i="3"/>
  <c r="C517" i="3"/>
  <c r="X517" i="3"/>
  <c r="C405" i="3"/>
  <c r="X405" i="3"/>
  <c r="C293" i="3"/>
  <c r="U293" i="3" s="1"/>
  <c r="X293" i="3"/>
  <c r="C181" i="3"/>
  <c r="U181" i="3" s="1"/>
  <c r="X181" i="3"/>
  <c r="C69" i="3"/>
  <c r="X69" i="3"/>
  <c r="C612" i="3"/>
  <c r="U612" i="3" s="1"/>
  <c r="X612" i="3"/>
  <c r="C500" i="3"/>
  <c r="X500" i="3"/>
  <c r="C388" i="3"/>
  <c r="X388" i="3"/>
  <c r="C276" i="3"/>
  <c r="X276" i="3"/>
  <c r="C164" i="3"/>
  <c r="X164" i="3"/>
  <c r="C52" i="3"/>
  <c r="X52" i="3"/>
  <c r="C539" i="3"/>
  <c r="X539" i="3"/>
  <c r="C427" i="3"/>
  <c r="X427" i="3"/>
  <c r="C315" i="3"/>
  <c r="X315" i="3"/>
  <c r="C203" i="3"/>
  <c r="M203" i="3" s="1"/>
  <c r="X203" i="3"/>
  <c r="C91" i="3"/>
  <c r="X91" i="3"/>
  <c r="C9" i="1"/>
  <c r="T416" i="3"/>
  <c r="T382" i="3"/>
  <c r="T210" i="3"/>
  <c r="T497" i="3"/>
  <c r="T161" i="3"/>
  <c r="T368" i="3"/>
  <c r="T556" i="3"/>
  <c r="T220" i="3"/>
  <c r="T483" i="3"/>
  <c r="T647" i="3"/>
  <c r="T450" i="3"/>
  <c r="T632" i="3"/>
  <c r="T271" i="3"/>
  <c r="T615" i="3"/>
  <c r="T273" i="3"/>
  <c r="T494" i="3"/>
  <c r="T585" i="3"/>
  <c r="T554" i="3"/>
  <c r="T378" i="3"/>
  <c r="T158" i="3"/>
  <c r="T511" i="3"/>
  <c r="T306" i="3"/>
  <c r="T684" i="3"/>
  <c r="T152" i="3"/>
  <c r="T672" i="3"/>
  <c r="T714" i="3"/>
  <c r="T199" i="3"/>
  <c r="T577" i="3"/>
  <c r="T692" i="3"/>
  <c r="T618" i="3"/>
  <c r="T135" i="3"/>
  <c r="T709" i="3"/>
  <c r="T726" i="3"/>
  <c r="T505" i="3"/>
  <c r="T735" i="3"/>
  <c r="T703" i="3"/>
  <c r="T169" i="3"/>
  <c r="T596" i="3"/>
  <c r="T260" i="3"/>
  <c r="T186" i="3"/>
  <c r="T662" i="3"/>
  <c r="T277" i="3"/>
  <c r="T534" i="3"/>
  <c r="T198" i="3"/>
  <c r="T160" i="3"/>
  <c r="T398" i="3"/>
  <c r="T693" i="3"/>
  <c r="T521" i="3"/>
  <c r="T423" i="3"/>
  <c r="T678" i="3"/>
  <c r="T629" i="3"/>
  <c r="T458" i="3"/>
  <c r="T572" i="3"/>
  <c r="T351" i="3"/>
  <c r="T253" i="3"/>
  <c r="T442" i="3"/>
  <c r="T310" i="3"/>
  <c r="T523" i="3"/>
  <c r="T187" i="3"/>
  <c r="T425" i="3"/>
  <c r="T376" i="3"/>
  <c r="T614" i="3"/>
  <c r="T631" i="3"/>
  <c r="T362" i="3"/>
  <c r="T236" i="3"/>
  <c r="T286" i="3"/>
  <c r="T499" i="3"/>
  <c r="T163" i="3"/>
  <c r="T401" i="3"/>
  <c r="T730" i="3"/>
  <c r="T607" i="3"/>
  <c r="T484" i="3"/>
  <c r="T148" i="3"/>
  <c r="T411" i="3"/>
  <c r="T460" i="3"/>
  <c r="T387" i="3"/>
  <c r="T689" i="3"/>
  <c r="T255" i="3"/>
  <c r="T584" i="3"/>
  <c r="T510" i="3"/>
  <c r="T174" i="3"/>
  <c r="T312" i="3"/>
  <c r="T501" i="3"/>
  <c r="T165" i="3"/>
  <c r="T665" i="3"/>
  <c r="T224" i="3"/>
  <c r="T313" i="3"/>
  <c r="T477" i="3"/>
  <c r="T141" i="3"/>
  <c r="T634" i="3"/>
  <c r="T289" i="3"/>
  <c r="T600" i="3"/>
  <c r="T519" i="3"/>
  <c r="T372" i="3"/>
  <c r="T176" i="3"/>
  <c r="T725" i="3"/>
  <c r="T389" i="3"/>
  <c r="T650" i="3"/>
  <c r="T576" i="3"/>
  <c r="T544" i="3"/>
  <c r="T495" i="3"/>
  <c r="T348" i="3"/>
  <c r="T299" i="3"/>
  <c r="T201" i="3"/>
  <c r="T365" i="3"/>
  <c r="T194" i="3"/>
  <c r="T422" i="3"/>
  <c r="T611" i="3"/>
  <c r="T275" i="3"/>
  <c r="T513" i="3"/>
  <c r="T177" i="3"/>
  <c r="T168" i="3"/>
  <c r="T381" i="3"/>
  <c r="T734" i="3"/>
  <c r="T202" i="3"/>
  <c r="T366" i="3"/>
  <c r="T653" i="3"/>
  <c r="T407" i="3"/>
  <c r="T252" i="3"/>
  <c r="T269" i="3"/>
  <c r="T481" i="3"/>
  <c r="T145" i="3"/>
  <c r="T522" i="3"/>
  <c r="T375" i="3"/>
  <c r="T613" i="3"/>
  <c r="T515" i="3"/>
  <c r="T179" i="3"/>
  <c r="T466" i="3"/>
  <c r="T417" i="3"/>
  <c r="T679" i="3"/>
  <c r="T294" i="3"/>
  <c r="T669" i="3"/>
  <c r="T588" i="3"/>
  <c r="T408" i="3"/>
  <c r="T261" i="3"/>
  <c r="T467" i="3"/>
  <c r="T131" i="3"/>
  <c r="T705" i="3"/>
  <c r="T369" i="3"/>
  <c r="T698" i="3"/>
  <c r="T392" i="3"/>
  <c r="T302" i="3"/>
  <c r="T720" i="3"/>
  <c r="T622" i="3"/>
  <c r="T254" i="3"/>
  <c r="T296" i="3"/>
  <c r="T476" i="3"/>
  <c r="T140" i="3"/>
  <c r="T493" i="3"/>
  <c r="T157" i="3"/>
  <c r="T346" i="3"/>
  <c r="T239" i="3"/>
  <c r="T560" i="3"/>
  <c r="T602" i="3"/>
  <c r="T336" i="3"/>
  <c r="T264" i="3"/>
  <c r="T551" i="3"/>
  <c r="T526" i="3"/>
  <c r="T190" i="3"/>
  <c r="T428" i="3"/>
  <c r="T403" i="3"/>
  <c r="T354" i="3"/>
  <c r="T305" i="3"/>
  <c r="T445" i="3"/>
  <c r="T683" i="3"/>
  <c r="T740" i="3"/>
  <c r="T700" i="3"/>
  <c r="T364" i="3"/>
  <c r="T627" i="3"/>
  <c r="T503" i="3"/>
  <c r="T167" i="3"/>
  <c r="T478" i="3"/>
  <c r="T142" i="3"/>
  <c r="T716" i="3"/>
  <c r="T355" i="3"/>
  <c r="T593" i="3"/>
  <c r="T257" i="3"/>
  <c r="T414" i="3"/>
  <c r="T243" i="3"/>
  <c r="T530" i="3"/>
  <c r="T552" i="3"/>
  <c r="T741" i="3"/>
  <c r="T226" i="3"/>
  <c r="T464" i="3"/>
  <c r="T652" i="3"/>
  <c r="T316" i="3"/>
  <c r="T579" i="3"/>
  <c r="T504" i="3"/>
  <c r="T644" i="3"/>
  <c r="T308" i="3"/>
  <c r="T136" i="3"/>
  <c r="T325" i="3"/>
  <c r="T604" i="3"/>
  <c r="T268" i="3"/>
  <c r="T531" i="3"/>
  <c r="C32" i="1"/>
  <c r="T743" i="3"/>
  <c r="T546" i="3"/>
  <c r="T448" i="3"/>
  <c r="T399" i="3"/>
  <c r="T686" i="3"/>
  <c r="T637" i="3"/>
  <c r="T318" i="3"/>
  <c r="T434" i="3"/>
  <c r="E2" i="3"/>
  <c r="O2" i="3" s="1"/>
  <c r="T358" i="3"/>
  <c r="T645" i="3"/>
  <c r="T571" i="3"/>
  <c r="T235" i="3"/>
  <c r="T473" i="3"/>
  <c r="T137" i="3"/>
  <c r="T123" i="3"/>
  <c r="T432" i="3"/>
  <c r="T670" i="3"/>
  <c r="T621" i="3"/>
  <c r="T285" i="3"/>
  <c r="T319" i="3"/>
  <c r="T532" i="3"/>
  <c r="T196" i="3"/>
  <c r="T459" i="3"/>
  <c r="T386" i="3"/>
  <c r="T8" i="3"/>
  <c r="T433" i="3"/>
  <c r="T671" i="3"/>
  <c r="T646" i="3"/>
  <c r="T474" i="3"/>
  <c r="T712" i="3"/>
  <c r="T327" i="3"/>
  <c r="T582" i="3"/>
  <c r="T246" i="3"/>
  <c r="T352" i="3"/>
  <c r="T492" i="3"/>
  <c r="T156" i="3"/>
  <c r="T509" i="3"/>
  <c r="T173" i="3"/>
  <c r="T338" i="3"/>
  <c r="T195" i="3"/>
  <c r="T721" i="3"/>
  <c r="T549" i="3"/>
  <c r="T213" i="3"/>
  <c r="T426" i="3"/>
  <c r="T713" i="3"/>
  <c r="T419" i="3"/>
  <c r="T321" i="3"/>
  <c r="T583" i="3"/>
  <c r="T247" i="3"/>
  <c r="T314" i="3"/>
  <c r="C2" i="3"/>
  <c r="R2" i="3" s="1"/>
  <c r="C35" i="1"/>
  <c r="T640" i="3"/>
  <c r="T280" i="3"/>
  <c r="T420" i="3"/>
  <c r="T609" i="3"/>
  <c r="T437" i="3"/>
  <c r="C34" i="1"/>
  <c r="T542" i="3"/>
  <c r="T206" i="3"/>
  <c r="T699" i="3"/>
  <c r="T624" i="3"/>
  <c r="T739" i="3"/>
  <c r="T690" i="3"/>
  <c r="T256" i="3"/>
  <c r="T207" i="3"/>
  <c r="T347" i="3"/>
  <c r="T249" i="3"/>
  <c r="T536" i="3"/>
  <c r="T242" i="3"/>
  <c r="C31" i="1"/>
  <c r="T470" i="3"/>
  <c r="T134" i="3"/>
  <c r="T561" i="3"/>
  <c r="T487" i="3"/>
  <c r="T151" i="3"/>
  <c r="T218" i="3"/>
  <c r="C37" i="1"/>
  <c r="T601" i="3"/>
  <c r="T380" i="3"/>
  <c r="T691" i="3"/>
  <c r="T208" i="3"/>
  <c r="T397" i="3"/>
  <c r="T537" i="3"/>
  <c r="C33" i="1"/>
  <c r="C30" i="1"/>
  <c r="T430" i="3"/>
  <c r="T307" i="3"/>
  <c r="T594" i="3"/>
  <c r="T545" i="3"/>
  <c r="T209" i="3"/>
  <c r="T447" i="3"/>
  <c r="T685" i="3"/>
  <c r="T146" i="3"/>
  <c r="C36" i="1"/>
  <c r="T719" i="3"/>
  <c r="T564" i="3"/>
  <c r="T228" i="3"/>
  <c r="T343" i="3"/>
  <c r="T245" i="3"/>
  <c r="AS1" i="3"/>
  <c r="B29" i="1" s="1"/>
  <c r="B57" i="1" s="1"/>
  <c r="AP1" i="3"/>
  <c r="B28" i="1" s="1"/>
  <c r="B56" i="1" s="1"/>
  <c r="T674" i="3"/>
  <c r="T623" i="3"/>
  <c r="T287" i="3"/>
  <c r="T262" i="3"/>
  <c r="T475" i="3"/>
  <c r="T139" i="3"/>
  <c r="T377" i="3"/>
  <c r="T328" i="3"/>
  <c r="T468" i="3"/>
  <c r="T132" i="3"/>
  <c r="T706" i="3"/>
  <c r="T370" i="3"/>
  <c r="T485" i="3"/>
  <c r="T149" i="3"/>
  <c r="AM1" i="3"/>
  <c r="B27" i="1" s="1"/>
  <c r="B55" i="1" s="1"/>
  <c r="E15" i="3"/>
  <c r="S15" i="3" s="1"/>
  <c r="T697" i="3"/>
  <c r="T738" i="3"/>
  <c r="T395" i="3"/>
  <c r="T297" i="3"/>
  <c r="T248" i="3"/>
  <c r="T559" i="3"/>
  <c r="T436" i="3"/>
  <c r="T363" i="3"/>
  <c r="T290" i="3"/>
  <c r="T452" i="3"/>
  <c r="T518" i="3"/>
  <c r="T182" i="3"/>
  <c r="T469" i="3"/>
  <c r="T133" i="3"/>
  <c r="T535" i="3"/>
  <c r="T675" i="3"/>
  <c r="AJ1" i="3"/>
  <c r="B26" i="1" s="1"/>
  <c r="B54" i="1" s="1"/>
  <c r="T641" i="3"/>
  <c r="T625" i="3"/>
  <c r="T240" i="3"/>
  <c r="T502" i="3"/>
  <c r="T166" i="3"/>
  <c r="T379" i="3"/>
  <c r="T666" i="3"/>
  <c r="T617" i="3"/>
  <c r="T281" i="3"/>
  <c r="T568" i="3"/>
  <c r="T232" i="3"/>
  <c r="T183" i="3"/>
  <c r="T659" i="3"/>
  <c r="T610" i="3"/>
  <c r="T274" i="3"/>
  <c r="T267" i="3"/>
  <c r="T216" i="3"/>
  <c r="T733" i="3"/>
  <c r="T488" i="3"/>
  <c r="T676" i="3"/>
  <c r="T340" i="3"/>
  <c r="T603" i="3"/>
  <c r="AD1" i="3"/>
  <c r="B24" i="1" s="1"/>
  <c r="B52" i="1" s="1"/>
  <c r="E14" i="3"/>
  <c r="S14" i="3" s="1"/>
  <c r="T744" i="3"/>
  <c r="T335" i="3"/>
  <c r="T597" i="3"/>
  <c r="T138" i="3"/>
  <c r="T278" i="3"/>
  <c r="T656" i="3"/>
  <c r="T409" i="3"/>
  <c r="T384" i="3"/>
  <c r="T590" i="3"/>
  <c r="T681" i="3"/>
  <c r="T592" i="3"/>
  <c r="T732" i="3"/>
  <c r="T175" i="3"/>
  <c r="T356" i="3"/>
  <c r="T373" i="3"/>
  <c r="T562" i="3"/>
  <c r="T439" i="3"/>
  <c r="T390" i="3"/>
  <c r="T528" i="3"/>
  <c r="T717" i="3"/>
  <c r="T643" i="3"/>
  <c r="T587" i="3"/>
  <c r="T251" i="3"/>
  <c r="T538" i="3"/>
  <c r="T489" i="3"/>
  <c r="T153" i="3"/>
  <c r="AA1" i="3"/>
  <c r="B23" i="1" s="1"/>
  <c r="B51" i="1" s="1"/>
  <c r="T144" i="3"/>
  <c r="T431" i="3"/>
  <c r="T742" i="3"/>
  <c r="T406" i="3"/>
  <c r="T357" i="3"/>
  <c r="T619" i="3"/>
  <c r="T283" i="3"/>
  <c r="T185" i="3"/>
  <c r="T472" i="3"/>
  <c r="T374" i="3"/>
  <c r="T514" i="3"/>
  <c r="T171" i="3"/>
  <c r="C132" i="5"/>
  <c r="E10" i="3"/>
  <c r="S10" i="3" s="1"/>
  <c r="E575" i="3"/>
  <c r="S575" i="3" s="1"/>
  <c r="E303" i="3"/>
  <c r="S303" i="3" s="1"/>
  <c r="E589" i="3"/>
  <c r="S589" i="3" s="1"/>
  <c r="E655" i="3"/>
  <c r="S655" i="3" s="1"/>
  <c r="E471" i="3"/>
  <c r="S471" i="3" s="1"/>
  <c r="E170" i="3"/>
  <c r="S170" i="3" s="1"/>
  <c r="E729" i="3"/>
  <c r="S729" i="3" s="1"/>
  <c r="E606" i="3"/>
  <c r="S606" i="3" s="1"/>
  <c r="E360" i="3"/>
  <c r="S360" i="3" s="1"/>
  <c r="E648" i="3"/>
  <c r="S648" i="3" s="1"/>
  <c r="E680" i="3"/>
  <c r="S680" i="3" s="1"/>
  <c r="E527" i="3"/>
  <c r="S527" i="3" s="1"/>
  <c r="E231" i="3"/>
  <c r="S231" i="3" s="1"/>
  <c r="E154" i="3"/>
  <c r="S154" i="3" s="1"/>
  <c r="E633" i="3"/>
  <c r="S633" i="3" s="1"/>
  <c r="E418" i="3"/>
  <c r="S418" i="3" s="1"/>
  <c r="E112" i="3"/>
  <c r="S112" i="3" s="1"/>
  <c r="E694" i="3"/>
  <c r="S694" i="3" s="1"/>
  <c r="E553" i="3"/>
  <c r="S553" i="3" s="1"/>
  <c r="E266" i="3"/>
  <c r="S266" i="3" s="1"/>
  <c r="E304" i="3"/>
  <c r="O304" i="3" s="1"/>
  <c r="E649" i="3"/>
  <c r="S649" i="3" s="1"/>
  <c r="E456" i="3"/>
  <c r="S456" i="3" s="1"/>
  <c r="E159" i="3"/>
  <c r="S159" i="3" s="1"/>
  <c r="E441" i="3"/>
  <c r="S441" i="3" s="1"/>
  <c r="E329" i="3"/>
  <c r="S329" i="3" s="1"/>
  <c r="E217" i="3"/>
  <c r="S217" i="3" s="1"/>
  <c r="E105" i="3"/>
  <c r="S105" i="3" s="1"/>
  <c r="E103" i="3"/>
  <c r="S103" i="3" s="1"/>
  <c r="E550" i="3"/>
  <c r="S550" i="3" s="1"/>
  <c r="E438" i="3"/>
  <c r="S438" i="3" s="1"/>
  <c r="E326" i="3"/>
  <c r="S326" i="3" s="1"/>
  <c r="E214" i="3"/>
  <c r="S214" i="3" s="1"/>
  <c r="E102" i="3"/>
  <c r="S102" i="3" s="1"/>
  <c r="E517" i="3"/>
  <c r="S517" i="3" s="1"/>
  <c r="E405" i="3"/>
  <c r="S405" i="3" s="1"/>
  <c r="E293" i="3"/>
  <c r="S293" i="3" s="1"/>
  <c r="E181" i="3"/>
  <c r="S181" i="3" s="1"/>
  <c r="E69" i="3"/>
  <c r="S69" i="3" s="1"/>
  <c r="E612" i="3"/>
  <c r="S612" i="3" s="1"/>
  <c r="E500" i="3"/>
  <c r="S500" i="3" s="1"/>
  <c r="E388" i="3"/>
  <c r="S388" i="3" s="1"/>
  <c r="E276" i="3"/>
  <c r="O276" i="3" s="1"/>
  <c r="E164" i="3"/>
  <c r="S164" i="3" s="1"/>
  <c r="E52" i="3"/>
  <c r="S52" i="3" s="1"/>
  <c r="E539" i="3"/>
  <c r="S539" i="3" s="1"/>
  <c r="E427" i="3"/>
  <c r="S427" i="3" s="1"/>
  <c r="E315" i="3"/>
  <c r="S315" i="3" s="1"/>
  <c r="E203" i="3"/>
  <c r="S203" i="3" s="1"/>
  <c r="E91" i="3"/>
  <c r="O91" i="3" s="1"/>
  <c r="E20" i="3"/>
  <c r="S20" i="3" s="1"/>
  <c r="E4" i="3"/>
  <c r="E699" i="3"/>
  <c r="S699" i="3" s="1"/>
  <c r="E561" i="3"/>
  <c r="S561" i="3" s="1"/>
  <c r="E280" i="3"/>
  <c r="S280" i="3" s="1"/>
  <c r="E474" i="3"/>
  <c r="S474" i="3" s="1"/>
  <c r="E646" i="3"/>
  <c r="S646" i="3" s="1"/>
  <c r="E448" i="3"/>
  <c r="S448" i="3" s="1"/>
  <c r="E151" i="3"/>
  <c r="S151" i="3" s="1"/>
  <c r="E721" i="3"/>
  <c r="S721" i="3" s="1"/>
  <c r="E594" i="3"/>
  <c r="S594" i="3" s="1"/>
  <c r="E338" i="3"/>
  <c r="S338" i="3" s="1"/>
  <c r="E609" i="3"/>
  <c r="S609" i="3" s="1"/>
  <c r="E671" i="3"/>
  <c r="S671" i="3" s="1"/>
  <c r="E506" i="3"/>
  <c r="S506" i="3" s="1"/>
  <c r="E208" i="3"/>
  <c r="S208" i="3" s="1"/>
  <c r="E743" i="3"/>
  <c r="S743" i="3" s="1"/>
  <c r="E624" i="3"/>
  <c r="S624" i="3" s="1"/>
  <c r="E399" i="3"/>
  <c r="S399" i="3" s="1"/>
  <c r="E80" i="3"/>
  <c r="S80" i="3" s="1"/>
  <c r="E686" i="3"/>
  <c r="S686" i="3" s="1"/>
  <c r="E537" i="3"/>
  <c r="S537" i="3" s="1"/>
  <c r="E247" i="3"/>
  <c r="S247" i="3" s="1"/>
  <c r="E218" i="3"/>
  <c r="S218" i="3" s="1"/>
  <c r="E640" i="3"/>
  <c r="S640" i="3" s="1"/>
  <c r="E434" i="3"/>
  <c r="S434" i="3" s="1"/>
  <c r="E136" i="3"/>
  <c r="S136" i="3" s="1"/>
  <c r="E433" i="3"/>
  <c r="O433" i="3" s="1"/>
  <c r="E321" i="3"/>
  <c r="S321" i="3" s="1"/>
  <c r="E209" i="3"/>
  <c r="S209" i="3" s="1"/>
  <c r="E97" i="3"/>
  <c r="S97" i="3" s="1"/>
  <c r="E95" i="3"/>
  <c r="S95" i="3" s="1"/>
  <c r="E542" i="3"/>
  <c r="S542" i="3" s="1"/>
  <c r="E430" i="3"/>
  <c r="S430" i="3" s="1"/>
  <c r="E318" i="3"/>
  <c r="O318" i="3" s="1"/>
  <c r="E206" i="3"/>
  <c r="S206" i="3" s="1"/>
  <c r="E94" i="3"/>
  <c r="S94" i="3" s="1"/>
  <c r="E509" i="3"/>
  <c r="S509" i="3" s="1"/>
  <c r="E397" i="3"/>
  <c r="S397" i="3" s="1"/>
  <c r="E285" i="3"/>
  <c r="S285" i="3" s="1"/>
  <c r="E173" i="3"/>
  <c r="S173" i="3" s="1"/>
  <c r="E61" i="3"/>
  <c r="O61" i="3" s="1"/>
  <c r="E604" i="3"/>
  <c r="S604" i="3" s="1"/>
  <c r="E492" i="3"/>
  <c r="S492" i="3" s="1"/>
  <c r="E380" i="3"/>
  <c r="S380" i="3" s="1"/>
  <c r="E268" i="3"/>
  <c r="S268" i="3" s="1"/>
  <c r="E156" i="3"/>
  <c r="S156" i="3" s="1"/>
  <c r="E44" i="3"/>
  <c r="S44" i="3" s="1"/>
  <c r="E531" i="3"/>
  <c r="S531" i="3" s="1"/>
  <c r="E419" i="3"/>
  <c r="S419" i="3" s="1"/>
  <c r="E307" i="3"/>
  <c r="S307" i="3" s="1"/>
  <c r="E195" i="3"/>
  <c r="S195" i="3" s="1"/>
  <c r="E83" i="3"/>
  <c r="S83" i="3" s="1"/>
  <c r="E8" i="3"/>
  <c r="O8" i="3" s="1"/>
  <c r="E691" i="3"/>
  <c r="S691" i="3" s="1"/>
  <c r="E546" i="3"/>
  <c r="S546" i="3" s="1"/>
  <c r="E258" i="3"/>
  <c r="S258" i="3" s="1"/>
  <c r="E327" i="3"/>
  <c r="S327" i="3" s="1"/>
  <c r="E637" i="3"/>
  <c r="S637" i="3" s="1"/>
  <c r="E426" i="3"/>
  <c r="S426" i="3" s="1"/>
  <c r="E122" i="3"/>
  <c r="S122" i="3" s="1"/>
  <c r="E713" i="3"/>
  <c r="S713" i="3" s="1"/>
  <c r="E584" i="3"/>
  <c r="S584" i="3" s="1"/>
  <c r="E319" i="3"/>
  <c r="S319" i="3" s="1"/>
  <c r="E519" i="3"/>
  <c r="S519" i="3" s="1"/>
  <c r="E662" i="3"/>
  <c r="S662" i="3" s="1"/>
  <c r="E487" i="3"/>
  <c r="S487" i="3" s="1"/>
  <c r="E186" i="3"/>
  <c r="S186" i="3" s="1"/>
  <c r="E735" i="3"/>
  <c r="S735" i="3" s="1"/>
  <c r="E614" i="3"/>
  <c r="S614" i="3" s="1"/>
  <c r="E376" i="3"/>
  <c r="S376" i="3" s="1"/>
  <c r="E48" i="3"/>
  <c r="S48" i="3" s="1"/>
  <c r="E678" i="3"/>
  <c r="S678" i="3" s="1"/>
  <c r="E521" i="3"/>
  <c r="S521" i="3" s="1"/>
  <c r="E224" i="3"/>
  <c r="S224" i="3" s="1"/>
  <c r="E176" i="3"/>
  <c r="S176" i="3" s="1"/>
  <c r="E631" i="3"/>
  <c r="S631" i="3" s="1"/>
  <c r="E415" i="3"/>
  <c r="S415" i="3" s="1"/>
  <c r="E104" i="3"/>
  <c r="S104" i="3" s="1"/>
  <c r="E425" i="3"/>
  <c r="S425" i="3" s="1"/>
  <c r="E313" i="3"/>
  <c r="S313" i="3" s="1"/>
  <c r="E201" i="3"/>
  <c r="O201" i="3" s="1"/>
  <c r="E89" i="3"/>
  <c r="S89" i="3" s="1"/>
  <c r="E87" i="3"/>
  <c r="S87" i="3" s="1"/>
  <c r="E534" i="3"/>
  <c r="S534" i="3" s="1"/>
  <c r="E422" i="3"/>
  <c r="S422" i="3" s="1"/>
  <c r="E310" i="3"/>
  <c r="S310" i="3" s="1"/>
  <c r="E198" i="3"/>
  <c r="S198" i="3" s="1"/>
  <c r="E86" i="3"/>
  <c r="S86" i="3" s="1"/>
  <c r="E501" i="3"/>
  <c r="S501" i="3" s="1"/>
  <c r="E389" i="3"/>
  <c r="S389" i="3" s="1"/>
  <c r="E277" i="3"/>
  <c r="S277" i="3" s="1"/>
  <c r="E165" i="3"/>
  <c r="S165" i="3" s="1"/>
  <c r="E53" i="3"/>
  <c r="S53" i="3" s="1"/>
  <c r="E596" i="3"/>
  <c r="S596" i="3" s="1"/>
  <c r="E484" i="3"/>
  <c r="S484" i="3" s="1"/>
  <c r="E372" i="3"/>
  <c r="S372" i="3" s="1"/>
  <c r="E260" i="3"/>
  <c r="S260" i="3" s="1"/>
  <c r="E148" i="3"/>
  <c r="S148" i="3" s="1"/>
  <c r="E36" i="3"/>
  <c r="S36" i="3" s="1"/>
  <c r="E523" i="3"/>
  <c r="S523" i="3" s="1"/>
  <c r="E411" i="3"/>
  <c r="S411" i="3" s="1"/>
  <c r="E299" i="3"/>
  <c r="S299" i="3" s="1"/>
  <c r="E187" i="3"/>
  <c r="O187" i="3" s="1"/>
  <c r="E75" i="3"/>
  <c r="S75" i="3" s="1"/>
  <c r="E707" i="3"/>
  <c r="S707" i="3" s="1"/>
  <c r="E18" i="3"/>
  <c r="S18" i="3" s="1"/>
  <c r="E716" i="3"/>
  <c r="E683" i="3"/>
  <c r="S683" i="3" s="1"/>
  <c r="E530" i="3"/>
  <c r="S530" i="3" s="1"/>
  <c r="E239" i="3"/>
  <c r="S239" i="3" s="1"/>
  <c r="E66" i="3"/>
  <c r="S66" i="3" s="1"/>
  <c r="E627" i="3"/>
  <c r="S627" i="3" s="1"/>
  <c r="E407" i="3"/>
  <c r="S407" i="3" s="1"/>
  <c r="E90" i="3"/>
  <c r="S90" i="3" s="1"/>
  <c r="E705" i="3"/>
  <c r="S705" i="3" s="1"/>
  <c r="E570" i="3"/>
  <c r="S570" i="3" s="1"/>
  <c r="E296" i="3"/>
  <c r="S296" i="3" s="1"/>
  <c r="E346" i="3"/>
  <c r="S346" i="3" s="1"/>
  <c r="E653" i="3"/>
  <c r="S653" i="3" s="1"/>
  <c r="E464" i="3"/>
  <c r="S464" i="3" s="1"/>
  <c r="E167" i="3"/>
  <c r="S167" i="3" s="1"/>
  <c r="E727" i="3"/>
  <c r="S727" i="3" s="1"/>
  <c r="E602" i="3"/>
  <c r="S602" i="3" s="1"/>
  <c r="E354" i="3"/>
  <c r="O354" i="3" s="1"/>
  <c r="E740" i="3"/>
  <c r="S740" i="3" s="1"/>
  <c r="E669" i="3"/>
  <c r="S669" i="3" s="1"/>
  <c r="E503" i="3"/>
  <c r="S503" i="3" s="1"/>
  <c r="E202" i="3"/>
  <c r="S202" i="3" s="1"/>
  <c r="E741" i="3"/>
  <c r="S741" i="3" s="1"/>
  <c r="E622" i="3"/>
  <c r="S622" i="3" s="1"/>
  <c r="E392" i="3"/>
  <c r="S392" i="3" s="1"/>
  <c r="E72" i="3"/>
  <c r="S72" i="3" s="1"/>
  <c r="E417" i="3"/>
  <c r="S417" i="3" s="1"/>
  <c r="E305" i="3"/>
  <c r="S305" i="3" s="1"/>
  <c r="E193" i="3"/>
  <c r="S193" i="3" s="1"/>
  <c r="E81" i="3"/>
  <c r="S81" i="3" s="1"/>
  <c r="E79" i="3"/>
  <c r="S79" i="3" s="1"/>
  <c r="E526" i="3"/>
  <c r="S526" i="3" s="1"/>
  <c r="E414" i="3"/>
  <c r="S414" i="3" s="1"/>
  <c r="E302" i="3"/>
  <c r="S302" i="3" s="1"/>
  <c r="E190" i="3"/>
  <c r="S190" i="3" s="1"/>
  <c r="E78" i="3"/>
  <c r="S78" i="3" s="1"/>
  <c r="E493" i="3"/>
  <c r="S493" i="3" s="1"/>
  <c r="E381" i="3"/>
  <c r="O381" i="3" s="1"/>
  <c r="E269" i="3"/>
  <c r="S269" i="3" s="1"/>
  <c r="E157" i="3"/>
  <c r="S157" i="3" s="1"/>
  <c r="E45" i="3"/>
  <c r="S45" i="3" s="1"/>
  <c r="E588" i="3"/>
  <c r="S588" i="3" s="1"/>
  <c r="E476" i="3"/>
  <c r="S476" i="3" s="1"/>
  <c r="E364" i="3"/>
  <c r="S364" i="3" s="1"/>
  <c r="E252" i="3"/>
  <c r="S252" i="3" s="1"/>
  <c r="E140" i="3"/>
  <c r="S140" i="3" s="1"/>
  <c r="E28" i="3"/>
  <c r="S28" i="3" s="1"/>
  <c r="E515" i="3"/>
  <c r="S515" i="3" s="1"/>
  <c r="E403" i="3"/>
  <c r="S403" i="3" s="1"/>
  <c r="E291" i="3"/>
  <c r="S291" i="3" s="1"/>
  <c r="E179" i="3"/>
  <c r="S179" i="3" s="1"/>
  <c r="E67" i="3"/>
  <c r="S67" i="3" s="1"/>
  <c r="E514" i="3"/>
  <c r="S514" i="3" s="1"/>
  <c r="E216" i="3"/>
  <c r="S216" i="3" s="1"/>
  <c r="E738" i="3"/>
  <c r="S738" i="3" s="1"/>
  <c r="E617" i="3"/>
  <c r="S617" i="3" s="1"/>
  <c r="E384" i="3"/>
  <c r="S384" i="3" s="1"/>
  <c r="E58" i="3"/>
  <c r="S58" i="3" s="1"/>
  <c r="E697" i="3"/>
  <c r="S697" i="3" s="1"/>
  <c r="E559" i="3"/>
  <c r="S559" i="3" s="1"/>
  <c r="E274" i="3"/>
  <c r="S274" i="3" s="1"/>
  <c r="E240" i="3"/>
  <c r="S240" i="3" s="1"/>
  <c r="E643" i="3"/>
  <c r="S643" i="3" s="1"/>
  <c r="E442" i="3"/>
  <c r="S442" i="3" s="1"/>
  <c r="E144" i="3"/>
  <c r="S144" i="3" s="1"/>
  <c r="E719" i="3"/>
  <c r="S719" i="3" s="1"/>
  <c r="E592" i="3"/>
  <c r="S592" i="3" s="1"/>
  <c r="E335" i="3"/>
  <c r="S335" i="3" s="1"/>
  <c r="E666" i="3"/>
  <c r="S666" i="3" s="1"/>
  <c r="E659" i="3"/>
  <c r="S659" i="3" s="1"/>
  <c r="E480" i="3"/>
  <c r="S480" i="3" s="1"/>
  <c r="E183" i="3"/>
  <c r="S183" i="3" s="1"/>
  <c r="E733" i="3"/>
  <c r="S733" i="3" s="1"/>
  <c r="E610" i="3"/>
  <c r="S610" i="3" s="1"/>
  <c r="E370" i="3"/>
  <c r="S370" i="3" s="1"/>
  <c r="E40" i="3"/>
  <c r="S40" i="3" s="1"/>
  <c r="E409" i="3"/>
  <c r="S409" i="3" s="1"/>
  <c r="E297" i="3"/>
  <c r="S297" i="3" s="1"/>
  <c r="E185" i="3"/>
  <c r="S185" i="3" s="1"/>
  <c r="E73" i="3"/>
  <c r="S73" i="3" s="1"/>
  <c r="E71" i="3"/>
  <c r="S71" i="3" s="1"/>
  <c r="E518" i="3"/>
  <c r="S518" i="3" s="1"/>
  <c r="E406" i="3"/>
  <c r="S406" i="3" s="1"/>
  <c r="E294" i="3"/>
  <c r="S294" i="3" s="1"/>
  <c r="E182" i="3"/>
  <c r="S182" i="3" s="1"/>
  <c r="E70" i="3"/>
  <c r="S70" i="3" s="1"/>
  <c r="E485" i="3"/>
  <c r="S485" i="3" s="1"/>
  <c r="E373" i="3"/>
  <c r="O373" i="3" s="1"/>
  <c r="E261" i="3"/>
  <c r="S261" i="3" s="1"/>
  <c r="E149" i="3"/>
  <c r="S149" i="3" s="1"/>
  <c r="E37" i="3"/>
  <c r="S37" i="3" s="1"/>
  <c r="E580" i="3"/>
  <c r="S580" i="3" s="1"/>
  <c r="E468" i="3"/>
  <c r="S468" i="3" s="1"/>
  <c r="E356" i="3"/>
  <c r="S356" i="3" s="1"/>
  <c r="E244" i="3"/>
  <c r="S244" i="3" s="1"/>
  <c r="E132" i="3"/>
  <c r="S132" i="3" s="1"/>
  <c r="E619" i="3"/>
  <c r="S619" i="3" s="1"/>
  <c r="E507" i="3"/>
  <c r="S507" i="3" s="1"/>
  <c r="E395" i="3"/>
  <c r="S395" i="3" s="1"/>
  <c r="E283" i="3"/>
  <c r="S283" i="3" s="1"/>
  <c r="E171" i="3"/>
  <c r="S171" i="3" s="1"/>
  <c r="E59" i="3"/>
  <c r="O59" i="3" s="1"/>
  <c r="E607" i="3"/>
  <c r="S607" i="3" s="1"/>
  <c r="E362" i="3"/>
  <c r="S362" i="3" s="1"/>
  <c r="E26" i="3"/>
  <c r="S26" i="3" s="1"/>
  <c r="E689" i="3"/>
  <c r="S689" i="3" s="1"/>
  <c r="E544" i="3"/>
  <c r="S544" i="3" s="1"/>
  <c r="E255" i="3"/>
  <c r="S255" i="3" s="1"/>
  <c r="E130" i="3"/>
  <c r="S130" i="3" s="1"/>
  <c r="E634" i="3"/>
  <c r="S634" i="3" s="1"/>
  <c r="E423" i="3"/>
  <c r="S423" i="3" s="1"/>
  <c r="E114" i="3"/>
  <c r="S114" i="3" s="1"/>
  <c r="E711" i="3"/>
  <c r="S711" i="3" s="1"/>
  <c r="E581" i="3"/>
  <c r="S581" i="3" s="1"/>
  <c r="E312" i="3"/>
  <c r="O312" i="3" s="1"/>
  <c r="E630" i="3"/>
  <c r="S630" i="3" s="1"/>
  <c r="E650" i="3"/>
  <c r="S650" i="3" s="1"/>
  <c r="E458" i="3"/>
  <c r="S458" i="3" s="1"/>
  <c r="E160" i="3"/>
  <c r="S160" i="3" s="1"/>
  <c r="E725" i="3"/>
  <c r="S725" i="3" s="1"/>
  <c r="E600" i="3"/>
  <c r="S600" i="3" s="1"/>
  <c r="E351" i="3"/>
  <c r="S351" i="3" s="1"/>
  <c r="E513" i="3"/>
  <c r="S513" i="3" s="1"/>
  <c r="E401" i="3"/>
  <c r="S401" i="3" s="1"/>
  <c r="E289" i="3"/>
  <c r="S289" i="3" s="1"/>
  <c r="E177" i="3"/>
  <c r="S177" i="3" s="1"/>
  <c r="E65" i="3"/>
  <c r="S65" i="3" s="1"/>
  <c r="E63" i="3"/>
  <c r="S63" i="3" s="1"/>
  <c r="E510" i="3"/>
  <c r="S510" i="3" s="1"/>
  <c r="E398" i="3"/>
  <c r="S398" i="3" s="1"/>
  <c r="E286" i="3"/>
  <c r="S286" i="3" s="1"/>
  <c r="E174" i="3"/>
  <c r="S174" i="3" s="1"/>
  <c r="E62" i="3"/>
  <c r="S62" i="3" s="1"/>
  <c r="E477" i="3"/>
  <c r="S477" i="3" s="1"/>
  <c r="E365" i="3"/>
  <c r="S365" i="3" s="1"/>
  <c r="E253" i="3"/>
  <c r="S253" i="3" s="1"/>
  <c r="E141" i="3"/>
  <c r="S141" i="3" s="1"/>
  <c r="E29" i="3"/>
  <c r="S29" i="3" s="1"/>
  <c r="E572" i="3"/>
  <c r="S572" i="3" s="1"/>
  <c r="E460" i="3"/>
  <c r="S460" i="3" s="1"/>
  <c r="E348" i="3"/>
  <c r="S348" i="3" s="1"/>
  <c r="E236" i="3"/>
  <c r="S236" i="3" s="1"/>
  <c r="E124" i="3"/>
  <c r="S124" i="3" s="1"/>
  <c r="E611" i="3"/>
  <c r="S611" i="3" s="1"/>
  <c r="E499" i="3"/>
  <c r="S499" i="3" s="1"/>
  <c r="E387" i="3"/>
  <c r="S387" i="3" s="1"/>
  <c r="E275" i="3"/>
  <c r="S275" i="3" s="1"/>
  <c r="E163" i="3"/>
  <c r="S163" i="3" s="1"/>
  <c r="E51" i="3"/>
  <c r="S51" i="3" s="1"/>
  <c r="E11" i="3"/>
  <c r="S11" i="3" s="1"/>
  <c r="E535" i="3"/>
  <c r="S535" i="3" s="1"/>
  <c r="E656" i="3"/>
  <c r="S656" i="3" s="1"/>
  <c r="E472" i="3"/>
  <c r="S472" i="3" s="1"/>
  <c r="E175" i="3"/>
  <c r="S175" i="3" s="1"/>
  <c r="E722" i="3"/>
  <c r="S722" i="3" s="1"/>
  <c r="E597" i="3"/>
  <c r="S597" i="3" s="1"/>
  <c r="E343" i="3"/>
  <c r="S343" i="3" s="1"/>
  <c r="E732" i="3"/>
  <c r="O732" i="3" s="1"/>
  <c r="E681" i="3"/>
  <c r="S681" i="3" s="1"/>
  <c r="E528" i="3"/>
  <c r="S528" i="3" s="1"/>
  <c r="E232" i="3"/>
  <c r="S232" i="3" s="1"/>
  <c r="E744" i="3"/>
  <c r="S744" i="3" s="1"/>
  <c r="E82" i="3"/>
  <c r="S82" i="3" s="1"/>
  <c r="E703" i="3"/>
  <c r="S703" i="3" s="1"/>
  <c r="E568" i="3"/>
  <c r="S568" i="3" s="1"/>
  <c r="E290" i="3"/>
  <c r="S290" i="3" s="1"/>
  <c r="E641" i="3"/>
  <c r="S641" i="3" s="1"/>
  <c r="E590" i="3"/>
  <c r="S590" i="3" s="1"/>
  <c r="E328" i="3"/>
  <c r="S328" i="3" s="1"/>
  <c r="E505" i="3"/>
  <c r="S505" i="3" s="1"/>
  <c r="E393" i="3"/>
  <c r="S393" i="3" s="1"/>
  <c r="E281" i="3"/>
  <c r="S281" i="3" s="1"/>
  <c r="E169" i="3"/>
  <c r="S169" i="3" s="1"/>
  <c r="E57" i="3"/>
  <c r="S57" i="3" s="1"/>
  <c r="E55" i="3"/>
  <c r="S55" i="3" s="1"/>
  <c r="E502" i="3"/>
  <c r="S502" i="3" s="1"/>
  <c r="E390" i="3"/>
  <c r="S390" i="3" s="1"/>
  <c r="E278" i="3"/>
  <c r="O278" i="3" s="1"/>
  <c r="E166" i="3"/>
  <c r="S166" i="3" s="1"/>
  <c r="E54" i="3"/>
  <c r="S54" i="3" s="1"/>
  <c r="E469" i="3"/>
  <c r="S469" i="3" s="1"/>
  <c r="E357" i="3"/>
  <c r="S357" i="3" s="1"/>
  <c r="E245" i="3"/>
  <c r="S245" i="3" s="1"/>
  <c r="E133" i="3"/>
  <c r="S133" i="3" s="1"/>
  <c r="E676" i="3"/>
  <c r="S676" i="3" s="1"/>
  <c r="E564" i="3"/>
  <c r="S564" i="3" s="1"/>
  <c r="E452" i="3"/>
  <c r="S452" i="3" s="1"/>
  <c r="E340" i="3"/>
  <c r="S340" i="3" s="1"/>
  <c r="E228" i="3"/>
  <c r="S228" i="3" s="1"/>
  <c r="E116" i="3"/>
  <c r="S116" i="3" s="1"/>
  <c r="E603" i="3"/>
  <c r="S603" i="3" s="1"/>
  <c r="E491" i="3"/>
  <c r="S491" i="3" s="1"/>
  <c r="E379" i="3"/>
  <c r="S379" i="3" s="1"/>
  <c r="E267" i="3"/>
  <c r="S267" i="3" s="1"/>
  <c r="E155" i="3"/>
  <c r="S155" i="3" s="1"/>
  <c r="E43" i="3"/>
  <c r="S43" i="3" s="1"/>
  <c r="E400" i="3"/>
  <c r="S400" i="3" s="1"/>
  <c r="E16" i="3"/>
  <c r="S16" i="3" s="1"/>
  <c r="E5" i="3"/>
  <c r="E368" i="3"/>
  <c r="S368" i="3" s="1"/>
  <c r="E647" i="3"/>
  <c r="S647" i="3" s="1"/>
  <c r="E450" i="3"/>
  <c r="S450" i="3" s="1"/>
  <c r="E152" i="3"/>
  <c r="S152" i="3" s="1"/>
  <c r="E714" i="3"/>
  <c r="S714" i="3" s="1"/>
  <c r="E585" i="3"/>
  <c r="S585" i="3" s="1"/>
  <c r="E320" i="3"/>
  <c r="S320" i="3" s="1"/>
  <c r="E684" i="3"/>
  <c r="S684" i="3" s="1"/>
  <c r="E672" i="3"/>
  <c r="S672" i="3" s="1"/>
  <c r="E511" i="3"/>
  <c r="S511" i="3" s="1"/>
  <c r="E210" i="3"/>
  <c r="S210" i="3" s="1"/>
  <c r="E736" i="3"/>
  <c r="S736" i="3" s="1"/>
  <c r="E615" i="3"/>
  <c r="S615" i="3" s="1"/>
  <c r="E378" i="3"/>
  <c r="S378" i="3" s="1"/>
  <c r="E50" i="3"/>
  <c r="O50" i="3" s="1"/>
  <c r="E695" i="3"/>
  <c r="S695" i="3" s="1"/>
  <c r="E554" i="3"/>
  <c r="S554" i="3" s="1"/>
  <c r="E271" i="3"/>
  <c r="S271" i="3" s="1"/>
  <c r="E199" i="3"/>
  <c r="S199" i="3" s="1"/>
  <c r="E632" i="3"/>
  <c r="S632" i="3" s="1"/>
  <c r="E416" i="3"/>
  <c r="S416" i="3" s="1"/>
  <c r="E106" i="3"/>
  <c r="S106" i="3" s="1"/>
  <c r="E709" i="3"/>
  <c r="S709" i="3" s="1"/>
  <c r="E577" i="3"/>
  <c r="S577" i="3" s="1"/>
  <c r="E306" i="3"/>
  <c r="S306" i="3" s="1"/>
  <c r="E497" i="3"/>
  <c r="S497" i="3" s="1"/>
  <c r="E385" i="3"/>
  <c r="S385" i="3" s="1"/>
  <c r="E273" i="3"/>
  <c r="S273" i="3" s="1"/>
  <c r="E161" i="3"/>
  <c r="S161" i="3" s="1"/>
  <c r="E49" i="3"/>
  <c r="S49" i="3" s="1"/>
  <c r="E47" i="3"/>
  <c r="S47" i="3" s="1"/>
  <c r="E494" i="3"/>
  <c r="S494" i="3" s="1"/>
  <c r="E382" i="3"/>
  <c r="S382" i="3" s="1"/>
  <c r="E270" i="3"/>
  <c r="S270" i="3" s="1"/>
  <c r="E158" i="3"/>
  <c r="S158" i="3" s="1"/>
  <c r="E46" i="3"/>
  <c r="S46" i="3" s="1"/>
  <c r="E461" i="3"/>
  <c r="S461" i="3" s="1"/>
  <c r="E349" i="3"/>
  <c r="S349" i="3" s="1"/>
  <c r="E237" i="3"/>
  <c r="S237" i="3" s="1"/>
  <c r="E125" i="3"/>
  <c r="S125" i="3" s="1"/>
  <c r="E668" i="3"/>
  <c r="S668" i="3" s="1"/>
  <c r="E556" i="3"/>
  <c r="S556" i="3" s="1"/>
  <c r="E444" i="3"/>
  <c r="S444" i="3" s="1"/>
  <c r="E332" i="3"/>
  <c r="S332" i="3" s="1"/>
  <c r="E220" i="3"/>
  <c r="S220" i="3" s="1"/>
  <c r="E108" i="3"/>
  <c r="S108" i="3" s="1"/>
  <c r="E595" i="3"/>
  <c r="S595" i="3" s="1"/>
  <c r="E483" i="3"/>
  <c r="S483" i="3" s="1"/>
  <c r="E371" i="3"/>
  <c r="S371" i="3" s="1"/>
  <c r="E259" i="3"/>
  <c r="S259" i="3" s="1"/>
  <c r="E147" i="3"/>
  <c r="S147" i="3" s="1"/>
  <c r="E35" i="3"/>
  <c r="S35" i="3" s="1"/>
  <c r="E573" i="3"/>
  <c r="S573" i="3" s="1"/>
  <c r="E298" i="3"/>
  <c r="S298" i="3" s="1"/>
  <c r="E639" i="3"/>
  <c r="S639" i="3" s="1"/>
  <c r="E663" i="3"/>
  <c r="O663" i="3" s="1"/>
  <c r="E488" i="3"/>
  <c r="O488" i="3" s="1"/>
  <c r="E191" i="3"/>
  <c r="S191" i="3" s="1"/>
  <c r="E728" i="3"/>
  <c r="S728" i="3" s="1"/>
  <c r="E605" i="3"/>
  <c r="S605" i="3" s="1"/>
  <c r="E359" i="3"/>
  <c r="S359" i="3" s="1"/>
  <c r="E724" i="3"/>
  <c r="S724" i="3" s="1"/>
  <c r="E687" i="3"/>
  <c r="S687" i="3" s="1"/>
  <c r="E538" i="3"/>
  <c r="S538" i="3" s="1"/>
  <c r="E742" i="3"/>
  <c r="S742" i="3" s="1"/>
  <c r="E623" i="3"/>
  <c r="S623" i="3" s="1"/>
  <c r="E394" i="3"/>
  <c r="S394" i="3" s="1"/>
  <c r="E74" i="3"/>
  <c r="S74" i="3" s="1"/>
  <c r="E701" i="3"/>
  <c r="S701" i="3" s="1"/>
  <c r="E565" i="3"/>
  <c r="S565" i="3" s="1"/>
  <c r="E287" i="3"/>
  <c r="S287" i="3" s="1"/>
  <c r="E489" i="3"/>
  <c r="S489" i="3" s="1"/>
  <c r="E377" i="3"/>
  <c r="S377" i="3" s="1"/>
  <c r="E265" i="3"/>
  <c r="S265" i="3" s="1"/>
  <c r="E153" i="3"/>
  <c r="S153" i="3" s="1"/>
  <c r="E41" i="3"/>
  <c r="S41" i="3" s="1"/>
  <c r="E39" i="3"/>
  <c r="S39" i="3" s="1"/>
  <c r="E486" i="3"/>
  <c r="S486" i="3" s="1"/>
  <c r="E374" i="3"/>
  <c r="S374" i="3" s="1"/>
  <c r="E262" i="3"/>
  <c r="S262" i="3" s="1"/>
  <c r="E150" i="3"/>
  <c r="S150" i="3" s="1"/>
  <c r="E38" i="3"/>
  <c r="S38" i="3" s="1"/>
  <c r="E453" i="3"/>
  <c r="S453" i="3" s="1"/>
  <c r="E341" i="3"/>
  <c r="S341" i="3" s="1"/>
  <c r="E229" i="3"/>
  <c r="S229" i="3" s="1"/>
  <c r="E117" i="3"/>
  <c r="S117" i="3" s="1"/>
  <c r="E660" i="3"/>
  <c r="S660" i="3" s="1"/>
  <c r="E548" i="3"/>
  <c r="S548" i="3" s="1"/>
  <c r="E436" i="3"/>
  <c r="S436" i="3" s="1"/>
  <c r="E324" i="3"/>
  <c r="S324" i="3" s="1"/>
  <c r="E212" i="3"/>
  <c r="S212" i="3" s="1"/>
  <c r="E100" i="3"/>
  <c r="S100" i="3" s="1"/>
  <c r="E587" i="3"/>
  <c r="S587" i="3" s="1"/>
  <c r="E475" i="3"/>
  <c r="S475" i="3" s="1"/>
  <c r="E363" i="3"/>
  <c r="S363" i="3" s="1"/>
  <c r="E251" i="3"/>
  <c r="S251" i="3" s="1"/>
  <c r="E139" i="3"/>
  <c r="S139" i="3" s="1"/>
  <c r="E27" i="3"/>
  <c r="S27" i="3" s="1"/>
  <c r="E576" i="3"/>
  <c r="S576" i="3" s="1"/>
  <c r="E138" i="3"/>
  <c r="S138" i="3" s="1"/>
  <c r="E12" i="3"/>
  <c r="S12" i="3" s="1"/>
  <c r="E6" i="3"/>
  <c r="S6" i="3" s="1"/>
  <c r="E282" i="3"/>
  <c r="S282" i="3" s="1"/>
  <c r="E638" i="3"/>
  <c r="S638" i="3" s="1"/>
  <c r="E431" i="3"/>
  <c r="S431" i="3" s="1"/>
  <c r="E128" i="3"/>
  <c r="S128" i="3" s="1"/>
  <c r="E706" i="3"/>
  <c r="S706" i="3" s="1"/>
  <c r="E248" i="3"/>
  <c r="S248" i="3" s="1"/>
  <c r="E7" i="3"/>
  <c r="S7" i="3" s="1"/>
  <c r="E34" i="3"/>
  <c r="S34" i="3" s="1"/>
  <c r="E629" i="3"/>
  <c r="S629" i="3" s="1"/>
  <c r="E408" i="3"/>
  <c r="S408" i="3" s="1"/>
  <c r="E96" i="3"/>
  <c r="S96" i="3" s="1"/>
  <c r="E698" i="3"/>
  <c r="S698" i="3" s="1"/>
  <c r="E560" i="3"/>
  <c r="S560" i="3" s="1"/>
  <c r="E279" i="3"/>
  <c r="S279" i="3" s="1"/>
  <c r="E551" i="3"/>
  <c r="S551" i="3" s="1"/>
  <c r="E654" i="3"/>
  <c r="S654" i="3" s="1"/>
  <c r="E466" i="3"/>
  <c r="S466" i="3" s="1"/>
  <c r="E168" i="3"/>
  <c r="S168" i="3" s="1"/>
  <c r="E720" i="3"/>
  <c r="S720" i="3" s="1"/>
  <c r="E593" i="3"/>
  <c r="S593" i="3" s="1"/>
  <c r="E336" i="3"/>
  <c r="S336" i="3" s="1"/>
  <c r="E700" i="3"/>
  <c r="S700" i="3" s="1"/>
  <c r="E679" i="3"/>
  <c r="S679" i="3" s="1"/>
  <c r="E522" i="3"/>
  <c r="S522" i="3" s="1"/>
  <c r="E226" i="3"/>
  <c r="S226" i="3" s="1"/>
  <c r="E734" i="3"/>
  <c r="S734" i="3" s="1"/>
  <c r="E613" i="3"/>
  <c r="S613" i="3" s="1"/>
  <c r="E375" i="3"/>
  <c r="S375" i="3" s="1"/>
  <c r="E42" i="3"/>
  <c r="S42" i="3" s="1"/>
  <c r="E693" i="3"/>
  <c r="S693" i="3" s="1"/>
  <c r="E552" i="3"/>
  <c r="S552" i="3" s="1"/>
  <c r="E264" i="3"/>
  <c r="S264" i="3" s="1"/>
  <c r="E481" i="3"/>
  <c r="S481" i="3" s="1"/>
  <c r="E369" i="3"/>
  <c r="S369" i="3" s="1"/>
  <c r="E257" i="3"/>
  <c r="S257" i="3" s="1"/>
  <c r="E145" i="3"/>
  <c r="S145" i="3" s="1"/>
  <c r="E33" i="3"/>
  <c r="S33" i="3" s="1"/>
  <c r="E31" i="3"/>
  <c r="S31" i="3" s="1"/>
  <c r="E478" i="3"/>
  <c r="S478" i="3" s="1"/>
  <c r="E366" i="3"/>
  <c r="S366" i="3" s="1"/>
  <c r="E254" i="3"/>
  <c r="S254" i="3" s="1"/>
  <c r="E142" i="3"/>
  <c r="S142" i="3" s="1"/>
  <c r="E30" i="3"/>
  <c r="S30" i="3" s="1"/>
  <c r="E445" i="3"/>
  <c r="S445" i="3" s="1"/>
  <c r="E333" i="3"/>
  <c r="S333" i="3" s="1"/>
  <c r="E221" i="3"/>
  <c r="S221" i="3" s="1"/>
  <c r="E109" i="3"/>
  <c r="S109" i="3" s="1"/>
  <c r="E652" i="3"/>
  <c r="S652" i="3" s="1"/>
  <c r="E540" i="3"/>
  <c r="S540" i="3" s="1"/>
  <c r="E428" i="3"/>
  <c r="S428" i="3" s="1"/>
  <c r="E316" i="3"/>
  <c r="S316" i="3" s="1"/>
  <c r="E204" i="3"/>
  <c r="S204" i="3" s="1"/>
  <c r="E92" i="3"/>
  <c r="S92" i="3" s="1"/>
  <c r="E579" i="3"/>
  <c r="S579" i="3" s="1"/>
  <c r="E467" i="3"/>
  <c r="S467" i="3" s="1"/>
  <c r="E355" i="3"/>
  <c r="S355" i="3" s="1"/>
  <c r="E243" i="3"/>
  <c r="S243" i="3" s="1"/>
  <c r="E131" i="3"/>
  <c r="S131" i="3" s="1"/>
  <c r="E194" i="3"/>
  <c r="S194" i="3" s="1"/>
  <c r="E562" i="3"/>
  <c r="S562" i="3" s="1"/>
  <c r="E9" i="3"/>
  <c r="S9" i="3" s="1"/>
  <c r="E24" i="3"/>
  <c r="S24" i="3" s="1"/>
  <c r="E739" i="3"/>
  <c r="S739" i="3" s="1"/>
  <c r="E618" i="3"/>
  <c r="S618" i="3" s="1"/>
  <c r="E386" i="3"/>
  <c r="O386" i="3" s="1"/>
  <c r="E64" i="3"/>
  <c r="S64" i="3" s="1"/>
  <c r="E690" i="3"/>
  <c r="S690" i="3" s="1"/>
  <c r="E545" i="3"/>
  <c r="S545" i="3" s="1"/>
  <c r="E256" i="3"/>
  <c r="S256" i="3" s="1"/>
  <c r="E432" i="3"/>
  <c r="S432" i="3" s="1"/>
  <c r="E645" i="3"/>
  <c r="S645" i="3" s="1"/>
  <c r="E447" i="3"/>
  <c r="S447" i="3" s="1"/>
  <c r="E146" i="3"/>
  <c r="S146" i="3" s="1"/>
  <c r="E712" i="3"/>
  <c r="S712" i="3" s="1"/>
  <c r="E583" i="3"/>
  <c r="S583" i="3" s="1"/>
  <c r="E314" i="3"/>
  <c r="S314" i="3" s="1"/>
  <c r="E621" i="3"/>
  <c r="S621" i="3" s="1"/>
  <c r="E670" i="3"/>
  <c r="S670" i="3" s="1"/>
  <c r="E504" i="3"/>
  <c r="S504" i="3" s="1"/>
  <c r="E207" i="3"/>
  <c r="S207" i="3" s="1"/>
  <c r="E726" i="3"/>
  <c r="S726" i="3" s="1"/>
  <c r="E601" i="3"/>
  <c r="S601" i="3" s="1"/>
  <c r="E352" i="3"/>
  <c r="S352" i="3" s="1"/>
  <c r="E692" i="3"/>
  <c r="S692" i="3" s="1"/>
  <c r="E685" i="3"/>
  <c r="S685" i="3" s="1"/>
  <c r="E536" i="3"/>
  <c r="S536" i="3" s="1"/>
  <c r="E242" i="3"/>
  <c r="S242" i="3" s="1"/>
  <c r="E473" i="3"/>
  <c r="S473" i="3" s="1"/>
  <c r="E361" i="3"/>
  <c r="S361" i="3" s="1"/>
  <c r="E249" i="3"/>
  <c r="S249" i="3" s="1"/>
  <c r="E137" i="3"/>
  <c r="S137" i="3" s="1"/>
  <c r="E135" i="3"/>
  <c r="S135" i="3" s="1"/>
  <c r="E582" i="3"/>
  <c r="S582" i="3" s="1"/>
  <c r="E470" i="3"/>
  <c r="S470" i="3" s="1"/>
  <c r="E358" i="3"/>
  <c r="S358" i="3" s="1"/>
  <c r="E246" i="3"/>
  <c r="S246" i="3" s="1"/>
  <c r="E134" i="3"/>
  <c r="S134" i="3" s="1"/>
  <c r="E549" i="3"/>
  <c r="S549" i="3" s="1"/>
  <c r="E437" i="3"/>
  <c r="S437" i="3" s="1"/>
  <c r="E325" i="3"/>
  <c r="S325" i="3" s="1"/>
  <c r="E213" i="3"/>
  <c r="S213" i="3" s="1"/>
  <c r="E101" i="3"/>
  <c r="S101" i="3" s="1"/>
  <c r="E644" i="3"/>
  <c r="S644" i="3" s="1"/>
  <c r="E532" i="3"/>
  <c r="S532" i="3" s="1"/>
  <c r="E420" i="3"/>
  <c r="S420" i="3" s="1"/>
  <c r="E308" i="3"/>
  <c r="S308" i="3" s="1"/>
  <c r="E196" i="3"/>
  <c r="S196" i="3" s="1"/>
  <c r="E84" i="3"/>
  <c r="S84" i="3" s="1"/>
  <c r="E571" i="3"/>
  <c r="S571" i="3" s="1"/>
  <c r="E459" i="3"/>
  <c r="S459" i="3" s="1"/>
  <c r="E347" i="3"/>
  <c r="S347" i="3" s="1"/>
  <c r="E235" i="3"/>
  <c r="S235" i="3" s="1"/>
  <c r="E123" i="3"/>
  <c r="S123" i="3" s="1"/>
  <c r="E675" i="3"/>
  <c r="S675" i="3" s="1"/>
  <c r="E3" i="3"/>
  <c r="E730" i="3"/>
  <c r="S730" i="3" s="1"/>
  <c r="E717" i="3"/>
  <c r="S717" i="3" s="1"/>
  <c r="E23" i="3"/>
  <c r="S23" i="3" s="1"/>
  <c r="E25" i="3"/>
  <c r="S25" i="3" s="1"/>
  <c r="E731" i="3"/>
  <c r="S731" i="3" s="1"/>
  <c r="E608" i="3"/>
  <c r="S608" i="3" s="1"/>
  <c r="E367" i="3"/>
  <c r="S367" i="3" s="1"/>
  <c r="E32" i="3"/>
  <c r="S32" i="3" s="1"/>
  <c r="E682" i="3"/>
  <c r="S682" i="3" s="1"/>
  <c r="E529" i="3"/>
  <c r="S529" i="3" s="1"/>
  <c r="E234" i="3"/>
  <c r="S234" i="3" s="1"/>
  <c r="E98" i="3"/>
  <c r="S98" i="3" s="1"/>
  <c r="E635" i="3"/>
  <c r="S635" i="3" s="1"/>
  <c r="E424" i="3"/>
  <c r="S424" i="3" s="1"/>
  <c r="E120" i="3"/>
  <c r="S120" i="3" s="1"/>
  <c r="E704" i="3"/>
  <c r="S704" i="3" s="1"/>
  <c r="E569" i="3"/>
  <c r="S569" i="3" s="1"/>
  <c r="E295" i="3"/>
  <c r="S295" i="3" s="1"/>
  <c r="E496" i="3"/>
  <c r="S496" i="3" s="1"/>
  <c r="E661" i="3"/>
  <c r="S661" i="3" s="1"/>
  <c r="E482" i="3"/>
  <c r="S482" i="3" s="1"/>
  <c r="E184" i="3"/>
  <c r="S184" i="3" s="1"/>
  <c r="E718" i="3"/>
  <c r="S718" i="3" s="1"/>
  <c r="E591" i="3"/>
  <c r="S591" i="3" s="1"/>
  <c r="E330" i="3"/>
  <c r="S330" i="3" s="1"/>
  <c r="E599" i="3"/>
  <c r="S599" i="3" s="1"/>
  <c r="E677" i="3"/>
  <c r="S677" i="3" s="1"/>
  <c r="E520" i="3"/>
  <c r="S520" i="3" s="1"/>
  <c r="E223" i="3"/>
  <c r="S223" i="3" s="1"/>
  <c r="E465" i="3"/>
  <c r="S465" i="3" s="1"/>
  <c r="E353" i="3"/>
  <c r="S353" i="3" s="1"/>
  <c r="E241" i="3"/>
  <c r="S241" i="3" s="1"/>
  <c r="E129" i="3"/>
  <c r="S129" i="3" s="1"/>
  <c r="E127" i="3"/>
  <c r="S127" i="3" s="1"/>
  <c r="E574" i="3"/>
  <c r="S574" i="3" s="1"/>
  <c r="E462" i="3"/>
  <c r="S462" i="3" s="1"/>
  <c r="E350" i="3"/>
  <c r="S350" i="3" s="1"/>
  <c r="E238" i="3"/>
  <c r="S238" i="3" s="1"/>
  <c r="E126" i="3"/>
  <c r="S126" i="3" s="1"/>
  <c r="E541" i="3"/>
  <c r="S541" i="3" s="1"/>
  <c r="E429" i="3"/>
  <c r="S429" i="3" s="1"/>
  <c r="E317" i="3"/>
  <c r="S317" i="3" s="1"/>
  <c r="E205" i="3"/>
  <c r="S205" i="3" s="1"/>
  <c r="E93" i="3"/>
  <c r="S93" i="3" s="1"/>
  <c r="E636" i="3"/>
  <c r="S636" i="3" s="1"/>
  <c r="E524" i="3"/>
  <c r="S524" i="3" s="1"/>
  <c r="E412" i="3"/>
  <c r="S412" i="3" s="1"/>
  <c r="E300" i="3"/>
  <c r="S300" i="3" s="1"/>
  <c r="E188" i="3"/>
  <c r="S188" i="3" s="1"/>
  <c r="E76" i="3"/>
  <c r="S76" i="3" s="1"/>
  <c r="E563" i="3"/>
  <c r="S563" i="3" s="1"/>
  <c r="E451" i="3"/>
  <c r="S451" i="3" s="1"/>
  <c r="E339" i="3"/>
  <c r="S339" i="3" s="1"/>
  <c r="E227" i="3"/>
  <c r="S227" i="3" s="1"/>
  <c r="E115" i="3"/>
  <c r="S115" i="3" s="1"/>
  <c r="E21" i="3"/>
  <c r="S21" i="3" s="1"/>
  <c r="E495" i="3"/>
  <c r="S495" i="3" s="1"/>
  <c r="E625" i="3"/>
  <c r="S625" i="3" s="1"/>
  <c r="E17" i="3"/>
  <c r="S17" i="3" s="1"/>
  <c r="E19" i="3"/>
  <c r="S19" i="3" s="1"/>
  <c r="E723" i="3"/>
  <c r="S723" i="3" s="1"/>
  <c r="E598" i="3"/>
  <c r="O598" i="3" s="1"/>
  <c r="E344" i="3"/>
  <c r="S344" i="3" s="1"/>
  <c r="E708" i="3"/>
  <c r="S708" i="3" s="1"/>
  <c r="E673" i="3"/>
  <c r="S673" i="3" s="1"/>
  <c r="E512" i="3"/>
  <c r="S512" i="3" s="1"/>
  <c r="E215" i="3"/>
  <c r="S215" i="3" s="1"/>
  <c r="E745" i="3"/>
  <c r="S745" i="3" s="1"/>
  <c r="E626" i="3"/>
  <c r="S626" i="3" s="1"/>
  <c r="E402" i="3"/>
  <c r="S402" i="3" s="1"/>
  <c r="E88" i="3"/>
  <c r="S88" i="3" s="1"/>
  <c r="E696" i="3"/>
  <c r="S696" i="3" s="1"/>
  <c r="E557" i="3"/>
  <c r="S557" i="3" s="1"/>
  <c r="E272" i="3"/>
  <c r="S272" i="3" s="1"/>
  <c r="E391" i="3"/>
  <c r="S391" i="3" s="1"/>
  <c r="E651" i="3"/>
  <c r="S651" i="3" s="1"/>
  <c r="E463" i="3"/>
  <c r="S463" i="3" s="1"/>
  <c r="E162" i="3"/>
  <c r="S162" i="3" s="1"/>
  <c r="E710" i="3"/>
  <c r="S710" i="3" s="1"/>
  <c r="E578" i="3"/>
  <c r="S578" i="3" s="1"/>
  <c r="E311" i="3"/>
  <c r="S311" i="3" s="1"/>
  <c r="E455" i="3"/>
  <c r="S455" i="3" s="1"/>
  <c r="E667" i="3"/>
  <c r="S667" i="3" s="1"/>
  <c r="E498" i="3"/>
  <c r="S498" i="3" s="1"/>
  <c r="E200" i="3"/>
  <c r="S200" i="3" s="1"/>
  <c r="E457" i="3"/>
  <c r="S457" i="3" s="1"/>
  <c r="E345" i="3"/>
  <c r="S345" i="3" s="1"/>
  <c r="E233" i="3"/>
  <c r="S233" i="3" s="1"/>
  <c r="E121" i="3"/>
  <c r="S121" i="3" s="1"/>
  <c r="E119" i="3"/>
  <c r="S119" i="3" s="1"/>
  <c r="E566" i="3"/>
  <c r="S566" i="3" s="1"/>
  <c r="E454" i="3"/>
  <c r="S454" i="3" s="1"/>
  <c r="E342" i="3"/>
  <c r="S342" i="3" s="1"/>
  <c r="E230" i="3"/>
  <c r="S230" i="3" s="1"/>
  <c r="E118" i="3"/>
  <c r="S118" i="3" s="1"/>
  <c r="E533" i="3"/>
  <c r="S533" i="3" s="1"/>
  <c r="E421" i="3"/>
  <c r="S421" i="3" s="1"/>
  <c r="E309" i="3"/>
  <c r="S309" i="3" s="1"/>
  <c r="E197" i="3"/>
  <c r="S197" i="3" s="1"/>
  <c r="E85" i="3"/>
  <c r="S85" i="3" s="1"/>
  <c r="E628" i="3"/>
  <c r="S628" i="3" s="1"/>
  <c r="E516" i="3"/>
  <c r="S516" i="3" s="1"/>
  <c r="E404" i="3"/>
  <c r="S404" i="3" s="1"/>
  <c r="E292" i="3"/>
  <c r="S292" i="3" s="1"/>
  <c r="E180" i="3"/>
  <c r="S180" i="3" s="1"/>
  <c r="E68" i="3"/>
  <c r="S68" i="3" s="1"/>
  <c r="E555" i="3"/>
  <c r="S555" i="3" s="1"/>
  <c r="E443" i="3"/>
  <c r="S443" i="3" s="1"/>
  <c r="E331" i="3"/>
  <c r="S331" i="3" s="1"/>
  <c r="E219" i="3"/>
  <c r="S219" i="3" s="1"/>
  <c r="E107" i="3"/>
  <c r="S107" i="3" s="1"/>
  <c r="E674" i="3"/>
  <c r="S674" i="3" s="1"/>
  <c r="E665" i="3"/>
  <c r="S665" i="3" s="1"/>
  <c r="E439" i="3"/>
  <c r="S439" i="3" s="1"/>
  <c r="E22" i="3"/>
  <c r="S22" i="3" s="1"/>
  <c r="E13" i="3"/>
  <c r="S13" i="3" s="1"/>
  <c r="E715" i="3"/>
  <c r="S715" i="3" s="1"/>
  <c r="E586" i="3"/>
  <c r="S586" i="3" s="1"/>
  <c r="E322" i="3"/>
  <c r="S322" i="3" s="1"/>
  <c r="E657" i="3"/>
  <c r="S657" i="3" s="1"/>
  <c r="E664" i="3"/>
  <c r="S664" i="3" s="1"/>
  <c r="E490" i="3"/>
  <c r="S490" i="3" s="1"/>
  <c r="E192" i="3"/>
  <c r="S192" i="3" s="1"/>
  <c r="E737" i="3"/>
  <c r="S737" i="3" s="1"/>
  <c r="E616" i="3"/>
  <c r="S616" i="3" s="1"/>
  <c r="E383" i="3"/>
  <c r="S383" i="3" s="1"/>
  <c r="E56" i="3"/>
  <c r="S56" i="3" s="1"/>
  <c r="E688" i="3"/>
  <c r="S688" i="3" s="1"/>
  <c r="E543" i="3"/>
  <c r="S543" i="3" s="1"/>
  <c r="E250" i="3"/>
  <c r="S250" i="3" s="1"/>
  <c r="E263" i="3"/>
  <c r="S263" i="3" s="1"/>
  <c r="E642" i="3"/>
  <c r="S642" i="3" s="1"/>
  <c r="E440" i="3"/>
  <c r="S440" i="3" s="1"/>
  <c r="E143" i="3"/>
  <c r="S143" i="3" s="1"/>
  <c r="E702" i="3"/>
  <c r="S702" i="3" s="1"/>
  <c r="E567" i="3"/>
  <c r="S567" i="3" s="1"/>
  <c r="E288" i="3"/>
  <c r="S288" i="3" s="1"/>
  <c r="E410" i="3"/>
  <c r="S410" i="3" s="1"/>
  <c r="E658" i="3"/>
  <c r="S658" i="3" s="1"/>
  <c r="E479" i="3"/>
  <c r="S479" i="3" s="1"/>
  <c r="E178" i="3"/>
  <c r="S178" i="3" s="1"/>
  <c r="E449" i="3"/>
  <c r="S449" i="3" s="1"/>
  <c r="E337" i="3"/>
  <c r="S337" i="3" s="1"/>
  <c r="E225" i="3"/>
  <c r="S225" i="3" s="1"/>
  <c r="E113" i="3"/>
  <c r="S113" i="3" s="1"/>
  <c r="E111" i="3"/>
  <c r="S111" i="3" s="1"/>
  <c r="E558" i="3"/>
  <c r="S558" i="3" s="1"/>
  <c r="E446" i="3"/>
  <c r="S446" i="3" s="1"/>
  <c r="E334" i="3"/>
  <c r="S334" i="3" s="1"/>
  <c r="E222" i="3"/>
  <c r="S222" i="3" s="1"/>
  <c r="E110" i="3"/>
  <c r="S110" i="3" s="1"/>
  <c r="E525" i="3"/>
  <c r="S525" i="3" s="1"/>
  <c r="E413" i="3"/>
  <c r="S413" i="3" s="1"/>
  <c r="E301" i="3"/>
  <c r="S301" i="3" s="1"/>
  <c r="E189" i="3"/>
  <c r="S189" i="3" s="1"/>
  <c r="E77" i="3"/>
  <c r="S77" i="3" s="1"/>
  <c r="E620" i="3"/>
  <c r="S620" i="3" s="1"/>
  <c r="E508" i="3"/>
  <c r="S508" i="3" s="1"/>
  <c r="E396" i="3"/>
  <c r="S396" i="3" s="1"/>
  <c r="E284" i="3"/>
  <c r="S284" i="3" s="1"/>
  <c r="E172" i="3"/>
  <c r="S172" i="3" s="1"/>
  <c r="E60" i="3"/>
  <c r="S60" i="3" s="1"/>
  <c r="E547" i="3"/>
  <c r="S547" i="3" s="1"/>
  <c r="E435" i="3"/>
  <c r="S435" i="3" s="1"/>
  <c r="E323" i="3"/>
  <c r="S323" i="3" s="1"/>
  <c r="E211" i="3"/>
  <c r="S211" i="3" s="1"/>
  <c r="E99" i="3"/>
  <c r="S99" i="3" s="1"/>
  <c r="P552" i="3"/>
  <c r="P143" i="3"/>
  <c r="P692" i="3"/>
  <c r="P331" i="3"/>
  <c r="P569" i="3"/>
  <c r="P184" i="3"/>
  <c r="P422" i="3"/>
  <c r="P660" i="3"/>
  <c r="P611" i="3"/>
  <c r="P226" i="3"/>
  <c r="P464" i="3"/>
  <c r="P726" i="3"/>
  <c r="P677" i="3"/>
  <c r="P316" i="3"/>
  <c r="P219" i="3"/>
  <c r="P217" i="3"/>
  <c r="P455" i="3"/>
  <c r="P430" i="3"/>
  <c r="P668" i="3"/>
  <c r="P307" i="3"/>
  <c r="P545" i="3"/>
  <c r="P160" i="3"/>
  <c r="P398" i="3"/>
  <c r="P636" i="3"/>
  <c r="P251" i="3"/>
  <c r="P489" i="3"/>
  <c r="P440" i="3"/>
  <c r="P702" i="3"/>
  <c r="P317" i="3"/>
  <c r="P555" i="3"/>
  <c r="P482" i="3"/>
  <c r="P260" i="3"/>
  <c r="P241" i="3"/>
  <c r="P479" i="3"/>
  <c r="P741" i="3"/>
  <c r="P356" i="3"/>
  <c r="P618" i="3"/>
  <c r="P233" i="3"/>
  <c r="P471" i="3"/>
  <c r="P709" i="3"/>
  <c r="P324" i="3"/>
  <c r="P562" i="3"/>
  <c r="P513" i="3"/>
  <c r="P80" i="3"/>
  <c r="P390" i="3"/>
  <c r="P652" i="3"/>
  <c r="P579" i="3"/>
  <c r="P170" i="3"/>
  <c r="P553" i="3"/>
  <c r="P168" i="3"/>
  <c r="P717" i="3"/>
  <c r="P332" i="3"/>
  <c r="P594" i="3"/>
  <c r="P209" i="3"/>
  <c r="P447" i="3"/>
  <c r="P685" i="3"/>
  <c r="P300" i="3"/>
  <c r="P538" i="3"/>
  <c r="P153" i="3"/>
  <c r="P415" i="3"/>
  <c r="P653" i="3"/>
  <c r="P292" i="3"/>
  <c r="P195" i="3"/>
  <c r="P529" i="3"/>
  <c r="P193" i="3"/>
  <c r="P504" i="3"/>
  <c r="P144" i="3"/>
  <c r="P742" i="3"/>
  <c r="P406" i="3"/>
  <c r="P693" i="3"/>
  <c r="P357" i="3"/>
  <c r="P644" i="3"/>
  <c r="P308" i="3"/>
  <c r="P619" i="3"/>
  <c r="P283" i="3"/>
  <c r="P570" i="3"/>
  <c r="P234" i="3"/>
  <c r="P521" i="3"/>
  <c r="P185" i="3"/>
  <c r="P472" i="3"/>
  <c r="P423" i="3"/>
  <c r="P710" i="3"/>
  <c r="P374" i="3"/>
  <c r="P661" i="3"/>
  <c r="P325" i="3"/>
  <c r="P612" i="3"/>
  <c r="P276" i="3"/>
  <c r="P563" i="3"/>
  <c r="P227" i="3"/>
  <c r="P514" i="3"/>
  <c r="P178" i="3"/>
  <c r="P465" i="3"/>
  <c r="P129" i="3"/>
  <c r="P416" i="3"/>
  <c r="P727" i="3"/>
  <c r="P391" i="3"/>
  <c r="P678" i="3"/>
  <c r="P342" i="3"/>
  <c r="P629" i="3"/>
  <c r="P293" i="3"/>
  <c r="P604" i="3"/>
  <c r="P268" i="3"/>
  <c r="P531" i="3"/>
  <c r="P577" i="3"/>
  <c r="P192" i="3"/>
  <c r="P454" i="3"/>
  <c r="P405" i="3"/>
  <c r="P667" i="3"/>
  <c r="P282" i="3"/>
  <c r="P520" i="3"/>
  <c r="P135" i="3"/>
  <c r="P373" i="3"/>
  <c r="P275" i="3"/>
  <c r="P177" i="3"/>
  <c r="P439" i="3"/>
  <c r="P341" i="3"/>
  <c r="P528" i="3"/>
  <c r="P47" i="3"/>
  <c r="P381" i="3"/>
  <c r="P643" i="3"/>
  <c r="P258" i="3"/>
  <c r="P496" i="3"/>
  <c r="P734" i="3"/>
  <c r="P349" i="3"/>
  <c r="P587" i="3"/>
  <c r="P202" i="3"/>
  <c r="P32" i="3"/>
  <c r="P366" i="3"/>
  <c r="P628" i="3"/>
  <c r="P146" i="3"/>
  <c r="P431" i="3"/>
  <c r="P136" i="3"/>
  <c r="P171" i="3"/>
  <c r="P505" i="3"/>
  <c r="P169" i="3"/>
  <c r="P480" i="3"/>
  <c r="P743" i="3"/>
  <c r="P407" i="3"/>
  <c r="P718" i="3"/>
  <c r="P382" i="3"/>
  <c r="P669" i="3"/>
  <c r="P333" i="3"/>
  <c r="P620" i="3"/>
  <c r="P284" i="3"/>
  <c r="P595" i="3"/>
  <c r="P259" i="3"/>
  <c r="P546" i="3"/>
  <c r="P210" i="3"/>
  <c r="P497" i="3"/>
  <c r="P161" i="3"/>
  <c r="P448" i="3"/>
  <c r="P735" i="3"/>
  <c r="P399" i="3"/>
  <c r="P686" i="3"/>
  <c r="P350" i="3"/>
  <c r="P637" i="3"/>
  <c r="P301" i="3"/>
  <c r="P588" i="3"/>
  <c r="P252" i="3"/>
  <c r="P539" i="3"/>
  <c r="P203" i="3"/>
  <c r="P490" i="3"/>
  <c r="P154" i="3"/>
  <c r="P441" i="3"/>
  <c r="P728" i="3"/>
  <c r="P392" i="3"/>
  <c r="P703" i="3"/>
  <c r="P367" i="3"/>
  <c r="P654" i="3"/>
  <c r="P318" i="3"/>
  <c r="P605" i="3"/>
  <c r="P269" i="3"/>
  <c r="P580" i="3"/>
  <c r="P244" i="3"/>
  <c r="P507" i="3"/>
  <c r="P147" i="3"/>
  <c r="P434" i="3"/>
  <c r="P8" i="3"/>
  <c r="P310" i="3"/>
  <c r="P187" i="3"/>
  <c r="P663" i="3"/>
  <c r="P229" i="3"/>
  <c r="P369" i="3"/>
  <c r="P246" i="3"/>
  <c r="P237" i="3"/>
  <c r="P590" i="3"/>
  <c r="P681" i="3"/>
  <c r="P222" i="3"/>
  <c r="P411" i="3"/>
  <c r="P473" i="3"/>
  <c r="P386" i="3"/>
  <c r="P721" i="3"/>
  <c r="P385" i="3"/>
  <c r="P696" i="3"/>
  <c r="P360" i="3"/>
  <c r="P623" i="3"/>
  <c r="P287" i="3"/>
  <c r="P598" i="3"/>
  <c r="P262" i="3"/>
  <c r="P549" i="3"/>
  <c r="P213" i="3"/>
  <c r="P500" i="3"/>
  <c r="P164" i="3"/>
  <c r="P475" i="3"/>
  <c r="P139" i="3"/>
  <c r="P426" i="3"/>
  <c r="P713" i="3"/>
  <c r="P377" i="3"/>
  <c r="P664" i="3"/>
  <c r="P328" i="3"/>
  <c r="P615" i="3"/>
  <c r="P279" i="3"/>
  <c r="P566" i="3"/>
  <c r="P230" i="3"/>
  <c r="P517" i="3"/>
  <c r="P181" i="3"/>
  <c r="P468" i="3"/>
  <c r="P132" i="3"/>
  <c r="P419" i="3"/>
  <c r="P706" i="3"/>
  <c r="P370" i="3"/>
  <c r="P657" i="3"/>
  <c r="P321" i="3"/>
  <c r="P608" i="3"/>
  <c r="P272" i="3"/>
  <c r="P583" i="3"/>
  <c r="P247" i="3"/>
  <c r="P534" i="3"/>
  <c r="P198" i="3"/>
  <c r="P485" i="3"/>
  <c r="P149" i="3"/>
  <c r="P460" i="3"/>
  <c r="P723" i="3"/>
  <c r="P387" i="3"/>
  <c r="P697" i="3"/>
  <c r="P361" i="3"/>
  <c r="P672" i="3"/>
  <c r="P336" i="3"/>
  <c r="P599" i="3"/>
  <c r="P263" i="3"/>
  <c r="P574" i="3"/>
  <c r="P238" i="3"/>
  <c r="P525" i="3"/>
  <c r="P189" i="3"/>
  <c r="P476" i="3"/>
  <c r="P140" i="3"/>
  <c r="P451" i="3"/>
  <c r="P738" i="3"/>
  <c r="P402" i="3"/>
  <c r="P689" i="3"/>
  <c r="P353" i="3"/>
  <c r="P640" i="3"/>
  <c r="P304" i="3"/>
  <c r="P591" i="3"/>
  <c r="P255" i="3"/>
  <c r="P542" i="3"/>
  <c r="P206" i="3"/>
  <c r="P493" i="3"/>
  <c r="P157" i="3"/>
  <c r="P444" i="3"/>
  <c r="P731" i="3"/>
  <c r="P395" i="3"/>
  <c r="P682" i="3"/>
  <c r="P346" i="3"/>
  <c r="P633" i="3"/>
  <c r="P297" i="3"/>
  <c r="P584" i="3"/>
  <c r="P248" i="3"/>
  <c r="P559" i="3"/>
  <c r="P223" i="3"/>
  <c r="P510" i="3"/>
  <c r="P174" i="3"/>
  <c r="P461" i="3"/>
  <c r="P125" i="3"/>
  <c r="P436" i="3"/>
  <c r="P699" i="3"/>
  <c r="P363" i="3"/>
  <c r="P626" i="3"/>
  <c r="P433" i="3"/>
  <c r="P335" i="3"/>
  <c r="P261" i="3"/>
  <c r="P474" i="3"/>
  <c r="P712" i="3"/>
  <c r="P614" i="3"/>
  <c r="P516" i="3"/>
  <c r="P131" i="3"/>
  <c r="P656" i="3"/>
  <c r="P295" i="3"/>
  <c r="P197" i="3"/>
  <c r="P435" i="3"/>
  <c r="P745" i="3"/>
  <c r="P720" i="3"/>
  <c r="P647" i="3"/>
  <c r="P286" i="3"/>
  <c r="P524" i="3"/>
  <c r="P499" i="3"/>
  <c r="P450" i="3"/>
  <c r="P401" i="3"/>
  <c r="P352" i="3"/>
  <c r="P303" i="3"/>
  <c r="P205" i="3"/>
  <c r="P492" i="3"/>
  <c r="P156" i="3"/>
  <c r="P730" i="3"/>
  <c r="P345" i="3"/>
  <c r="P296" i="3"/>
  <c r="P558" i="3"/>
  <c r="P484" i="3"/>
  <c r="P338" i="3"/>
  <c r="P575" i="3"/>
  <c r="P329" i="3"/>
  <c r="P199" i="3"/>
  <c r="P150" i="3"/>
  <c r="P437" i="3"/>
  <c r="P412" i="3"/>
  <c r="P675" i="3"/>
  <c r="P339" i="3"/>
  <c r="P602" i="3"/>
  <c r="P228" i="3"/>
  <c r="P10" i="3"/>
  <c r="P121" i="3"/>
  <c r="P432" i="3"/>
  <c r="P695" i="3"/>
  <c r="P359" i="3"/>
  <c r="P670" i="3"/>
  <c r="P334" i="3"/>
  <c r="P621" i="3"/>
  <c r="P285" i="3"/>
  <c r="P236" i="3"/>
  <c r="P547" i="3"/>
  <c r="P211" i="3"/>
  <c r="P498" i="3"/>
  <c r="P162" i="3"/>
  <c r="P449" i="3"/>
  <c r="P736" i="3"/>
  <c r="P687" i="3"/>
  <c r="P351" i="3"/>
  <c r="P638" i="3"/>
  <c r="P302" i="3"/>
  <c r="P589" i="3"/>
  <c r="P253" i="3"/>
  <c r="P540" i="3"/>
  <c r="P491" i="3"/>
  <c r="P155" i="3"/>
  <c r="P442" i="3"/>
  <c r="P729" i="3"/>
  <c r="P393" i="3"/>
  <c r="P680" i="3"/>
  <c r="P344" i="3"/>
  <c r="P319" i="3"/>
  <c r="P606" i="3"/>
  <c r="P270" i="3"/>
  <c r="P557" i="3"/>
  <c r="P221" i="3"/>
  <c r="P532" i="3"/>
  <c r="P459" i="3"/>
  <c r="P722" i="3"/>
  <c r="P224" i="3"/>
  <c r="P732" i="3"/>
  <c r="P511" i="3"/>
  <c r="P413" i="3"/>
  <c r="P388" i="3"/>
  <c r="P651" i="3"/>
  <c r="P242" i="3"/>
  <c r="P744" i="3"/>
  <c r="P671" i="3"/>
  <c r="P597" i="3"/>
  <c r="P548" i="3"/>
  <c r="P523" i="3"/>
  <c r="P425" i="3"/>
  <c r="P327" i="3"/>
  <c r="P278" i="3"/>
  <c r="P180" i="3"/>
  <c r="P418" i="3"/>
  <c r="P320" i="3"/>
  <c r="P582" i="3"/>
  <c r="P508" i="3"/>
  <c r="P698" i="3"/>
  <c r="P384" i="3"/>
  <c r="P622" i="3"/>
  <c r="P188" i="3"/>
  <c r="P688" i="3"/>
  <c r="P541" i="3"/>
  <c r="P394" i="3"/>
  <c r="P607" i="3"/>
  <c r="P173" i="3"/>
  <c r="P673" i="3"/>
  <c r="P312" i="3"/>
  <c r="P452" i="3"/>
  <c r="P616" i="3"/>
  <c r="P420" i="3"/>
  <c r="P560" i="3"/>
  <c r="P481" i="3"/>
  <c r="P145" i="3"/>
  <c r="P456" i="3"/>
  <c r="P719" i="3"/>
  <c r="P383" i="3"/>
  <c r="P694" i="3"/>
  <c r="P358" i="3"/>
  <c r="P645" i="3"/>
  <c r="P309" i="3"/>
  <c r="P596" i="3"/>
  <c r="P571" i="3"/>
  <c r="P235" i="3"/>
  <c r="P522" i="3"/>
  <c r="P186" i="3"/>
  <c r="P137" i="3"/>
  <c r="P424" i="3"/>
  <c r="P711" i="3"/>
  <c r="P375" i="3"/>
  <c r="P662" i="3"/>
  <c r="P326" i="3"/>
  <c r="P613" i="3"/>
  <c r="P277" i="3"/>
  <c r="P564" i="3"/>
  <c r="P515" i="3"/>
  <c r="P179" i="3"/>
  <c r="P466" i="3"/>
  <c r="P130" i="3"/>
  <c r="P417" i="3"/>
  <c r="P704" i="3"/>
  <c r="P368" i="3"/>
  <c r="P679" i="3"/>
  <c r="P343" i="3"/>
  <c r="P630" i="3"/>
  <c r="P294" i="3"/>
  <c r="P581" i="3"/>
  <c r="P245" i="3"/>
  <c r="P556" i="3"/>
  <c r="P220" i="3"/>
  <c r="P483" i="3"/>
  <c r="P123" i="3"/>
  <c r="P410" i="3"/>
  <c r="P457" i="3"/>
  <c r="P572" i="3"/>
  <c r="P400" i="3"/>
  <c r="P204" i="3"/>
  <c r="P655" i="3"/>
  <c r="P196" i="3"/>
  <c r="P408" i="3"/>
  <c r="P646" i="3"/>
  <c r="P212" i="3"/>
  <c r="P138" i="3"/>
  <c r="P376" i="3"/>
  <c r="P565" i="3"/>
  <c r="P467" i="3"/>
  <c r="P705" i="3"/>
  <c r="P631" i="3"/>
  <c r="P533" i="3"/>
  <c r="P172" i="3"/>
  <c r="P409" i="3"/>
  <c r="P311" i="3"/>
  <c r="P573" i="3"/>
  <c r="P163" i="3"/>
  <c r="P737" i="3"/>
  <c r="P639" i="3"/>
  <c r="P254" i="3"/>
  <c r="P443" i="3"/>
  <c r="P632" i="3"/>
  <c r="P271" i="3"/>
  <c r="P509" i="3"/>
  <c r="P148" i="3"/>
  <c r="P337" i="3"/>
  <c r="P648" i="3"/>
  <c r="P239" i="3"/>
  <c r="P550" i="3"/>
  <c r="P214" i="3"/>
  <c r="P501" i="3"/>
  <c r="P165" i="3"/>
  <c r="P68" i="3"/>
  <c r="P427" i="3"/>
  <c r="P714" i="3"/>
  <c r="P378" i="3"/>
  <c r="P665" i="3"/>
  <c r="P280" i="3"/>
  <c r="P567" i="3"/>
  <c r="P231" i="3"/>
  <c r="P518" i="3"/>
  <c r="P182" i="3"/>
  <c r="P469" i="3"/>
  <c r="P133" i="3"/>
  <c r="P707" i="3"/>
  <c r="P371" i="3"/>
  <c r="P658" i="3"/>
  <c r="P322" i="3"/>
  <c r="P609" i="3"/>
  <c r="P273" i="3"/>
  <c r="P535" i="3"/>
  <c r="P486" i="3"/>
  <c r="P77" i="3"/>
  <c r="P649" i="3"/>
  <c r="P313" i="3"/>
  <c r="P624" i="3"/>
  <c r="P264" i="3"/>
  <c r="P551" i="3"/>
  <c r="P215" i="3"/>
  <c r="P526" i="3"/>
  <c r="P190" i="3"/>
  <c r="P477" i="3"/>
  <c r="P141" i="3"/>
  <c r="P428" i="3"/>
  <c r="P739" i="3"/>
  <c r="P403" i="3"/>
  <c r="P690" i="3"/>
  <c r="P354" i="3"/>
  <c r="P641" i="3"/>
  <c r="P305" i="3"/>
  <c r="P592" i="3"/>
  <c r="P256" i="3"/>
  <c r="P543" i="3"/>
  <c r="P207" i="3"/>
  <c r="P494" i="3"/>
  <c r="P158" i="3"/>
  <c r="P445" i="3"/>
  <c r="P396" i="3"/>
  <c r="P683" i="3"/>
  <c r="P347" i="3"/>
  <c r="P634" i="3"/>
  <c r="P298" i="3"/>
  <c r="P585" i="3"/>
  <c r="P249" i="3"/>
  <c r="P536" i="3"/>
  <c r="P200" i="3"/>
  <c r="P175" i="3"/>
  <c r="P462" i="3"/>
  <c r="P126" i="3"/>
  <c r="P724" i="3"/>
  <c r="P315" i="3"/>
  <c r="P625" i="3"/>
  <c r="P289" i="3"/>
  <c r="P600" i="3"/>
  <c r="P240" i="3"/>
  <c r="P527" i="3"/>
  <c r="P191" i="3"/>
  <c r="P502" i="3"/>
  <c r="P166" i="3"/>
  <c r="P453" i="3"/>
  <c r="P740" i="3"/>
  <c r="P404" i="3"/>
  <c r="P715" i="3"/>
  <c r="P379" i="3"/>
  <c r="P666" i="3"/>
  <c r="P330" i="3"/>
  <c r="P617" i="3"/>
  <c r="P281" i="3"/>
  <c r="P568" i="3"/>
  <c r="P232" i="3"/>
  <c r="P519" i="3"/>
  <c r="P183" i="3"/>
  <c r="P470" i="3"/>
  <c r="P134" i="3"/>
  <c r="P421" i="3"/>
  <c r="P708" i="3"/>
  <c r="P372" i="3"/>
  <c r="P659" i="3"/>
  <c r="P323" i="3"/>
  <c r="P610" i="3"/>
  <c r="P274" i="3"/>
  <c r="P561" i="3"/>
  <c r="P225" i="3"/>
  <c r="P512" i="3"/>
  <c r="P176" i="3"/>
  <c r="P487" i="3"/>
  <c r="P151" i="3"/>
  <c r="P438" i="3"/>
  <c r="P725" i="3"/>
  <c r="P389" i="3"/>
  <c r="P700" i="3"/>
  <c r="P364" i="3"/>
  <c r="P627" i="3"/>
  <c r="P267" i="3"/>
  <c r="P554" i="3"/>
  <c r="P601" i="3"/>
  <c r="P265" i="3"/>
  <c r="P576" i="3"/>
  <c r="P216" i="3"/>
  <c r="P503" i="3"/>
  <c r="P167" i="3"/>
  <c r="P478" i="3"/>
  <c r="P142" i="3"/>
  <c r="P429" i="3"/>
  <c r="P716" i="3"/>
  <c r="P380" i="3"/>
  <c r="P691" i="3"/>
  <c r="P355" i="3"/>
  <c r="P642" i="3"/>
  <c r="P306" i="3"/>
  <c r="P593" i="3"/>
  <c r="P257" i="3"/>
  <c r="P544" i="3"/>
  <c r="P208" i="3"/>
  <c r="P495" i="3"/>
  <c r="P159" i="3"/>
  <c r="P446" i="3"/>
  <c r="P733" i="3"/>
  <c r="P397" i="3"/>
  <c r="P684" i="3"/>
  <c r="P348" i="3"/>
  <c r="P635" i="3"/>
  <c r="P299" i="3"/>
  <c r="P586" i="3"/>
  <c r="P250" i="3"/>
  <c r="P537" i="3"/>
  <c r="P201" i="3"/>
  <c r="P488" i="3"/>
  <c r="P152" i="3"/>
  <c r="P463" i="3"/>
  <c r="P127" i="3"/>
  <c r="P414" i="3"/>
  <c r="P701" i="3"/>
  <c r="P365" i="3"/>
  <c r="P676" i="3"/>
  <c r="P340" i="3"/>
  <c r="P603" i="3"/>
  <c r="P243" i="3"/>
  <c r="P530" i="3"/>
  <c r="P194" i="3"/>
  <c r="P290" i="3"/>
  <c r="P650" i="3"/>
  <c r="P266" i="3"/>
  <c r="P506" i="3"/>
  <c r="P458" i="3"/>
  <c r="P362" i="3"/>
  <c r="P674" i="3"/>
  <c r="P314" i="3"/>
  <c r="P578" i="3"/>
  <c r="P218" i="3"/>
  <c r="AD672" i="3"/>
  <c r="AD669" i="3"/>
  <c r="AD668" i="3"/>
  <c r="AD665" i="3"/>
  <c r="AD664" i="3"/>
  <c r="AD661" i="3"/>
  <c r="AD660" i="3"/>
  <c r="AD657" i="3"/>
  <c r="AD656" i="3"/>
  <c r="AD653" i="3"/>
  <c r="AD652" i="3"/>
  <c r="AD649" i="3"/>
  <c r="AD648" i="3"/>
  <c r="AD645" i="3"/>
  <c r="AD644" i="3"/>
  <c r="AD641" i="3"/>
  <c r="AD640" i="3"/>
  <c r="AD637" i="3"/>
  <c r="AD636" i="3"/>
  <c r="AD633" i="3"/>
  <c r="AD632" i="3"/>
  <c r="AD629" i="3"/>
  <c r="AD628" i="3"/>
  <c r="AD625" i="3"/>
  <c r="AD624" i="3"/>
  <c r="AS745" i="3"/>
  <c r="AS742" i="3"/>
  <c r="AS741" i="3"/>
  <c r="AS738" i="3"/>
  <c r="AS737" i="3"/>
  <c r="AS734" i="3"/>
  <c r="AS733" i="3"/>
  <c r="AS730" i="3"/>
  <c r="AS729" i="3"/>
  <c r="AS726" i="3"/>
  <c r="AS725" i="3"/>
  <c r="AS722" i="3"/>
  <c r="AS721" i="3"/>
  <c r="AS718" i="3"/>
  <c r="AS717" i="3"/>
  <c r="AS714" i="3"/>
  <c r="AS713" i="3"/>
  <c r="AS710" i="3"/>
  <c r="AS709" i="3"/>
  <c r="AS706" i="3"/>
  <c r="AS705" i="3"/>
  <c r="AS702" i="3"/>
  <c r="AS701" i="3"/>
  <c r="AS698" i="3"/>
  <c r="AS697" i="3"/>
  <c r="AS694" i="3"/>
  <c r="AS693" i="3"/>
  <c r="AS690" i="3"/>
  <c r="AS689" i="3"/>
  <c r="AS686" i="3"/>
  <c r="AS685" i="3"/>
  <c r="AS682" i="3"/>
  <c r="AS681" i="3"/>
  <c r="AS678" i="3"/>
  <c r="AS677" i="3"/>
  <c r="AS674" i="3"/>
  <c r="AS673" i="3"/>
  <c r="AS670" i="3"/>
  <c r="AS669" i="3"/>
  <c r="AS666" i="3"/>
  <c r="AS665" i="3"/>
  <c r="AS662" i="3"/>
  <c r="AS661" i="3"/>
  <c r="AS658" i="3"/>
  <c r="AS657" i="3"/>
  <c r="AS654" i="3"/>
  <c r="AS653" i="3"/>
  <c r="AS650" i="3"/>
  <c r="AS649" i="3"/>
  <c r="AS646" i="3"/>
  <c r="AS645" i="3"/>
  <c r="AS642" i="3"/>
  <c r="AS641" i="3"/>
  <c r="AS638" i="3"/>
  <c r="AS637" i="3"/>
  <c r="AS634" i="3"/>
  <c r="AS633" i="3"/>
  <c r="AS630" i="3"/>
  <c r="AS629" i="3"/>
  <c r="AS626" i="3"/>
  <c r="AS625" i="3"/>
  <c r="AS622" i="3"/>
  <c r="AS621" i="3"/>
  <c r="AS618" i="3"/>
  <c r="AS617" i="3"/>
  <c r="AS614" i="3"/>
  <c r="AS613" i="3"/>
  <c r="AS610" i="3"/>
  <c r="AS609" i="3"/>
  <c r="AS606" i="3"/>
  <c r="AS605" i="3"/>
  <c r="AS602" i="3"/>
  <c r="AS601" i="3"/>
  <c r="AS598" i="3"/>
  <c r="AS597" i="3"/>
  <c r="AS594" i="3"/>
  <c r="AS593" i="3"/>
  <c r="AS590" i="3"/>
  <c r="AS589" i="3"/>
  <c r="AS586" i="3"/>
  <c r="AS585" i="3"/>
  <c r="AS582" i="3"/>
  <c r="AS581" i="3"/>
  <c r="AS578" i="3"/>
  <c r="AS577" i="3"/>
  <c r="AS574" i="3"/>
  <c r="AS573" i="3"/>
  <c r="AS570" i="3"/>
  <c r="AS569" i="3"/>
  <c r="AS566" i="3"/>
  <c r="AS565" i="3"/>
  <c r="AS562" i="3"/>
  <c r="AS561" i="3"/>
  <c r="AS558" i="3"/>
  <c r="AS557" i="3"/>
  <c r="AS554" i="3"/>
  <c r="AS553" i="3"/>
  <c r="AS550" i="3"/>
  <c r="AS549" i="3"/>
  <c r="AS546" i="3"/>
  <c r="AS545" i="3"/>
  <c r="AS542" i="3"/>
  <c r="AS541" i="3"/>
  <c r="AS538" i="3"/>
  <c r="AS537" i="3"/>
  <c r="AS534" i="3"/>
  <c r="AS533" i="3"/>
  <c r="AS530" i="3"/>
  <c r="AS529" i="3"/>
  <c r="AS526" i="3"/>
  <c r="AS525" i="3"/>
  <c r="AS522" i="3"/>
  <c r="AS521" i="3"/>
  <c r="AS518" i="3"/>
  <c r="AS517" i="3"/>
  <c r="AS514" i="3"/>
  <c r="AS513" i="3"/>
  <c r="AS510" i="3"/>
  <c r="AS509" i="3"/>
  <c r="AS506" i="3"/>
  <c r="AS505" i="3"/>
  <c r="AS502" i="3"/>
  <c r="AS501" i="3"/>
  <c r="AS498" i="3"/>
  <c r="AS497" i="3"/>
  <c r="AS494" i="3"/>
  <c r="AS493" i="3"/>
  <c r="AS490" i="3"/>
  <c r="AS489" i="3"/>
  <c r="AS486" i="3"/>
  <c r="AS485" i="3"/>
  <c r="AS482" i="3"/>
  <c r="AS481" i="3"/>
  <c r="AS478" i="3"/>
  <c r="AS477" i="3"/>
  <c r="AS474" i="3"/>
  <c r="AS473" i="3"/>
  <c r="AS470" i="3"/>
  <c r="AS469" i="3"/>
  <c r="AS466" i="3"/>
  <c r="AS465" i="3"/>
  <c r="AS462" i="3"/>
  <c r="AS461" i="3"/>
  <c r="AS458" i="3"/>
  <c r="AS457" i="3"/>
  <c r="AS454" i="3"/>
  <c r="AS453" i="3"/>
  <c r="AS450" i="3"/>
  <c r="AS449" i="3"/>
  <c r="AS446" i="3"/>
  <c r="AS445" i="3"/>
  <c r="AS442" i="3"/>
  <c r="AD621" i="3"/>
  <c r="AD620" i="3"/>
  <c r="AD617" i="3"/>
  <c r="AD616" i="3"/>
  <c r="AD613" i="3"/>
  <c r="AD612" i="3"/>
  <c r="AD609" i="3"/>
  <c r="AD608" i="3"/>
  <c r="AD605" i="3"/>
  <c r="AD604" i="3"/>
  <c r="AD601" i="3"/>
  <c r="AD600" i="3"/>
  <c r="AD597" i="3"/>
  <c r="AD596" i="3"/>
  <c r="AD593" i="3"/>
  <c r="AD592" i="3"/>
  <c r="AD589" i="3"/>
  <c r="AD588" i="3"/>
  <c r="AD585" i="3"/>
  <c r="AD584" i="3"/>
  <c r="AD581" i="3"/>
  <c r="AD580" i="3"/>
  <c r="AD577" i="3"/>
  <c r="AD576" i="3"/>
  <c r="AD573" i="3"/>
  <c r="AD572" i="3"/>
  <c r="AD569" i="3"/>
  <c r="AD568" i="3"/>
  <c r="AD565" i="3"/>
  <c r="AD564" i="3"/>
  <c r="AD561" i="3"/>
  <c r="AD560" i="3"/>
  <c r="AD557" i="3"/>
  <c r="AD556" i="3"/>
  <c r="AD553" i="3"/>
  <c r="AD552" i="3"/>
  <c r="AD549" i="3"/>
  <c r="AD548" i="3"/>
  <c r="AD545" i="3"/>
  <c r="AD544" i="3"/>
  <c r="AD541" i="3"/>
  <c r="AD540" i="3"/>
  <c r="AD533" i="3"/>
  <c r="AD532" i="3"/>
  <c r="AD529" i="3"/>
  <c r="AD528" i="3"/>
  <c r="AD525" i="3"/>
  <c r="AD524" i="3"/>
  <c r="AD521" i="3"/>
  <c r="AD520" i="3"/>
  <c r="AD517" i="3"/>
  <c r="AD516" i="3"/>
  <c r="AD513" i="3"/>
  <c r="AD512" i="3"/>
  <c r="AD509" i="3"/>
  <c r="AD508" i="3"/>
  <c r="AD505" i="3"/>
  <c r="AD504" i="3"/>
  <c r="AD501" i="3"/>
  <c r="AD500" i="3"/>
  <c r="AD497" i="3"/>
  <c r="AD349" i="3"/>
  <c r="AD348" i="3"/>
  <c r="AD345" i="3"/>
  <c r="AD344" i="3"/>
  <c r="AD341" i="3"/>
  <c r="AD340" i="3"/>
  <c r="AD337" i="3"/>
  <c r="AD336" i="3"/>
  <c r="AD333" i="3"/>
  <c r="AD332" i="3"/>
  <c r="AD329" i="3"/>
  <c r="AD328" i="3"/>
  <c r="AD325" i="3"/>
  <c r="AD324" i="3"/>
  <c r="AD321" i="3"/>
  <c r="AD320" i="3"/>
  <c r="AD317" i="3"/>
  <c r="AD316" i="3"/>
  <c r="AD313" i="3"/>
  <c r="AD312" i="3"/>
  <c r="AD309" i="3"/>
  <c r="AD308" i="3"/>
  <c r="AD305" i="3"/>
  <c r="AD304" i="3"/>
  <c r="AD537" i="3"/>
  <c r="AD536" i="3"/>
  <c r="AJ671" i="3"/>
  <c r="AJ670" i="3"/>
  <c r="AJ667" i="3"/>
  <c r="AJ666" i="3"/>
  <c r="AJ663" i="3"/>
  <c r="AJ662" i="3"/>
  <c r="AJ659" i="3"/>
  <c r="AJ658" i="3"/>
  <c r="AJ655" i="3"/>
  <c r="AJ654" i="3"/>
  <c r="AJ651" i="3"/>
  <c r="AJ650" i="3"/>
  <c r="AJ647" i="3"/>
  <c r="AJ646" i="3"/>
  <c r="AJ643" i="3"/>
  <c r="AJ642" i="3"/>
  <c r="AJ639" i="3"/>
  <c r="AJ638" i="3"/>
  <c r="AJ635" i="3"/>
  <c r="AJ634" i="3"/>
  <c r="AJ631" i="3"/>
  <c r="AJ630" i="3"/>
  <c r="AJ627" i="3"/>
  <c r="AJ626" i="3"/>
  <c r="AJ623" i="3"/>
  <c r="AJ622" i="3"/>
  <c r="AJ619" i="3"/>
  <c r="AJ618" i="3"/>
  <c r="AJ615" i="3"/>
  <c r="AJ614" i="3"/>
  <c r="AJ611" i="3"/>
  <c r="AJ610" i="3"/>
  <c r="AJ607" i="3"/>
  <c r="AJ606" i="3"/>
  <c r="AJ603" i="3"/>
  <c r="AJ602" i="3"/>
  <c r="AJ599" i="3"/>
  <c r="AJ598" i="3"/>
  <c r="AJ595" i="3"/>
  <c r="AJ594" i="3"/>
  <c r="AJ591" i="3"/>
  <c r="AJ590" i="3"/>
  <c r="AJ587" i="3"/>
  <c r="AJ586" i="3"/>
  <c r="AJ583" i="3"/>
  <c r="AJ582" i="3"/>
  <c r="AJ579" i="3"/>
  <c r="AJ578" i="3"/>
  <c r="AJ575" i="3"/>
  <c r="AJ574" i="3"/>
  <c r="AJ571" i="3"/>
  <c r="AJ570" i="3"/>
  <c r="AJ567" i="3"/>
  <c r="AJ566" i="3"/>
  <c r="AJ563" i="3"/>
  <c r="AJ562" i="3"/>
  <c r="AJ559" i="3"/>
  <c r="AJ558" i="3"/>
  <c r="AJ555" i="3"/>
  <c r="AJ554" i="3"/>
  <c r="AJ551" i="3"/>
  <c r="AJ550" i="3"/>
  <c r="AJ547" i="3"/>
  <c r="AA744" i="3"/>
  <c r="AA743" i="3"/>
  <c r="AA740" i="3"/>
  <c r="AA739" i="3"/>
  <c r="AA736" i="3"/>
  <c r="AA735" i="3"/>
  <c r="AA732" i="3"/>
  <c r="AA731" i="3"/>
  <c r="AA728" i="3"/>
  <c r="AA727" i="3"/>
  <c r="AA724" i="3"/>
  <c r="AA723" i="3"/>
  <c r="AA720" i="3"/>
  <c r="AA719" i="3"/>
  <c r="AA716" i="3"/>
  <c r="AA715" i="3"/>
  <c r="AA712" i="3"/>
  <c r="AA711" i="3"/>
  <c r="AA708" i="3"/>
  <c r="AA707" i="3"/>
  <c r="AA704" i="3"/>
  <c r="AA703" i="3"/>
  <c r="AA700" i="3"/>
  <c r="AA699" i="3"/>
  <c r="AA696" i="3"/>
  <c r="AA695" i="3"/>
  <c r="AA692" i="3"/>
  <c r="AA691" i="3"/>
  <c r="AA688" i="3"/>
  <c r="AA687" i="3"/>
  <c r="AA684" i="3"/>
  <c r="AA683" i="3"/>
  <c r="AA680" i="3"/>
  <c r="AA679" i="3"/>
  <c r="AA676" i="3"/>
  <c r="AA675" i="3"/>
  <c r="AA672" i="3"/>
  <c r="AA671" i="3"/>
  <c r="AA668" i="3"/>
  <c r="AA667" i="3"/>
  <c r="AA664" i="3"/>
  <c r="AA663" i="3"/>
  <c r="AA660" i="3"/>
  <c r="AA659" i="3"/>
  <c r="AA656" i="3"/>
  <c r="AA655" i="3"/>
  <c r="AA652" i="3"/>
  <c r="AA651" i="3"/>
  <c r="AA648" i="3"/>
  <c r="AA647" i="3"/>
  <c r="AA644" i="3"/>
  <c r="AA643" i="3"/>
  <c r="AA640" i="3"/>
  <c r="AA639" i="3"/>
  <c r="AA636" i="3"/>
  <c r="AA635" i="3"/>
  <c r="AA632" i="3"/>
  <c r="AA631" i="3"/>
  <c r="AA628" i="3"/>
  <c r="AA627" i="3"/>
  <c r="AA624" i="3"/>
  <c r="AA623" i="3"/>
  <c r="AA620" i="3"/>
  <c r="AA619" i="3"/>
  <c r="AA616" i="3"/>
  <c r="AA615" i="3"/>
  <c r="AA612" i="3"/>
  <c r="AA611" i="3"/>
  <c r="AA608" i="3"/>
  <c r="AA607" i="3"/>
  <c r="AA604" i="3"/>
  <c r="AA603" i="3"/>
  <c r="AA600" i="3"/>
  <c r="AA599" i="3"/>
  <c r="AA596" i="3"/>
  <c r="AA595" i="3"/>
  <c r="AA592" i="3"/>
  <c r="AA591" i="3"/>
  <c r="AA588" i="3"/>
  <c r="AA587" i="3"/>
  <c r="AA584" i="3"/>
  <c r="AA583" i="3"/>
  <c r="AA580" i="3"/>
  <c r="AA579" i="3"/>
  <c r="AA576" i="3"/>
  <c r="AA575" i="3"/>
  <c r="AA572" i="3"/>
  <c r="AA571" i="3"/>
  <c r="AA568" i="3"/>
  <c r="AA567" i="3"/>
  <c r="AA564" i="3"/>
  <c r="AA563" i="3"/>
  <c r="AA560" i="3"/>
  <c r="AA559" i="3"/>
  <c r="AA556" i="3"/>
  <c r="AA555" i="3"/>
  <c r="AA552" i="3"/>
  <c r="AA551" i="3"/>
  <c r="AA548" i="3"/>
  <c r="AA547" i="3"/>
  <c r="AA544" i="3"/>
  <c r="AA543" i="3"/>
  <c r="AA540" i="3"/>
  <c r="AA539" i="3"/>
  <c r="AA536" i="3"/>
  <c r="AA535" i="3"/>
  <c r="AA532" i="3"/>
  <c r="AA531" i="3"/>
  <c r="AA528" i="3"/>
  <c r="AA527" i="3"/>
  <c r="AA524" i="3"/>
  <c r="AA523" i="3"/>
  <c r="AA520" i="3"/>
  <c r="AA519" i="3"/>
  <c r="AA516" i="3"/>
  <c r="AA515" i="3"/>
  <c r="AA512" i="3"/>
  <c r="AA511" i="3"/>
  <c r="AA508" i="3"/>
  <c r="AA507" i="3"/>
  <c r="AA504" i="3"/>
  <c r="AA503" i="3"/>
  <c r="AA500" i="3"/>
  <c r="AA499" i="3"/>
  <c r="AA496" i="3"/>
  <c r="AA495" i="3"/>
  <c r="AA492" i="3"/>
  <c r="AA491" i="3"/>
  <c r="AA488" i="3"/>
  <c r="AA487" i="3"/>
  <c r="AA484" i="3"/>
  <c r="AA483" i="3"/>
  <c r="AA480" i="3"/>
  <c r="AA479" i="3"/>
  <c r="AA476" i="3"/>
  <c r="AA475" i="3"/>
  <c r="AA472" i="3"/>
  <c r="AA471" i="3"/>
  <c r="AA468" i="3"/>
  <c r="AA467" i="3"/>
  <c r="AA464" i="3"/>
  <c r="AA463" i="3"/>
  <c r="AA460" i="3"/>
  <c r="AA459" i="3"/>
  <c r="AA456" i="3"/>
  <c r="AA455" i="3"/>
  <c r="AA452" i="3"/>
  <c r="AA451" i="3"/>
  <c r="AA448" i="3"/>
  <c r="AA447" i="3"/>
  <c r="AA444" i="3"/>
  <c r="AA443" i="3"/>
  <c r="AA440" i="3"/>
  <c r="AA439" i="3"/>
  <c r="AA436" i="3"/>
  <c r="AA435" i="3"/>
  <c r="AA432" i="3"/>
  <c r="AA431" i="3"/>
  <c r="AA428" i="3"/>
  <c r="AA427" i="3"/>
  <c r="AA424" i="3"/>
  <c r="AA423" i="3"/>
  <c r="AA420" i="3"/>
  <c r="AA419" i="3"/>
  <c r="AA416" i="3"/>
  <c r="AA415" i="3"/>
  <c r="AA412" i="3"/>
  <c r="AA411" i="3"/>
  <c r="AA408" i="3"/>
  <c r="AA407" i="3"/>
  <c r="AA404" i="3"/>
  <c r="AA403" i="3"/>
  <c r="AA400" i="3"/>
  <c r="AA399" i="3"/>
  <c r="AA396" i="3"/>
  <c r="AA392" i="3"/>
  <c r="AA388" i="3"/>
  <c r="AA384" i="3"/>
  <c r="AA380" i="3"/>
  <c r="AA376" i="3"/>
  <c r="AA372" i="3"/>
  <c r="AA368" i="3"/>
  <c r="AA364" i="3"/>
  <c r="AA360" i="3"/>
  <c r="AA356" i="3"/>
  <c r="AA352" i="3"/>
  <c r="AA348" i="3"/>
  <c r="AA344" i="3"/>
  <c r="AA340" i="3"/>
  <c r="AA336" i="3"/>
  <c r="AA332" i="3"/>
  <c r="AA328" i="3"/>
  <c r="AA324" i="3"/>
  <c r="AA320" i="3"/>
  <c r="AA316" i="3"/>
  <c r="AA312" i="3"/>
  <c r="AA308" i="3"/>
  <c r="AA304" i="3"/>
  <c r="AA300" i="3"/>
  <c r="AA296" i="3"/>
  <c r="AA292" i="3"/>
  <c r="AA288" i="3"/>
  <c r="AA284" i="3"/>
  <c r="AA280" i="3"/>
  <c r="AA276" i="3"/>
  <c r="AA272" i="3"/>
  <c r="AA268" i="3"/>
  <c r="AA264" i="3"/>
  <c r="AA260" i="3"/>
  <c r="AA256" i="3"/>
  <c r="AA252" i="3"/>
  <c r="AA248" i="3"/>
  <c r="AA244" i="3"/>
  <c r="AA240" i="3"/>
  <c r="AA236" i="3"/>
  <c r="AA232" i="3"/>
  <c r="AA228" i="3"/>
  <c r="AA224" i="3"/>
  <c r="AA220" i="3"/>
  <c r="AA216" i="3"/>
  <c r="AA212" i="3"/>
  <c r="AA208" i="3"/>
  <c r="AA204" i="3"/>
  <c r="AA200" i="3"/>
  <c r="AA196" i="3"/>
  <c r="AA192" i="3"/>
  <c r="AA188" i="3"/>
  <c r="AA184" i="3"/>
  <c r="AA180" i="3"/>
  <c r="AA176" i="3"/>
  <c r="AA172" i="3"/>
  <c r="AA168" i="3"/>
  <c r="AA164" i="3"/>
  <c r="AA160" i="3"/>
  <c r="AA156" i="3"/>
  <c r="AA152" i="3"/>
  <c r="AA148" i="3"/>
  <c r="AA144" i="3"/>
  <c r="AA140" i="3"/>
  <c r="AA136" i="3"/>
  <c r="AP745" i="3"/>
  <c r="AP744" i="3"/>
  <c r="AP741" i="3"/>
  <c r="AP740" i="3"/>
  <c r="AP737" i="3"/>
  <c r="AP736" i="3"/>
  <c r="AP733" i="3"/>
  <c r="AP732" i="3"/>
  <c r="AP729" i="3"/>
  <c r="AP728" i="3"/>
  <c r="AP725" i="3"/>
  <c r="AP724" i="3"/>
  <c r="AP721" i="3"/>
  <c r="AP720" i="3"/>
  <c r="AP717" i="3"/>
  <c r="AP716" i="3"/>
  <c r="AP713" i="3"/>
  <c r="AP712" i="3"/>
  <c r="AP709" i="3"/>
  <c r="AP708" i="3"/>
  <c r="AP705" i="3"/>
  <c r="AP704" i="3"/>
  <c r="AP701" i="3"/>
  <c r="AP700" i="3"/>
  <c r="AP697" i="3"/>
  <c r="AP696" i="3"/>
  <c r="AP693" i="3"/>
  <c r="AP692" i="3"/>
  <c r="AP689" i="3"/>
  <c r="AP688" i="3"/>
  <c r="AP685" i="3"/>
  <c r="AP684" i="3"/>
  <c r="AP681" i="3"/>
  <c r="AP680" i="3"/>
  <c r="AP677" i="3"/>
  <c r="AP676" i="3"/>
  <c r="AP673" i="3"/>
  <c r="AP672" i="3"/>
  <c r="AP669" i="3"/>
  <c r="AP520" i="3"/>
  <c r="AP517" i="3"/>
  <c r="AP516" i="3"/>
  <c r="AJ546" i="3"/>
  <c r="AJ543" i="3"/>
  <c r="AJ542" i="3"/>
  <c r="AJ539" i="3"/>
  <c r="AJ538" i="3"/>
  <c r="AJ535" i="3"/>
  <c r="AJ534" i="3"/>
  <c r="AJ531" i="3"/>
  <c r="AJ530" i="3"/>
  <c r="AJ527" i="3"/>
  <c r="AG745" i="3"/>
  <c r="AG742" i="3"/>
  <c r="AG741" i="3"/>
  <c r="AG738" i="3"/>
  <c r="AG737" i="3"/>
  <c r="AP513" i="3"/>
  <c r="AP512" i="3"/>
  <c r="AP509" i="3"/>
  <c r="AP508" i="3"/>
  <c r="AP505" i="3"/>
  <c r="AP504" i="3"/>
  <c r="AP501" i="3"/>
  <c r="AP500" i="3"/>
  <c r="AP497" i="3"/>
  <c r="AP496" i="3"/>
  <c r="AP493" i="3"/>
  <c r="AP492" i="3"/>
  <c r="AP489" i="3"/>
  <c r="AP488" i="3"/>
  <c r="AP485" i="3"/>
  <c r="AP484" i="3"/>
  <c r="AP481" i="3"/>
  <c r="AP480" i="3"/>
  <c r="AJ526" i="3"/>
  <c r="AJ523" i="3"/>
  <c r="AJ522" i="3"/>
  <c r="AJ519" i="3"/>
  <c r="AJ518" i="3"/>
  <c r="AJ515" i="3"/>
  <c r="AJ514" i="3"/>
  <c r="AJ511" i="3"/>
  <c r="AJ510" i="3"/>
  <c r="AJ507" i="3"/>
  <c r="AJ506" i="3"/>
  <c r="AJ503" i="3"/>
  <c r="AJ502" i="3"/>
  <c r="AJ499" i="3"/>
  <c r="AJ498" i="3"/>
  <c r="AJ495" i="3"/>
  <c r="AJ494" i="3"/>
  <c r="AJ491" i="3"/>
  <c r="AJ490" i="3"/>
  <c r="AJ487" i="3"/>
  <c r="AJ486" i="3"/>
  <c r="AJ483" i="3"/>
  <c r="AJ482" i="3"/>
  <c r="AJ479" i="3"/>
  <c r="AJ478" i="3"/>
  <c r="AJ475" i="3"/>
  <c r="AJ474" i="3"/>
  <c r="AJ471" i="3"/>
  <c r="AJ470" i="3"/>
  <c r="AJ467" i="3"/>
  <c r="AJ466" i="3"/>
  <c r="AJ463" i="3"/>
  <c r="AJ462" i="3"/>
  <c r="AJ459" i="3"/>
  <c r="AJ458" i="3"/>
  <c r="AJ455" i="3"/>
  <c r="AJ454" i="3"/>
  <c r="AJ451" i="3"/>
  <c r="AJ450" i="3"/>
  <c r="AJ447" i="3"/>
  <c r="AJ446" i="3"/>
  <c r="AJ443" i="3"/>
  <c r="AJ442" i="3"/>
  <c r="AJ439" i="3"/>
  <c r="AJ438" i="3"/>
  <c r="AJ435" i="3"/>
  <c r="AJ434" i="3"/>
  <c r="AJ431" i="3"/>
  <c r="AJ430" i="3"/>
  <c r="AJ427" i="3"/>
  <c r="AJ426" i="3"/>
  <c r="AJ423" i="3"/>
  <c r="AJ422" i="3"/>
  <c r="AJ419" i="3"/>
  <c r="AJ418" i="3"/>
  <c r="AJ415" i="3"/>
  <c r="AJ414" i="3"/>
  <c r="AJ411" i="3"/>
  <c r="AJ410" i="3"/>
  <c r="AJ407" i="3"/>
  <c r="AJ406" i="3"/>
  <c r="AJ403" i="3"/>
  <c r="AJ402" i="3"/>
  <c r="AJ399" i="3"/>
  <c r="AJ398" i="3"/>
  <c r="AJ395" i="3"/>
  <c r="AJ394" i="3"/>
  <c r="AJ391" i="3"/>
  <c r="AJ390" i="3"/>
  <c r="AJ387" i="3"/>
  <c r="AJ386" i="3"/>
  <c r="AJ383" i="3"/>
  <c r="AJ382" i="3"/>
  <c r="AJ379" i="3"/>
  <c r="AJ378" i="3"/>
  <c r="AJ375" i="3"/>
  <c r="AJ374" i="3"/>
  <c r="AJ371" i="3"/>
  <c r="AJ370" i="3"/>
  <c r="AJ367" i="3"/>
  <c r="AJ366" i="3"/>
  <c r="AJ363" i="3"/>
  <c r="AJ362" i="3"/>
  <c r="AJ359" i="3"/>
  <c r="AJ358" i="3"/>
  <c r="AG209" i="3"/>
  <c r="AG206" i="3"/>
  <c r="AG205" i="3"/>
  <c r="AG202" i="3"/>
  <c r="AG201" i="3"/>
  <c r="AG198" i="3"/>
  <c r="AG197" i="3"/>
  <c r="AG194" i="3"/>
  <c r="AG193" i="3"/>
  <c r="AG190" i="3"/>
  <c r="AG189" i="3"/>
  <c r="AG186" i="3"/>
  <c r="AG185" i="3"/>
  <c r="AG182" i="3"/>
  <c r="AG181" i="3"/>
  <c r="AG178" i="3"/>
  <c r="AG177" i="3"/>
  <c r="AG174" i="3"/>
  <c r="AG173" i="3"/>
  <c r="AG170" i="3"/>
  <c r="AG169" i="3"/>
  <c r="AG166" i="3"/>
  <c r="AG165" i="3"/>
  <c r="AG162" i="3"/>
  <c r="AG161" i="3"/>
  <c r="AG158" i="3"/>
  <c r="AG157" i="3"/>
  <c r="AG154" i="3"/>
  <c r="AG153" i="3"/>
  <c r="AG150" i="3"/>
  <c r="AG149" i="3"/>
  <c r="AG146" i="3"/>
  <c r="AG145" i="3"/>
  <c r="AG142" i="3"/>
  <c r="AG141" i="3"/>
  <c r="AG138" i="3"/>
  <c r="AG137" i="3"/>
  <c r="AG134" i="3"/>
  <c r="AG133" i="3"/>
  <c r="AG129" i="3"/>
  <c r="AG125" i="3"/>
  <c r="AG121" i="3"/>
  <c r="AG117" i="3"/>
  <c r="AG113" i="3"/>
  <c r="AG109" i="3"/>
  <c r="AG105" i="3"/>
  <c r="AG101" i="3"/>
  <c r="AG97" i="3"/>
  <c r="AG93" i="3"/>
  <c r="AG89" i="3"/>
  <c r="AG85" i="3"/>
  <c r="AD301" i="3"/>
  <c r="AD300" i="3"/>
  <c r="AD297" i="3"/>
  <c r="AD296" i="3"/>
  <c r="AD293" i="3"/>
  <c r="AD292" i="3"/>
  <c r="AD289" i="3"/>
  <c r="AD288" i="3"/>
  <c r="AD285" i="3"/>
  <c r="AD284" i="3"/>
  <c r="AD281" i="3"/>
  <c r="AD280" i="3"/>
  <c r="AD277" i="3"/>
  <c r="AD276" i="3"/>
  <c r="AD273" i="3"/>
  <c r="AD272" i="3"/>
  <c r="AD269" i="3"/>
  <c r="AD268" i="3"/>
  <c r="AD265" i="3"/>
  <c r="AD264" i="3"/>
  <c r="AD261" i="3"/>
  <c r="AD260" i="3"/>
  <c r="AD257" i="3"/>
  <c r="AD256" i="3"/>
  <c r="AD229" i="3"/>
  <c r="AD228" i="3"/>
  <c r="AD225" i="3"/>
  <c r="AD224" i="3"/>
  <c r="AD221" i="3"/>
  <c r="AD220" i="3"/>
  <c r="AD217" i="3"/>
  <c r="AD216" i="3"/>
  <c r="AD213" i="3"/>
  <c r="AD212" i="3"/>
  <c r="AD209" i="3"/>
  <c r="AD208" i="3"/>
  <c r="AD205" i="3"/>
  <c r="AD204" i="3"/>
  <c r="AD201" i="3"/>
  <c r="AD200" i="3"/>
  <c r="AD197" i="3"/>
  <c r="AD196" i="3"/>
  <c r="AD193" i="3"/>
  <c r="AD192" i="3"/>
  <c r="AD189" i="3"/>
  <c r="AD188" i="3"/>
  <c r="AD185" i="3"/>
  <c r="AD184" i="3"/>
  <c r="AD181" i="3"/>
  <c r="AD180" i="3"/>
  <c r="AD177" i="3"/>
  <c r="AD176" i="3"/>
  <c r="AD173" i="3"/>
  <c r="AD172" i="3"/>
  <c r="AD169" i="3"/>
  <c r="AD168" i="3"/>
  <c r="AD165" i="3"/>
  <c r="AD164" i="3"/>
  <c r="AD161" i="3"/>
  <c r="AD160" i="3"/>
  <c r="AD157" i="3"/>
  <c r="AD156" i="3"/>
  <c r="AD153" i="3"/>
  <c r="AD152" i="3"/>
  <c r="AD149" i="3"/>
  <c r="AD148" i="3"/>
  <c r="AD145" i="3"/>
  <c r="AD144" i="3"/>
  <c r="AD141" i="3"/>
  <c r="AD140" i="3"/>
  <c r="AD137" i="3"/>
  <c r="AD136" i="3"/>
  <c r="AD133" i="3"/>
  <c r="AD132" i="3"/>
  <c r="AD128" i="3"/>
  <c r="AD124" i="3"/>
  <c r="AD120" i="3"/>
  <c r="AD116" i="3"/>
  <c r="AD112" i="3"/>
  <c r="AD108" i="3"/>
  <c r="AD104" i="3"/>
  <c r="AD100" i="3"/>
  <c r="AD96" i="3"/>
  <c r="AD92" i="3"/>
  <c r="AD88" i="3"/>
  <c r="AM744" i="3"/>
  <c r="AM743" i="3"/>
  <c r="AM740" i="3"/>
  <c r="AM739" i="3"/>
  <c r="AM736" i="3"/>
  <c r="AM735" i="3"/>
  <c r="AM732" i="3"/>
  <c r="AM731" i="3"/>
  <c r="AM728" i="3"/>
  <c r="AM727" i="3"/>
  <c r="AM724" i="3"/>
  <c r="AM723" i="3"/>
  <c r="AM720" i="3"/>
  <c r="AM719" i="3"/>
  <c r="AM716" i="3"/>
  <c r="AM715" i="3"/>
  <c r="AM712" i="3"/>
  <c r="AM711" i="3"/>
  <c r="AM708" i="3"/>
  <c r="AM707" i="3"/>
  <c r="AM704" i="3"/>
  <c r="AM703" i="3"/>
  <c r="AM700" i="3"/>
  <c r="AM699" i="3"/>
  <c r="AM696" i="3"/>
  <c r="AM695" i="3"/>
  <c r="AM692" i="3"/>
  <c r="AM691" i="3"/>
  <c r="AM688" i="3"/>
  <c r="AM687" i="3"/>
  <c r="AM684" i="3"/>
  <c r="AM683" i="3"/>
  <c r="AM680" i="3"/>
  <c r="AM679" i="3"/>
  <c r="AM676" i="3"/>
  <c r="AM675" i="3"/>
  <c r="AM672" i="3"/>
  <c r="AM671" i="3"/>
  <c r="AM668" i="3"/>
  <c r="AM667" i="3"/>
  <c r="AM664" i="3"/>
  <c r="AM663" i="3"/>
  <c r="AM660" i="3"/>
  <c r="AM659" i="3"/>
  <c r="AM656" i="3"/>
  <c r="AM655" i="3"/>
  <c r="AM652" i="3"/>
  <c r="AM651" i="3"/>
  <c r="AM648" i="3"/>
  <c r="AM647" i="3"/>
  <c r="AM644" i="3"/>
  <c r="AM643" i="3"/>
  <c r="AM640" i="3"/>
  <c r="AM639" i="3"/>
  <c r="AM636" i="3"/>
  <c r="AM635" i="3"/>
  <c r="AM632" i="3"/>
  <c r="AM631" i="3"/>
  <c r="AM628" i="3"/>
  <c r="AM627" i="3"/>
  <c r="AM624" i="3"/>
  <c r="AM623" i="3"/>
  <c r="AM620" i="3"/>
  <c r="AM619" i="3"/>
  <c r="AM616" i="3"/>
  <c r="AM615" i="3"/>
  <c r="AM612" i="3"/>
  <c r="AM611" i="3"/>
  <c r="AM608" i="3"/>
  <c r="AM607" i="3"/>
  <c r="AM604" i="3"/>
  <c r="AM603" i="3"/>
  <c r="AM600" i="3"/>
  <c r="AM599" i="3"/>
  <c r="AM596" i="3"/>
  <c r="AM595" i="3"/>
  <c r="AM592" i="3"/>
  <c r="AM591" i="3"/>
  <c r="AM588" i="3"/>
  <c r="AM587" i="3"/>
  <c r="AM584" i="3"/>
  <c r="AM583" i="3"/>
  <c r="AM580" i="3"/>
  <c r="AM579" i="3"/>
  <c r="AM576" i="3"/>
  <c r="AM575" i="3"/>
  <c r="AM572" i="3"/>
  <c r="AM571" i="3"/>
  <c r="AM568" i="3"/>
  <c r="AM567" i="3"/>
  <c r="AM564" i="3"/>
  <c r="AM563" i="3"/>
  <c r="AM560" i="3"/>
  <c r="AM559" i="3"/>
  <c r="AM556" i="3"/>
  <c r="AM555" i="3"/>
  <c r="AM552" i="3"/>
  <c r="AM551" i="3"/>
  <c r="AM548" i="3"/>
  <c r="AM547" i="3"/>
  <c r="AM544" i="3"/>
  <c r="AM543" i="3"/>
  <c r="AM540" i="3"/>
  <c r="AM539" i="3"/>
  <c r="AM536" i="3"/>
  <c r="AM535" i="3"/>
  <c r="AM532" i="3"/>
  <c r="AM531" i="3"/>
  <c r="AM528" i="3"/>
  <c r="AM527" i="3"/>
  <c r="AM524" i="3"/>
  <c r="AM523" i="3"/>
  <c r="AM520" i="3"/>
  <c r="AM519" i="3"/>
  <c r="AM516" i="3"/>
  <c r="AM515" i="3"/>
  <c r="AM512" i="3"/>
  <c r="AM511" i="3"/>
  <c r="AM508" i="3"/>
  <c r="AM507" i="3"/>
  <c r="AM504" i="3"/>
  <c r="AM503" i="3"/>
  <c r="AM500" i="3"/>
  <c r="AM499" i="3"/>
  <c r="AM496" i="3"/>
  <c r="AM495" i="3"/>
  <c r="AM492" i="3"/>
  <c r="AM491" i="3"/>
  <c r="AM488" i="3"/>
  <c r="AM487" i="3"/>
  <c r="AM484" i="3"/>
  <c r="AM483" i="3"/>
  <c r="AM480" i="3"/>
  <c r="AM479" i="3"/>
  <c r="AM476" i="3"/>
  <c r="AM475" i="3"/>
  <c r="AM472" i="3"/>
  <c r="AM471" i="3"/>
  <c r="AM468" i="3"/>
  <c r="AM467" i="3"/>
  <c r="AM464" i="3"/>
  <c r="AM463" i="3"/>
  <c r="AM460" i="3"/>
  <c r="AM459" i="3"/>
  <c r="AM456" i="3"/>
  <c r="AM455" i="3"/>
  <c r="AM452" i="3"/>
  <c r="AM451" i="3"/>
  <c r="AM448" i="3"/>
  <c r="AM447" i="3"/>
  <c r="AM444" i="3"/>
  <c r="AM443" i="3"/>
  <c r="AM440" i="3"/>
  <c r="AM439" i="3"/>
  <c r="AM436" i="3"/>
  <c r="AM435" i="3"/>
  <c r="AM432" i="3"/>
  <c r="AM431" i="3"/>
  <c r="AM428" i="3"/>
  <c r="AM427" i="3"/>
  <c r="AM424" i="3"/>
  <c r="AM423" i="3"/>
  <c r="AM420" i="3"/>
  <c r="AM419" i="3"/>
  <c r="AM416" i="3"/>
  <c r="AM415" i="3"/>
  <c r="AM412" i="3"/>
  <c r="AM411" i="3"/>
  <c r="AM408" i="3"/>
  <c r="AM407" i="3"/>
  <c r="AM404" i="3"/>
  <c r="AM403" i="3"/>
  <c r="AM400" i="3"/>
  <c r="AM399" i="3"/>
  <c r="AM396" i="3"/>
  <c r="AM395" i="3"/>
  <c r="AM392" i="3"/>
  <c r="AM391" i="3"/>
  <c r="AM388" i="3"/>
  <c r="AM387" i="3"/>
  <c r="AM384" i="3"/>
  <c r="AM383" i="3"/>
  <c r="AM380" i="3"/>
  <c r="AM379" i="3"/>
  <c r="AM376" i="3"/>
  <c r="AM375" i="3"/>
  <c r="AM372" i="3"/>
  <c r="AM371" i="3"/>
  <c r="AM368" i="3"/>
  <c r="AM367" i="3"/>
  <c r="AM364" i="3"/>
  <c r="AM363" i="3"/>
  <c r="AM360" i="3"/>
  <c r="AM359" i="3"/>
  <c r="AM356" i="3"/>
  <c r="AM355" i="3"/>
  <c r="AM352" i="3"/>
  <c r="AJ743" i="3"/>
  <c r="AJ742" i="3"/>
  <c r="AJ739" i="3"/>
  <c r="AJ738" i="3"/>
  <c r="AJ735" i="3"/>
  <c r="AJ734" i="3"/>
  <c r="AJ731" i="3"/>
  <c r="AJ730" i="3"/>
  <c r="AJ727" i="3"/>
  <c r="AJ726" i="3"/>
  <c r="AJ723" i="3"/>
  <c r="AJ722" i="3"/>
  <c r="AJ719" i="3"/>
  <c r="AJ718" i="3"/>
  <c r="AJ715" i="3"/>
  <c r="AJ714" i="3"/>
  <c r="AJ711" i="3"/>
  <c r="AJ710" i="3"/>
  <c r="AJ707" i="3"/>
  <c r="AJ706" i="3"/>
  <c r="AJ703" i="3"/>
  <c r="AJ702" i="3"/>
  <c r="AJ699" i="3"/>
  <c r="AJ698" i="3"/>
  <c r="AJ695" i="3"/>
  <c r="AJ694" i="3"/>
  <c r="AJ691" i="3"/>
  <c r="AJ690" i="3"/>
  <c r="AJ687" i="3"/>
  <c r="AJ686" i="3"/>
  <c r="AJ683" i="3"/>
  <c r="AJ682" i="3"/>
  <c r="AJ679" i="3"/>
  <c r="AJ678" i="3"/>
  <c r="AJ675" i="3"/>
  <c r="AJ674" i="3"/>
  <c r="AD745" i="3"/>
  <c r="AD744" i="3"/>
  <c r="AD741" i="3"/>
  <c r="AD740" i="3"/>
  <c r="AD737" i="3"/>
  <c r="AD736" i="3"/>
  <c r="AD733" i="3"/>
  <c r="AD732" i="3"/>
  <c r="AD729" i="3"/>
  <c r="AD728" i="3"/>
  <c r="AD725" i="3"/>
  <c r="AD724" i="3"/>
  <c r="AD721" i="3"/>
  <c r="AD720" i="3"/>
  <c r="AD717" i="3"/>
  <c r="AD716" i="3"/>
  <c r="AD713" i="3"/>
  <c r="AD712" i="3"/>
  <c r="AD709" i="3"/>
  <c r="AD708" i="3"/>
  <c r="AD705" i="3"/>
  <c r="AD704" i="3"/>
  <c r="AD701" i="3"/>
  <c r="AD700" i="3"/>
  <c r="AD697" i="3"/>
  <c r="AD696" i="3"/>
  <c r="AD693" i="3"/>
  <c r="AD692" i="3"/>
  <c r="AD689" i="3"/>
  <c r="AD688" i="3"/>
  <c r="AD685" i="3"/>
  <c r="AD684" i="3"/>
  <c r="AD681" i="3"/>
  <c r="AD680" i="3"/>
  <c r="AD677" i="3"/>
  <c r="AD676" i="3"/>
  <c r="AD673" i="3"/>
  <c r="AS441" i="3"/>
  <c r="AS438" i="3"/>
  <c r="AS437" i="3"/>
  <c r="AS434" i="3"/>
  <c r="AS433" i="3"/>
  <c r="AS430" i="3"/>
  <c r="AS429" i="3"/>
  <c r="AS426" i="3"/>
  <c r="AS425" i="3"/>
  <c r="AS422" i="3"/>
  <c r="AS421" i="3"/>
  <c r="AS418" i="3"/>
  <c r="AS417" i="3"/>
  <c r="AS414" i="3"/>
  <c r="AS413" i="3"/>
  <c r="AS410" i="3"/>
  <c r="AS409" i="3"/>
  <c r="AS406" i="3"/>
  <c r="AS405" i="3"/>
  <c r="AS402" i="3"/>
  <c r="AS401" i="3"/>
  <c r="AS398" i="3"/>
  <c r="AS397" i="3"/>
  <c r="AS394" i="3"/>
  <c r="AS393" i="3"/>
  <c r="AS390" i="3"/>
  <c r="AS389" i="3"/>
  <c r="AS386" i="3"/>
  <c r="AS385" i="3"/>
  <c r="AS382" i="3"/>
  <c r="AS381" i="3"/>
  <c r="AS378" i="3"/>
  <c r="AS377" i="3"/>
  <c r="AS374" i="3"/>
  <c r="AS373" i="3"/>
  <c r="AS370" i="3"/>
  <c r="AS369" i="3"/>
  <c r="AS366" i="3"/>
  <c r="AS365" i="3"/>
  <c r="AS362" i="3"/>
  <c r="AS361" i="3"/>
  <c r="AS358" i="3"/>
  <c r="AS357" i="3"/>
  <c r="AS354" i="3"/>
  <c r="AS353" i="3"/>
  <c r="AS350" i="3"/>
  <c r="AS349" i="3"/>
  <c r="AS346" i="3"/>
  <c r="AS345" i="3"/>
  <c r="AS342" i="3"/>
  <c r="AS341" i="3"/>
  <c r="AS338" i="3"/>
  <c r="AS337" i="3"/>
  <c r="AS334" i="3"/>
  <c r="AS333" i="3"/>
  <c r="AS330" i="3"/>
  <c r="AS329" i="3"/>
  <c r="AS326" i="3"/>
  <c r="AS325" i="3"/>
  <c r="AS322" i="3"/>
  <c r="AS321" i="3"/>
  <c r="AS318" i="3"/>
  <c r="AS317" i="3"/>
  <c r="AS314" i="3"/>
  <c r="AS313" i="3"/>
  <c r="AS310" i="3"/>
  <c r="AS309" i="3"/>
  <c r="AS306" i="3"/>
  <c r="AS305" i="3"/>
  <c r="AS302" i="3"/>
  <c r="AS301" i="3"/>
  <c r="AS298" i="3"/>
  <c r="AS297" i="3"/>
  <c r="AS294" i="3"/>
  <c r="AS293" i="3"/>
  <c r="AS290" i="3"/>
  <c r="AS289" i="3"/>
  <c r="AS286" i="3"/>
  <c r="AS285" i="3"/>
  <c r="AS282" i="3"/>
  <c r="AS281" i="3"/>
  <c r="AS278" i="3"/>
  <c r="AS277" i="3"/>
  <c r="AS274" i="3"/>
  <c r="AS273" i="3"/>
  <c r="AD253" i="3"/>
  <c r="AD252" i="3"/>
  <c r="AD249" i="3"/>
  <c r="AD248" i="3"/>
  <c r="AD245" i="3"/>
  <c r="AD244" i="3"/>
  <c r="AD241" i="3"/>
  <c r="AD240" i="3"/>
  <c r="AD237" i="3"/>
  <c r="AD236" i="3"/>
  <c r="AD233" i="3"/>
  <c r="AD232" i="3"/>
  <c r="AD15" i="3"/>
  <c r="AD14" i="3"/>
  <c r="AD11" i="3"/>
  <c r="AD10" i="3"/>
  <c r="AD7" i="3"/>
  <c r="AD6" i="3"/>
  <c r="AD3" i="3"/>
  <c r="AP477" i="3"/>
  <c r="AP476" i="3"/>
  <c r="AP473" i="3"/>
  <c r="AP472" i="3"/>
  <c r="AP469" i="3"/>
  <c r="AP468" i="3"/>
  <c r="AP465" i="3"/>
  <c r="AP464" i="3"/>
  <c r="AP461" i="3"/>
  <c r="AP460" i="3"/>
  <c r="AP457" i="3"/>
  <c r="AP456" i="3"/>
  <c r="AP453" i="3"/>
  <c r="AP452" i="3"/>
  <c r="AP449" i="3"/>
  <c r="AP448" i="3"/>
  <c r="AP445" i="3"/>
  <c r="AP444" i="3"/>
  <c r="AP441" i="3"/>
  <c r="AP440" i="3"/>
  <c r="AP437" i="3"/>
  <c r="AP436" i="3"/>
  <c r="AP433" i="3"/>
  <c r="AP432" i="3"/>
  <c r="AP429" i="3"/>
  <c r="AP428" i="3"/>
  <c r="AP425" i="3"/>
  <c r="AP424" i="3"/>
  <c r="AP421" i="3"/>
  <c r="AP420" i="3"/>
  <c r="AP417" i="3"/>
  <c r="AP416" i="3"/>
  <c r="AP413" i="3"/>
  <c r="AP412" i="3"/>
  <c r="AP409" i="3"/>
  <c r="AP408" i="3"/>
  <c r="AP405" i="3"/>
  <c r="AP404" i="3"/>
  <c r="AM351" i="3"/>
  <c r="AM348" i="3"/>
  <c r="AM347" i="3"/>
  <c r="AM344" i="3"/>
  <c r="AM343" i="3"/>
  <c r="AM340" i="3"/>
  <c r="AM339" i="3"/>
  <c r="AM336" i="3"/>
  <c r="AM335" i="3"/>
  <c r="AM331" i="3"/>
  <c r="AM328" i="3"/>
  <c r="AM327" i="3"/>
  <c r="AM324" i="3"/>
  <c r="AM323" i="3"/>
  <c r="AM320" i="3"/>
  <c r="AM319" i="3"/>
  <c r="AM316" i="3"/>
  <c r="AM315" i="3"/>
  <c r="AM312" i="3"/>
  <c r="AM311" i="3"/>
  <c r="AM307" i="3"/>
  <c r="AM304" i="3"/>
  <c r="AM303" i="3"/>
  <c r="AM300" i="3"/>
  <c r="AM299" i="3"/>
  <c r="AM296" i="3"/>
  <c r="AM295" i="3"/>
  <c r="AM292" i="3"/>
  <c r="AM291" i="3"/>
  <c r="AM288" i="3"/>
  <c r="AM287" i="3"/>
  <c r="AM283" i="3"/>
  <c r="AM280" i="3"/>
  <c r="AM279" i="3"/>
  <c r="AM276" i="3"/>
  <c r="AM275" i="3"/>
  <c r="AM272" i="3"/>
  <c r="AM271" i="3"/>
  <c r="AM268" i="3"/>
  <c r="AM267" i="3"/>
  <c r="AM264" i="3"/>
  <c r="AM263" i="3"/>
  <c r="AM259" i="3"/>
  <c r="AM256" i="3"/>
  <c r="AM255" i="3"/>
  <c r="AM252" i="3"/>
  <c r="AM251" i="3"/>
  <c r="AM248" i="3"/>
  <c r="AM247" i="3"/>
  <c r="AM244" i="3"/>
  <c r="AM243" i="3"/>
  <c r="AM240" i="3"/>
  <c r="AM239" i="3"/>
  <c r="AM235" i="3"/>
  <c r="AM232" i="3"/>
  <c r="AM231" i="3"/>
  <c r="AM228" i="3"/>
  <c r="AM227" i="3"/>
  <c r="AM224" i="3"/>
  <c r="AM223" i="3"/>
  <c r="AM220" i="3"/>
  <c r="AM219" i="3"/>
  <c r="AM216" i="3"/>
  <c r="AM215" i="3"/>
  <c r="AM211" i="3"/>
  <c r="AM208" i="3"/>
  <c r="AM207" i="3"/>
  <c r="AM204" i="3"/>
  <c r="AM203" i="3"/>
  <c r="AM200" i="3"/>
  <c r="AM199" i="3"/>
  <c r="AM196" i="3"/>
  <c r="AM195" i="3"/>
  <c r="AM192" i="3"/>
  <c r="AM191" i="3"/>
  <c r="AM187" i="3"/>
  <c r="AM184" i="3"/>
  <c r="AM183" i="3"/>
  <c r="AM180" i="3"/>
  <c r="AM179" i="3"/>
  <c r="AM176" i="3"/>
  <c r="AM175" i="3"/>
  <c r="AM172" i="3"/>
  <c r="AM171" i="3"/>
  <c r="AM168" i="3"/>
  <c r="AM167" i="3"/>
  <c r="AM163" i="3"/>
  <c r="AM160" i="3"/>
  <c r="AM159" i="3"/>
  <c r="AM156" i="3"/>
  <c r="AM155" i="3"/>
  <c r="AM152" i="3"/>
  <c r="AM151" i="3"/>
  <c r="AM148" i="3"/>
  <c r="AM147" i="3"/>
  <c r="AM144" i="3"/>
  <c r="AM143" i="3"/>
  <c r="AM139" i="3"/>
  <c r="AM136" i="3"/>
  <c r="AM135" i="3"/>
  <c r="AM132" i="3"/>
  <c r="AM131" i="3"/>
  <c r="AM127" i="3"/>
  <c r="AM123" i="3"/>
  <c r="AM119" i="3"/>
  <c r="AM115" i="3"/>
  <c r="AM111" i="3"/>
  <c r="AM107" i="3"/>
  <c r="AM103" i="3"/>
  <c r="AM99" i="3"/>
  <c r="AM95" i="3"/>
  <c r="AM91" i="3"/>
  <c r="AM87" i="3"/>
  <c r="AM9" i="3"/>
  <c r="AM6" i="3"/>
  <c r="AM5" i="3"/>
  <c r="AJ355" i="3"/>
  <c r="AJ354" i="3"/>
  <c r="AJ351" i="3"/>
  <c r="AJ350" i="3"/>
  <c r="AJ347" i="3"/>
  <c r="AJ346" i="3"/>
  <c r="AJ343" i="3"/>
  <c r="AJ342" i="3"/>
  <c r="AJ339" i="3"/>
  <c r="AJ338" i="3"/>
  <c r="AJ335" i="3"/>
  <c r="AJ334" i="3"/>
  <c r="AJ331" i="3"/>
  <c r="AJ330" i="3"/>
  <c r="AJ327" i="3"/>
  <c r="AJ326" i="3"/>
  <c r="AJ323" i="3"/>
  <c r="AJ322" i="3"/>
  <c r="AJ319" i="3"/>
  <c r="AJ318" i="3"/>
  <c r="AJ315" i="3"/>
  <c r="AJ314" i="3"/>
  <c r="AJ311" i="3"/>
  <c r="AJ310" i="3"/>
  <c r="AJ307" i="3"/>
  <c r="AJ306" i="3"/>
  <c r="AJ303" i="3"/>
  <c r="AJ302" i="3"/>
  <c r="AJ299" i="3"/>
  <c r="AJ298" i="3"/>
  <c r="AJ295" i="3"/>
  <c r="AJ294" i="3"/>
  <c r="AJ291" i="3"/>
  <c r="AJ290" i="3"/>
  <c r="AJ287" i="3"/>
  <c r="AJ286" i="3"/>
  <c r="AJ283" i="3"/>
  <c r="AJ282" i="3"/>
  <c r="AJ279" i="3"/>
  <c r="AJ278" i="3"/>
  <c r="AJ275" i="3"/>
  <c r="AJ274" i="3"/>
  <c r="AS270" i="3"/>
  <c r="AS269" i="3"/>
  <c r="AS266" i="3"/>
  <c r="AS265" i="3"/>
  <c r="AS262" i="3"/>
  <c r="AS261" i="3"/>
  <c r="AS258" i="3"/>
  <c r="AS257" i="3"/>
  <c r="AS254" i="3"/>
  <c r="AS253" i="3"/>
  <c r="AS250" i="3"/>
  <c r="AS249" i="3"/>
  <c r="AS246" i="3"/>
  <c r="AS245" i="3"/>
  <c r="AS242" i="3"/>
  <c r="AS241" i="3"/>
  <c r="AS238" i="3"/>
  <c r="AS237" i="3"/>
  <c r="AS234" i="3"/>
  <c r="AS233" i="3"/>
  <c r="AS230" i="3"/>
  <c r="AS229" i="3"/>
  <c r="AS226" i="3"/>
  <c r="AS225" i="3"/>
  <c r="AS222" i="3"/>
  <c r="AS221" i="3"/>
  <c r="AS217" i="3"/>
  <c r="AS214" i="3"/>
  <c r="AS213" i="3"/>
  <c r="AS210" i="3"/>
  <c r="AS209" i="3"/>
  <c r="AS206" i="3"/>
  <c r="AS205" i="3"/>
  <c r="AS202" i="3"/>
  <c r="AS201" i="3"/>
  <c r="AS198" i="3"/>
  <c r="AS197" i="3"/>
  <c r="AS194" i="3"/>
  <c r="AS193" i="3"/>
  <c r="AS190" i="3"/>
  <c r="AS189" i="3"/>
  <c r="AS186" i="3"/>
  <c r="AS185" i="3"/>
  <c r="AS182" i="3"/>
  <c r="AS181" i="3"/>
  <c r="AS178" i="3"/>
  <c r="AS177" i="3"/>
  <c r="AS174" i="3"/>
  <c r="AS173" i="3"/>
  <c r="AS170" i="3"/>
  <c r="AS169" i="3"/>
  <c r="AS166" i="3"/>
  <c r="AS165" i="3"/>
  <c r="AS162" i="3"/>
  <c r="AS161" i="3"/>
  <c r="AS158" i="3"/>
  <c r="AS157" i="3"/>
  <c r="AS154" i="3"/>
  <c r="AS153" i="3"/>
  <c r="AS150" i="3"/>
  <c r="AS149" i="3"/>
  <c r="AS146" i="3"/>
  <c r="AS145" i="3"/>
  <c r="AS142" i="3"/>
  <c r="AS141" i="3"/>
  <c r="AS138" i="3"/>
  <c r="AS137" i="3"/>
  <c r="AS134" i="3"/>
  <c r="AS133" i="3"/>
  <c r="AS129" i="3"/>
  <c r="AS125" i="3"/>
  <c r="AS121" i="3"/>
  <c r="AS117" i="3"/>
  <c r="AS113" i="3"/>
  <c r="AS109" i="3"/>
  <c r="AS105" i="3"/>
  <c r="AS101" i="3"/>
  <c r="AS97" i="3"/>
  <c r="AS93" i="3"/>
  <c r="AS89" i="3"/>
  <c r="AS85" i="3"/>
  <c r="AS7" i="3"/>
  <c r="AS4" i="3"/>
  <c r="AS3" i="3"/>
  <c r="AJ271" i="3"/>
  <c r="AJ270" i="3"/>
  <c r="AJ267" i="3"/>
  <c r="AJ266" i="3"/>
  <c r="AJ263" i="3"/>
  <c r="AJ262" i="3"/>
  <c r="AJ259" i="3"/>
  <c r="AJ258" i="3"/>
  <c r="AJ255" i="3"/>
  <c r="AJ254" i="3"/>
  <c r="AJ251" i="3"/>
  <c r="AJ250" i="3"/>
  <c r="AJ247" i="3"/>
  <c r="AJ246" i="3"/>
  <c r="AJ243" i="3"/>
  <c r="AJ242" i="3"/>
  <c r="AJ239" i="3"/>
  <c r="AJ238" i="3"/>
  <c r="AJ235" i="3"/>
  <c r="AJ234" i="3"/>
  <c r="AJ231" i="3"/>
  <c r="AJ230" i="3"/>
  <c r="AJ227" i="3"/>
  <c r="AJ226" i="3"/>
  <c r="AJ223" i="3"/>
  <c r="AJ222" i="3"/>
  <c r="AJ219" i="3"/>
  <c r="AJ218" i="3"/>
  <c r="AJ215" i="3"/>
  <c r="AJ214" i="3"/>
  <c r="AJ211" i="3"/>
  <c r="AJ210" i="3"/>
  <c r="AJ207" i="3"/>
  <c r="AJ206" i="3"/>
  <c r="AJ203" i="3"/>
  <c r="AJ202" i="3"/>
  <c r="AJ199" i="3"/>
  <c r="AJ198" i="3"/>
  <c r="AJ195" i="3"/>
  <c r="AJ194" i="3"/>
  <c r="AJ191" i="3"/>
  <c r="AJ190" i="3"/>
  <c r="AJ187" i="3"/>
  <c r="AJ186" i="3"/>
  <c r="AJ183" i="3"/>
  <c r="AJ182" i="3"/>
  <c r="AJ179" i="3"/>
  <c r="AJ178" i="3"/>
  <c r="AJ175" i="3"/>
  <c r="AJ174" i="3"/>
  <c r="AJ171" i="3"/>
  <c r="AJ170" i="3"/>
  <c r="AJ167" i="3"/>
  <c r="AJ166" i="3"/>
  <c r="AJ163" i="3"/>
  <c r="AJ162" i="3"/>
  <c r="AJ159" i="3"/>
  <c r="AJ158" i="3"/>
  <c r="AJ155" i="3"/>
  <c r="AJ154" i="3"/>
  <c r="AJ151" i="3"/>
  <c r="AJ150" i="3"/>
  <c r="AJ147" i="3"/>
  <c r="AJ146" i="3"/>
  <c r="AJ143" i="3"/>
  <c r="AJ142" i="3"/>
  <c r="AJ139" i="3"/>
  <c r="AJ138" i="3"/>
  <c r="AJ135" i="3"/>
  <c r="AJ134" i="3"/>
  <c r="AJ130" i="3"/>
  <c r="AJ126" i="3"/>
  <c r="AJ122" i="3"/>
  <c r="AJ118" i="3"/>
  <c r="AJ114" i="3"/>
  <c r="AJ110" i="3"/>
  <c r="AJ106" i="3"/>
  <c r="AJ102" i="3"/>
  <c r="AJ98" i="3"/>
  <c r="AJ94" i="3"/>
  <c r="AP668" i="3"/>
  <c r="AP665" i="3"/>
  <c r="AP664" i="3"/>
  <c r="AP661" i="3"/>
  <c r="AP660" i="3"/>
  <c r="AP657" i="3"/>
  <c r="AP656" i="3"/>
  <c r="AP653" i="3"/>
  <c r="AP652" i="3"/>
  <c r="AP649" i="3"/>
  <c r="AP648" i="3"/>
  <c r="AP645" i="3"/>
  <c r="AP644" i="3"/>
  <c r="AP641" i="3"/>
  <c r="AP640" i="3"/>
  <c r="AP637" i="3"/>
  <c r="AP636" i="3"/>
  <c r="AP633" i="3"/>
  <c r="AP632" i="3"/>
  <c r="AP629" i="3"/>
  <c r="AP628" i="3"/>
  <c r="AP625" i="3"/>
  <c r="AP624" i="3"/>
  <c r="AP621" i="3"/>
  <c r="AP620" i="3"/>
  <c r="AP617" i="3"/>
  <c r="AP616" i="3"/>
  <c r="AP613" i="3"/>
  <c r="AP612" i="3"/>
  <c r="AP609" i="3"/>
  <c r="AP608" i="3"/>
  <c r="AP605" i="3"/>
  <c r="AP604" i="3"/>
  <c r="AP601" i="3"/>
  <c r="AP600" i="3"/>
  <c r="AP597" i="3"/>
  <c r="AP596" i="3"/>
  <c r="AP593" i="3"/>
  <c r="AP592" i="3"/>
  <c r="AP589" i="3"/>
  <c r="AP588" i="3"/>
  <c r="AP585" i="3"/>
  <c r="AP584" i="3"/>
  <c r="AP581" i="3"/>
  <c r="AP580" i="3"/>
  <c r="AP577" i="3"/>
  <c r="AP576" i="3"/>
  <c r="AP573" i="3"/>
  <c r="AP572" i="3"/>
  <c r="AP569" i="3"/>
  <c r="AP568" i="3"/>
  <c r="AP565" i="3"/>
  <c r="AP564" i="3"/>
  <c r="AP561" i="3"/>
  <c r="AP560" i="3"/>
  <c r="AP557" i="3"/>
  <c r="AP556" i="3"/>
  <c r="AP553" i="3"/>
  <c r="AP552" i="3"/>
  <c r="AP549" i="3"/>
  <c r="AP548" i="3"/>
  <c r="AP545" i="3"/>
  <c r="AP544" i="3"/>
  <c r="AP541" i="3"/>
  <c r="AP540" i="3"/>
  <c r="AP537" i="3"/>
  <c r="AP536" i="3"/>
  <c r="AP533" i="3"/>
  <c r="AP532" i="3"/>
  <c r="AP529" i="3"/>
  <c r="AP528" i="3"/>
  <c r="AP525" i="3"/>
  <c r="AP524" i="3"/>
  <c r="AP521" i="3"/>
  <c r="AG734" i="3"/>
  <c r="AG733" i="3"/>
  <c r="AG730" i="3"/>
  <c r="AG729" i="3"/>
  <c r="AG726" i="3"/>
  <c r="AG725" i="3"/>
  <c r="AG722" i="3"/>
  <c r="AG721" i="3"/>
  <c r="AG718" i="3"/>
  <c r="AG717" i="3"/>
  <c r="AG714" i="3"/>
  <c r="AG713" i="3"/>
  <c r="AG710" i="3"/>
  <c r="AG709" i="3"/>
  <c r="AG706" i="3"/>
  <c r="AG705" i="3"/>
  <c r="AG702" i="3"/>
  <c r="AG701" i="3"/>
  <c r="AG698" i="3"/>
  <c r="AG697" i="3"/>
  <c r="AG694" i="3"/>
  <c r="AG693" i="3"/>
  <c r="AG690" i="3"/>
  <c r="AG689" i="3"/>
  <c r="AG686" i="3"/>
  <c r="AG685" i="3"/>
  <c r="AG682" i="3"/>
  <c r="AG681" i="3"/>
  <c r="AG678" i="3"/>
  <c r="AG677" i="3"/>
  <c r="AG674" i="3"/>
  <c r="AG673" i="3"/>
  <c r="AG670" i="3"/>
  <c r="AG669" i="3"/>
  <c r="AG666" i="3"/>
  <c r="AG665" i="3"/>
  <c r="AG662" i="3"/>
  <c r="AG661" i="3"/>
  <c r="AG658" i="3"/>
  <c r="AG657" i="3"/>
  <c r="AG654" i="3"/>
  <c r="AG653" i="3"/>
  <c r="AG650" i="3"/>
  <c r="AG649" i="3"/>
  <c r="AG646" i="3"/>
  <c r="AG645" i="3"/>
  <c r="AG642" i="3"/>
  <c r="AG641" i="3"/>
  <c r="AG638" i="3"/>
  <c r="AG637" i="3"/>
  <c r="AG634" i="3"/>
  <c r="AG633" i="3"/>
  <c r="AG630" i="3"/>
  <c r="AG629" i="3"/>
  <c r="AG626" i="3"/>
  <c r="AG625" i="3"/>
  <c r="AG622" i="3"/>
  <c r="AG621" i="3"/>
  <c r="AG618" i="3"/>
  <c r="AG617" i="3"/>
  <c r="AG614" i="3"/>
  <c r="AG613" i="3"/>
  <c r="AG610" i="3"/>
  <c r="AG609" i="3"/>
  <c r="AG606" i="3"/>
  <c r="AG605" i="3"/>
  <c r="AG602" i="3"/>
  <c r="AG601" i="3"/>
  <c r="AG598" i="3"/>
  <c r="AG597" i="3"/>
  <c r="AG594" i="3"/>
  <c r="AG593" i="3"/>
  <c r="AG590" i="3"/>
  <c r="AG589" i="3"/>
  <c r="AG586" i="3"/>
  <c r="AG585" i="3"/>
  <c r="AG582" i="3"/>
  <c r="AG581" i="3"/>
  <c r="AG578" i="3"/>
  <c r="AG577" i="3"/>
  <c r="AG574" i="3"/>
  <c r="AG573" i="3"/>
  <c r="AG570" i="3"/>
  <c r="AG569" i="3"/>
  <c r="AG566" i="3"/>
  <c r="AG565" i="3"/>
  <c r="AG562" i="3"/>
  <c r="AG561" i="3"/>
  <c r="AG558" i="3"/>
  <c r="AG557" i="3"/>
  <c r="AG554" i="3"/>
  <c r="AG553" i="3"/>
  <c r="AG550" i="3"/>
  <c r="AG549" i="3"/>
  <c r="AG546" i="3"/>
  <c r="AG545" i="3"/>
  <c r="AG542" i="3"/>
  <c r="AG541" i="3"/>
  <c r="AG538" i="3"/>
  <c r="AG537" i="3"/>
  <c r="AG534" i="3"/>
  <c r="AG533" i="3"/>
  <c r="AG530" i="3"/>
  <c r="AG529" i="3"/>
  <c r="AG526" i="3"/>
  <c r="AG525" i="3"/>
  <c r="AG522" i="3"/>
  <c r="AG521" i="3"/>
  <c r="AG518" i="3"/>
  <c r="AG517" i="3"/>
  <c r="AG514" i="3"/>
  <c r="AG513" i="3"/>
  <c r="AG510" i="3"/>
  <c r="AG509" i="3"/>
  <c r="AG506" i="3"/>
  <c r="AG505" i="3"/>
  <c r="AG502" i="3"/>
  <c r="AG501" i="3"/>
  <c r="AG498" i="3"/>
  <c r="AG497" i="3"/>
  <c r="AG494" i="3"/>
  <c r="AG493" i="3"/>
  <c r="AG490" i="3"/>
  <c r="AG489" i="3"/>
  <c r="AG486" i="3"/>
  <c r="AG485" i="3"/>
  <c r="AG482" i="3"/>
  <c r="AG481" i="3"/>
  <c r="AG478" i="3"/>
  <c r="AG477" i="3"/>
  <c r="AG473" i="3"/>
  <c r="AG470" i="3"/>
  <c r="AG469" i="3"/>
  <c r="AG465" i="3"/>
  <c r="AG462" i="3"/>
  <c r="AG461" i="3"/>
  <c r="AG458" i="3"/>
  <c r="AG457" i="3"/>
  <c r="AG454" i="3"/>
  <c r="AG453" i="3"/>
  <c r="AG450" i="3"/>
  <c r="AG449" i="3"/>
  <c r="AG445" i="3"/>
  <c r="AG441" i="3"/>
  <c r="AG438" i="3"/>
  <c r="AG437" i="3"/>
  <c r="AG434" i="3"/>
  <c r="AG433" i="3"/>
  <c r="AG430" i="3"/>
  <c r="AG429" i="3"/>
  <c r="AG426" i="3"/>
  <c r="AG425" i="3"/>
  <c r="AG421" i="3"/>
  <c r="AG417" i="3"/>
  <c r="AG414" i="3"/>
  <c r="AG413" i="3"/>
  <c r="AG410" i="3"/>
  <c r="AG409" i="3"/>
  <c r="AG406" i="3"/>
  <c r="AG405" i="3"/>
  <c r="AG402" i="3"/>
  <c r="AG401" i="3"/>
  <c r="AG397" i="3"/>
  <c r="AG393" i="3"/>
  <c r="AG390" i="3"/>
  <c r="AG389" i="3"/>
  <c r="AD496" i="3"/>
  <c r="AD493" i="3"/>
  <c r="AD492" i="3"/>
  <c r="AD489" i="3"/>
  <c r="AD488" i="3"/>
  <c r="AD485" i="3"/>
  <c r="AD484" i="3"/>
  <c r="AD481" i="3"/>
  <c r="AD480" i="3"/>
  <c r="AP401" i="3"/>
  <c r="AP400" i="3"/>
  <c r="AP397" i="3"/>
  <c r="AP396" i="3"/>
  <c r="AP393" i="3"/>
  <c r="AP392" i="3"/>
  <c r="AP389" i="3"/>
  <c r="AP388" i="3"/>
  <c r="AP385" i="3"/>
  <c r="AP384" i="3"/>
  <c r="AP381" i="3"/>
  <c r="AP380" i="3"/>
  <c r="AP377" i="3"/>
  <c r="AP376" i="3"/>
  <c r="AP373" i="3"/>
  <c r="AP372" i="3"/>
  <c r="AP369" i="3"/>
  <c r="AP368" i="3"/>
  <c r="AP365" i="3"/>
  <c r="AP364" i="3"/>
  <c r="AP361" i="3"/>
  <c r="AP360" i="3"/>
  <c r="AP357" i="3"/>
  <c r="AP356" i="3"/>
  <c r="AP353" i="3"/>
  <c r="AP352" i="3"/>
  <c r="AP349" i="3"/>
  <c r="AP348" i="3"/>
  <c r="AP345" i="3"/>
  <c r="AP344" i="3"/>
  <c r="AP341" i="3"/>
  <c r="AP340" i="3"/>
  <c r="AP337" i="3"/>
  <c r="AP336" i="3"/>
  <c r="AP333" i="3"/>
  <c r="AP332" i="3"/>
  <c r="AP329" i="3"/>
  <c r="AP328" i="3"/>
  <c r="AP325" i="3"/>
  <c r="AP324" i="3"/>
  <c r="AP321" i="3"/>
  <c r="AP320" i="3"/>
  <c r="AP317" i="3"/>
  <c r="AP316" i="3"/>
  <c r="AP313" i="3"/>
  <c r="AP312" i="3"/>
  <c r="AP309" i="3"/>
  <c r="AP308" i="3"/>
  <c r="AP305" i="3"/>
  <c r="AP304" i="3"/>
  <c r="AP301" i="3"/>
  <c r="AP300" i="3"/>
  <c r="AP297" i="3"/>
  <c r="AP296" i="3"/>
  <c r="AP293" i="3"/>
  <c r="AP292" i="3"/>
  <c r="AP289" i="3"/>
  <c r="AP288" i="3"/>
  <c r="AP285" i="3"/>
  <c r="AP284" i="3"/>
  <c r="AP281" i="3"/>
  <c r="AP280" i="3"/>
  <c r="AP277" i="3"/>
  <c r="AG386" i="3"/>
  <c r="AG385" i="3"/>
  <c r="AG382" i="3"/>
  <c r="AG381" i="3"/>
  <c r="AG378" i="3"/>
  <c r="AG377" i="3"/>
  <c r="AG373" i="3"/>
  <c r="AG369" i="3"/>
  <c r="AG366" i="3"/>
  <c r="AG365" i="3"/>
  <c r="AG362" i="3"/>
  <c r="AG361" i="3"/>
  <c r="AG358" i="3"/>
  <c r="AG357" i="3"/>
  <c r="AG354" i="3"/>
  <c r="AG353" i="3"/>
  <c r="AG349" i="3"/>
  <c r="AG345" i="3"/>
  <c r="AG342" i="3"/>
  <c r="AG341" i="3"/>
  <c r="AG338" i="3"/>
  <c r="AG337" i="3"/>
  <c r="AG334" i="3"/>
  <c r="AG333" i="3"/>
  <c r="AG330" i="3"/>
  <c r="AG329" i="3"/>
  <c r="AG326" i="3"/>
  <c r="AG325" i="3"/>
  <c r="AG322" i="3"/>
  <c r="AG321" i="3"/>
  <c r="AG318" i="3"/>
  <c r="AG317" i="3"/>
  <c r="AG314" i="3"/>
  <c r="AG313" i="3"/>
  <c r="AG310" i="3"/>
  <c r="AG309" i="3"/>
  <c r="AG306" i="3"/>
  <c r="AG305" i="3"/>
  <c r="AG302" i="3"/>
  <c r="AG301" i="3"/>
  <c r="AG298" i="3"/>
  <c r="AG297" i="3"/>
  <c r="AG294" i="3"/>
  <c r="AG293" i="3"/>
  <c r="AG290" i="3"/>
  <c r="AG289" i="3"/>
  <c r="AG286" i="3"/>
  <c r="AG285" i="3"/>
  <c r="AG282" i="3"/>
  <c r="AG281" i="3"/>
  <c r="AG278" i="3"/>
  <c r="AG277" i="3"/>
  <c r="AG274" i="3"/>
  <c r="AG273" i="3"/>
  <c r="AG270" i="3"/>
  <c r="AG269" i="3"/>
  <c r="AG266" i="3"/>
  <c r="AG265" i="3"/>
  <c r="AG262" i="3"/>
  <c r="AG261" i="3"/>
  <c r="AG258" i="3"/>
  <c r="AG257" i="3"/>
  <c r="AG254" i="3"/>
  <c r="AG253" i="3"/>
  <c r="AG250" i="3"/>
  <c r="AG249" i="3"/>
  <c r="AG246" i="3"/>
  <c r="AG245" i="3"/>
  <c r="AG242" i="3"/>
  <c r="AG241" i="3"/>
  <c r="AG238" i="3"/>
  <c r="AG237" i="3"/>
  <c r="AG234" i="3"/>
  <c r="AG233" i="3"/>
  <c r="AG230" i="3"/>
  <c r="AG229" i="3"/>
  <c r="AG226" i="3"/>
  <c r="AG225" i="3"/>
  <c r="AG222" i="3"/>
  <c r="AG221" i="3"/>
  <c r="AG218" i="3"/>
  <c r="AG217" i="3"/>
  <c r="AG214" i="3"/>
  <c r="AG213" i="3"/>
  <c r="AG210" i="3"/>
  <c r="AD477" i="3"/>
  <c r="AD476" i="3"/>
  <c r="AD473" i="3"/>
  <c r="AD472" i="3"/>
  <c r="AD469" i="3"/>
  <c r="AD468" i="3"/>
  <c r="AD465" i="3"/>
  <c r="AD464" i="3"/>
  <c r="AD461" i="3"/>
  <c r="AD460" i="3"/>
  <c r="AD457" i="3"/>
  <c r="AD456" i="3"/>
  <c r="AD453" i="3"/>
  <c r="AD452" i="3"/>
  <c r="AD449" i="3"/>
  <c r="AD448" i="3"/>
  <c r="AD445" i="3"/>
  <c r="AD444" i="3"/>
  <c r="AD441" i="3"/>
  <c r="AD440" i="3"/>
  <c r="AD437" i="3"/>
  <c r="AD436" i="3"/>
  <c r="AD433" i="3"/>
  <c r="AD432" i="3"/>
  <c r="AD429" i="3"/>
  <c r="AD428" i="3"/>
  <c r="AD425" i="3"/>
  <c r="AD424" i="3"/>
  <c r="AD421" i="3"/>
  <c r="AD420" i="3"/>
  <c r="AD417" i="3"/>
  <c r="AD416" i="3"/>
  <c r="AD413" i="3"/>
  <c r="AD412" i="3"/>
  <c r="AD409" i="3"/>
  <c r="AD408" i="3"/>
  <c r="AD405" i="3"/>
  <c r="AD404" i="3"/>
  <c r="AD401" i="3"/>
  <c r="AD400" i="3"/>
  <c r="AD397" i="3"/>
  <c r="AD396" i="3"/>
  <c r="AD393" i="3"/>
  <c r="AD392" i="3"/>
  <c r="AD389" i="3"/>
  <c r="AD388" i="3"/>
  <c r="AD385" i="3"/>
  <c r="AD384" i="3"/>
  <c r="AD381" i="3"/>
  <c r="AD380" i="3"/>
  <c r="AD377" i="3"/>
  <c r="AD376" i="3"/>
  <c r="AD373" i="3"/>
  <c r="AD372" i="3"/>
  <c r="AD369" i="3"/>
  <c r="AD368" i="3"/>
  <c r="AD365" i="3"/>
  <c r="AD364" i="3"/>
  <c r="AD361" i="3"/>
  <c r="AD360" i="3"/>
  <c r="AD357" i="3"/>
  <c r="AD356" i="3"/>
  <c r="AD353" i="3"/>
  <c r="AD352" i="3"/>
  <c r="AP276" i="3"/>
  <c r="AP273" i="3"/>
  <c r="AP272" i="3"/>
  <c r="AP269" i="3"/>
  <c r="AP268" i="3"/>
  <c r="AP265" i="3"/>
  <c r="AP264" i="3"/>
  <c r="AP261" i="3"/>
  <c r="AP260" i="3"/>
  <c r="AP257" i="3"/>
  <c r="AP256" i="3"/>
  <c r="AP253" i="3"/>
  <c r="AP252" i="3"/>
  <c r="AP249" i="3"/>
  <c r="AP248" i="3"/>
  <c r="AP245" i="3"/>
  <c r="AP244" i="3"/>
  <c r="AP241" i="3"/>
  <c r="AP240" i="3"/>
  <c r="AP237" i="3"/>
  <c r="AP236" i="3"/>
  <c r="AP233" i="3"/>
  <c r="AP232" i="3"/>
  <c r="AP229" i="3"/>
  <c r="AP228" i="3"/>
  <c r="AP225" i="3"/>
  <c r="AP224" i="3"/>
  <c r="AP221" i="3"/>
  <c r="AP220" i="3"/>
  <c r="AP217" i="3"/>
  <c r="AP216" i="3"/>
  <c r="AP213" i="3"/>
  <c r="AP212" i="3"/>
  <c r="AP209" i="3"/>
  <c r="AP208" i="3"/>
  <c r="AP205" i="3"/>
  <c r="AP204" i="3"/>
  <c r="AP201" i="3"/>
  <c r="AP200" i="3"/>
  <c r="AP197" i="3"/>
  <c r="AP196" i="3"/>
  <c r="AP193" i="3"/>
  <c r="AP192" i="3"/>
  <c r="AP189" i="3"/>
  <c r="AP188" i="3"/>
  <c r="AP185" i="3"/>
  <c r="AP184" i="3"/>
  <c r="AP181" i="3"/>
  <c r="AP180" i="3"/>
  <c r="AP177" i="3"/>
  <c r="AP176" i="3"/>
  <c r="AP173" i="3"/>
  <c r="AP172" i="3"/>
  <c r="AP169" i="3"/>
  <c r="AP168" i="3"/>
  <c r="AP165" i="3"/>
  <c r="AP164" i="3"/>
  <c r="AP161" i="3"/>
  <c r="AP160" i="3"/>
  <c r="AP157" i="3"/>
  <c r="AP156" i="3"/>
  <c r="AP153" i="3"/>
  <c r="AP152" i="3"/>
  <c r="AP149" i="3"/>
  <c r="AP148" i="3"/>
  <c r="AP145" i="3"/>
  <c r="AP144" i="3"/>
  <c r="AP141" i="3"/>
  <c r="AP140" i="3"/>
  <c r="AP137" i="3"/>
  <c r="AP136" i="3"/>
  <c r="AP133" i="3"/>
  <c r="AP132" i="3"/>
  <c r="AP128" i="3"/>
  <c r="AP124" i="3"/>
  <c r="AP120" i="3"/>
  <c r="AP116" i="3"/>
  <c r="AP112" i="3"/>
  <c r="AP108" i="3"/>
  <c r="AP104" i="3"/>
  <c r="AP100" i="3"/>
  <c r="AP96" i="3"/>
  <c r="AP92" i="3"/>
  <c r="AP88" i="3"/>
  <c r="AP3" i="3"/>
  <c r="AJ90" i="3"/>
  <c r="AJ86" i="3"/>
  <c r="AJ13" i="3"/>
  <c r="AJ12" i="3"/>
  <c r="AJ9" i="3"/>
  <c r="AJ8" i="3"/>
  <c r="AJ5" i="3"/>
  <c r="AJ4" i="3"/>
  <c r="AG4" i="3"/>
  <c r="AG3" i="3"/>
  <c r="AG446" i="3"/>
  <c r="AG442" i="3"/>
  <c r="AG422" i="3"/>
  <c r="AG418" i="3"/>
  <c r="AG398" i="3"/>
  <c r="AG374" i="3"/>
  <c r="AG370" i="3"/>
  <c r="AG350" i="3"/>
  <c r="AG346" i="3"/>
  <c r="AM332" i="3"/>
  <c r="AM308" i="3"/>
  <c r="AM284" i="3"/>
  <c r="AM260" i="3"/>
  <c r="AM236" i="3"/>
  <c r="AM212" i="3"/>
  <c r="AM188" i="3"/>
  <c r="AM164" i="3"/>
  <c r="AM140" i="3"/>
  <c r="AG394" i="3"/>
  <c r="AM745" i="3"/>
  <c r="AA745" i="3"/>
  <c r="AJ744" i="3"/>
  <c r="AG743" i="3"/>
  <c r="AP742" i="3"/>
  <c r="AD742" i="3"/>
  <c r="AM741" i="3"/>
  <c r="AA741" i="3"/>
  <c r="AJ740" i="3"/>
  <c r="AG739" i="3"/>
  <c r="AP738" i="3"/>
  <c r="AD738" i="3"/>
  <c r="AM737" i="3"/>
  <c r="AA737" i="3"/>
  <c r="AJ736" i="3"/>
  <c r="AG735" i="3"/>
  <c r="AP734" i="3"/>
  <c r="AD734" i="3"/>
  <c r="AM733" i="3"/>
  <c r="AA733" i="3"/>
  <c r="AJ732" i="3"/>
  <c r="AG731" i="3"/>
  <c r="AP730" i="3"/>
  <c r="AD730" i="3"/>
  <c r="AM729" i="3"/>
  <c r="AA729" i="3"/>
  <c r="AJ728" i="3"/>
  <c r="AG727" i="3"/>
  <c r="AP726" i="3"/>
  <c r="AD726" i="3"/>
  <c r="AM725" i="3"/>
  <c r="AA725" i="3"/>
  <c r="AJ724" i="3"/>
  <c r="AG723" i="3"/>
  <c r="AP722" i="3"/>
  <c r="AD722" i="3"/>
  <c r="AM721" i="3"/>
  <c r="AA721" i="3"/>
  <c r="AJ720" i="3"/>
  <c r="AS719" i="3"/>
  <c r="AG719" i="3"/>
  <c r="AP718" i="3"/>
  <c r="AD718" i="3"/>
  <c r="AM717" i="3"/>
  <c r="AA717" i="3"/>
  <c r="AJ716" i="3"/>
  <c r="AS715" i="3"/>
  <c r="AG715" i="3"/>
  <c r="AP714" i="3"/>
  <c r="AD714" i="3"/>
  <c r="AM713" i="3"/>
  <c r="AA713" i="3"/>
  <c r="AJ712" i="3"/>
  <c r="AS711" i="3"/>
  <c r="AG711" i="3"/>
  <c r="AP710" i="3"/>
  <c r="AD710" i="3"/>
  <c r="AM709" i="3"/>
  <c r="AA709" i="3"/>
  <c r="AJ708" i="3"/>
  <c r="AS707" i="3"/>
  <c r="AG707" i="3"/>
  <c r="AP706" i="3"/>
  <c r="AD706" i="3"/>
  <c r="AM705" i="3"/>
  <c r="AA705" i="3"/>
  <c r="AJ704" i="3"/>
  <c r="AS703" i="3"/>
  <c r="AG703" i="3"/>
  <c r="AP702" i="3"/>
  <c r="AD702" i="3"/>
  <c r="AM701" i="3"/>
  <c r="AA701" i="3"/>
  <c r="AJ700" i="3"/>
  <c r="AS699" i="3"/>
  <c r="AG699" i="3"/>
  <c r="AP698" i="3"/>
  <c r="AD698" i="3"/>
  <c r="AM697" i="3"/>
  <c r="AA697" i="3"/>
  <c r="AJ696" i="3"/>
  <c r="AS695" i="3"/>
  <c r="AG695" i="3"/>
  <c r="AP694" i="3"/>
  <c r="AD694" i="3"/>
  <c r="AM693" i="3"/>
  <c r="AA693" i="3"/>
  <c r="AJ692" i="3"/>
  <c r="AS691" i="3"/>
  <c r="AG691" i="3"/>
  <c r="AP690" i="3"/>
  <c r="AD690" i="3"/>
  <c r="AM689" i="3"/>
  <c r="AA689" i="3"/>
  <c r="AJ688" i="3"/>
  <c r="AS687" i="3"/>
  <c r="AG687" i="3"/>
  <c r="AP686" i="3"/>
  <c r="AD686" i="3"/>
  <c r="AM685" i="3"/>
  <c r="AA685" i="3"/>
  <c r="AJ684" i="3"/>
  <c r="AS683" i="3"/>
  <c r="AG683" i="3"/>
  <c r="AP682" i="3"/>
  <c r="AD682" i="3"/>
  <c r="AM681" i="3"/>
  <c r="AA681" i="3"/>
  <c r="AJ680" i="3"/>
  <c r="AS679" i="3"/>
  <c r="AG679" i="3"/>
  <c r="AP678" i="3"/>
  <c r="AD678" i="3"/>
  <c r="AM677" i="3"/>
  <c r="AA677" i="3"/>
  <c r="AJ676" i="3"/>
  <c r="AS675" i="3"/>
  <c r="AG675" i="3"/>
  <c r="AP674" i="3"/>
  <c r="AD674" i="3"/>
  <c r="AM673" i="3"/>
  <c r="AA673" i="3"/>
  <c r="AJ672" i="3"/>
  <c r="AS671" i="3"/>
  <c r="AG671" i="3"/>
  <c r="AP670" i="3"/>
  <c r="AD670" i="3"/>
  <c r="AM669" i="3"/>
  <c r="AJ668" i="3"/>
  <c r="AS667" i="3"/>
  <c r="AG667" i="3"/>
  <c r="AP666" i="3"/>
  <c r="AD666" i="3"/>
  <c r="AM665" i="3"/>
  <c r="AJ664" i="3"/>
  <c r="AS663" i="3"/>
  <c r="AG663" i="3"/>
  <c r="AP662" i="3"/>
  <c r="AD662" i="3"/>
  <c r="AM661" i="3"/>
  <c r="AJ660" i="3"/>
  <c r="AS659" i="3"/>
  <c r="AG659" i="3"/>
  <c r="AP658" i="3"/>
  <c r="AD658" i="3"/>
  <c r="AM657" i="3"/>
  <c r="AJ656" i="3"/>
  <c r="AS655" i="3"/>
  <c r="AG655" i="3"/>
  <c r="AP654" i="3"/>
  <c r="AD654" i="3"/>
  <c r="AM653" i="3"/>
  <c r="AA653" i="3"/>
  <c r="AJ652" i="3"/>
  <c r="AS651" i="3"/>
  <c r="AG651" i="3"/>
  <c r="AP650" i="3"/>
  <c r="AD650" i="3"/>
  <c r="AM649" i="3"/>
  <c r="AA649" i="3"/>
  <c r="AJ648" i="3"/>
  <c r="AS647" i="3"/>
  <c r="AG647" i="3"/>
  <c r="AP646" i="3"/>
  <c r="AD646" i="3"/>
  <c r="AM645" i="3"/>
  <c r="AJ644" i="3"/>
  <c r="AS643" i="3"/>
  <c r="AG643" i="3"/>
  <c r="AP642" i="3"/>
  <c r="AD642" i="3"/>
  <c r="AM641" i="3"/>
  <c r="AJ640" i="3"/>
  <c r="AS639" i="3"/>
  <c r="AG639" i="3"/>
  <c r="AP638" i="3"/>
  <c r="AD638" i="3"/>
  <c r="AM637" i="3"/>
  <c r="AJ636" i="3"/>
  <c r="AS635" i="3"/>
  <c r="AG635" i="3"/>
  <c r="AP634" i="3"/>
  <c r="AD634" i="3"/>
  <c r="AM633" i="3"/>
  <c r="AJ632" i="3"/>
  <c r="AS631" i="3"/>
  <c r="AG631" i="3"/>
  <c r="AP630" i="3"/>
  <c r="AD630" i="3"/>
  <c r="AM629" i="3"/>
  <c r="AA629" i="3"/>
  <c r="AJ628" i="3"/>
  <c r="AS627" i="3"/>
  <c r="AG627" i="3"/>
  <c r="AP626" i="3"/>
  <c r="AD626" i="3"/>
  <c r="AM625" i="3"/>
  <c r="AA625" i="3"/>
  <c r="AJ624" i="3"/>
  <c r="AS623" i="3"/>
  <c r="AG623" i="3"/>
  <c r="AP622" i="3"/>
  <c r="AD622" i="3"/>
  <c r="AM621" i="3"/>
  <c r="AJ620" i="3"/>
  <c r="AS619" i="3"/>
  <c r="AG619" i="3"/>
  <c r="AP618" i="3"/>
  <c r="AD618" i="3"/>
  <c r="AM617" i="3"/>
  <c r="AJ616" i="3"/>
  <c r="AS615" i="3"/>
  <c r="AG615" i="3"/>
  <c r="AP614" i="3"/>
  <c r="AD614" i="3"/>
  <c r="AM613" i="3"/>
  <c r="AJ612" i="3"/>
  <c r="AS611" i="3"/>
  <c r="AG611" i="3"/>
  <c r="AP610" i="3"/>
  <c r="AD610" i="3"/>
  <c r="AM609" i="3"/>
  <c r="AJ608" i="3"/>
  <c r="AA132" i="3"/>
  <c r="AJ131" i="3"/>
  <c r="AS130" i="3"/>
  <c r="AG130" i="3"/>
  <c r="AP129" i="3"/>
  <c r="AD129" i="3"/>
  <c r="AM128" i="3"/>
  <c r="AA128" i="3"/>
  <c r="AJ127" i="3"/>
  <c r="AS126" i="3"/>
  <c r="AG126" i="3"/>
  <c r="AP125" i="3"/>
  <c r="AD125" i="3"/>
  <c r="AM124" i="3"/>
  <c r="AA124" i="3"/>
  <c r="AJ123" i="3"/>
  <c r="AS607" i="3"/>
  <c r="AG607" i="3"/>
  <c r="AP606" i="3"/>
  <c r="AD606" i="3"/>
  <c r="AM605" i="3"/>
  <c r="AA605" i="3"/>
  <c r="AJ604" i="3"/>
  <c r="AS603" i="3"/>
  <c r="AG603" i="3"/>
  <c r="AP602" i="3"/>
  <c r="AD602" i="3"/>
  <c r="AM601" i="3"/>
  <c r="AA601" i="3"/>
  <c r="AJ600" i="3"/>
  <c r="AS599" i="3"/>
  <c r="AG599" i="3"/>
  <c r="AP598" i="3"/>
  <c r="AD598" i="3"/>
  <c r="AM597" i="3"/>
  <c r="AJ596" i="3"/>
  <c r="AS595" i="3"/>
  <c r="AG595" i="3"/>
  <c r="AP594" i="3"/>
  <c r="AD594" i="3"/>
  <c r="AM593" i="3"/>
  <c r="AJ592" i="3"/>
  <c r="AG591" i="3"/>
  <c r="AP590" i="3"/>
  <c r="AD590" i="3"/>
  <c r="AM589" i="3"/>
  <c r="AJ588" i="3"/>
  <c r="AS587" i="3"/>
  <c r="AG587" i="3"/>
  <c r="AP586" i="3"/>
  <c r="AD586" i="3"/>
  <c r="AM585" i="3"/>
  <c r="AJ584" i="3"/>
  <c r="AS583" i="3"/>
  <c r="AG583" i="3"/>
  <c r="AP582" i="3"/>
  <c r="AD582" i="3"/>
  <c r="AM581" i="3"/>
  <c r="AA581" i="3"/>
  <c r="AJ580" i="3"/>
  <c r="AS579" i="3"/>
  <c r="AG579" i="3"/>
  <c r="AP578" i="3"/>
  <c r="AD578" i="3"/>
  <c r="AM577" i="3"/>
  <c r="AA577" i="3"/>
  <c r="AS575" i="3"/>
  <c r="AG575" i="3"/>
  <c r="AP574" i="3"/>
  <c r="AD574" i="3"/>
  <c r="AM573" i="3"/>
  <c r="AS571" i="3"/>
  <c r="AG571" i="3"/>
  <c r="AP570" i="3"/>
  <c r="AD570" i="3"/>
  <c r="AM569" i="3"/>
  <c r="AG567" i="3"/>
  <c r="AP566" i="3"/>
  <c r="AD566" i="3"/>
  <c r="AM565" i="3"/>
  <c r="AS563" i="3"/>
  <c r="AG563" i="3"/>
  <c r="AP562" i="3"/>
  <c r="AD562" i="3"/>
  <c r="AM561" i="3"/>
  <c r="AS559" i="3"/>
  <c r="AG559" i="3"/>
  <c r="AP558" i="3"/>
  <c r="AD558" i="3"/>
  <c r="AM557" i="3"/>
  <c r="AA557" i="3"/>
  <c r="AJ556" i="3"/>
  <c r="AS555" i="3"/>
  <c r="AG555" i="3"/>
  <c r="AP554" i="3"/>
  <c r="AD554" i="3"/>
  <c r="AM553" i="3"/>
  <c r="AA553" i="3"/>
  <c r="AS551" i="3"/>
  <c r="AG551" i="3"/>
  <c r="AP550" i="3"/>
  <c r="AD550" i="3"/>
  <c r="AM549" i="3"/>
  <c r="AS547" i="3"/>
  <c r="AG547" i="3"/>
  <c r="AP546" i="3"/>
  <c r="AD546" i="3"/>
  <c r="AM545" i="3"/>
  <c r="AG543" i="3"/>
  <c r="AP542" i="3"/>
  <c r="AD542" i="3"/>
  <c r="AM541" i="3"/>
  <c r="AS539" i="3"/>
  <c r="AG539" i="3"/>
  <c r="AP538" i="3"/>
  <c r="AD538" i="3"/>
  <c r="AM537" i="3"/>
  <c r="AS535" i="3"/>
  <c r="AG535" i="3"/>
  <c r="AP534" i="3"/>
  <c r="AD534" i="3"/>
  <c r="AM533" i="3"/>
  <c r="AA533" i="3"/>
  <c r="AJ532" i="3"/>
  <c r="AS531" i="3"/>
  <c r="AG531" i="3"/>
  <c r="AP530" i="3"/>
  <c r="AD530" i="3"/>
  <c r="AM529" i="3"/>
  <c r="AA529" i="3"/>
  <c r="AS527" i="3"/>
  <c r="AP526" i="3"/>
  <c r="AD526" i="3"/>
  <c r="AM525" i="3"/>
  <c r="AS523" i="3"/>
  <c r="AP522" i="3"/>
  <c r="AD522" i="3"/>
  <c r="AM521" i="3"/>
  <c r="AP518" i="3"/>
  <c r="AD518" i="3"/>
  <c r="AM517" i="3"/>
  <c r="AS515" i="3"/>
  <c r="AP514" i="3"/>
  <c r="AD514" i="3"/>
  <c r="AM513" i="3"/>
  <c r="AS511" i="3"/>
  <c r="AG511" i="3"/>
  <c r="AP510" i="3"/>
  <c r="AD510" i="3"/>
  <c r="AM509" i="3"/>
  <c r="AA509" i="3"/>
  <c r="AJ508" i="3"/>
  <c r="AS507" i="3"/>
  <c r="AG507" i="3"/>
  <c r="AP506" i="3"/>
  <c r="AD506" i="3"/>
  <c r="AM505" i="3"/>
  <c r="AA505" i="3"/>
  <c r="AS503" i="3"/>
  <c r="AP502" i="3"/>
  <c r="AD502" i="3"/>
  <c r="AM501" i="3"/>
  <c r="AS499" i="3"/>
  <c r="AP498" i="3"/>
  <c r="AD498" i="3"/>
  <c r="AM497" i="3"/>
  <c r="AP494" i="3"/>
  <c r="AD494" i="3"/>
  <c r="AM493" i="3"/>
  <c r="AS491" i="3"/>
  <c r="AP490" i="3"/>
  <c r="AD490" i="3"/>
  <c r="AM489" i="3"/>
  <c r="AS487" i="3"/>
  <c r="AG487" i="3"/>
  <c r="AP486" i="3"/>
  <c r="AD486" i="3"/>
  <c r="AM485" i="3"/>
  <c r="AA485" i="3"/>
  <c r="AJ484" i="3"/>
  <c r="AS483" i="3"/>
  <c r="AG483" i="3"/>
  <c r="AP482" i="3"/>
  <c r="AD482" i="3"/>
  <c r="AM481" i="3"/>
  <c r="AA481" i="3"/>
  <c r="AS122" i="3"/>
  <c r="AG122" i="3"/>
  <c r="AP121" i="3"/>
  <c r="AD121" i="3"/>
  <c r="AM120" i="3"/>
  <c r="AA120" i="3"/>
  <c r="AJ119" i="3"/>
  <c r="AS118" i="3"/>
  <c r="AG118" i="3"/>
  <c r="AP117" i="3"/>
  <c r="AD117" i="3"/>
  <c r="AM116" i="3"/>
  <c r="AA116" i="3"/>
  <c r="AJ115" i="3"/>
  <c r="AS114" i="3"/>
  <c r="AG114" i="3"/>
  <c r="AP113" i="3"/>
  <c r="AD113" i="3"/>
  <c r="AM112" i="3"/>
  <c r="AA112" i="3"/>
  <c r="AJ111" i="3"/>
  <c r="AS110" i="3"/>
  <c r="AG110" i="3"/>
  <c r="AP109" i="3"/>
  <c r="AD109" i="3"/>
  <c r="AM108" i="3"/>
  <c r="AA108" i="3"/>
  <c r="AJ107" i="3"/>
  <c r="AS106" i="3"/>
  <c r="AG106" i="3"/>
  <c r="AP105" i="3"/>
  <c r="AD105" i="3"/>
  <c r="AM104" i="3"/>
  <c r="AA104" i="3"/>
  <c r="AJ103" i="3"/>
  <c r="AS102" i="3"/>
  <c r="AG102" i="3"/>
  <c r="AP101" i="3"/>
  <c r="AD101" i="3"/>
  <c r="AM100" i="3"/>
  <c r="AA100" i="3"/>
  <c r="AJ99" i="3"/>
  <c r="AS98" i="3"/>
  <c r="AG98" i="3"/>
  <c r="AP97" i="3"/>
  <c r="AD97" i="3"/>
  <c r="AM96" i="3"/>
  <c r="AA96" i="3"/>
  <c r="AJ95" i="3"/>
  <c r="AS94" i="3"/>
  <c r="AG94" i="3"/>
  <c r="AP93" i="3"/>
  <c r="AD93" i="3"/>
  <c r="AA80" i="3"/>
  <c r="AJ79" i="3"/>
  <c r="AS78" i="3"/>
  <c r="AG78" i="3"/>
  <c r="AP77" i="3"/>
  <c r="AD77" i="3"/>
  <c r="AM76" i="3"/>
  <c r="AA76" i="3"/>
  <c r="AJ75" i="3"/>
  <c r="AS74" i="3"/>
  <c r="AG74" i="3"/>
  <c r="AP73" i="3"/>
  <c r="AD73" i="3"/>
  <c r="AM72" i="3"/>
  <c r="AA72" i="3"/>
  <c r="AJ71" i="3"/>
  <c r="AS70" i="3"/>
  <c r="AD13" i="3"/>
  <c r="AJ11" i="3"/>
  <c r="AD9" i="3"/>
  <c r="AM8" i="3"/>
  <c r="AJ7" i="3"/>
  <c r="AS6" i="3"/>
  <c r="AG6" i="3"/>
  <c r="AP5" i="3"/>
  <c r="AD5" i="3"/>
  <c r="AM4" i="3"/>
  <c r="AJ3" i="3"/>
  <c r="AP84" i="3"/>
  <c r="AD84" i="3"/>
  <c r="AM83" i="3"/>
  <c r="AJ82" i="3"/>
  <c r="AS81" i="3"/>
  <c r="AG81" i="3"/>
  <c r="AP80" i="3"/>
  <c r="AD80" i="3"/>
  <c r="AM79" i="3"/>
  <c r="AJ78" i="3"/>
  <c r="AS77" i="3"/>
  <c r="AG77" i="3"/>
  <c r="AP76" i="3"/>
  <c r="AD76" i="3"/>
  <c r="AM75" i="3"/>
  <c r="AJ74" i="3"/>
  <c r="AS73" i="3"/>
  <c r="AG73" i="3"/>
  <c r="AP72" i="3"/>
  <c r="AD72" i="3"/>
  <c r="AM71" i="3"/>
  <c r="AJ70" i="3"/>
  <c r="AS69" i="3"/>
  <c r="AG69" i="3"/>
  <c r="AP68" i="3"/>
  <c r="AD68" i="3"/>
  <c r="AM67" i="3"/>
  <c r="AJ66" i="3"/>
  <c r="AS65" i="3"/>
  <c r="AG65" i="3"/>
  <c r="AP64" i="3"/>
  <c r="AD64" i="3"/>
  <c r="AM63" i="3"/>
  <c r="AJ62" i="3"/>
  <c r="AS61" i="3"/>
  <c r="AG61" i="3"/>
  <c r="AP60" i="3"/>
  <c r="AD60" i="3"/>
  <c r="AM59" i="3"/>
  <c r="AJ58" i="3"/>
  <c r="AS57" i="3"/>
  <c r="AG57" i="3"/>
  <c r="AP56" i="3"/>
  <c r="AD56" i="3"/>
  <c r="AM55" i="3"/>
  <c r="AJ54" i="3"/>
  <c r="AS53" i="3"/>
  <c r="AG53" i="3"/>
  <c r="AP52" i="3"/>
  <c r="AD52" i="3"/>
  <c r="AM51" i="3"/>
  <c r="AJ50" i="3"/>
  <c r="AS49" i="3"/>
  <c r="AG49" i="3"/>
  <c r="AP48" i="3"/>
  <c r="AD48" i="3"/>
  <c r="AM47" i="3"/>
  <c r="AJ46" i="3"/>
  <c r="AS45" i="3"/>
  <c r="AG45" i="3"/>
  <c r="AP44" i="3"/>
  <c r="AD44" i="3"/>
  <c r="AM43" i="3"/>
  <c r="AJ42" i="3"/>
  <c r="AS41" i="3"/>
  <c r="AG41" i="3"/>
  <c r="AP40" i="3"/>
  <c r="AD40" i="3"/>
  <c r="AM39" i="3"/>
  <c r="AJ38" i="3"/>
  <c r="AS37" i="3"/>
  <c r="AG37" i="3"/>
  <c r="AP36" i="3"/>
  <c r="AD36" i="3"/>
  <c r="AD12" i="3"/>
  <c r="AJ10" i="3"/>
  <c r="AD8" i="3"/>
  <c r="AM7" i="3"/>
  <c r="AJ6" i="3"/>
  <c r="AS5" i="3"/>
  <c r="AG5" i="3"/>
  <c r="AP4" i="3"/>
  <c r="AD4" i="3"/>
  <c r="AM3" i="3"/>
  <c r="AA395" i="3"/>
  <c r="AA391" i="3"/>
  <c r="AA387" i="3"/>
  <c r="AA383" i="3"/>
  <c r="AA379" i="3"/>
  <c r="AA375" i="3"/>
  <c r="AA371" i="3"/>
  <c r="AA367" i="3"/>
  <c r="AA363" i="3"/>
  <c r="AA359" i="3"/>
  <c r="AA355" i="3"/>
  <c r="AA351" i="3"/>
  <c r="AA347" i="3"/>
  <c r="AA343" i="3"/>
  <c r="AA339" i="3"/>
  <c r="AA335" i="3"/>
  <c r="AA331" i="3"/>
  <c r="AA327" i="3"/>
  <c r="AA323" i="3"/>
  <c r="AA319" i="3"/>
  <c r="AA315" i="3"/>
  <c r="AA311" i="3"/>
  <c r="AA307" i="3"/>
  <c r="AA303" i="3"/>
  <c r="AA299" i="3"/>
  <c r="AA295" i="3"/>
  <c r="AA291" i="3"/>
  <c r="AA287" i="3"/>
  <c r="AA283" i="3"/>
  <c r="AA279" i="3"/>
  <c r="AA275" i="3"/>
  <c r="AA271" i="3"/>
  <c r="AA267" i="3"/>
  <c r="AA263" i="3"/>
  <c r="AA259" i="3"/>
  <c r="AA255" i="3"/>
  <c r="AA251" i="3"/>
  <c r="AA247" i="3"/>
  <c r="AA243" i="3"/>
  <c r="AA239" i="3"/>
  <c r="AA235" i="3"/>
  <c r="AA231" i="3"/>
  <c r="AA227" i="3"/>
  <c r="AA223" i="3"/>
  <c r="AA219" i="3"/>
  <c r="AA215" i="3"/>
  <c r="AA211" i="3"/>
  <c r="AA207" i="3"/>
  <c r="AA203" i="3"/>
  <c r="AA199" i="3"/>
  <c r="AA195" i="3"/>
  <c r="AA191" i="3"/>
  <c r="AA187" i="3"/>
  <c r="AA183" i="3"/>
  <c r="AA179" i="3"/>
  <c r="AA175" i="3"/>
  <c r="AA171" i="3"/>
  <c r="AA167" i="3"/>
  <c r="AA163" i="3"/>
  <c r="AA159" i="3"/>
  <c r="AA155" i="3"/>
  <c r="AA151" i="3"/>
  <c r="AA147" i="3"/>
  <c r="AA143" i="3"/>
  <c r="AA139" i="3"/>
  <c r="AA135" i="3"/>
  <c r="AA131" i="3"/>
  <c r="AA127" i="3"/>
  <c r="AA123" i="3"/>
  <c r="AA119" i="3"/>
  <c r="AA115" i="3"/>
  <c r="AA111" i="3"/>
  <c r="AA107" i="3"/>
  <c r="AA103" i="3"/>
  <c r="AA99" i="3"/>
  <c r="AA95" i="3"/>
  <c r="AA91" i="3"/>
  <c r="AA87" i="3"/>
  <c r="AA83" i="3"/>
  <c r="AA79" i="3"/>
  <c r="AA75" i="3"/>
  <c r="AA71" i="3"/>
  <c r="AA67" i="3"/>
  <c r="AA63" i="3"/>
  <c r="AA59" i="3"/>
  <c r="AA55" i="3"/>
  <c r="AA51" i="3"/>
  <c r="AA47" i="3"/>
  <c r="AA43" i="3"/>
  <c r="AA39" i="3"/>
  <c r="AH3" i="1"/>
  <c r="AJ576" i="3"/>
  <c r="AJ572" i="3"/>
  <c r="AJ568" i="3"/>
  <c r="AJ564" i="3"/>
  <c r="AJ560" i="3"/>
  <c r="AJ552" i="3"/>
  <c r="AJ548" i="3"/>
  <c r="AJ544" i="3"/>
  <c r="AJ540" i="3"/>
  <c r="AJ536" i="3"/>
  <c r="AJ528" i="3"/>
  <c r="AJ524" i="3"/>
  <c r="AJ520" i="3"/>
  <c r="AJ516" i="3"/>
  <c r="AJ512" i="3"/>
  <c r="AJ504" i="3"/>
  <c r="AJ500" i="3"/>
  <c r="AJ496" i="3"/>
  <c r="AJ492" i="3"/>
  <c r="AJ488" i="3"/>
  <c r="AJ480" i="3"/>
  <c r="AG527" i="3"/>
  <c r="AG523" i="3"/>
  <c r="AG519" i="3"/>
  <c r="AG515" i="3"/>
  <c r="AG503" i="3"/>
  <c r="AG499" i="3"/>
  <c r="AG495" i="3"/>
  <c r="AA669" i="3"/>
  <c r="AA665" i="3"/>
  <c r="AA661" i="3"/>
  <c r="AA657" i="3"/>
  <c r="AA645" i="3"/>
  <c r="AA641" i="3"/>
  <c r="AA637" i="3"/>
  <c r="AA633" i="3"/>
  <c r="AA621" i="3"/>
  <c r="AA617" i="3"/>
  <c r="AA613" i="3"/>
  <c r="AA609" i="3"/>
  <c r="AA597" i="3"/>
  <c r="AA593" i="3"/>
  <c r="AA589" i="3"/>
  <c r="AA585" i="3"/>
  <c r="AA573" i="3"/>
  <c r="AA569" i="3"/>
  <c r="AA565" i="3"/>
  <c r="AA561" i="3"/>
  <c r="AA549" i="3"/>
  <c r="AA545" i="3"/>
  <c r="AA541" i="3"/>
  <c r="AA537" i="3"/>
  <c r="AA525" i="3"/>
  <c r="AA521" i="3"/>
  <c r="AA517" i="3"/>
  <c r="AA513" i="3"/>
  <c r="AA501" i="3"/>
  <c r="AA497" i="3"/>
  <c r="AA493" i="3"/>
  <c r="AA489" i="3"/>
  <c r="AS591" i="3"/>
  <c r="AS567" i="3"/>
  <c r="AS543" i="3"/>
  <c r="AS519" i="3"/>
  <c r="AS495" i="3"/>
  <c r="AS743" i="3"/>
  <c r="AS739" i="3"/>
  <c r="AS735" i="3"/>
  <c r="AS731" i="3"/>
  <c r="AS727" i="3"/>
  <c r="AS723" i="3"/>
  <c r="AG491" i="3"/>
  <c r="AS479" i="3"/>
  <c r="AG479" i="3"/>
  <c r="AP478" i="3"/>
  <c r="AD478" i="3"/>
  <c r="AM477" i="3"/>
  <c r="AA477" i="3"/>
  <c r="AJ476" i="3"/>
  <c r="AS475" i="3"/>
  <c r="AG475" i="3"/>
  <c r="AP474" i="3"/>
  <c r="AD474" i="3"/>
  <c r="AM473" i="3"/>
  <c r="AA473" i="3"/>
  <c r="AJ472" i="3"/>
  <c r="AS471" i="3"/>
  <c r="AG471" i="3"/>
  <c r="AP470" i="3"/>
  <c r="AD470" i="3"/>
  <c r="AM469" i="3"/>
  <c r="AA469" i="3"/>
  <c r="AJ468" i="3"/>
  <c r="AS467" i="3"/>
  <c r="AG467" i="3"/>
  <c r="AP466" i="3"/>
  <c r="AD466" i="3"/>
  <c r="AM465" i="3"/>
  <c r="AA465" i="3"/>
  <c r="AJ464" i="3"/>
  <c r="AS463" i="3"/>
  <c r="AG463" i="3"/>
  <c r="AP462" i="3"/>
  <c r="AD462" i="3"/>
  <c r="AM461" i="3"/>
  <c r="AA461" i="3"/>
  <c r="AJ460" i="3"/>
  <c r="AS459" i="3"/>
  <c r="AG459" i="3"/>
  <c r="AP458" i="3"/>
  <c r="AD458" i="3"/>
  <c r="AM457" i="3"/>
  <c r="AA457" i="3"/>
  <c r="AJ456" i="3"/>
  <c r="AS455" i="3"/>
  <c r="AG455" i="3"/>
  <c r="AP454" i="3"/>
  <c r="AD454" i="3"/>
  <c r="AM453" i="3"/>
  <c r="AA453" i="3"/>
  <c r="AJ452" i="3"/>
  <c r="AS451" i="3"/>
  <c r="AG451" i="3"/>
  <c r="AP450" i="3"/>
  <c r="AD450" i="3"/>
  <c r="AM449" i="3"/>
  <c r="AA449" i="3"/>
  <c r="AJ448" i="3"/>
  <c r="AS447" i="3"/>
  <c r="AG447" i="3"/>
  <c r="AP446" i="3"/>
  <c r="AD446" i="3"/>
  <c r="AM445" i="3"/>
  <c r="AA445" i="3"/>
  <c r="AJ444" i="3"/>
  <c r="AS443" i="3"/>
  <c r="AG443" i="3"/>
  <c r="AP442" i="3"/>
  <c r="AD442" i="3"/>
  <c r="AM441" i="3"/>
  <c r="AA441" i="3"/>
  <c r="AJ440" i="3"/>
  <c r="AS439" i="3"/>
  <c r="AG439" i="3"/>
  <c r="AP438" i="3"/>
  <c r="AD438" i="3"/>
  <c r="AM437" i="3"/>
  <c r="AA437" i="3"/>
  <c r="AJ436" i="3"/>
  <c r="AS435" i="3"/>
  <c r="AG435" i="3"/>
  <c r="AP434" i="3"/>
  <c r="AD434" i="3"/>
  <c r="AM433" i="3"/>
  <c r="AA433" i="3"/>
  <c r="AJ432" i="3"/>
  <c r="AS431" i="3"/>
  <c r="AG431" i="3"/>
  <c r="AP430" i="3"/>
  <c r="AD430" i="3"/>
  <c r="AM429" i="3"/>
  <c r="AA429" i="3"/>
  <c r="AJ428" i="3"/>
  <c r="AS427" i="3"/>
  <c r="AG427" i="3"/>
  <c r="AP426" i="3"/>
  <c r="AD426" i="3"/>
  <c r="AM425" i="3"/>
  <c r="AA425" i="3"/>
  <c r="AJ424" i="3"/>
  <c r="AS423" i="3"/>
  <c r="AG423" i="3"/>
  <c r="AP422" i="3"/>
  <c r="AD422" i="3"/>
  <c r="AM421" i="3"/>
  <c r="AA421" i="3"/>
  <c r="AJ420" i="3"/>
  <c r="AS419" i="3"/>
  <c r="AG419" i="3"/>
  <c r="AP418" i="3"/>
  <c r="AD418" i="3"/>
  <c r="AM417" i="3"/>
  <c r="AA417" i="3"/>
  <c r="AJ416" i="3"/>
  <c r="AS415" i="3"/>
  <c r="AG415" i="3"/>
  <c r="AP414" i="3"/>
  <c r="AD414" i="3"/>
  <c r="AM413" i="3"/>
  <c r="AA413" i="3"/>
  <c r="AJ412" i="3"/>
  <c r="AS411" i="3"/>
  <c r="AG411" i="3"/>
  <c r="AP410" i="3"/>
  <c r="AD410" i="3"/>
  <c r="AM409" i="3"/>
  <c r="AA409" i="3"/>
  <c r="AJ408" i="3"/>
  <c r="AS407" i="3"/>
  <c r="AG407" i="3"/>
  <c r="AP406" i="3"/>
  <c r="AD406" i="3"/>
  <c r="AM405" i="3"/>
  <c r="AA405" i="3"/>
  <c r="AJ404" i="3"/>
  <c r="AS403" i="3"/>
  <c r="AG403" i="3"/>
  <c r="AP402" i="3"/>
  <c r="AD402" i="3"/>
  <c r="AM401" i="3"/>
  <c r="AA401" i="3"/>
  <c r="AJ400" i="3"/>
  <c r="AS399" i="3"/>
  <c r="AG399" i="3"/>
  <c r="AP398" i="3"/>
  <c r="AD398" i="3"/>
  <c r="AM397" i="3"/>
  <c r="AA397" i="3"/>
  <c r="AJ396" i="3"/>
  <c r="AS395" i="3"/>
  <c r="AG395" i="3"/>
  <c r="AP394" i="3"/>
  <c r="AD394" i="3"/>
  <c r="AM393" i="3"/>
  <c r="AA393" i="3"/>
  <c r="AJ392" i="3"/>
  <c r="AS391" i="3"/>
  <c r="AG391" i="3"/>
  <c r="AP390" i="3"/>
  <c r="AD390" i="3"/>
  <c r="AM389" i="3"/>
  <c r="AA389" i="3"/>
  <c r="AJ388" i="3"/>
  <c r="AS387" i="3"/>
  <c r="AG387" i="3"/>
  <c r="AP386" i="3"/>
  <c r="AD386" i="3"/>
  <c r="AM385" i="3"/>
  <c r="AA385" i="3"/>
  <c r="AJ384" i="3"/>
  <c r="AS383" i="3"/>
  <c r="AG383" i="3"/>
  <c r="AP382" i="3"/>
  <c r="AD382" i="3"/>
  <c r="AM381" i="3"/>
  <c r="AA381" i="3"/>
  <c r="AJ380" i="3"/>
  <c r="AS379" i="3"/>
  <c r="AG379" i="3"/>
  <c r="AP378" i="3"/>
  <c r="AD378" i="3"/>
  <c r="AM377" i="3"/>
  <c r="AA377" i="3"/>
  <c r="AJ376" i="3"/>
  <c r="AS375" i="3"/>
  <c r="AG375" i="3"/>
  <c r="AP374" i="3"/>
  <c r="AD374" i="3"/>
  <c r="AM373" i="3"/>
  <c r="AA373" i="3"/>
  <c r="AJ372" i="3"/>
  <c r="AS371" i="3"/>
  <c r="AG371" i="3"/>
  <c r="AP370" i="3"/>
  <c r="AD370" i="3"/>
  <c r="AM369" i="3"/>
  <c r="AA369" i="3"/>
  <c r="AJ368" i="3"/>
  <c r="AS367" i="3"/>
  <c r="AG367" i="3"/>
  <c r="AP366" i="3"/>
  <c r="AD366" i="3"/>
  <c r="AM365" i="3"/>
  <c r="AA365" i="3"/>
  <c r="AJ364" i="3"/>
  <c r="AS363" i="3"/>
  <c r="AG363" i="3"/>
  <c r="AP362" i="3"/>
  <c r="AD362" i="3"/>
  <c r="AM361" i="3"/>
  <c r="AA361" i="3"/>
  <c r="AJ360" i="3"/>
  <c r="AS359" i="3"/>
  <c r="AG359" i="3"/>
  <c r="AP358" i="3"/>
  <c r="AD358" i="3"/>
  <c r="AM357" i="3"/>
  <c r="AA357" i="3"/>
  <c r="AJ356" i="3"/>
  <c r="AS355" i="3"/>
  <c r="AG355" i="3"/>
  <c r="AP354" i="3"/>
  <c r="AD354" i="3"/>
  <c r="AM353" i="3"/>
  <c r="AA353" i="3"/>
  <c r="AJ352" i="3"/>
  <c r="AS351" i="3"/>
  <c r="AG351" i="3"/>
  <c r="AP350" i="3"/>
  <c r="AD350" i="3"/>
  <c r="AM349" i="3"/>
  <c r="AA349" i="3"/>
  <c r="AJ348" i="3"/>
  <c r="AS347" i="3"/>
  <c r="AG347" i="3"/>
  <c r="AP346" i="3"/>
  <c r="AD346" i="3"/>
  <c r="AM345" i="3"/>
  <c r="AA345" i="3"/>
  <c r="AJ344" i="3"/>
  <c r="AS343" i="3"/>
  <c r="AG343" i="3"/>
  <c r="AP342" i="3"/>
  <c r="AD342" i="3"/>
  <c r="AM341" i="3"/>
  <c r="AA341" i="3"/>
  <c r="AJ340" i="3"/>
  <c r="AS339" i="3"/>
  <c r="AG339" i="3"/>
  <c r="AP338" i="3"/>
  <c r="AD338" i="3"/>
  <c r="AM337" i="3"/>
  <c r="AA337" i="3"/>
  <c r="AJ336" i="3"/>
  <c r="AS335" i="3"/>
  <c r="AG335" i="3"/>
  <c r="AP334" i="3"/>
  <c r="AD334" i="3"/>
  <c r="AM333" i="3"/>
  <c r="AA333" i="3"/>
  <c r="AJ332" i="3"/>
  <c r="AS331" i="3"/>
  <c r="AG331" i="3"/>
  <c r="AP330" i="3"/>
  <c r="AD330" i="3"/>
  <c r="AM329" i="3"/>
  <c r="AA329" i="3"/>
  <c r="AJ328" i="3"/>
  <c r="AS327" i="3"/>
  <c r="AG327" i="3"/>
  <c r="AP326" i="3"/>
  <c r="AD326" i="3"/>
  <c r="AM325" i="3"/>
  <c r="AA325" i="3"/>
  <c r="AJ324" i="3"/>
  <c r="AS323" i="3"/>
  <c r="AG323" i="3"/>
  <c r="AP322" i="3"/>
  <c r="AD322" i="3"/>
  <c r="AM321" i="3"/>
  <c r="AA321" i="3"/>
  <c r="AJ320" i="3"/>
  <c r="AS319" i="3"/>
  <c r="AG319" i="3"/>
  <c r="AP318" i="3"/>
  <c r="AD318" i="3"/>
  <c r="AM317" i="3"/>
  <c r="AA317" i="3"/>
  <c r="AJ316" i="3"/>
  <c r="AS315" i="3"/>
  <c r="AG315" i="3"/>
  <c r="AP314" i="3"/>
  <c r="AD314" i="3"/>
  <c r="AM313" i="3"/>
  <c r="AA313" i="3"/>
  <c r="AJ312" i="3"/>
  <c r="AS311" i="3"/>
  <c r="AG311" i="3"/>
  <c r="AP310" i="3"/>
  <c r="AD310" i="3"/>
  <c r="AM309" i="3"/>
  <c r="AA309" i="3"/>
  <c r="AJ308" i="3"/>
  <c r="AS307" i="3"/>
  <c r="AG307" i="3"/>
  <c r="AP306" i="3"/>
  <c r="AD306" i="3"/>
  <c r="AM305" i="3"/>
  <c r="AA305" i="3"/>
  <c r="AJ304" i="3"/>
  <c r="AS303" i="3"/>
  <c r="AG303" i="3"/>
  <c r="AP302" i="3"/>
  <c r="AD302" i="3"/>
  <c r="AM301" i="3"/>
  <c r="AA301" i="3"/>
  <c r="AJ300" i="3"/>
  <c r="AS299" i="3"/>
  <c r="AG299" i="3"/>
  <c r="AP298" i="3"/>
  <c r="AD298" i="3"/>
  <c r="AM297" i="3"/>
  <c r="AA297" i="3"/>
  <c r="AJ296" i="3"/>
  <c r="AS295" i="3"/>
  <c r="AG295" i="3"/>
  <c r="AP294" i="3"/>
  <c r="AD294" i="3"/>
  <c r="AM293" i="3"/>
  <c r="AA293" i="3"/>
  <c r="AJ292" i="3"/>
  <c r="AS291" i="3"/>
  <c r="AG291" i="3"/>
  <c r="AP290" i="3"/>
  <c r="AD290" i="3"/>
  <c r="AM289" i="3"/>
  <c r="AA289" i="3"/>
  <c r="AJ288" i="3"/>
  <c r="AS287" i="3"/>
  <c r="AG287" i="3"/>
  <c r="AP286" i="3"/>
  <c r="AD286" i="3"/>
  <c r="AM285" i="3"/>
  <c r="AA285" i="3"/>
  <c r="AJ284" i="3"/>
  <c r="AS283" i="3"/>
  <c r="AG283" i="3"/>
  <c r="AP282" i="3"/>
  <c r="AD282" i="3"/>
  <c r="AM281" i="3"/>
  <c r="AA281" i="3"/>
  <c r="AJ280" i="3"/>
  <c r="AS279" i="3"/>
  <c r="AG279" i="3"/>
  <c r="AP278" i="3"/>
  <c r="AD278" i="3"/>
  <c r="AM277" i="3"/>
  <c r="AA277" i="3"/>
  <c r="AJ276" i="3"/>
  <c r="AS275" i="3"/>
  <c r="AG275" i="3"/>
  <c r="AP274" i="3"/>
  <c r="AD274" i="3"/>
  <c r="AM273" i="3"/>
  <c r="AA273" i="3"/>
  <c r="AJ272" i="3"/>
  <c r="AS271" i="3"/>
  <c r="AG271" i="3"/>
  <c r="AP270" i="3"/>
  <c r="AD270" i="3"/>
  <c r="AM269" i="3"/>
  <c r="AA269" i="3"/>
  <c r="AJ268" i="3"/>
  <c r="AS267" i="3"/>
  <c r="AG267" i="3"/>
  <c r="AP266" i="3"/>
  <c r="AD266" i="3"/>
  <c r="AM265" i="3"/>
  <c r="AA265" i="3"/>
  <c r="AJ264" i="3"/>
  <c r="AS263" i="3"/>
  <c r="AG263" i="3"/>
  <c r="AP262" i="3"/>
  <c r="AD262" i="3"/>
  <c r="AM261" i="3"/>
  <c r="AA261" i="3"/>
  <c r="AJ260" i="3"/>
  <c r="AS259" i="3"/>
  <c r="AG259" i="3"/>
  <c r="AP258" i="3"/>
  <c r="AD258" i="3"/>
  <c r="AM257" i="3"/>
  <c r="AA257" i="3"/>
  <c r="AJ256" i="3"/>
  <c r="AS255" i="3"/>
  <c r="AG255" i="3"/>
  <c r="AP254" i="3"/>
  <c r="AD254" i="3"/>
  <c r="AM253" i="3"/>
  <c r="AA253" i="3"/>
  <c r="AJ252" i="3"/>
  <c r="AS251" i="3"/>
  <c r="AG251" i="3"/>
  <c r="AP250" i="3"/>
  <c r="AD250" i="3"/>
  <c r="AM249" i="3"/>
  <c r="AA249" i="3"/>
  <c r="AJ248" i="3"/>
  <c r="AS247" i="3"/>
  <c r="AG247" i="3"/>
  <c r="AP246" i="3"/>
  <c r="AD246" i="3"/>
  <c r="AM245" i="3"/>
  <c r="AA245" i="3"/>
  <c r="AJ244" i="3"/>
  <c r="AS243" i="3"/>
  <c r="AG243" i="3"/>
  <c r="AP242" i="3"/>
  <c r="AD242" i="3"/>
  <c r="AM241" i="3"/>
  <c r="AA241" i="3"/>
  <c r="AJ240" i="3"/>
  <c r="AS239" i="3"/>
  <c r="AG239" i="3"/>
  <c r="AP238" i="3"/>
  <c r="AD238" i="3"/>
  <c r="AM237" i="3"/>
  <c r="AA237" i="3"/>
  <c r="AJ236" i="3"/>
  <c r="AS235" i="3"/>
  <c r="AG235" i="3"/>
  <c r="AP234" i="3"/>
  <c r="AD234" i="3"/>
  <c r="AM233" i="3"/>
  <c r="AA233" i="3"/>
  <c r="AJ232" i="3"/>
  <c r="AS231" i="3"/>
  <c r="AG231" i="3"/>
  <c r="AP230" i="3"/>
  <c r="AD230" i="3"/>
  <c r="AM229" i="3"/>
  <c r="AA229" i="3"/>
  <c r="AJ228" i="3"/>
  <c r="AS227" i="3"/>
  <c r="AG227" i="3"/>
  <c r="AP226" i="3"/>
  <c r="AD226" i="3"/>
  <c r="AM225" i="3"/>
  <c r="AA225" i="3"/>
  <c r="AJ224" i="3"/>
  <c r="AS223" i="3"/>
  <c r="AG223" i="3"/>
  <c r="AP222" i="3"/>
  <c r="AD222" i="3"/>
  <c r="AM221" i="3"/>
  <c r="AA221" i="3"/>
  <c r="AJ220" i="3"/>
  <c r="AS219" i="3"/>
  <c r="AG219" i="3"/>
  <c r="AP218" i="3"/>
  <c r="AD218" i="3"/>
  <c r="AM217" i="3"/>
  <c r="AA217" i="3"/>
  <c r="AJ216" i="3"/>
  <c r="AS215" i="3"/>
  <c r="AG215" i="3"/>
  <c r="AP214" i="3"/>
  <c r="AD214" i="3"/>
  <c r="AM213" i="3"/>
  <c r="AA213" i="3"/>
  <c r="AJ212" i="3"/>
  <c r="AS211" i="3"/>
  <c r="AG211" i="3"/>
  <c r="AP210" i="3"/>
  <c r="AD210" i="3"/>
  <c r="AM209" i="3"/>
  <c r="AA209" i="3"/>
  <c r="AJ208" i="3"/>
  <c r="AS207" i="3"/>
  <c r="AG207" i="3"/>
  <c r="AP206" i="3"/>
  <c r="AD206" i="3"/>
  <c r="AM205" i="3"/>
  <c r="AA205" i="3"/>
  <c r="AJ204" i="3"/>
  <c r="AS203" i="3"/>
  <c r="AG203" i="3"/>
  <c r="AP202" i="3"/>
  <c r="AD202" i="3"/>
  <c r="AM201" i="3"/>
  <c r="AA201" i="3"/>
  <c r="AJ200" i="3"/>
  <c r="AS199" i="3"/>
  <c r="AG199" i="3"/>
  <c r="AP198" i="3"/>
  <c r="AD198" i="3"/>
  <c r="AM197" i="3"/>
  <c r="AA197" i="3"/>
  <c r="AJ196" i="3"/>
  <c r="AS195" i="3"/>
  <c r="AG195" i="3"/>
  <c r="AP194" i="3"/>
  <c r="AD194" i="3"/>
  <c r="AM193" i="3"/>
  <c r="AA193" i="3"/>
  <c r="AJ192" i="3"/>
  <c r="AS191" i="3"/>
  <c r="AG191" i="3"/>
  <c r="AP190" i="3"/>
  <c r="AD190" i="3"/>
  <c r="AM189" i="3"/>
  <c r="AA189" i="3"/>
  <c r="AJ188" i="3"/>
  <c r="AS187" i="3"/>
  <c r="AG187" i="3"/>
  <c r="AP186" i="3"/>
  <c r="AD186" i="3"/>
  <c r="AM185" i="3"/>
  <c r="AA185" i="3"/>
  <c r="AJ184" i="3"/>
  <c r="AS183" i="3"/>
  <c r="AG183" i="3"/>
  <c r="AP182" i="3"/>
  <c r="AD182" i="3"/>
  <c r="AM181" i="3"/>
  <c r="AA181" i="3"/>
  <c r="AJ180" i="3"/>
  <c r="AS179" i="3"/>
  <c r="AG179" i="3"/>
  <c r="AP178" i="3"/>
  <c r="AD178" i="3"/>
  <c r="AM177" i="3"/>
  <c r="AA177" i="3"/>
  <c r="AJ176" i="3"/>
  <c r="AS175" i="3"/>
  <c r="AG175" i="3"/>
  <c r="AP174" i="3"/>
  <c r="AD174" i="3"/>
  <c r="AM173" i="3"/>
  <c r="AA173" i="3"/>
  <c r="AJ172" i="3"/>
  <c r="AS171" i="3"/>
  <c r="AG171" i="3"/>
  <c r="AP170" i="3"/>
  <c r="AD170" i="3"/>
  <c r="AM169" i="3"/>
  <c r="AA169" i="3"/>
  <c r="AJ168" i="3"/>
  <c r="AS167" i="3"/>
  <c r="AG167" i="3"/>
  <c r="AP166" i="3"/>
  <c r="AD166" i="3"/>
  <c r="AM165" i="3"/>
  <c r="AA165" i="3"/>
  <c r="AJ164" i="3"/>
  <c r="AS163" i="3"/>
  <c r="AG163" i="3"/>
  <c r="AP162" i="3"/>
  <c r="AD162" i="3"/>
  <c r="AM161" i="3"/>
  <c r="AA161" i="3"/>
  <c r="AJ160" i="3"/>
  <c r="AS159" i="3"/>
  <c r="AG159" i="3"/>
  <c r="AP158" i="3"/>
  <c r="AD158" i="3"/>
  <c r="AM157" i="3"/>
  <c r="AA157" i="3"/>
  <c r="AJ156" i="3"/>
  <c r="AS155" i="3"/>
  <c r="AG155" i="3"/>
  <c r="AP154" i="3"/>
  <c r="AD154" i="3"/>
  <c r="AM153" i="3"/>
  <c r="AA153" i="3"/>
  <c r="AJ152" i="3"/>
  <c r="AS151" i="3"/>
  <c r="AG151" i="3"/>
  <c r="AP150" i="3"/>
  <c r="AD150" i="3"/>
  <c r="AM149" i="3"/>
  <c r="AA149" i="3"/>
  <c r="AJ148" i="3"/>
  <c r="AS147" i="3"/>
  <c r="AG147" i="3"/>
  <c r="AP146" i="3"/>
  <c r="AD146" i="3"/>
  <c r="AM145" i="3"/>
  <c r="AA145" i="3"/>
  <c r="AJ144" i="3"/>
  <c r="AS143" i="3"/>
  <c r="AG143" i="3"/>
  <c r="AP142" i="3"/>
  <c r="AD142" i="3"/>
  <c r="AM141" i="3"/>
  <c r="AA141" i="3"/>
  <c r="AJ140" i="3"/>
  <c r="AS139" i="3"/>
  <c r="AG139" i="3"/>
  <c r="AP138" i="3"/>
  <c r="AD138" i="3"/>
  <c r="AM137" i="3"/>
  <c r="AA137" i="3"/>
  <c r="AJ136" i="3"/>
  <c r="AS135" i="3"/>
  <c r="AG135" i="3"/>
  <c r="AP134" i="3"/>
  <c r="AD134" i="3"/>
  <c r="AM133" i="3"/>
  <c r="AA133" i="3"/>
  <c r="AJ132" i="3"/>
  <c r="AS131" i="3"/>
  <c r="AG131" i="3"/>
  <c r="AP130" i="3"/>
  <c r="AD130" i="3"/>
  <c r="AM129" i="3"/>
  <c r="AA129" i="3"/>
  <c r="AJ128" i="3"/>
  <c r="AS127" i="3"/>
  <c r="AG127" i="3"/>
  <c r="AP126" i="3"/>
  <c r="AD126" i="3"/>
  <c r="AM125" i="3"/>
  <c r="AA125" i="3"/>
  <c r="AJ124" i="3"/>
  <c r="AS123" i="3"/>
  <c r="AG123" i="3"/>
  <c r="AP122" i="3"/>
  <c r="AD122" i="3"/>
  <c r="AM121" i="3"/>
  <c r="AA121" i="3"/>
  <c r="AJ120" i="3"/>
  <c r="AS119" i="3"/>
  <c r="AG119" i="3"/>
  <c r="AP118" i="3"/>
  <c r="AD118" i="3"/>
  <c r="AM117" i="3"/>
  <c r="AA117" i="3"/>
  <c r="AJ116" i="3"/>
  <c r="AS115" i="3"/>
  <c r="AG115" i="3"/>
  <c r="AP114" i="3"/>
  <c r="AD114" i="3"/>
  <c r="AM113" i="3"/>
  <c r="AA113" i="3"/>
  <c r="AJ112" i="3"/>
  <c r="AS111" i="3"/>
  <c r="AG111" i="3"/>
  <c r="AP110" i="3"/>
  <c r="AD110" i="3"/>
  <c r="AM109" i="3"/>
  <c r="AA109" i="3"/>
  <c r="AJ108" i="3"/>
  <c r="AS107" i="3"/>
  <c r="AG107" i="3"/>
  <c r="AP106" i="3"/>
  <c r="AD106" i="3"/>
  <c r="AM105" i="3"/>
  <c r="AA105" i="3"/>
  <c r="AJ104" i="3"/>
  <c r="AS103" i="3"/>
  <c r="AG103" i="3"/>
  <c r="AP102" i="3"/>
  <c r="AD102" i="3"/>
  <c r="AM101" i="3"/>
  <c r="AA101" i="3"/>
  <c r="AJ100" i="3"/>
  <c r="AS99" i="3"/>
  <c r="AG99" i="3"/>
  <c r="AP98" i="3"/>
  <c r="AD98" i="3"/>
  <c r="AM97" i="3"/>
  <c r="AA97" i="3"/>
  <c r="AJ96" i="3"/>
  <c r="AS95" i="3"/>
  <c r="AG95" i="3"/>
  <c r="AP94" i="3"/>
  <c r="AD94" i="3"/>
  <c r="AM93" i="3"/>
  <c r="AA93" i="3"/>
  <c r="AJ92" i="3"/>
  <c r="AS91" i="3"/>
  <c r="AG91" i="3"/>
  <c r="AP90" i="3"/>
  <c r="AD90" i="3"/>
  <c r="AM89" i="3"/>
  <c r="AA89" i="3"/>
  <c r="AJ88" i="3"/>
  <c r="AS87" i="3"/>
  <c r="AG87" i="3"/>
  <c r="AP86" i="3"/>
  <c r="AD86" i="3"/>
  <c r="AM85" i="3"/>
  <c r="AA85" i="3"/>
  <c r="AJ84" i="3"/>
  <c r="AS83" i="3"/>
  <c r="AG83" i="3"/>
  <c r="AP82" i="3"/>
  <c r="AD82" i="3"/>
  <c r="AM81" i="3"/>
  <c r="AA81" i="3"/>
  <c r="AJ80" i="3"/>
  <c r="AS79" i="3"/>
  <c r="AG79" i="3"/>
  <c r="AP78" i="3"/>
  <c r="AD78" i="3"/>
  <c r="AM77" i="3"/>
  <c r="AA77" i="3"/>
  <c r="AJ76" i="3"/>
  <c r="AS75" i="3"/>
  <c r="AG75" i="3"/>
  <c r="AP74" i="3"/>
  <c r="AD74" i="3"/>
  <c r="AM73" i="3"/>
  <c r="AA73" i="3"/>
  <c r="AJ72" i="3"/>
  <c r="AS71" i="3"/>
  <c r="AG71" i="3"/>
  <c r="AP70" i="3"/>
  <c r="AD70" i="3"/>
  <c r="AM69" i="3"/>
  <c r="AA69" i="3"/>
  <c r="AJ68" i="3"/>
  <c r="AS67" i="3"/>
  <c r="AG67" i="3"/>
  <c r="AP66" i="3"/>
  <c r="AD66" i="3"/>
  <c r="AM65" i="3"/>
  <c r="AA65" i="3"/>
  <c r="AJ64" i="3"/>
  <c r="AS63" i="3"/>
  <c r="AG63" i="3"/>
  <c r="AP62" i="3"/>
  <c r="AD62" i="3"/>
  <c r="AM61" i="3"/>
  <c r="AA61" i="3"/>
  <c r="AJ60" i="3"/>
  <c r="AS59" i="3"/>
  <c r="AG59" i="3"/>
  <c r="AP58" i="3"/>
  <c r="AD58" i="3"/>
  <c r="AM57" i="3"/>
  <c r="AA57" i="3"/>
  <c r="AJ56" i="3"/>
  <c r="AS55" i="3"/>
  <c r="AG55" i="3"/>
  <c r="AP54" i="3"/>
  <c r="AD54" i="3"/>
  <c r="AM53" i="3"/>
  <c r="AA53" i="3"/>
  <c r="AJ52" i="3"/>
  <c r="AS51" i="3"/>
  <c r="AG51" i="3"/>
  <c r="AP50" i="3"/>
  <c r="AD50" i="3"/>
  <c r="AM49" i="3"/>
  <c r="AA49" i="3"/>
  <c r="AJ48" i="3"/>
  <c r="AS47" i="3"/>
  <c r="AG47" i="3"/>
  <c r="AP46" i="3"/>
  <c r="AD46" i="3"/>
  <c r="AM45" i="3"/>
  <c r="AA45" i="3"/>
  <c r="AJ44" i="3"/>
  <c r="AS43" i="3"/>
  <c r="AG43" i="3"/>
  <c r="AP42" i="3"/>
  <c r="AD42" i="3"/>
  <c r="AM41" i="3"/>
  <c r="AA41" i="3"/>
  <c r="AJ40" i="3"/>
  <c r="AS39" i="3"/>
  <c r="AG39" i="3"/>
  <c r="AP38" i="3"/>
  <c r="AD38" i="3"/>
  <c r="AM37" i="3"/>
  <c r="AA37" i="3"/>
  <c r="AJ36" i="3"/>
  <c r="AS35" i="3"/>
  <c r="AG35" i="3"/>
  <c r="AP34" i="3"/>
  <c r="AD34" i="3"/>
  <c r="AM33" i="3"/>
  <c r="AA33" i="3"/>
  <c r="AJ32" i="3"/>
  <c r="AS31" i="3"/>
  <c r="AG31" i="3"/>
  <c r="AP30" i="3"/>
  <c r="AD30" i="3"/>
  <c r="AM29" i="3"/>
  <c r="AA29" i="3"/>
  <c r="AJ28" i="3"/>
  <c r="AS27" i="3"/>
  <c r="AG27" i="3"/>
  <c r="AP26" i="3"/>
  <c r="AD26" i="3"/>
  <c r="AM25" i="3"/>
  <c r="AA25" i="3"/>
  <c r="AJ24" i="3"/>
  <c r="AS23" i="3"/>
  <c r="AG23" i="3"/>
  <c r="AP22" i="3"/>
  <c r="AD22" i="3"/>
  <c r="AM21" i="3"/>
  <c r="AA21" i="3"/>
  <c r="AJ20" i="3"/>
  <c r="AS19" i="3"/>
  <c r="AG19" i="3"/>
  <c r="AP18" i="3"/>
  <c r="AD18" i="3"/>
  <c r="AM17" i="3"/>
  <c r="AA17" i="3"/>
  <c r="AJ16" i="3"/>
  <c r="AS15" i="3"/>
  <c r="AG15" i="3"/>
  <c r="AP14" i="3"/>
  <c r="AG474" i="3"/>
  <c r="AG466" i="3"/>
  <c r="AJ745" i="3"/>
  <c r="AS744" i="3"/>
  <c r="AG744" i="3"/>
  <c r="AP743" i="3"/>
  <c r="AD743" i="3"/>
  <c r="AM742" i="3"/>
  <c r="AA742" i="3"/>
  <c r="AJ741" i="3"/>
  <c r="AS740" i="3"/>
  <c r="AG740" i="3"/>
  <c r="AP739" i="3"/>
  <c r="AD739" i="3"/>
  <c r="AM738" i="3"/>
  <c r="AA738" i="3"/>
  <c r="AJ737" i="3"/>
  <c r="AS736" i="3"/>
  <c r="AG736" i="3"/>
  <c r="AP735" i="3"/>
  <c r="AD735" i="3"/>
  <c r="AM734" i="3"/>
  <c r="AA734" i="3"/>
  <c r="AJ733" i="3"/>
  <c r="AS732" i="3"/>
  <c r="AG732" i="3"/>
  <c r="AP731" i="3"/>
  <c r="AD731" i="3"/>
  <c r="AM730" i="3"/>
  <c r="AA730" i="3"/>
  <c r="AJ729" i="3"/>
  <c r="AS728" i="3"/>
  <c r="AG728" i="3"/>
  <c r="AP727" i="3"/>
  <c r="AD727" i="3"/>
  <c r="AM726" i="3"/>
  <c r="AA726" i="3"/>
  <c r="AJ725" i="3"/>
  <c r="AS724" i="3"/>
  <c r="AG724" i="3"/>
  <c r="AP723" i="3"/>
  <c r="AD723" i="3"/>
  <c r="AM722" i="3"/>
  <c r="AA722" i="3"/>
  <c r="AJ721" i="3"/>
  <c r="AS720" i="3"/>
  <c r="AG720" i="3"/>
  <c r="AP719" i="3"/>
  <c r="AD719" i="3"/>
  <c r="AM718" i="3"/>
  <c r="AA718" i="3"/>
  <c r="AJ717" i="3"/>
  <c r="AS716" i="3"/>
  <c r="AG716" i="3"/>
  <c r="AP715" i="3"/>
  <c r="AD715" i="3"/>
  <c r="AM714" i="3"/>
  <c r="AA714" i="3"/>
  <c r="AJ713" i="3"/>
  <c r="AS712" i="3"/>
  <c r="AG712" i="3"/>
  <c r="AP711" i="3"/>
  <c r="AD711" i="3"/>
  <c r="AM710" i="3"/>
  <c r="AA710" i="3"/>
  <c r="AJ709" i="3"/>
  <c r="AS708" i="3"/>
  <c r="AG708" i="3"/>
  <c r="AP707" i="3"/>
  <c r="AD707" i="3"/>
  <c r="AM706" i="3"/>
  <c r="AA706" i="3"/>
  <c r="AJ705" i="3"/>
  <c r="AS704" i="3"/>
  <c r="AG704" i="3"/>
  <c r="AP703" i="3"/>
  <c r="AD703" i="3"/>
  <c r="AM702" i="3"/>
  <c r="AA702" i="3"/>
  <c r="AJ701" i="3"/>
  <c r="AS700" i="3"/>
  <c r="AG700" i="3"/>
  <c r="AP699" i="3"/>
  <c r="AD699" i="3"/>
  <c r="AM698" i="3"/>
  <c r="AA698" i="3"/>
  <c r="AJ697" i="3"/>
  <c r="AS696" i="3"/>
  <c r="AG696" i="3"/>
  <c r="AP695" i="3"/>
  <c r="AD695" i="3"/>
  <c r="AM694" i="3"/>
  <c r="AA694" i="3"/>
  <c r="AJ693" i="3"/>
  <c r="AS692" i="3"/>
  <c r="AG692" i="3"/>
  <c r="AP691" i="3"/>
  <c r="AD691" i="3"/>
  <c r="AM690" i="3"/>
  <c r="AA690" i="3"/>
  <c r="AJ689" i="3"/>
  <c r="AS688" i="3"/>
  <c r="AG688" i="3"/>
  <c r="AP687" i="3"/>
  <c r="AD687" i="3"/>
  <c r="AM686" i="3"/>
  <c r="AA686" i="3"/>
  <c r="AJ685" i="3"/>
  <c r="AS684" i="3"/>
  <c r="AG684" i="3"/>
  <c r="AP683" i="3"/>
  <c r="AD683" i="3"/>
  <c r="AM682" i="3"/>
  <c r="AA682" i="3"/>
  <c r="AJ681" i="3"/>
  <c r="AS680" i="3"/>
  <c r="AG680" i="3"/>
  <c r="AP679" i="3"/>
  <c r="AD679" i="3"/>
  <c r="AM678" i="3"/>
  <c r="AA678" i="3"/>
  <c r="AJ677" i="3"/>
  <c r="AS676" i="3"/>
  <c r="AG676" i="3"/>
  <c r="AP675" i="3"/>
  <c r="AD675" i="3"/>
  <c r="AM674" i="3"/>
  <c r="AA674" i="3"/>
  <c r="AJ673" i="3"/>
  <c r="AS672" i="3"/>
  <c r="AG672" i="3"/>
  <c r="AP671" i="3"/>
  <c r="AD671" i="3"/>
  <c r="AM670" i="3"/>
  <c r="AA670" i="3"/>
  <c r="AJ669" i="3"/>
  <c r="AS668" i="3"/>
  <c r="AG668" i="3"/>
  <c r="AP667" i="3"/>
  <c r="AD667" i="3"/>
  <c r="AM666" i="3"/>
  <c r="AA666" i="3"/>
  <c r="AJ665" i="3"/>
  <c r="AS664" i="3"/>
  <c r="AG664" i="3"/>
  <c r="AP663" i="3"/>
  <c r="AD663" i="3"/>
  <c r="AM662" i="3"/>
  <c r="AA662" i="3"/>
  <c r="AJ661" i="3"/>
  <c r="AS660" i="3"/>
  <c r="AG660" i="3"/>
  <c r="AP659" i="3"/>
  <c r="AD659" i="3"/>
  <c r="AM658" i="3"/>
  <c r="AA658" i="3"/>
  <c r="AJ657" i="3"/>
  <c r="AS656" i="3"/>
  <c r="AG656" i="3"/>
  <c r="AP655" i="3"/>
  <c r="AD655" i="3"/>
  <c r="AM654" i="3"/>
  <c r="AA654" i="3"/>
  <c r="AJ653" i="3"/>
  <c r="AS652" i="3"/>
  <c r="AG652" i="3"/>
  <c r="AP651" i="3"/>
  <c r="AD651" i="3"/>
  <c r="AM650" i="3"/>
  <c r="AA650" i="3"/>
  <c r="AJ649" i="3"/>
  <c r="AS648" i="3"/>
  <c r="AG648" i="3"/>
  <c r="AP647" i="3"/>
  <c r="AD647" i="3"/>
  <c r="AM646" i="3"/>
  <c r="AA646" i="3"/>
  <c r="AJ645" i="3"/>
  <c r="AS644" i="3"/>
  <c r="AG644" i="3"/>
  <c r="AP643" i="3"/>
  <c r="AD643" i="3"/>
  <c r="AM642" i="3"/>
  <c r="AA642" i="3"/>
  <c r="AJ641" i="3"/>
  <c r="AS640" i="3"/>
  <c r="AG640" i="3"/>
  <c r="AP639" i="3"/>
  <c r="AD639" i="3"/>
  <c r="AM638" i="3"/>
  <c r="AA638" i="3"/>
  <c r="AJ637" i="3"/>
  <c r="AS636" i="3"/>
  <c r="AG636" i="3"/>
  <c r="AP635" i="3"/>
  <c r="AD635" i="3"/>
  <c r="AM634" i="3"/>
  <c r="AA634" i="3"/>
  <c r="AJ633" i="3"/>
  <c r="AS632" i="3"/>
  <c r="AG632" i="3"/>
  <c r="AP631" i="3"/>
  <c r="AD631" i="3"/>
  <c r="AM630" i="3"/>
  <c r="AA630" i="3"/>
  <c r="AJ629" i="3"/>
  <c r="AS628" i="3"/>
  <c r="AG628" i="3"/>
  <c r="AP627" i="3"/>
  <c r="AD627" i="3"/>
  <c r="AM626" i="3"/>
  <c r="AA626" i="3"/>
  <c r="AJ625" i="3"/>
  <c r="AS624" i="3"/>
  <c r="AG624" i="3"/>
  <c r="AP623" i="3"/>
  <c r="AD623" i="3"/>
  <c r="AM622" i="3"/>
  <c r="AA622" i="3"/>
  <c r="AJ621" i="3"/>
  <c r="AS620" i="3"/>
  <c r="AG620" i="3"/>
  <c r="AP619" i="3"/>
  <c r="AD619" i="3"/>
  <c r="AM618" i="3"/>
  <c r="AA618" i="3"/>
  <c r="AJ617" i="3"/>
  <c r="AS616" i="3"/>
  <c r="AG616" i="3"/>
  <c r="AP615" i="3"/>
  <c r="AD615" i="3"/>
  <c r="AM614" i="3"/>
  <c r="AA614" i="3"/>
  <c r="AJ613" i="3"/>
  <c r="AS612" i="3"/>
  <c r="AG612" i="3"/>
  <c r="AP611" i="3"/>
  <c r="AD611" i="3"/>
  <c r="AM610" i="3"/>
  <c r="AA610" i="3"/>
  <c r="AJ609" i="3"/>
  <c r="AS608" i="3"/>
  <c r="AG608" i="3"/>
  <c r="AP607" i="3"/>
  <c r="AD607" i="3"/>
  <c r="AM606" i="3"/>
  <c r="AA606" i="3"/>
  <c r="AJ605" i="3"/>
  <c r="AS604" i="3"/>
  <c r="AG604" i="3"/>
  <c r="AP603" i="3"/>
  <c r="AD603" i="3"/>
  <c r="AM602" i="3"/>
  <c r="AA602" i="3"/>
  <c r="AJ601" i="3"/>
  <c r="AS600" i="3"/>
  <c r="AG600" i="3"/>
  <c r="AP599" i="3"/>
  <c r="AD599" i="3"/>
  <c r="AM598" i="3"/>
  <c r="AA598" i="3"/>
  <c r="AJ597" i="3"/>
  <c r="AS596" i="3"/>
  <c r="AG596" i="3"/>
  <c r="AP595" i="3"/>
  <c r="AD595" i="3"/>
  <c r="AM594" i="3"/>
  <c r="AA594" i="3"/>
  <c r="AJ593" i="3"/>
  <c r="AS592" i="3"/>
  <c r="AG592" i="3"/>
  <c r="AP591" i="3"/>
  <c r="AD591" i="3"/>
  <c r="AM590" i="3"/>
  <c r="AA590" i="3"/>
  <c r="AJ589" i="3"/>
  <c r="AS588" i="3"/>
  <c r="AG588" i="3"/>
  <c r="AP587" i="3"/>
  <c r="AD587" i="3"/>
  <c r="AM586" i="3"/>
  <c r="AA586" i="3"/>
  <c r="AJ585" i="3"/>
  <c r="AS584" i="3"/>
  <c r="AG584" i="3"/>
  <c r="AP583" i="3"/>
  <c r="AD583" i="3"/>
  <c r="AM582" i="3"/>
  <c r="AA582" i="3"/>
  <c r="AJ581" i="3"/>
  <c r="AS580" i="3"/>
  <c r="AG580" i="3"/>
  <c r="AP579" i="3"/>
  <c r="AD579" i="3"/>
  <c r="AM578" i="3"/>
  <c r="AA578" i="3"/>
  <c r="AJ577" i="3"/>
  <c r="AS576" i="3"/>
  <c r="AG576" i="3"/>
  <c r="AP575" i="3"/>
  <c r="AD575" i="3"/>
  <c r="AM574" i="3"/>
  <c r="AA574" i="3"/>
  <c r="AJ573" i="3"/>
  <c r="AS572" i="3"/>
  <c r="AG572" i="3"/>
  <c r="AP571" i="3"/>
  <c r="AD571" i="3"/>
  <c r="AM570" i="3"/>
  <c r="AA570" i="3"/>
  <c r="AJ569" i="3"/>
  <c r="AS568" i="3"/>
  <c r="AG568" i="3"/>
  <c r="AP567" i="3"/>
  <c r="AD567" i="3"/>
  <c r="AM566" i="3"/>
  <c r="AA566" i="3"/>
  <c r="AJ565" i="3"/>
  <c r="AS564" i="3"/>
  <c r="AG564" i="3"/>
  <c r="AP563" i="3"/>
  <c r="AD563" i="3"/>
  <c r="AM562" i="3"/>
  <c r="AA562" i="3"/>
  <c r="AJ561" i="3"/>
  <c r="AS560" i="3"/>
  <c r="AG560" i="3"/>
  <c r="AP559" i="3"/>
  <c r="AD559" i="3"/>
  <c r="AM558" i="3"/>
  <c r="AA558" i="3"/>
  <c r="AJ557" i="3"/>
  <c r="AS556" i="3"/>
  <c r="AG556" i="3"/>
  <c r="AP555" i="3"/>
  <c r="AD555" i="3"/>
  <c r="AM554" i="3"/>
  <c r="AA554" i="3"/>
  <c r="AJ553" i="3"/>
  <c r="AS552" i="3"/>
  <c r="AG552" i="3"/>
  <c r="AP551" i="3"/>
  <c r="AD551" i="3"/>
  <c r="AM550" i="3"/>
  <c r="AA550" i="3"/>
  <c r="AJ549" i="3"/>
  <c r="AS548" i="3"/>
  <c r="AG548" i="3"/>
  <c r="AP547" i="3"/>
  <c r="AD547" i="3"/>
  <c r="AM546" i="3"/>
  <c r="AA546" i="3"/>
  <c r="AJ545" i="3"/>
  <c r="AS544" i="3"/>
  <c r="AG544" i="3"/>
  <c r="AP543" i="3"/>
  <c r="AD543" i="3"/>
  <c r="AM542" i="3"/>
  <c r="AA542" i="3"/>
  <c r="AJ541" i="3"/>
  <c r="AS540" i="3"/>
  <c r="AG540" i="3"/>
  <c r="AP539" i="3"/>
  <c r="AD539" i="3"/>
  <c r="AM538" i="3"/>
  <c r="AA538" i="3"/>
  <c r="AJ537" i="3"/>
  <c r="AS536" i="3"/>
  <c r="AG536" i="3"/>
  <c r="AP535" i="3"/>
  <c r="AD535" i="3"/>
  <c r="AM534" i="3"/>
  <c r="AA534" i="3"/>
  <c r="AJ533" i="3"/>
  <c r="AS532" i="3"/>
  <c r="AG532" i="3"/>
  <c r="AP531" i="3"/>
  <c r="AD531" i="3"/>
  <c r="AM530" i="3"/>
  <c r="AA530" i="3"/>
  <c r="AJ529" i="3"/>
  <c r="AS528" i="3"/>
  <c r="AG528" i="3"/>
  <c r="AP527" i="3"/>
  <c r="AD527" i="3"/>
  <c r="AM526" i="3"/>
  <c r="AA526" i="3"/>
  <c r="AJ525" i="3"/>
  <c r="AS524" i="3"/>
  <c r="AG524" i="3"/>
  <c r="AP523" i="3"/>
  <c r="AD523" i="3"/>
  <c r="AM522" i="3"/>
  <c r="AA522" i="3"/>
  <c r="AJ521" i="3"/>
  <c r="AS520" i="3"/>
  <c r="AG520" i="3"/>
  <c r="AP519" i="3"/>
  <c r="AD519" i="3"/>
  <c r="AM518" i="3"/>
  <c r="AA518" i="3"/>
  <c r="AJ517" i="3"/>
  <c r="AS516" i="3"/>
  <c r="AG516" i="3"/>
  <c r="AP515" i="3"/>
  <c r="AD515" i="3"/>
  <c r="AM514" i="3"/>
  <c r="AA514" i="3"/>
  <c r="AJ513" i="3"/>
  <c r="AS512" i="3"/>
  <c r="AG512" i="3"/>
  <c r="AP511" i="3"/>
  <c r="AD511" i="3"/>
  <c r="AM510" i="3"/>
  <c r="AA510" i="3"/>
  <c r="AJ509" i="3"/>
  <c r="AS508" i="3"/>
  <c r="AG508" i="3"/>
  <c r="AP507" i="3"/>
  <c r="AD507" i="3"/>
  <c r="AM506" i="3"/>
  <c r="AA506" i="3"/>
  <c r="AJ505" i="3"/>
  <c r="AS504" i="3"/>
  <c r="AG504" i="3"/>
  <c r="AP503" i="3"/>
  <c r="AD503" i="3"/>
  <c r="AM502" i="3"/>
  <c r="AA502" i="3"/>
  <c r="AJ501" i="3"/>
  <c r="AS500" i="3"/>
  <c r="AG500" i="3"/>
  <c r="AP499" i="3"/>
  <c r="AD499" i="3"/>
  <c r="AM498" i="3"/>
  <c r="AA498" i="3"/>
  <c r="AJ497" i="3"/>
  <c r="AS496" i="3"/>
  <c r="AG496" i="3"/>
  <c r="AP495" i="3"/>
  <c r="AD495" i="3"/>
  <c r="AM494" i="3"/>
  <c r="AA494" i="3"/>
  <c r="AJ493" i="3"/>
  <c r="AS492" i="3"/>
  <c r="AG492" i="3"/>
  <c r="AP491" i="3"/>
  <c r="AD491" i="3"/>
  <c r="AM490" i="3"/>
  <c r="AA490" i="3"/>
  <c r="AJ489" i="3"/>
  <c r="AS488" i="3"/>
  <c r="AG488" i="3"/>
  <c r="AP487" i="3"/>
  <c r="AD487" i="3"/>
  <c r="AM486" i="3"/>
  <c r="AA486" i="3"/>
  <c r="AJ485" i="3"/>
  <c r="AS484" i="3"/>
  <c r="AG484" i="3"/>
  <c r="AP483" i="3"/>
  <c r="AD483" i="3"/>
  <c r="AM482" i="3"/>
  <c r="AA482" i="3"/>
  <c r="AJ481" i="3"/>
  <c r="AS480" i="3"/>
  <c r="AG480" i="3"/>
  <c r="AP479" i="3"/>
  <c r="AD479" i="3"/>
  <c r="AM478" i="3"/>
  <c r="AA478" i="3"/>
  <c r="AJ477" i="3"/>
  <c r="AS476" i="3"/>
  <c r="AG476" i="3"/>
  <c r="AP475" i="3"/>
  <c r="AD475" i="3"/>
  <c r="AM474" i="3"/>
  <c r="AA474" i="3"/>
  <c r="AJ473" i="3"/>
  <c r="AS472" i="3"/>
  <c r="AG472" i="3"/>
  <c r="AP471" i="3"/>
  <c r="AD471" i="3"/>
  <c r="AM470" i="3"/>
  <c r="AA470" i="3"/>
  <c r="AJ469" i="3"/>
  <c r="AS468" i="3"/>
  <c r="AG468" i="3"/>
  <c r="AP467" i="3"/>
  <c r="AD467" i="3"/>
  <c r="AM466" i="3"/>
  <c r="AA466" i="3"/>
  <c r="AJ465" i="3"/>
  <c r="AS464" i="3"/>
  <c r="AG464" i="3"/>
  <c r="AP463" i="3"/>
  <c r="AD463" i="3"/>
  <c r="AM462" i="3"/>
  <c r="AA462" i="3"/>
  <c r="AJ461" i="3"/>
  <c r="AS460" i="3"/>
  <c r="AG460" i="3"/>
  <c r="AP459" i="3"/>
  <c r="AD459" i="3"/>
  <c r="AM458" i="3"/>
  <c r="AA458" i="3"/>
  <c r="AJ457" i="3"/>
  <c r="AS456" i="3"/>
  <c r="AG456" i="3"/>
  <c r="AP455" i="3"/>
  <c r="AD455" i="3"/>
  <c r="AM454" i="3"/>
  <c r="AA454" i="3"/>
  <c r="AJ453" i="3"/>
  <c r="AS452" i="3"/>
  <c r="AG452" i="3"/>
  <c r="AP451" i="3"/>
  <c r="AD451" i="3"/>
  <c r="AM450" i="3"/>
  <c r="AA450" i="3"/>
  <c r="AJ449" i="3"/>
  <c r="AS448" i="3"/>
  <c r="AG448" i="3"/>
  <c r="AP447" i="3"/>
  <c r="AD447" i="3"/>
  <c r="AM446" i="3"/>
  <c r="AA446" i="3"/>
  <c r="AJ445" i="3"/>
  <c r="AS444" i="3"/>
  <c r="AG444" i="3"/>
  <c r="AP443" i="3"/>
  <c r="AD443" i="3"/>
  <c r="AM442" i="3"/>
  <c r="AA442" i="3"/>
  <c r="AJ441" i="3"/>
  <c r="AS440" i="3"/>
  <c r="AG440" i="3"/>
  <c r="AP439" i="3"/>
  <c r="AD439" i="3"/>
  <c r="AM438" i="3"/>
  <c r="AA438" i="3"/>
  <c r="AJ437" i="3"/>
  <c r="AS436" i="3"/>
  <c r="AG436" i="3"/>
  <c r="AP435" i="3"/>
  <c r="AD435" i="3"/>
  <c r="AM434" i="3"/>
  <c r="AA434" i="3"/>
  <c r="AJ433" i="3"/>
  <c r="AS432" i="3"/>
  <c r="AG432" i="3"/>
  <c r="AP431" i="3"/>
  <c r="AD431" i="3"/>
  <c r="AM430" i="3"/>
  <c r="AA430" i="3"/>
  <c r="AJ429" i="3"/>
  <c r="AS428" i="3"/>
  <c r="AG428" i="3"/>
  <c r="AP427" i="3"/>
  <c r="AD427" i="3"/>
  <c r="AM426" i="3"/>
  <c r="AA426" i="3"/>
  <c r="AJ425" i="3"/>
  <c r="AS424" i="3"/>
  <c r="AG424" i="3"/>
  <c r="AP423" i="3"/>
  <c r="AD423" i="3"/>
  <c r="AM422" i="3"/>
  <c r="AA422" i="3"/>
  <c r="AJ421" i="3"/>
  <c r="AS420" i="3"/>
  <c r="AG420" i="3"/>
  <c r="AP419" i="3"/>
  <c r="AD419" i="3"/>
  <c r="AM418" i="3"/>
  <c r="AA418" i="3"/>
  <c r="AJ417" i="3"/>
  <c r="AS416" i="3"/>
  <c r="AG416" i="3"/>
  <c r="AP415" i="3"/>
  <c r="AD415" i="3"/>
  <c r="AM414" i="3"/>
  <c r="AA414" i="3"/>
  <c r="AJ413" i="3"/>
  <c r="AS412" i="3"/>
  <c r="AG412" i="3"/>
  <c r="AP411" i="3"/>
  <c r="AD411" i="3"/>
  <c r="AM410" i="3"/>
  <c r="AA410" i="3"/>
  <c r="AJ409" i="3"/>
  <c r="AS408" i="3"/>
  <c r="AG408" i="3"/>
  <c r="AP407" i="3"/>
  <c r="AD407" i="3"/>
  <c r="AM406" i="3"/>
  <c r="AA406" i="3"/>
  <c r="AJ405" i="3"/>
  <c r="AS404" i="3"/>
  <c r="AG404" i="3"/>
  <c r="AP403" i="3"/>
  <c r="AD403" i="3"/>
  <c r="AM402" i="3"/>
  <c r="AA402" i="3"/>
  <c r="AJ401" i="3"/>
  <c r="AS400" i="3"/>
  <c r="AG400" i="3"/>
  <c r="AP399" i="3"/>
  <c r="AD399" i="3"/>
  <c r="AM398" i="3"/>
  <c r="AA398" i="3"/>
  <c r="AJ397" i="3"/>
  <c r="AS396" i="3"/>
  <c r="AG396" i="3"/>
  <c r="AP395" i="3"/>
  <c r="AD395" i="3"/>
  <c r="AM394" i="3"/>
  <c r="AA394" i="3"/>
  <c r="AJ393" i="3"/>
  <c r="AS392" i="3"/>
  <c r="AG392" i="3"/>
  <c r="AP391" i="3"/>
  <c r="AD391" i="3"/>
  <c r="AM390" i="3"/>
  <c r="AA390" i="3"/>
  <c r="AJ389" i="3"/>
  <c r="AS388" i="3"/>
  <c r="AG388" i="3"/>
  <c r="AP387" i="3"/>
  <c r="AD387" i="3"/>
  <c r="AM386" i="3"/>
  <c r="AA386" i="3"/>
  <c r="AJ385" i="3"/>
  <c r="AS384" i="3"/>
  <c r="AG384" i="3"/>
  <c r="AP383" i="3"/>
  <c r="AD383" i="3"/>
  <c r="AM382" i="3"/>
  <c r="AA382" i="3"/>
  <c r="AJ381" i="3"/>
  <c r="AS380" i="3"/>
  <c r="AG380" i="3"/>
  <c r="AP379" i="3"/>
  <c r="AD379" i="3"/>
  <c r="AM378" i="3"/>
  <c r="AA378" i="3"/>
  <c r="AJ377" i="3"/>
  <c r="AS376" i="3"/>
  <c r="AG376" i="3"/>
  <c r="AP375" i="3"/>
  <c r="AD375" i="3"/>
  <c r="AM374" i="3"/>
  <c r="AA374" i="3"/>
  <c r="AJ373" i="3"/>
  <c r="AS372" i="3"/>
  <c r="AG372" i="3"/>
  <c r="AP371" i="3"/>
  <c r="AD371" i="3"/>
  <c r="AM370" i="3"/>
  <c r="AA370" i="3"/>
  <c r="AJ369" i="3"/>
  <c r="AS368" i="3"/>
  <c r="AG368" i="3"/>
  <c r="AP367" i="3"/>
  <c r="AD367" i="3"/>
  <c r="AM366" i="3"/>
  <c r="AA366" i="3"/>
  <c r="AJ365" i="3"/>
  <c r="AS364" i="3"/>
  <c r="AG364" i="3"/>
  <c r="AP363" i="3"/>
  <c r="AD363" i="3"/>
  <c r="AM362" i="3"/>
  <c r="AA362" i="3"/>
  <c r="AJ361" i="3"/>
  <c r="AS360" i="3"/>
  <c r="AG360" i="3"/>
  <c r="AP359" i="3"/>
  <c r="AD359" i="3"/>
  <c r="AM358" i="3"/>
  <c r="AA358" i="3"/>
  <c r="AJ357" i="3"/>
  <c r="AS356" i="3"/>
  <c r="AG356" i="3"/>
  <c r="AP355" i="3"/>
  <c r="AD355" i="3"/>
  <c r="AM354" i="3"/>
  <c r="AA354" i="3"/>
  <c r="AJ353" i="3"/>
  <c r="AS352" i="3"/>
  <c r="AG352" i="3"/>
  <c r="AP351" i="3"/>
  <c r="AD351" i="3"/>
  <c r="AM350" i="3"/>
  <c r="AA350" i="3"/>
  <c r="AJ349" i="3"/>
  <c r="AS348" i="3"/>
  <c r="AG348" i="3"/>
  <c r="AP347" i="3"/>
  <c r="AD347" i="3"/>
  <c r="AM346" i="3"/>
  <c r="AA346" i="3"/>
  <c r="AJ345" i="3"/>
  <c r="AS344" i="3"/>
  <c r="AG344" i="3"/>
  <c r="AP343" i="3"/>
  <c r="AD343" i="3"/>
  <c r="AM342" i="3"/>
  <c r="AA342" i="3"/>
  <c r="AJ341" i="3"/>
  <c r="AS340" i="3"/>
  <c r="AG340" i="3"/>
  <c r="AP339" i="3"/>
  <c r="AD339" i="3"/>
  <c r="AM338" i="3"/>
  <c r="AA338" i="3"/>
  <c r="AJ337" i="3"/>
  <c r="AS336" i="3"/>
  <c r="AG336" i="3"/>
  <c r="AP335" i="3"/>
  <c r="AD335" i="3"/>
  <c r="AM334" i="3"/>
  <c r="AA334" i="3"/>
  <c r="AJ333" i="3"/>
  <c r="AS332" i="3"/>
  <c r="AG332" i="3"/>
  <c r="AP331" i="3"/>
  <c r="AD331" i="3"/>
  <c r="AM330" i="3"/>
  <c r="AA330" i="3"/>
  <c r="AJ329" i="3"/>
  <c r="AS328" i="3"/>
  <c r="AG328" i="3"/>
  <c r="AP327" i="3"/>
  <c r="AD327" i="3"/>
  <c r="AM326" i="3"/>
  <c r="AA326" i="3"/>
  <c r="AJ325" i="3"/>
  <c r="AS324" i="3"/>
  <c r="AG324" i="3"/>
  <c r="AP323" i="3"/>
  <c r="AD323" i="3"/>
  <c r="AM322" i="3"/>
  <c r="AA322" i="3"/>
  <c r="AJ321" i="3"/>
  <c r="AS320" i="3"/>
  <c r="AG320" i="3"/>
  <c r="AP319" i="3"/>
  <c r="AD319" i="3"/>
  <c r="AM318" i="3"/>
  <c r="AA318" i="3"/>
  <c r="AJ317" i="3"/>
  <c r="AS316" i="3"/>
  <c r="AG316" i="3"/>
  <c r="AP315" i="3"/>
  <c r="AD315" i="3"/>
  <c r="AM314" i="3"/>
  <c r="AA314" i="3"/>
  <c r="AJ313" i="3"/>
  <c r="AS312" i="3"/>
  <c r="AG312" i="3"/>
  <c r="AP311" i="3"/>
  <c r="AD311" i="3"/>
  <c r="AM310" i="3"/>
  <c r="AA310" i="3"/>
  <c r="AJ309" i="3"/>
  <c r="AS308" i="3"/>
  <c r="AG308" i="3"/>
  <c r="AP307" i="3"/>
  <c r="AD307" i="3"/>
  <c r="AM306" i="3"/>
  <c r="AA306" i="3"/>
  <c r="AJ305" i="3"/>
  <c r="AS304" i="3"/>
  <c r="AG304" i="3"/>
  <c r="AP303" i="3"/>
  <c r="AD303" i="3"/>
  <c r="AM302" i="3"/>
  <c r="AA302" i="3"/>
  <c r="AJ301" i="3"/>
  <c r="AS300" i="3"/>
  <c r="AG300" i="3"/>
  <c r="AP299" i="3"/>
  <c r="AD299" i="3"/>
  <c r="AM298" i="3"/>
  <c r="AA298" i="3"/>
  <c r="AJ297" i="3"/>
  <c r="AS296" i="3"/>
  <c r="AG296" i="3"/>
  <c r="AP295" i="3"/>
  <c r="AD295" i="3"/>
  <c r="AM294" i="3"/>
  <c r="AA294" i="3"/>
  <c r="AJ293" i="3"/>
  <c r="AS292" i="3"/>
  <c r="AG292" i="3"/>
  <c r="AP291" i="3"/>
  <c r="AD291" i="3"/>
  <c r="AM290" i="3"/>
  <c r="AA290" i="3"/>
  <c r="AJ289" i="3"/>
  <c r="AS288" i="3"/>
  <c r="AG288" i="3"/>
  <c r="AP287" i="3"/>
  <c r="AD287" i="3"/>
  <c r="AM286" i="3"/>
  <c r="AA286" i="3"/>
  <c r="AJ285" i="3"/>
  <c r="AS284" i="3"/>
  <c r="AG284" i="3"/>
  <c r="AP283" i="3"/>
  <c r="AD283" i="3"/>
  <c r="AM282" i="3"/>
  <c r="AA282" i="3"/>
  <c r="AJ281" i="3"/>
  <c r="AS280" i="3"/>
  <c r="AG280" i="3"/>
  <c r="AP279" i="3"/>
  <c r="AD279" i="3"/>
  <c r="AM278" i="3"/>
  <c r="AA278" i="3"/>
  <c r="AJ277" i="3"/>
  <c r="AS276" i="3"/>
  <c r="AG276" i="3"/>
  <c r="AP275" i="3"/>
  <c r="AD275" i="3"/>
  <c r="AM274" i="3"/>
  <c r="AA274" i="3"/>
  <c r="AJ273" i="3"/>
  <c r="AS272" i="3"/>
  <c r="AG272" i="3"/>
  <c r="AP271" i="3"/>
  <c r="AD271" i="3"/>
  <c r="AM270" i="3"/>
  <c r="AA270" i="3"/>
  <c r="AJ269" i="3"/>
  <c r="AS268" i="3"/>
  <c r="AG268" i="3"/>
  <c r="AP267" i="3"/>
  <c r="AD267" i="3"/>
  <c r="AM266" i="3"/>
  <c r="AA266" i="3"/>
  <c r="AJ265" i="3"/>
  <c r="AS264" i="3"/>
  <c r="AG264" i="3"/>
  <c r="AP263" i="3"/>
  <c r="AD263" i="3"/>
  <c r="AM262" i="3"/>
  <c r="AA262" i="3"/>
  <c r="AJ261" i="3"/>
  <c r="AS260" i="3"/>
  <c r="AG260" i="3"/>
  <c r="AP259" i="3"/>
  <c r="AD259" i="3"/>
  <c r="AM258" i="3"/>
  <c r="AA258" i="3"/>
  <c r="AJ257" i="3"/>
  <c r="AS256" i="3"/>
  <c r="AG256" i="3"/>
  <c r="AP255" i="3"/>
  <c r="AD255" i="3"/>
  <c r="AM254" i="3"/>
  <c r="AA254" i="3"/>
  <c r="AJ253" i="3"/>
  <c r="AS252" i="3"/>
  <c r="AG252" i="3"/>
  <c r="AP251" i="3"/>
  <c r="AD251" i="3"/>
  <c r="AM250" i="3"/>
  <c r="AA250" i="3"/>
  <c r="AJ249" i="3"/>
  <c r="AS248" i="3"/>
  <c r="AG248" i="3"/>
  <c r="AP247" i="3"/>
  <c r="AD247" i="3"/>
  <c r="AM246" i="3"/>
  <c r="AA246" i="3"/>
  <c r="AJ245" i="3"/>
  <c r="AS244" i="3"/>
  <c r="AG244" i="3"/>
  <c r="AP243" i="3"/>
  <c r="AD243" i="3"/>
  <c r="AM242" i="3"/>
  <c r="AA242" i="3"/>
  <c r="AJ241" i="3"/>
  <c r="AS240" i="3"/>
  <c r="AG240" i="3"/>
  <c r="AP239" i="3"/>
  <c r="AD239" i="3"/>
  <c r="AM238" i="3"/>
  <c r="AA238" i="3"/>
  <c r="AJ237" i="3"/>
  <c r="AS236" i="3"/>
  <c r="AG236" i="3"/>
  <c r="AP235" i="3"/>
  <c r="AD235" i="3"/>
  <c r="AM234" i="3"/>
  <c r="AA234" i="3"/>
  <c r="AJ233" i="3"/>
  <c r="AS232" i="3"/>
  <c r="AG232" i="3"/>
  <c r="AP231" i="3"/>
  <c r="AD231" i="3"/>
  <c r="AM230" i="3"/>
  <c r="AA230" i="3"/>
  <c r="AJ229" i="3"/>
  <c r="AS228" i="3"/>
  <c r="AG228" i="3"/>
  <c r="AP227" i="3"/>
  <c r="AD227" i="3"/>
  <c r="AM226" i="3"/>
  <c r="AA226" i="3"/>
  <c r="AJ225" i="3"/>
  <c r="AS224" i="3"/>
  <c r="AG224" i="3"/>
  <c r="AP223" i="3"/>
  <c r="AD223" i="3"/>
  <c r="AM222" i="3"/>
  <c r="AA222" i="3"/>
  <c r="AJ221" i="3"/>
  <c r="AS220" i="3"/>
  <c r="AG220" i="3"/>
  <c r="AP219" i="3"/>
  <c r="AD219" i="3"/>
  <c r="AM218" i="3"/>
  <c r="AA218" i="3"/>
  <c r="AJ217" i="3"/>
  <c r="AS216" i="3"/>
  <c r="AG216" i="3"/>
  <c r="AP215" i="3"/>
  <c r="AD215" i="3"/>
  <c r="AM214" i="3"/>
  <c r="AA214" i="3"/>
  <c r="AJ213" i="3"/>
  <c r="AS212" i="3"/>
  <c r="AG212" i="3"/>
  <c r="AP211" i="3"/>
  <c r="AD211" i="3"/>
  <c r="AM210" i="3"/>
  <c r="AA210" i="3"/>
  <c r="AJ209" i="3"/>
  <c r="AS208" i="3"/>
  <c r="AG208" i="3"/>
  <c r="AP207" i="3"/>
  <c r="AD207" i="3"/>
  <c r="AM206" i="3"/>
  <c r="AA206" i="3"/>
  <c r="AJ205" i="3"/>
  <c r="AS204" i="3"/>
  <c r="AG204" i="3"/>
  <c r="AM35" i="3"/>
  <c r="AA35" i="3"/>
  <c r="AJ34" i="3"/>
  <c r="AS33" i="3"/>
  <c r="AG33" i="3"/>
  <c r="AP32" i="3"/>
  <c r="AD32" i="3"/>
  <c r="AM31" i="3"/>
  <c r="AA31" i="3"/>
  <c r="AJ30" i="3"/>
  <c r="AS29" i="3"/>
  <c r="AG29" i="3"/>
  <c r="AP28" i="3"/>
  <c r="AD28" i="3"/>
  <c r="AM27" i="3"/>
  <c r="AA27" i="3"/>
  <c r="AJ26" i="3"/>
  <c r="AS25" i="3"/>
  <c r="AG25" i="3"/>
  <c r="AP24" i="3"/>
  <c r="AD24" i="3"/>
  <c r="AM23" i="3"/>
  <c r="AA23" i="3"/>
  <c r="AJ22" i="3"/>
  <c r="AS21" i="3"/>
  <c r="AG21" i="3"/>
  <c r="AP20" i="3"/>
  <c r="AD20" i="3"/>
  <c r="AM19" i="3"/>
  <c r="AA19" i="3"/>
  <c r="AJ18" i="3"/>
  <c r="AS17" i="3"/>
  <c r="AG17" i="3"/>
  <c r="AP16" i="3"/>
  <c r="AD16" i="3"/>
  <c r="AM15" i="3"/>
  <c r="AA15" i="3"/>
  <c r="AJ14" i="3"/>
  <c r="AS13" i="3"/>
  <c r="AG13" i="3"/>
  <c r="AP12" i="3"/>
  <c r="AM11" i="3"/>
  <c r="AA11" i="3"/>
  <c r="AS9" i="3"/>
  <c r="AG9" i="3"/>
  <c r="AP8" i="3"/>
  <c r="AA7" i="3"/>
  <c r="AA3" i="3"/>
  <c r="AM92" i="3"/>
  <c r="AA92" i="3"/>
  <c r="AJ91" i="3"/>
  <c r="AS90" i="3"/>
  <c r="AG90" i="3"/>
  <c r="AP89" i="3"/>
  <c r="AD89" i="3"/>
  <c r="AM88" i="3"/>
  <c r="AA88" i="3"/>
  <c r="AJ87" i="3"/>
  <c r="AS86" i="3"/>
  <c r="AG86" i="3"/>
  <c r="AP85" i="3"/>
  <c r="AD85" i="3"/>
  <c r="AM84" i="3"/>
  <c r="AA84" i="3"/>
  <c r="AJ83" i="3"/>
  <c r="AS82" i="3"/>
  <c r="AG82" i="3"/>
  <c r="AP81" i="3"/>
  <c r="AD81" i="3"/>
  <c r="AM80" i="3"/>
  <c r="AG70" i="3"/>
  <c r="AP69" i="3"/>
  <c r="AD69" i="3"/>
  <c r="AM68" i="3"/>
  <c r="AA68" i="3"/>
  <c r="AJ67" i="3"/>
  <c r="AS66" i="3"/>
  <c r="AG66" i="3"/>
  <c r="AP65" i="3"/>
  <c r="AD65" i="3"/>
  <c r="AM64" i="3"/>
  <c r="AA64" i="3"/>
  <c r="AJ63" i="3"/>
  <c r="AS62" i="3"/>
  <c r="AG62" i="3"/>
  <c r="AP61" i="3"/>
  <c r="AD61" i="3"/>
  <c r="AM60" i="3"/>
  <c r="AA60" i="3"/>
  <c r="AJ59" i="3"/>
  <c r="AS58" i="3"/>
  <c r="AG58" i="3"/>
  <c r="AP57" i="3"/>
  <c r="AD57" i="3"/>
  <c r="AM56" i="3"/>
  <c r="AA56" i="3"/>
  <c r="AJ55" i="3"/>
  <c r="AS54" i="3"/>
  <c r="AG54" i="3"/>
  <c r="AP53" i="3"/>
  <c r="AD53" i="3"/>
  <c r="AM52" i="3"/>
  <c r="AA52" i="3"/>
  <c r="AJ51" i="3"/>
  <c r="AS50" i="3"/>
  <c r="AG50" i="3"/>
  <c r="AP49" i="3"/>
  <c r="AD49" i="3"/>
  <c r="AM48" i="3"/>
  <c r="AA48" i="3"/>
  <c r="AJ47" i="3"/>
  <c r="AS46" i="3"/>
  <c r="AG46" i="3"/>
  <c r="AP45" i="3"/>
  <c r="AD45" i="3"/>
  <c r="AM44" i="3"/>
  <c r="AA44" i="3"/>
  <c r="AJ43" i="3"/>
  <c r="AS42" i="3"/>
  <c r="AG42" i="3"/>
  <c r="AP41" i="3"/>
  <c r="AD41" i="3"/>
  <c r="AM40" i="3"/>
  <c r="AA40" i="3"/>
  <c r="AJ39" i="3"/>
  <c r="AS38" i="3"/>
  <c r="AG38" i="3"/>
  <c r="AP37" i="3"/>
  <c r="AD37" i="3"/>
  <c r="AM36" i="3"/>
  <c r="AA36" i="3"/>
  <c r="AJ35" i="3"/>
  <c r="AS34" i="3"/>
  <c r="AG34" i="3"/>
  <c r="AP33" i="3"/>
  <c r="AD33" i="3"/>
  <c r="AM32" i="3"/>
  <c r="AA32" i="3"/>
  <c r="AJ31" i="3"/>
  <c r="AS30" i="3"/>
  <c r="AG30" i="3"/>
  <c r="AP29" i="3"/>
  <c r="AD29" i="3"/>
  <c r="AM28" i="3"/>
  <c r="AA28" i="3"/>
  <c r="AJ27" i="3"/>
  <c r="AS26" i="3"/>
  <c r="AG26" i="3"/>
  <c r="AP25" i="3"/>
  <c r="AD25" i="3"/>
  <c r="AM24" i="3"/>
  <c r="AA24" i="3"/>
  <c r="AJ23" i="3"/>
  <c r="AS22" i="3"/>
  <c r="AG22" i="3"/>
  <c r="AP21" i="3"/>
  <c r="AD21" i="3"/>
  <c r="AM20" i="3"/>
  <c r="AA20" i="3"/>
  <c r="AJ19" i="3"/>
  <c r="AS18" i="3"/>
  <c r="AG18" i="3"/>
  <c r="AP17" i="3"/>
  <c r="AD17" i="3"/>
  <c r="AM16" i="3"/>
  <c r="AA16" i="3"/>
  <c r="AJ15" i="3"/>
  <c r="AS14" i="3"/>
  <c r="AG14" i="3"/>
  <c r="AP13" i="3"/>
  <c r="AM12" i="3"/>
  <c r="AA12" i="3"/>
  <c r="AS10" i="3"/>
  <c r="AG10" i="3"/>
  <c r="AP9" i="3"/>
  <c r="AA8" i="3"/>
  <c r="AA4" i="3"/>
  <c r="AM13" i="3"/>
  <c r="AA13" i="3"/>
  <c r="AS11" i="3"/>
  <c r="AG11" i="3"/>
  <c r="AP10" i="3"/>
  <c r="AA9" i="3"/>
  <c r="AG7" i="3"/>
  <c r="AP6" i="3"/>
  <c r="AA5" i="3"/>
  <c r="AP203" i="3"/>
  <c r="AD203" i="3"/>
  <c r="AM202" i="3"/>
  <c r="AA202" i="3"/>
  <c r="AJ201" i="3"/>
  <c r="AS200" i="3"/>
  <c r="AG200" i="3"/>
  <c r="AP199" i="3"/>
  <c r="AD199" i="3"/>
  <c r="AM198" i="3"/>
  <c r="AA198" i="3"/>
  <c r="AJ197" i="3"/>
  <c r="AS196" i="3"/>
  <c r="AG196" i="3"/>
  <c r="AP195" i="3"/>
  <c r="AD195" i="3"/>
  <c r="AM194" i="3"/>
  <c r="AA194" i="3"/>
  <c r="AJ193" i="3"/>
  <c r="AS192" i="3"/>
  <c r="AG192" i="3"/>
  <c r="AP191" i="3"/>
  <c r="AD191" i="3"/>
  <c r="AM190" i="3"/>
  <c r="AA190" i="3"/>
  <c r="AJ189" i="3"/>
  <c r="AS188" i="3"/>
  <c r="AG188" i="3"/>
  <c r="AP187" i="3"/>
  <c r="AD187" i="3"/>
  <c r="AM186" i="3"/>
  <c r="AA186" i="3"/>
  <c r="AJ185" i="3"/>
  <c r="AS184" i="3"/>
  <c r="AG184" i="3"/>
  <c r="AP183" i="3"/>
  <c r="AD183" i="3"/>
  <c r="AM182" i="3"/>
  <c r="AA182" i="3"/>
  <c r="AJ181" i="3"/>
  <c r="AS180" i="3"/>
  <c r="AG180" i="3"/>
  <c r="AP179" i="3"/>
  <c r="AD179" i="3"/>
  <c r="AM178" i="3"/>
  <c r="AA178" i="3"/>
  <c r="AJ177" i="3"/>
  <c r="AS176" i="3"/>
  <c r="AG176" i="3"/>
  <c r="AP175" i="3"/>
  <c r="AD175" i="3"/>
  <c r="AM174" i="3"/>
  <c r="AA174" i="3"/>
  <c r="AJ173" i="3"/>
  <c r="AS172" i="3"/>
  <c r="AG172" i="3"/>
  <c r="AP171" i="3"/>
  <c r="AD171" i="3"/>
  <c r="AM170" i="3"/>
  <c r="AA170" i="3"/>
  <c r="AJ169" i="3"/>
  <c r="AS168" i="3"/>
  <c r="AG168" i="3"/>
  <c r="AP167" i="3"/>
  <c r="AD167" i="3"/>
  <c r="AM166" i="3"/>
  <c r="AA166" i="3"/>
  <c r="AJ165" i="3"/>
  <c r="AS164" i="3"/>
  <c r="AG164" i="3"/>
  <c r="AP163" i="3"/>
  <c r="AD163" i="3"/>
  <c r="AM162" i="3"/>
  <c r="AA162" i="3"/>
  <c r="AJ161" i="3"/>
  <c r="AS160" i="3"/>
  <c r="AG160" i="3"/>
  <c r="AP159" i="3"/>
  <c r="AD159" i="3"/>
  <c r="AM158" i="3"/>
  <c r="AA158" i="3"/>
  <c r="AJ157" i="3"/>
  <c r="AS156" i="3"/>
  <c r="AG156" i="3"/>
  <c r="AP155" i="3"/>
  <c r="AD155" i="3"/>
  <c r="AM154" i="3"/>
  <c r="AA154" i="3"/>
  <c r="AJ153" i="3"/>
  <c r="AS152" i="3"/>
  <c r="AG152" i="3"/>
  <c r="AP151" i="3"/>
  <c r="AD151" i="3"/>
  <c r="AM150" i="3"/>
  <c r="AA150" i="3"/>
  <c r="AJ149" i="3"/>
  <c r="AS148" i="3"/>
  <c r="AG148" i="3"/>
  <c r="AP147" i="3"/>
  <c r="AD147" i="3"/>
  <c r="AM146" i="3"/>
  <c r="AA146" i="3"/>
  <c r="AJ145" i="3"/>
  <c r="AS144" i="3"/>
  <c r="AG144" i="3"/>
  <c r="AP143" i="3"/>
  <c r="AD143" i="3"/>
  <c r="AM142" i="3"/>
  <c r="AA142" i="3"/>
  <c r="AJ141" i="3"/>
  <c r="AS140" i="3"/>
  <c r="AG140" i="3"/>
  <c r="AP139" i="3"/>
  <c r="AD139" i="3"/>
  <c r="AM138" i="3"/>
  <c r="AA138" i="3"/>
  <c r="AJ137" i="3"/>
  <c r="AS136" i="3"/>
  <c r="AG136" i="3"/>
  <c r="AP135" i="3"/>
  <c r="AD135" i="3"/>
  <c r="AM134" i="3"/>
  <c r="AA134" i="3"/>
  <c r="AJ133" i="3"/>
  <c r="AS132" i="3"/>
  <c r="AG132" i="3"/>
  <c r="AP131" i="3"/>
  <c r="AD131" i="3"/>
  <c r="AM130" i="3"/>
  <c r="AA130" i="3"/>
  <c r="AJ129" i="3"/>
  <c r="AS128" i="3"/>
  <c r="AG128" i="3"/>
  <c r="AP127" i="3"/>
  <c r="AD127" i="3"/>
  <c r="AM126" i="3"/>
  <c r="AA126" i="3"/>
  <c r="AJ125" i="3"/>
  <c r="AS124" i="3"/>
  <c r="AG124" i="3"/>
  <c r="AP123" i="3"/>
  <c r="AD123" i="3"/>
  <c r="AM122" i="3"/>
  <c r="AA122" i="3"/>
  <c r="AJ121" i="3"/>
  <c r="AS120" i="3"/>
  <c r="AG120" i="3"/>
  <c r="AP119" i="3"/>
  <c r="AD119" i="3"/>
  <c r="AM118" i="3"/>
  <c r="AA118" i="3"/>
  <c r="AJ117" i="3"/>
  <c r="AS116" i="3"/>
  <c r="AG116" i="3"/>
  <c r="AP115" i="3"/>
  <c r="AD115" i="3"/>
  <c r="AM114" i="3"/>
  <c r="AA114" i="3"/>
  <c r="AJ113" i="3"/>
  <c r="AS112" i="3"/>
  <c r="AG112" i="3"/>
  <c r="AP111" i="3"/>
  <c r="AD111" i="3"/>
  <c r="AM110" i="3"/>
  <c r="AA110" i="3"/>
  <c r="AJ109" i="3"/>
  <c r="AS108" i="3"/>
  <c r="AG108" i="3"/>
  <c r="AP107" i="3"/>
  <c r="AD107" i="3"/>
  <c r="AM106" i="3"/>
  <c r="AA106" i="3"/>
  <c r="AJ105" i="3"/>
  <c r="AS104" i="3"/>
  <c r="AG104" i="3"/>
  <c r="AP103" i="3"/>
  <c r="AD103" i="3"/>
  <c r="AM102" i="3"/>
  <c r="AA102" i="3"/>
  <c r="AJ101" i="3"/>
  <c r="AS100" i="3"/>
  <c r="AG100" i="3"/>
  <c r="AP99" i="3"/>
  <c r="AD99" i="3"/>
  <c r="AM98" i="3"/>
  <c r="AA98" i="3"/>
  <c r="AJ97" i="3"/>
  <c r="AS96" i="3"/>
  <c r="AG96" i="3"/>
  <c r="AP95" i="3"/>
  <c r="AD95" i="3"/>
  <c r="AM94" i="3"/>
  <c r="AA94" i="3"/>
  <c r="AJ93" i="3"/>
  <c r="AS92" i="3"/>
  <c r="AG92" i="3"/>
  <c r="AP91" i="3"/>
  <c r="AD91" i="3"/>
  <c r="AM90" i="3"/>
  <c r="AA90" i="3"/>
  <c r="AJ89" i="3"/>
  <c r="AS88" i="3"/>
  <c r="AG88" i="3"/>
  <c r="AP87" i="3"/>
  <c r="AD87" i="3"/>
  <c r="AM86" i="3"/>
  <c r="AA86" i="3"/>
  <c r="AJ85" i="3"/>
  <c r="AS84" i="3"/>
  <c r="AG84" i="3"/>
  <c r="AP83" i="3"/>
  <c r="AD83" i="3"/>
  <c r="AM82" i="3"/>
  <c r="AA82" i="3"/>
  <c r="AJ81" i="3"/>
  <c r="AS80" i="3"/>
  <c r="AG80" i="3"/>
  <c r="AP79" i="3"/>
  <c r="AD79" i="3"/>
  <c r="AM78" i="3"/>
  <c r="AA78" i="3"/>
  <c r="AJ77" i="3"/>
  <c r="AS76" i="3"/>
  <c r="AG76" i="3"/>
  <c r="AP75" i="3"/>
  <c r="AD75" i="3"/>
  <c r="AM74" i="3"/>
  <c r="AA74" i="3"/>
  <c r="AJ73" i="3"/>
  <c r="AS72" i="3"/>
  <c r="AG72" i="3"/>
  <c r="AP71" i="3"/>
  <c r="AD71" i="3"/>
  <c r="AM70" i="3"/>
  <c r="AA70" i="3"/>
  <c r="AJ69" i="3"/>
  <c r="AS68" i="3"/>
  <c r="AG68" i="3"/>
  <c r="AP67" i="3"/>
  <c r="AD67" i="3"/>
  <c r="AM66" i="3"/>
  <c r="AA66" i="3"/>
  <c r="AJ65" i="3"/>
  <c r="AS64" i="3"/>
  <c r="AG64" i="3"/>
  <c r="AP63" i="3"/>
  <c r="AD63" i="3"/>
  <c r="AM62" i="3"/>
  <c r="AA62" i="3"/>
  <c r="AJ61" i="3"/>
  <c r="AS60" i="3"/>
  <c r="AG60" i="3"/>
  <c r="AP59" i="3"/>
  <c r="AD59" i="3"/>
  <c r="AM58" i="3"/>
  <c r="AA58" i="3"/>
  <c r="AJ57" i="3"/>
  <c r="AS56" i="3"/>
  <c r="AG56" i="3"/>
  <c r="AP55" i="3"/>
  <c r="AD55" i="3"/>
  <c r="AM54" i="3"/>
  <c r="AA54" i="3"/>
  <c r="AJ53" i="3"/>
  <c r="AS52" i="3"/>
  <c r="AG52" i="3"/>
  <c r="AP51" i="3"/>
  <c r="AD51" i="3"/>
  <c r="AM50" i="3"/>
  <c r="AA50" i="3"/>
  <c r="AJ49" i="3"/>
  <c r="AS48" i="3"/>
  <c r="AG48" i="3"/>
  <c r="AP47" i="3"/>
  <c r="AD47" i="3"/>
  <c r="AM46" i="3"/>
  <c r="AA46" i="3"/>
  <c r="AJ45" i="3"/>
  <c r="AS44" i="3"/>
  <c r="AG44" i="3"/>
  <c r="AP43" i="3"/>
  <c r="AD43" i="3"/>
  <c r="AM42" i="3"/>
  <c r="AA42" i="3"/>
  <c r="AJ41" i="3"/>
  <c r="AS40" i="3"/>
  <c r="AG40" i="3"/>
  <c r="AP39" i="3"/>
  <c r="AD39" i="3"/>
  <c r="AM38" i="3"/>
  <c r="AA38" i="3"/>
  <c r="AJ37" i="3"/>
  <c r="AS36" i="3"/>
  <c r="AG36" i="3"/>
  <c r="AP35" i="3"/>
  <c r="AD35" i="3"/>
  <c r="AM34" i="3"/>
  <c r="AA34" i="3"/>
  <c r="AJ33" i="3"/>
  <c r="AS32" i="3"/>
  <c r="AG32" i="3"/>
  <c r="AP31" i="3"/>
  <c r="AD31" i="3"/>
  <c r="AM30" i="3"/>
  <c r="AA30" i="3"/>
  <c r="AJ29" i="3"/>
  <c r="AS28" i="3"/>
  <c r="AG28" i="3"/>
  <c r="AP27" i="3"/>
  <c r="AD27" i="3"/>
  <c r="AM26" i="3"/>
  <c r="AA26" i="3"/>
  <c r="AJ25" i="3"/>
  <c r="AS24" i="3"/>
  <c r="AG24" i="3"/>
  <c r="AP23" i="3"/>
  <c r="AD23" i="3"/>
  <c r="AM22" i="3"/>
  <c r="AA22" i="3"/>
  <c r="AJ21" i="3"/>
  <c r="AS20" i="3"/>
  <c r="AG20" i="3"/>
  <c r="AP19" i="3"/>
  <c r="AD19" i="3"/>
  <c r="AM18" i="3"/>
  <c r="AA18" i="3"/>
  <c r="AJ17" i="3"/>
  <c r="AS16" i="3"/>
  <c r="AG16" i="3"/>
  <c r="AP15" i="3"/>
  <c r="AM14" i="3"/>
  <c r="AA14" i="3"/>
  <c r="AS12" i="3"/>
  <c r="AG12" i="3"/>
  <c r="AP11" i="3"/>
  <c r="AM10" i="3"/>
  <c r="AA10" i="3"/>
  <c r="AS8" i="3"/>
  <c r="AG8" i="3"/>
  <c r="AP7" i="3"/>
  <c r="AA6" i="3"/>
  <c r="H3" i="1"/>
  <c r="L3" i="1"/>
  <c r="Y3" i="1"/>
  <c r="Z3" i="1"/>
  <c r="F3" i="1"/>
  <c r="G3" i="1"/>
  <c r="P3" i="1"/>
  <c r="U3" i="1"/>
  <c r="AF3" i="1"/>
  <c r="K3" i="1"/>
  <c r="AE3" i="1"/>
  <c r="J3" i="1"/>
  <c r="X3" i="1"/>
  <c r="AD3" i="1"/>
  <c r="E3" i="1"/>
  <c r="N3" i="1"/>
  <c r="O3" i="1"/>
  <c r="T3" i="1"/>
  <c r="W3" i="1"/>
  <c r="S3" i="1"/>
  <c r="I3" i="1"/>
  <c r="M3" i="1"/>
  <c r="R3" i="1"/>
  <c r="V3" i="1"/>
  <c r="AA3" i="1"/>
  <c r="AB3" i="1"/>
  <c r="AC3" i="1"/>
  <c r="AG3" i="1"/>
  <c r="Q3" i="1"/>
  <c r="F78" i="3"/>
  <c r="T78" i="3" s="1"/>
  <c r="F29" i="3"/>
  <c r="T29" i="3" s="1"/>
  <c r="F74" i="3"/>
  <c r="T74" i="3" s="1"/>
  <c r="F98" i="3"/>
  <c r="T98" i="3" s="1"/>
  <c r="F21" i="3"/>
  <c r="T21" i="3" s="1"/>
  <c r="F13" i="3"/>
  <c r="T13" i="3" s="1"/>
  <c r="F5" i="3"/>
  <c r="T5" i="3" s="1"/>
  <c r="F45" i="3"/>
  <c r="T45" i="3" s="1"/>
  <c r="F90" i="3"/>
  <c r="T90" i="3" s="1"/>
  <c r="F82" i="3"/>
  <c r="T82" i="3" s="1"/>
  <c r="F33" i="3"/>
  <c r="T33" i="3" s="1"/>
  <c r="F119" i="3"/>
  <c r="T119" i="3" s="1"/>
  <c r="F70" i="3"/>
  <c r="T70" i="3" s="1"/>
  <c r="F115" i="3"/>
  <c r="T115" i="3" s="1"/>
  <c r="F66" i="3"/>
  <c r="T66" i="3" s="1"/>
  <c r="F111" i="3"/>
  <c r="T111" i="3" s="1"/>
  <c r="F62" i="3"/>
  <c r="T62" i="3" s="1"/>
  <c r="F107" i="3"/>
  <c r="T107" i="3" s="1"/>
  <c r="F58" i="3"/>
  <c r="T58" i="3" s="1"/>
  <c r="F103" i="3"/>
  <c r="T103" i="3" s="1"/>
  <c r="F54" i="3"/>
  <c r="T54" i="3" s="1"/>
  <c r="F291" i="3"/>
  <c r="T291" i="3" s="1"/>
  <c r="F99" i="3"/>
  <c r="T99" i="3" s="1"/>
  <c r="F50" i="3"/>
  <c r="T50" i="3" s="1"/>
  <c r="F6" i="3"/>
  <c r="T6" i="3" s="1"/>
  <c r="F53" i="3"/>
  <c r="T53" i="3" s="1"/>
  <c r="F49" i="3"/>
  <c r="T49" i="3" s="1"/>
  <c r="F94" i="3"/>
  <c r="T94" i="3" s="1"/>
  <c r="F41" i="3"/>
  <c r="T41" i="3" s="1"/>
  <c r="F86" i="3"/>
  <c r="T86" i="3" s="1"/>
  <c r="F37" i="3"/>
  <c r="T37" i="3" s="1"/>
  <c r="F20" i="3"/>
  <c r="T20" i="3" s="1"/>
  <c r="F12" i="3"/>
  <c r="T12" i="3" s="1"/>
  <c r="F4" i="3"/>
  <c r="T4" i="3" s="1"/>
  <c r="F19" i="3"/>
  <c r="T19" i="3" s="1"/>
  <c r="F11" i="3"/>
  <c r="T11" i="3" s="1"/>
  <c r="F3" i="3"/>
  <c r="T3" i="3" s="1"/>
  <c r="F95" i="3"/>
  <c r="T95" i="3" s="1"/>
  <c r="F46" i="3"/>
  <c r="T46" i="3" s="1"/>
  <c r="F91" i="3"/>
  <c r="T91" i="3" s="1"/>
  <c r="F42" i="3"/>
  <c r="T42" i="3" s="1"/>
  <c r="F87" i="3"/>
  <c r="T87" i="3" s="1"/>
  <c r="F38" i="3"/>
  <c r="T38" i="3" s="1"/>
  <c r="F83" i="3"/>
  <c r="T83" i="3" s="1"/>
  <c r="F34" i="3"/>
  <c r="T34" i="3" s="1"/>
  <c r="F128" i="3"/>
  <c r="T128" i="3" s="1"/>
  <c r="F79" i="3"/>
  <c r="T79" i="3" s="1"/>
  <c r="F30" i="3"/>
  <c r="T30" i="3" s="1"/>
  <c r="F124" i="3"/>
  <c r="T124" i="3" s="1"/>
  <c r="F75" i="3"/>
  <c r="T75" i="3" s="1"/>
  <c r="F26" i="3"/>
  <c r="T26" i="3" s="1"/>
  <c r="F2" i="3"/>
  <c r="F18" i="3"/>
  <c r="T18" i="3" s="1"/>
  <c r="F120" i="3"/>
  <c r="T120" i="3" s="1"/>
  <c r="F71" i="3"/>
  <c r="T71" i="3" s="1"/>
  <c r="F116" i="3"/>
  <c r="T116" i="3" s="1"/>
  <c r="F67" i="3"/>
  <c r="T67" i="3" s="1"/>
  <c r="F112" i="3"/>
  <c r="T112" i="3" s="1"/>
  <c r="F63" i="3"/>
  <c r="T63" i="3" s="1"/>
  <c r="F108" i="3"/>
  <c r="T108" i="3" s="1"/>
  <c r="F59" i="3"/>
  <c r="T59" i="3" s="1"/>
  <c r="F104" i="3"/>
  <c r="T104" i="3" s="1"/>
  <c r="F55" i="3"/>
  <c r="T55" i="3" s="1"/>
  <c r="F100" i="3"/>
  <c r="T100" i="3" s="1"/>
  <c r="F51" i="3"/>
  <c r="T51" i="3" s="1"/>
  <c r="F65" i="3"/>
  <c r="T65" i="3" s="1"/>
  <c r="F61" i="3"/>
  <c r="T61" i="3" s="1"/>
  <c r="F106" i="3"/>
  <c r="T106" i="3" s="1"/>
  <c r="F25" i="3"/>
  <c r="T25" i="3" s="1"/>
  <c r="F17" i="3"/>
  <c r="T17" i="3" s="1"/>
  <c r="F9" i="3"/>
  <c r="T9" i="3" s="1"/>
  <c r="F288" i="3"/>
  <c r="T288" i="3" s="1"/>
  <c r="F96" i="3"/>
  <c r="T96" i="3" s="1"/>
  <c r="F92" i="3"/>
  <c r="T92" i="3" s="1"/>
  <c r="F43" i="3"/>
  <c r="T43" i="3" s="1"/>
  <c r="F88" i="3"/>
  <c r="T88" i="3" s="1"/>
  <c r="F39" i="3"/>
  <c r="T39" i="3" s="1"/>
  <c r="F84" i="3"/>
  <c r="T84" i="3" s="1"/>
  <c r="F35" i="3"/>
  <c r="T35" i="3" s="1"/>
  <c r="F31" i="3"/>
  <c r="T31" i="3" s="1"/>
  <c r="F76" i="3"/>
  <c r="T76" i="3" s="1"/>
  <c r="F27" i="3"/>
  <c r="T27" i="3" s="1"/>
  <c r="F22" i="3"/>
  <c r="T22" i="3" s="1"/>
  <c r="F14" i="3"/>
  <c r="T14" i="3" s="1"/>
  <c r="F73" i="3"/>
  <c r="T73" i="3" s="1"/>
  <c r="F118" i="3"/>
  <c r="T118" i="3" s="1"/>
  <c r="F24" i="3"/>
  <c r="T24" i="3" s="1"/>
  <c r="F117" i="3"/>
  <c r="T117" i="3" s="1"/>
  <c r="F113" i="3"/>
  <c r="T113" i="3" s="1"/>
  <c r="F64" i="3"/>
  <c r="T64" i="3" s="1"/>
  <c r="F109" i="3"/>
  <c r="T109" i="3" s="1"/>
  <c r="F60" i="3"/>
  <c r="T60" i="3" s="1"/>
  <c r="F105" i="3"/>
  <c r="T105" i="3" s="1"/>
  <c r="F56" i="3"/>
  <c r="T56" i="3" s="1"/>
  <c r="F101" i="3"/>
  <c r="T101" i="3" s="1"/>
  <c r="F52" i="3"/>
  <c r="T52" i="3" s="1"/>
  <c r="F69" i="3"/>
  <c r="T69" i="3" s="1"/>
  <c r="F114" i="3"/>
  <c r="T114" i="3" s="1"/>
  <c r="F110" i="3"/>
  <c r="T110" i="3" s="1"/>
  <c r="F57" i="3"/>
  <c r="T57" i="3" s="1"/>
  <c r="F102" i="3"/>
  <c r="T102" i="3" s="1"/>
  <c r="F16" i="3"/>
  <c r="T16" i="3" s="1"/>
  <c r="F72" i="3"/>
  <c r="T72" i="3" s="1"/>
  <c r="F23" i="3"/>
  <c r="T23" i="3" s="1"/>
  <c r="F15" i="3"/>
  <c r="T15" i="3" s="1"/>
  <c r="F7" i="3"/>
  <c r="T7" i="3" s="1"/>
  <c r="F97" i="3"/>
  <c r="T97" i="3" s="1"/>
  <c r="F48" i="3"/>
  <c r="T48" i="3" s="1"/>
  <c r="F93" i="3"/>
  <c r="T93" i="3" s="1"/>
  <c r="F44" i="3"/>
  <c r="T44" i="3" s="1"/>
  <c r="F89" i="3"/>
  <c r="T89" i="3" s="1"/>
  <c r="F40" i="3"/>
  <c r="T40" i="3" s="1"/>
  <c r="F85" i="3"/>
  <c r="T85" i="3" s="1"/>
  <c r="F36" i="3"/>
  <c r="T36" i="3" s="1"/>
  <c r="F81" i="3"/>
  <c r="T81" i="3" s="1"/>
  <c r="F28" i="3"/>
  <c r="T28" i="3" s="1"/>
  <c r="F122" i="3"/>
  <c r="T122" i="3" s="1"/>
  <c r="S201" i="3" l="1"/>
  <c r="S386" i="3"/>
  <c r="V2" i="3"/>
  <c r="Q2" i="3"/>
  <c r="M2" i="3"/>
  <c r="S2" i="3"/>
  <c r="S381" i="3"/>
  <c r="T2" i="3"/>
  <c r="D44" i="1" s="1"/>
  <c r="P2" i="3"/>
  <c r="S598" i="3"/>
  <c r="S716" i="3"/>
  <c r="O716" i="3"/>
  <c r="S8" i="3"/>
  <c r="S278" i="3"/>
  <c r="S354" i="3"/>
  <c r="N2" i="3"/>
  <c r="S304" i="3"/>
  <c r="U2" i="3"/>
  <c r="S61" i="3"/>
  <c r="S433" i="3"/>
  <c r="S91" i="3"/>
  <c r="S488" i="3"/>
  <c r="S732" i="3"/>
  <c r="S59" i="3"/>
  <c r="S373" i="3"/>
  <c r="S318" i="3"/>
  <c r="S312" i="3"/>
  <c r="S187" i="3"/>
  <c r="S276" i="3"/>
  <c r="S50" i="3"/>
  <c r="S5" i="3"/>
  <c r="S663" i="3"/>
  <c r="S3" i="3"/>
  <c r="S4" i="3"/>
  <c r="D29" i="1"/>
  <c r="U296" i="3"/>
  <c r="U138" i="3"/>
  <c r="Q520" i="3"/>
  <c r="Q31" i="3"/>
  <c r="U660" i="3"/>
  <c r="U444" i="3"/>
  <c r="U574" i="3"/>
  <c r="U3" i="3"/>
  <c r="U535" i="3"/>
  <c r="U274" i="3"/>
  <c r="U50" i="3"/>
  <c r="U647" i="3"/>
  <c r="U67" i="3"/>
  <c r="Q38" i="3"/>
  <c r="Q182" i="3"/>
  <c r="Q202" i="3"/>
  <c r="N356" i="3"/>
  <c r="U654" i="3"/>
  <c r="U570" i="3"/>
  <c r="U169" i="3"/>
  <c r="U576" i="3"/>
  <c r="U158" i="3"/>
  <c r="U381" i="3"/>
  <c r="U278" i="3"/>
  <c r="U378" i="3"/>
  <c r="U635" i="3"/>
  <c r="U472" i="3"/>
  <c r="Q32" i="3"/>
  <c r="Q20" i="3"/>
  <c r="U742" i="3"/>
  <c r="U663" i="3"/>
  <c r="U703" i="3"/>
  <c r="U575" i="3"/>
  <c r="U39" i="3"/>
  <c r="U483" i="3"/>
  <c r="U713" i="3"/>
  <c r="Q33" i="3"/>
  <c r="Q39" i="3"/>
  <c r="Q44" i="3"/>
  <c r="U187" i="3"/>
  <c r="U295" i="3"/>
  <c r="U432" i="3"/>
  <c r="U38" i="3"/>
  <c r="U359" i="3"/>
  <c r="U199" i="3"/>
  <c r="U214" i="3"/>
  <c r="U553" i="3"/>
  <c r="U471" i="3"/>
  <c r="U7" i="3"/>
  <c r="U150" i="3"/>
  <c r="U228" i="3"/>
  <c r="U232" i="3"/>
  <c r="U114" i="3"/>
  <c r="U294" i="3"/>
  <c r="U509" i="3"/>
  <c r="U497" i="3"/>
  <c r="U306" i="3"/>
  <c r="V284" i="3"/>
  <c r="O284" i="3"/>
  <c r="Q6" i="3"/>
  <c r="Q43" i="3"/>
  <c r="Q37" i="3"/>
  <c r="Q36" i="3"/>
  <c r="Q211" i="3"/>
  <c r="U541" i="3"/>
  <c r="U129" i="3"/>
  <c r="U428" i="3"/>
  <c r="U639" i="3"/>
  <c r="U632" i="3"/>
  <c r="U51" i="3"/>
  <c r="U63" i="3"/>
  <c r="U600" i="3"/>
  <c r="U468" i="3"/>
  <c r="Q35" i="3"/>
  <c r="Q40" i="3"/>
  <c r="U563" i="3"/>
  <c r="U704" i="3"/>
  <c r="U734" i="3"/>
  <c r="U40" i="3"/>
  <c r="Q208" i="3"/>
  <c r="Q181" i="3"/>
  <c r="U100" i="3"/>
  <c r="U379" i="3"/>
  <c r="U244" i="3"/>
  <c r="V317" i="3"/>
  <c r="V287" i="3"/>
  <c r="V488" i="3"/>
  <c r="V50" i="3"/>
  <c r="V732" i="3"/>
  <c r="V59" i="3"/>
  <c r="V373" i="3"/>
  <c r="V610" i="3"/>
  <c r="V140" i="3"/>
  <c r="V269" i="3"/>
  <c r="V354" i="3"/>
  <c r="V187" i="3"/>
  <c r="Q187" i="3"/>
  <c r="V61" i="3"/>
  <c r="V318" i="3"/>
  <c r="V433" i="3"/>
  <c r="V91" i="3"/>
  <c r="V276" i="3"/>
  <c r="V405" i="3"/>
  <c r="V103" i="3"/>
  <c r="U556" i="3"/>
  <c r="U212" i="3"/>
  <c r="U128" i="3"/>
  <c r="U393" i="3"/>
  <c r="U402" i="3"/>
  <c r="V598" i="3"/>
  <c r="V386" i="3"/>
  <c r="V663" i="3"/>
  <c r="V278" i="3"/>
  <c r="V312" i="3"/>
  <c r="V381" i="3"/>
  <c r="V201" i="3"/>
  <c r="V8" i="3"/>
  <c r="V304" i="3"/>
  <c r="U719" i="3"/>
  <c r="U161" i="3"/>
  <c r="U611" i="3"/>
  <c r="Q30" i="3"/>
  <c r="Q42" i="3"/>
  <c r="Q34" i="3"/>
  <c r="Q41" i="3"/>
  <c r="Q16" i="3"/>
  <c r="U431" i="3"/>
  <c r="U5" i="3"/>
  <c r="U166" i="3"/>
  <c r="U514" i="3"/>
  <c r="AF44" i="1"/>
  <c r="F44" i="1"/>
  <c r="E44" i="1"/>
  <c r="O323" i="3"/>
  <c r="V323" i="3"/>
  <c r="O508" i="3"/>
  <c r="V508" i="3"/>
  <c r="O110" i="3"/>
  <c r="V110" i="3"/>
  <c r="O225" i="3"/>
  <c r="V225" i="3"/>
  <c r="O288" i="3"/>
  <c r="V288" i="3"/>
  <c r="O250" i="3"/>
  <c r="V250" i="3"/>
  <c r="O516" i="3"/>
  <c r="V516" i="3"/>
  <c r="O233" i="3"/>
  <c r="V233" i="3"/>
  <c r="O311" i="3"/>
  <c r="V311" i="3"/>
  <c r="O272" i="3"/>
  <c r="V272" i="3"/>
  <c r="O215" i="3"/>
  <c r="V215" i="3"/>
  <c r="O19" i="3"/>
  <c r="V19" i="3"/>
  <c r="O339" i="3"/>
  <c r="V339" i="3"/>
  <c r="O524" i="3"/>
  <c r="V524" i="3"/>
  <c r="O126" i="3"/>
  <c r="V126" i="3"/>
  <c r="O241" i="3"/>
  <c r="V241" i="3"/>
  <c r="O330" i="3"/>
  <c r="V330" i="3"/>
  <c r="O295" i="3"/>
  <c r="V295" i="3"/>
  <c r="O234" i="3"/>
  <c r="V234" i="3"/>
  <c r="O25" i="3"/>
  <c r="V25" i="3"/>
  <c r="O235" i="3"/>
  <c r="V235" i="3"/>
  <c r="O420" i="3"/>
  <c r="V420" i="3"/>
  <c r="O549" i="3"/>
  <c r="V549" i="3"/>
  <c r="O137" i="3"/>
  <c r="V137" i="3"/>
  <c r="O692" i="3"/>
  <c r="V692" i="3"/>
  <c r="O621" i="3"/>
  <c r="V621" i="3"/>
  <c r="O432" i="3"/>
  <c r="V432" i="3"/>
  <c r="O739" i="3"/>
  <c r="V739" i="3"/>
  <c r="O355" i="3"/>
  <c r="V355" i="3"/>
  <c r="O540" i="3"/>
  <c r="V540" i="3"/>
  <c r="O142" i="3"/>
  <c r="V142" i="3"/>
  <c r="O257" i="3"/>
  <c r="V257" i="3"/>
  <c r="O336" i="3"/>
  <c r="V336" i="3"/>
  <c r="O282" i="3"/>
  <c r="V282" i="3"/>
  <c r="O251" i="3"/>
  <c r="V251" i="3"/>
  <c r="O436" i="3"/>
  <c r="V436" i="3"/>
  <c r="O38" i="3"/>
  <c r="V38" i="3"/>
  <c r="O153" i="3"/>
  <c r="V153" i="3"/>
  <c r="O74" i="3"/>
  <c r="V74" i="3"/>
  <c r="O359" i="3"/>
  <c r="V359" i="3"/>
  <c r="O298" i="3"/>
  <c r="V298" i="3"/>
  <c r="O595" i="3"/>
  <c r="V595" i="3"/>
  <c r="O125" i="3"/>
  <c r="V125" i="3"/>
  <c r="O382" i="3"/>
  <c r="V382" i="3"/>
  <c r="O497" i="3"/>
  <c r="V497" i="3"/>
  <c r="O199" i="3"/>
  <c r="V199" i="3"/>
  <c r="O736" i="3"/>
  <c r="V736" i="3"/>
  <c r="O714" i="3"/>
  <c r="V714" i="3"/>
  <c r="O400" i="3"/>
  <c r="V400" i="3"/>
  <c r="O116" i="3"/>
  <c r="V116" i="3"/>
  <c r="O245" i="3"/>
  <c r="V245" i="3"/>
  <c r="O502" i="3"/>
  <c r="V502" i="3"/>
  <c r="O328" i="3"/>
  <c r="V328" i="3"/>
  <c r="O744" i="3"/>
  <c r="V744" i="3"/>
  <c r="O722" i="3"/>
  <c r="V722" i="3"/>
  <c r="O163" i="3"/>
  <c r="V163" i="3"/>
  <c r="O348" i="3"/>
  <c r="Q348" i="3" s="1"/>
  <c r="V348" i="3"/>
  <c r="O477" i="3"/>
  <c r="V477" i="3"/>
  <c r="O65" i="3"/>
  <c r="V65" i="3"/>
  <c r="O725" i="3"/>
  <c r="V725" i="3"/>
  <c r="O711" i="3"/>
  <c r="V711" i="3"/>
  <c r="O689" i="3"/>
  <c r="V689" i="3"/>
  <c r="O395" i="3"/>
  <c r="V395" i="3"/>
  <c r="O580" i="3"/>
  <c r="V580" i="3"/>
  <c r="O182" i="3"/>
  <c r="V182" i="3"/>
  <c r="O297" i="3"/>
  <c r="V297" i="3"/>
  <c r="O480" i="3"/>
  <c r="V480" i="3"/>
  <c r="O442" i="3"/>
  <c r="V442" i="3"/>
  <c r="O384" i="3"/>
  <c r="V384" i="3"/>
  <c r="O291" i="3"/>
  <c r="V291" i="3"/>
  <c r="O476" i="3"/>
  <c r="V476" i="3"/>
  <c r="O78" i="3"/>
  <c r="V78" i="3"/>
  <c r="O193" i="3"/>
  <c r="V193" i="3"/>
  <c r="O202" i="3"/>
  <c r="V202" i="3"/>
  <c r="O167" i="3"/>
  <c r="V167" i="3"/>
  <c r="O90" i="3"/>
  <c r="V90" i="3"/>
  <c r="V716" i="3"/>
  <c r="O523" i="3"/>
  <c r="V523" i="3"/>
  <c r="O53" i="3"/>
  <c r="V53" i="3"/>
  <c r="O310" i="3"/>
  <c r="V310" i="3"/>
  <c r="O425" i="3"/>
  <c r="V425" i="3"/>
  <c r="O678" i="3"/>
  <c r="V678" i="3"/>
  <c r="O662" i="3"/>
  <c r="V662" i="3"/>
  <c r="O637" i="3"/>
  <c r="V637" i="3"/>
  <c r="O83" i="3"/>
  <c r="V83" i="3"/>
  <c r="O268" i="3"/>
  <c r="V268" i="3"/>
  <c r="O397" i="3"/>
  <c r="V397" i="3"/>
  <c r="O95" i="3"/>
  <c r="V95" i="3"/>
  <c r="O640" i="3"/>
  <c r="V640" i="3"/>
  <c r="O624" i="3"/>
  <c r="V624" i="3"/>
  <c r="O594" i="3"/>
  <c r="V594" i="3"/>
  <c r="O561" i="3"/>
  <c r="V561" i="3"/>
  <c r="O427" i="3"/>
  <c r="V427" i="3"/>
  <c r="O612" i="3"/>
  <c r="V612" i="3"/>
  <c r="O214" i="3"/>
  <c r="V214" i="3"/>
  <c r="O329" i="3"/>
  <c r="V329" i="3"/>
  <c r="O553" i="3"/>
  <c r="V553" i="3"/>
  <c r="O527" i="3"/>
  <c r="V527" i="3"/>
  <c r="O471" i="3"/>
  <c r="V471" i="3"/>
  <c r="AB44" i="1"/>
  <c r="U323" i="3"/>
  <c r="U508" i="3"/>
  <c r="U110" i="3"/>
  <c r="U225" i="3"/>
  <c r="U288" i="3"/>
  <c r="U250" i="3"/>
  <c r="U192" i="3"/>
  <c r="U13" i="3"/>
  <c r="U331" i="3"/>
  <c r="U516" i="3"/>
  <c r="U118" i="3"/>
  <c r="U233" i="3"/>
  <c r="R311" i="3"/>
  <c r="U311" i="3"/>
  <c r="U215" i="3"/>
  <c r="U241" i="3"/>
  <c r="U330" i="3"/>
  <c r="U234" i="3"/>
  <c r="U25" i="3"/>
  <c r="U420" i="3"/>
  <c r="R137" i="3"/>
  <c r="U137" i="3"/>
  <c r="R692" i="3"/>
  <c r="R621" i="3"/>
  <c r="U621" i="3"/>
  <c r="U739" i="3"/>
  <c r="U355" i="3"/>
  <c r="U142" i="3"/>
  <c r="U336" i="3"/>
  <c r="U279" i="3"/>
  <c r="U15" i="3"/>
  <c r="U736" i="3"/>
  <c r="R400" i="3"/>
  <c r="U400" i="3"/>
  <c r="U722" i="3"/>
  <c r="U348" i="3"/>
  <c r="U65" i="3"/>
  <c r="U711" i="3"/>
  <c r="U580" i="3"/>
  <c r="U297" i="3"/>
  <c r="U442" i="3"/>
  <c r="U291" i="3"/>
  <c r="U78" i="3"/>
  <c r="U202" i="3"/>
  <c r="U90" i="3"/>
  <c r="U523" i="3"/>
  <c r="R53" i="3"/>
  <c r="U310" i="3"/>
  <c r="U678" i="3"/>
  <c r="U637" i="3"/>
  <c r="U268" i="3"/>
  <c r="U95" i="3"/>
  <c r="U640" i="3"/>
  <c r="U624" i="3"/>
  <c r="U561" i="3"/>
  <c r="AA44" i="1"/>
  <c r="U462" i="3"/>
  <c r="U476" i="3"/>
  <c r="P44" i="1"/>
  <c r="U313" i="3"/>
  <c r="U410" i="3"/>
  <c r="U737" i="3"/>
  <c r="U644" i="3"/>
  <c r="U256" i="3"/>
  <c r="J44" i="1"/>
  <c r="O375" i="3"/>
  <c r="V375" i="3"/>
  <c r="U435" i="3"/>
  <c r="U222" i="3"/>
  <c r="U337" i="3"/>
  <c r="U567" i="3"/>
  <c r="U543" i="3"/>
  <c r="U490" i="3"/>
  <c r="U22" i="3"/>
  <c r="U443" i="3"/>
  <c r="U628" i="3"/>
  <c r="U230" i="3"/>
  <c r="U345" i="3"/>
  <c r="M578" i="3"/>
  <c r="U557" i="3"/>
  <c r="U512" i="3"/>
  <c r="U17" i="3"/>
  <c r="U451" i="3"/>
  <c r="U636" i="3"/>
  <c r="U353" i="3"/>
  <c r="U591" i="3"/>
  <c r="U529" i="3"/>
  <c r="U532" i="3"/>
  <c r="U134" i="3"/>
  <c r="U249" i="3"/>
  <c r="U352" i="3"/>
  <c r="M314" i="3"/>
  <c r="U314" i="3"/>
  <c r="U24" i="3"/>
  <c r="U467" i="3"/>
  <c r="U652" i="3"/>
  <c r="U254" i="3"/>
  <c r="U369" i="3"/>
  <c r="U613" i="3"/>
  <c r="U593" i="3"/>
  <c r="R43" i="3"/>
  <c r="U43" i="3"/>
  <c r="U175" i="3"/>
  <c r="U160" i="3"/>
  <c r="M26" i="3"/>
  <c r="U26" i="3"/>
  <c r="U37" i="3"/>
  <c r="U409" i="3"/>
  <c r="U643" i="3"/>
  <c r="U403" i="3"/>
  <c r="U588" i="3"/>
  <c r="U190" i="3"/>
  <c r="U305" i="3"/>
  <c r="U503" i="3"/>
  <c r="U464" i="3"/>
  <c r="U407" i="3"/>
  <c r="R18" i="3"/>
  <c r="U18" i="3"/>
  <c r="R36" i="3"/>
  <c r="U36" i="3"/>
  <c r="U165" i="3"/>
  <c r="U422" i="3"/>
  <c r="U104" i="3"/>
  <c r="U48" i="3"/>
  <c r="U519" i="3"/>
  <c r="U327" i="3"/>
  <c r="U380" i="3"/>
  <c r="U97" i="3"/>
  <c r="M218" i="3"/>
  <c r="U218" i="3"/>
  <c r="U743" i="3"/>
  <c r="U721" i="3"/>
  <c r="U699" i="3"/>
  <c r="U539" i="3"/>
  <c r="U69" i="3"/>
  <c r="U326" i="3"/>
  <c r="U441" i="3"/>
  <c r="U694" i="3"/>
  <c r="U680" i="3"/>
  <c r="U655" i="3"/>
  <c r="U720" i="3"/>
  <c r="U465" i="3"/>
  <c r="U245" i="3"/>
  <c r="U370" i="3"/>
  <c r="U58" i="3"/>
  <c r="U716" i="3"/>
  <c r="U578" i="3"/>
  <c r="U235" i="3"/>
  <c r="O13" i="3"/>
  <c r="V13" i="3"/>
  <c r="O547" i="3"/>
  <c r="V547" i="3"/>
  <c r="O77" i="3"/>
  <c r="V77" i="3"/>
  <c r="O334" i="3"/>
  <c r="V334" i="3"/>
  <c r="O449" i="3"/>
  <c r="V449" i="3"/>
  <c r="O702" i="3"/>
  <c r="V702" i="3"/>
  <c r="O688" i="3"/>
  <c r="V688" i="3"/>
  <c r="O664" i="3"/>
  <c r="V664" i="3"/>
  <c r="O439" i="3"/>
  <c r="V439" i="3"/>
  <c r="O555" i="3"/>
  <c r="V555" i="3"/>
  <c r="O85" i="3"/>
  <c r="V85" i="3"/>
  <c r="O342" i="3"/>
  <c r="Q342" i="3" s="1"/>
  <c r="V342" i="3"/>
  <c r="O457" i="3"/>
  <c r="V457" i="3"/>
  <c r="O710" i="3"/>
  <c r="V710" i="3"/>
  <c r="O696" i="3"/>
  <c r="V696" i="3"/>
  <c r="O673" i="3"/>
  <c r="V673" i="3"/>
  <c r="O625" i="3"/>
  <c r="V625" i="3"/>
  <c r="O563" i="3"/>
  <c r="V563" i="3"/>
  <c r="O93" i="3"/>
  <c r="V93" i="3"/>
  <c r="O350" i="3"/>
  <c r="V350" i="3"/>
  <c r="O465" i="3"/>
  <c r="V465" i="3"/>
  <c r="O718" i="3"/>
  <c r="V718" i="3"/>
  <c r="O704" i="3"/>
  <c r="V704" i="3"/>
  <c r="O682" i="3"/>
  <c r="V682" i="3"/>
  <c r="O717" i="3"/>
  <c r="V717" i="3"/>
  <c r="O459" i="3"/>
  <c r="V459" i="3"/>
  <c r="O644" i="3"/>
  <c r="V644" i="3"/>
  <c r="O246" i="3"/>
  <c r="V246" i="3"/>
  <c r="O361" i="3"/>
  <c r="V361" i="3"/>
  <c r="O601" i="3"/>
  <c r="V601" i="3"/>
  <c r="O583" i="3"/>
  <c r="V583" i="3"/>
  <c r="O545" i="3"/>
  <c r="V545" i="3"/>
  <c r="O9" i="3"/>
  <c r="V9" i="3"/>
  <c r="O579" i="3"/>
  <c r="V579" i="3"/>
  <c r="O109" i="3"/>
  <c r="V109" i="3"/>
  <c r="O366" i="3"/>
  <c r="V366" i="3"/>
  <c r="O481" i="3"/>
  <c r="V481" i="3"/>
  <c r="O734" i="3"/>
  <c r="V734" i="3"/>
  <c r="O720" i="3"/>
  <c r="V720" i="3"/>
  <c r="O698" i="3"/>
  <c r="V698" i="3"/>
  <c r="O248" i="3"/>
  <c r="V248" i="3"/>
  <c r="O12" i="3"/>
  <c r="V12" i="3"/>
  <c r="O475" i="3"/>
  <c r="V475" i="3"/>
  <c r="O660" i="3"/>
  <c r="V660" i="3"/>
  <c r="O262" i="3"/>
  <c r="V262" i="3"/>
  <c r="O377" i="3"/>
  <c r="V377" i="3"/>
  <c r="O623" i="3"/>
  <c r="V623" i="3"/>
  <c r="O728" i="3"/>
  <c r="V728" i="3"/>
  <c r="O35" i="3"/>
  <c r="V35" i="3"/>
  <c r="O220" i="3"/>
  <c r="V220" i="3"/>
  <c r="O349" i="3"/>
  <c r="V349" i="3"/>
  <c r="O47" i="3"/>
  <c r="V47" i="3"/>
  <c r="O577" i="3"/>
  <c r="V577" i="3"/>
  <c r="O554" i="3"/>
  <c r="V554" i="3"/>
  <c r="O511" i="3"/>
  <c r="V511" i="3"/>
  <c r="O450" i="3"/>
  <c r="V450" i="3"/>
  <c r="O155" i="3"/>
  <c r="V155" i="3"/>
  <c r="O340" i="3"/>
  <c r="V340" i="3"/>
  <c r="O469" i="3"/>
  <c r="V469" i="3"/>
  <c r="O57" i="3"/>
  <c r="V57" i="3"/>
  <c r="O641" i="3"/>
  <c r="V641" i="3"/>
  <c r="O528" i="3"/>
  <c r="V528" i="3"/>
  <c r="O472" i="3"/>
  <c r="V472" i="3"/>
  <c r="O387" i="3"/>
  <c r="V387" i="3"/>
  <c r="O572" i="3"/>
  <c r="V572" i="3"/>
  <c r="O174" i="3"/>
  <c r="V174" i="3"/>
  <c r="O289" i="3"/>
  <c r="V289" i="3"/>
  <c r="O458" i="3"/>
  <c r="V458" i="3"/>
  <c r="O423" i="3"/>
  <c r="V423" i="3"/>
  <c r="O362" i="3"/>
  <c r="V362" i="3"/>
  <c r="O619" i="3"/>
  <c r="V619" i="3"/>
  <c r="O149" i="3"/>
  <c r="V149" i="3"/>
  <c r="O406" i="3"/>
  <c r="V406" i="3"/>
  <c r="O40" i="3"/>
  <c r="V40" i="3"/>
  <c r="O666" i="3"/>
  <c r="V666" i="3"/>
  <c r="O240" i="3"/>
  <c r="V240" i="3"/>
  <c r="O738" i="3"/>
  <c r="V738" i="3"/>
  <c r="O515" i="3"/>
  <c r="V515" i="3"/>
  <c r="O45" i="3"/>
  <c r="V45" i="3"/>
  <c r="O302" i="3"/>
  <c r="V302" i="3"/>
  <c r="O417" i="3"/>
  <c r="V417" i="3"/>
  <c r="O669" i="3"/>
  <c r="V669" i="3"/>
  <c r="O653" i="3"/>
  <c r="V653" i="3"/>
  <c r="O627" i="3"/>
  <c r="V627" i="3"/>
  <c r="O707" i="3"/>
  <c r="V707" i="3"/>
  <c r="O148" i="3"/>
  <c r="V148" i="3"/>
  <c r="O277" i="3"/>
  <c r="V277" i="3"/>
  <c r="O534" i="3"/>
  <c r="V534" i="3"/>
  <c r="O415" i="3"/>
  <c r="V415" i="3"/>
  <c r="O376" i="3"/>
  <c r="V376" i="3"/>
  <c r="O319" i="3"/>
  <c r="V319" i="3"/>
  <c r="O258" i="3"/>
  <c r="V258" i="3"/>
  <c r="O307" i="3"/>
  <c r="V307" i="3"/>
  <c r="O492" i="3"/>
  <c r="V492" i="3"/>
  <c r="O94" i="3"/>
  <c r="V94" i="3"/>
  <c r="O209" i="3"/>
  <c r="V209" i="3"/>
  <c r="U701" i="3"/>
  <c r="U248" i="3"/>
  <c r="W44" i="1"/>
  <c r="U267" i="3"/>
  <c r="U159" i="3"/>
  <c r="U347" i="3"/>
  <c r="O279" i="3"/>
  <c r="V279" i="3"/>
  <c r="U547" i="3"/>
  <c r="U77" i="3"/>
  <c r="U334" i="3"/>
  <c r="U449" i="3"/>
  <c r="U702" i="3"/>
  <c r="U688" i="3"/>
  <c r="U664" i="3"/>
  <c r="U555" i="3"/>
  <c r="R85" i="3"/>
  <c r="U85" i="3"/>
  <c r="U457" i="3"/>
  <c r="U696" i="3"/>
  <c r="U673" i="3"/>
  <c r="U93" i="3"/>
  <c r="U717" i="3"/>
  <c r="U459" i="3"/>
  <c r="U246" i="3"/>
  <c r="U601" i="3"/>
  <c r="U545" i="3"/>
  <c r="U9" i="3"/>
  <c r="U579" i="3"/>
  <c r="U109" i="3"/>
  <c r="U481" i="3"/>
  <c r="M698" i="3"/>
  <c r="U698" i="3"/>
  <c r="U475" i="3"/>
  <c r="U623" i="3"/>
  <c r="M47" i="3"/>
  <c r="U47" i="3"/>
  <c r="N554" i="3"/>
  <c r="U554" i="3"/>
  <c r="R450" i="3"/>
  <c r="U450" i="3"/>
  <c r="U155" i="3"/>
  <c r="U469" i="3"/>
  <c r="U387" i="3"/>
  <c r="U174" i="3"/>
  <c r="M458" i="3"/>
  <c r="U458" i="3"/>
  <c r="M362" i="3"/>
  <c r="U362" i="3"/>
  <c r="U619" i="3"/>
  <c r="U406" i="3"/>
  <c r="U666" i="3"/>
  <c r="U738" i="3"/>
  <c r="U45" i="3"/>
  <c r="U417" i="3"/>
  <c r="U653" i="3"/>
  <c r="U277" i="3"/>
  <c r="U415" i="3"/>
  <c r="U319" i="3"/>
  <c r="U307" i="3"/>
  <c r="U492" i="3"/>
  <c r="U94" i="3"/>
  <c r="U209" i="3"/>
  <c r="U247" i="3"/>
  <c r="U208" i="3"/>
  <c r="U151" i="3"/>
  <c r="U4" i="3"/>
  <c r="U52" i="3"/>
  <c r="U438" i="3"/>
  <c r="R112" i="3"/>
  <c r="U112" i="3"/>
  <c r="U648" i="3"/>
  <c r="U589" i="3"/>
  <c r="U262" i="3"/>
  <c r="U298" i="3"/>
  <c r="U638" i="3"/>
  <c r="U271" i="3"/>
  <c r="U585" i="3"/>
  <c r="U502" i="3"/>
  <c r="U427" i="3"/>
  <c r="U143" i="3"/>
  <c r="O331" i="3"/>
  <c r="V331" i="3"/>
  <c r="O60" i="3"/>
  <c r="V60" i="3"/>
  <c r="O189" i="3"/>
  <c r="V189" i="3"/>
  <c r="O446" i="3"/>
  <c r="V446" i="3"/>
  <c r="O178" i="3"/>
  <c r="V178" i="3"/>
  <c r="O143" i="3"/>
  <c r="V143" i="3"/>
  <c r="O56" i="3"/>
  <c r="V56" i="3"/>
  <c r="O657" i="3"/>
  <c r="V657" i="3"/>
  <c r="O665" i="3"/>
  <c r="V665" i="3"/>
  <c r="O68" i="3"/>
  <c r="V68" i="3"/>
  <c r="O197" i="3"/>
  <c r="V197" i="3"/>
  <c r="O454" i="3"/>
  <c r="V454" i="3"/>
  <c r="O200" i="3"/>
  <c r="V200" i="3"/>
  <c r="O162" i="3"/>
  <c r="V162" i="3"/>
  <c r="O88" i="3"/>
  <c r="V88" i="3"/>
  <c r="O708" i="3"/>
  <c r="V708" i="3"/>
  <c r="O495" i="3"/>
  <c r="V495" i="3"/>
  <c r="O76" i="3"/>
  <c r="V76" i="3"/>
  <c r="O205" i="3"/>
  <c r="V205" i="3"/>
  <c r="O462" i="3"/>
  <c r="V462" i="3"/>
  <c r="O223" i="3"/>
  <c r="V223" i="3"/>
  <c r="O184" i="3"/>
  <c r="V184" i="3"/>
  <c r="O120" i="3"/>
  <c r="V120" i="3"/>
  <c r="O32" i="3"/>
  <c r="V32" i="3"/>
  <c r="O730" i="3"/>
  <c r="V730" i="3"/>
  <c r="O571" i="3"/>
  <c r="V571" i="3"/>
  <c r="O101" i="3"/>
  <c r="V101" i="3"/>
  <c r="O358" i="3"/>
  <c r="V358" i="3"/>
  <c r="O473" i="3"/>
  <c r="V473" i="3"/>
  <c r="O726" i="3"/>
  <c r="V726" i="3"/>
  <c r="O712" i="3"/>
  <c r="V712" i="3"/>
  <c r="O690" i="3"/>
  <c r="V690" i="3"/>
  <c r="O562" i="3"/>
  <c r="V562" i="3"/>
  <c r="O92" i="3"/>
  <c r="V92" i="3"/>
  <c r="O221" i="3"/>
  <c r="V221" i="3"/>
  <c r="O478" i="3"/>
  <c r="V478" i="3"/>
  <c r="O264" i="3"/>
  <c r="V264" i="3"/>
  <c r="O226" i="3"/>
  <c r="V226" i="3"/>
  <c r="O168" i="3"/>
  <c r="V168" i="3"/>
  <c r="O96" i="3"/>
  <c r="V96" i="3"/>
  <c r="O706" i="3"/>
  <c r="Q706" i="3" s="1"/>
  <c r="V706" i="3"/>
  <c r="O138" i="3"/>
  <c r="V138" i="3"/>
  <c r="O587" i="3"/>
  <c r="V587" i="3"/>
  <c r="O117" i="3"/>
  <c r="V117" i="3"/>
  <c r="O374" i="3"/>
  <c r="V374" i="3"/>
  <c r="O489" i="3"/>
  <c r="V489" i="3"/>
  <c r="O742" i="3"/>
  <c r="V742" i="3"/>
  <c r="O191" i="3"/>
  <c r="V191" i="3"/>
  <c r="O147" i="3"/>
  <c r="V147" i="3"/>
  <c r="O332" i="3"/>
  <c r="V332" i="3"/>
  <c r="O461" i="3"/>
  <c r="V461" i="3"/>
  <c r="O49" i="3"/>
  <c r="V49" i="3"/>
  <c r="O709" i="3"/>
  <c r="V709" i="3"/>
  <c r="O695" i="3"/>
  <c r="V695" i="3"/>
  <c r="O672" i="3"/>
  <c r="V672" i="3"/>
  <c r="O647" i="3"/>
  <c r="V647" i="3"/>
  <c r="O267" i="3"/>
  <c r="V267" i="3"/>
  <c r="O452" i="3"/>
  <c r="V452" i="3"/>
  <c r="O54" i="3"/>
  <c r="V54" i="3"/>
  <c r="O169" i="3"/>
  <c r="V169" i="3"/>
  <c r="O290" i="3"/>
  <c r="V290" i="3"/>
  <c r="O681" i="3"/>
  <c r="V681" i="3"/>
  <c r="O656" i="3"/>
  <c r="V656" i="3"/>
  <c r="O499" i="3"/>
  <c r="V499" i="3"/>
  <c r="O29" i="3"/>
  <c r="V29" i="3"/>
  <c r="O286" i="3"/>
  <c r="V286" i="3"/>
  <c r="O401" i="3"/>
  <c r="V401" i="3"/>
  <c r="O650" i="3"/>
  <c r="V650" i="3"/>
  <c r="O634" i="3"/>
  <c r="V634" i="3"/>
  <c r="O607" i="3"/>
  <c r="V607" i="3"/>
  <c r="O132" i="3"/>
  <c r="V132" i="3"/>
  <c r="O261" i="3"/>
  <c r="V261" i="3"/>
  <c r="O518" i="3"/>
  <c r="V518" i="3"/>
  <c r="O370" i="3"/>
  <c r="V370" i="3"/>
  <c r="O335" i="3"/>
  <c r="V335" i="3"/>
  <c r="O274" i="3"/>
  <c r="V274" i="3"/>
  <c r="O216" i="3"/>
  <c r="V216" i="3"/>
  <c r="O28" i="3"/>
  <c r="V28" i="3"/>
  <c r="O157" i="3"/>
  <c r="V157" i="3"/>
  <c r="O414" i="3"/>
  <c r="V414" i="3"/>
  <c r="O72" i="3"/>
  <c r="V72" i="3"/>
  <c r="O740" i="3"/>
  <c r="V740" i="3"/>
  <c r="O346" i="3"/>
  <c r="V346" i="3"/>
  <c r="O66" i="3"/>
  <c r="V66" i="3"/>
  <c r="O75" i="3"/>
  <c r="V75" i="3"/>
  <c r="O260" i="3"/>
  <c r="V260" i="3"/>
  <c r="O389" i="3"/>
  <c r="V389" i="3"/>
  <c r="O87" i="3"/>
  <c r="V87" i="3"/>
  <c r="O631" i="3"/>
  <c r="V631" i="3"/>
  <c r="O614" i="3"/>
  <c r="V614" i="3"/>
  <c r="O584" i="3"/>
  <c r="V584" i="3"/>
  <c r="O546" i="3"/>
  <c r="V546" i="3"/>
  <c r="O419" i="3"/>
  <c r="V419" i="3"/>
  <c r="O604" i="3"/>
  <c r="V604" i="3"/>
  <c r="O206" i="3"/>
  <c r="V206" i="3"/>
  <c r="O321" i="3"/>
  <c r="V321" i="3"/>
  <c r="O537" i="3"/>
  <c r="V537" i="3"/>
  <c r="O506" i="3"/>
  <c r="V506" i="3"/>
  <c r="O448" i="3"/>
  <c r="V448" i="3"/>
  <c r="O20" i="3"/>
  <c r="V20" i="3"/>
  <c r="O164" i="3"/>
  <c r="V164" i="3"/>
  <c r="O293" i="3"/>
  <c r="V293" i="3"/>
  <c r="O550" i="3"/>
  <c r="V550" i="3"/>
  <c r="O456" i="3"/>
  <c r="V456" i="3"/>
  <c r="O418" i="3"/>
  <c r="V418" i="3"/>
  <c r="O360" i="3"/>
  <c r="V360" i="3"/>
  <c r="O303" i="3"/>
  <c r="V303" i="3"/>
  <c r="U35" i="3"/>
  <c r="U452" i="3"/>
  <c r="U82" i="3"/>
  <c r="U184" i="3"/>
  <c r="T44" i="1"/>
  <c r="U144" i="3"/>
  <c r="U515" i="3"/>
  <c r="U740" i="3"/>
  <c r="U662" i="3"/>
  <c r="U549" i="3"/>
  <c r="U473" i="3"/>
  <c r="O567" i="3"/>
  <c r="V567" i="3"/>
  <c r="O230" i="3"/>
  <c r="V230" i="3"/>
  <c r="O451" i="3"/>
  <c r="V451" i="3"/>
  <c r="O569" i="3"/>
  <c r="V569" i="3"/>
  <c r="O532" i="3"/>
  <c r="V532" i="3"/>
  <c r="O314" i="3"/>
  <c r="V314" i="3"/>
  <c r="O254" i="3"/>
  <c r="V254" i="3"/>
  <c r="O593" i="3"/>
  <c r="V593" i="3"/>
  <c r="O548" i="3"/>
  <c r="V548" i="3"/>
  <c r="O237" i="3"/>
  <c r="V237" i="3"/>
  <c r="O590" i="3"/>
  <c r="V590" i="3"/>
  <c r="O294" i="3"/>
  <c r="V294" i="3"/>
  <c r="O380" i="3"/>
  <c r="V380" i="3"/>
  <c r="N60" i="3"/>
  <c r="U60" i="3"/>
  <c r="U189" i="3"/>
  <c r="U178" i="3"/>
  <c r="U56" i="3"/>
  <c r="U665" i="3"/>
  <c r="U68" i="3"/>
  <c r="U197" i="3"/>
  <c r="U454" i="3"/>
  <c r="R200" i="3"/>
  <c r="U200" i="3"/>
  <c r="U162" i="3"/>
  <c r="U88" i="3"/>
  <c r="U708" i="3"/>
  <c r="U495" i="3"/>
  <c r="U76" i="3"/>
  <c r="R205" i="3"/>
  <c r="U205" i="3"/>
  <c r="U32" i="3"/>
  <c r="U571" i="3"/>
  <c r="U358" i="3"/>
  <c r="U726" i="3"/>
  <c r="U712" i="3"/>
  <c r="U690" i="3"/>
  <c r="U92" i="3"/>
  <c r="U221" i="3"/>
  <c r="U96" i="3"/>
  <c r="M290" i="3"/>
  <c r="U681" i="3"/>
  <c r="U29" i="3"/>
  <c r="R286" i="3"/>
  <c r="U401" i="3"/>
  <c r="M650" i="3"/>
  <c r="U650" i="3"/>
  <c r="U634" i="3"/>
  <c r="M607" i="3"/>
  <c r="U607" i="3"/>
  <c r="U132" i="3"/>
  <c r="U518" i="3"/>
  <c r="U335" i="3"/>
  <c r="U216" i="3"/>
  <c r="U157" i="3"/>
  <c r="R414" i="3"/>
  <c r="U72" i="3"/>
  <c r="U346" i="3"/>
  <c r="R66" i="3"/>
  <c r="U66" i="3"/>
  <c r="M75" i="3"/>
  <c r="U75" i="3"/>
  <c r="U260" i="3"/>
  <c r="U389" i="3"/>
  <c r="U87" i="3"/>
  <c r="U631" i="3"/>
  <c r="R614" i="3"/>
  <c r="U614" i="3"/>
  <c r="U584" i="3"/>
  <c r="U546" i="3"/>
  <c r="U419" i="3"/>
  <c r="U206" i="3"/>
  <c r="R537" i="3"/>
  <c r="U537" i="3"/>
  <c r="M506" i="3"/>
  <c r="U448" i="3"/>
  <c r="U164" i="3"/>
  <c r="R293" i="3"/>
  <c r="U550" i="3"/>
  <c r="U456" i="3"/>
  <c r="U418" i="3"/>
  <c r="U303" i="3"/>
  <c r="U265" i="3"/>
  <c r="U125" i="3"/>
  <c r="U709" i="3"/>
  <c r="U210" i="3"/>
  <c r="U55" i="3"/>
  <c r="U641" i="3"/>
  <c r="U718" i="3"/>
  <c r="U333" i="3"/>
  <c r="O620" i="3"/>
  <c r="V620" i="3"/>
  <c r="O490" i="3"/>
  <c r="V490" i="3"/>
  <c r="O628" i="3"/>
  <c r="V628" i="3"/>
  <c r="O512" i="3"/>
  <c r="V512" i="3"/>
  <c r="O238" i="3"/>
  <c r="V238" i="3"/>
  <c r="O529" i="3"/>
  <c r="V529" i="3"/>
  <c r="O249" i="3"/>
  <c r="V249" i="3"/>
  <c r="O467" i="3"/>
  <c r="V467" i="3"/>
  <c r="O7" i="3"/>
  <c r="V7" i="3"/>
  <c r="O265" i="3"/>
  <c r="V265" i="3"/>
  <c r="O494" i="3"/>
  <c r="V494" i="3"/>
  <c r="O357" i="3"/>
  <c r="V357" i="3"/>
  <c r="O507" i="3"/>
  <c r="V507" i="3"/>
  <c r="O195" i="3"/>
  <c r="V195" i="3"/>
  <c r="O172" i="3"/>
  <c r="V172" i="3"/>
  <c r="O301" i="3"/>
  <c r="V301" i="3"/>
  <c r="O558" i="3"/>
  <c r="V558" i="3"/>
  <c r="O479" i="3"/>
  <c r="V479" i="3"/>
  <c r="O440" i="3"/>
  <c r="V440" i="3"/>
  <c r="O383" i="3"/>
  <c r="V383" i="3"/>
  <c r="O322" i="3"/>
  <c r="V322" i="3"/>
  <c r="O674" i="3"/>
  <c r="V674" i="3"/>
  <c r="O180" i="3"/>
  <c r="V180" i="3"/>
  <c r="O309" i="3"/>
  <c r="V309" i="3"/>
  <c r="O566" i="3"/>
  <c r="V566" i="3"/>
  <c r="O498" i="3"/>
  <c r="V498" i="3"/>
  <c r="O463" i="3"/>
  <c r="V463" i="3"/>
  <c r="O402" i="3"/>
  <c r="V402" i="3"/>
  <c r="O344" i="3"/>
  <c r="Q344" i="3" s="1"/>
  <c r="V344" i="3"/>
  <c r="O21" i="3"/>
  <c r="V21" i="3"/>
  <c r="O188" i="3"/>
  <c r="V188" i="3"/>
  <c r="O574" i="3"/>
  <c r="V574" i="3"/>
  <c r="O520" i="3"/>
  <c r="V520" i="3"/>
  <c r="O482" i="3"/>
  <c r="V482" i="3"/>
  <c r="O424" i="3"/>
  <c r="V424" i="3"/>
  <c r="O367" i="3"/>
  <c r="V367" i="3"/>
  <c r="O3" i="3"/>
  <c r="V3" i="3"/>
  <c r="O84" i="3"/>
  <c r="V84" i="3"/>
  <c r="O213" i="3"/>
  <c r="V213" i="3"/>
  <c r="O470" i="3"/>
  <c r="V470" i="3"/>
  <c r="O242" i="3"/>
  <c r="V242" i="3"/>
  <c r="O207" i="3"/>
  <c r="V207" i="3"/>
  <c r="O146" i="3"/>
  <c r="V146" i="3"/>
  <c r="O64" i="3"/>
  <c r="V64" i="3"/>
  <c r="O194" i="3"/>
  <c r="V194" i="3"/>
  <c r="O204" i="3"/>
  <c r="V204" i="3"/>
  <c r="O333" i="3"/>
  <c r="V333" i="3"/>
  <c r="O31" i="3"/>
  <c r="V31" i="3"/>
  <c r="O552" i="3"/>
  <c r="V552" i="3"/>
  <c r="O522" i="3"/>
  <c r="V522" i="3"/>
  <c r="O466" i="3"/>
  <c r="V466" i="3"/>
  <c r="O408" i="3"/>
  <c r="V408" i="3"/>
  <c r="O128" i="3"/>
  <c r="V128" i="3"/>
  <c r="O576" i="3"/>
  <c r="V576" i="3"/>
  <c r="O100" i="3"/>
  <c r="V100" i="3"/>
  <c r="O229" i="3"/>
  <c r="V229" i="3"/>
  <c r="O486" i="3"/>
  <c r="V486" i="3"/>
  <c r="O538" i="3"/>
  <c r="V538" i="3"/>
  <c r="O259" i="3"/>
  <c r="V259" i="3"/>
  <c r="O444" i="3"/>
  <c r="V444" i="3"/>
  <c r="O46" i="3"/>
  <c r="V46" i="3"/>
  <c r="O684" i="3"/>
  <c r="V684" i="3"/>
  <c r="O368" i="3"/>
  <c r="V368" i="3"/>
  <c r="O379" i="3"/>
  <c r="V379" i="3"/>
  <c r="O564" i="3"/>
  <c r="V564" i="3"/>
  <c r="O166" i="3"/>
  <c r="V166" i="3"/>
  <c r="O281" i="3"/>
  <c r="V281" i="3"/>
  <c r="O568" i="3"/>
  <c r="V568" i="3"/>
  <c r="O535" i="3"/>
  <c r="V535" i="3"/>
  <c r="O611" i="3"/>
  <c r="V611" i="3"/>
  <c r="O141" i="3"/>
  <c r="V141" i="3"/>
  <c r="O398" i="3"/>
  <c r="V398" i="3"/>
  <c r="O513" i="3"/>
  <c r="V513" i="3"/>
  <c r="O630" i="3"/>
  <c r="Q630" i="3" s="1"/>
  <c r="V630" i="3"/>
  <c r="O130" i="3"/>
  <c r="V130" i="3"/>
  <c r="O244" i="3"/>
  <c r="V244" i="3"/>
  <c r="O71" i="3"/>
  <c r="V71" i="3"/>
  <c r="O592" i="3"/>
  <c r="V592" i="3"/>
  <c r="O559" i="3"/>
  <c r="V559" i="3"/>
  <c r="O514" i="3"/>
  <c r="V514" i="3"/>
  <c r="O526" i="3"/>
  <c r="V526" i="3"/>
  <c r="O392" i="3"/>
  <c r="V392" i="3"/>
  <c r="O296" i="3"/>
  <c r="V296" i="3"/>
  <c r="O239" i="3"/>
  <c r="V239" i="3"/>
  <c r="O372" i="3"/>
  <c r="Q372" i="3" s="1"/>
  <c r="V372" i="3"/>
  <c r="O501" i="3"/>
  <c r="V501" i="3"/>
  <c r="O89" i="3"/>
  <c r="V89" i="3"/>
  <c r="O176" i="3"/>
  <c r="V176" i="3"/>
  <c r="O735" i="3"/>
  <c r="V735" i="3"/>
  <c r="O713" i="3"/>
  <c r="V713" i="3"/>
  <c r="O691" i="3"/>
  <c r="V691" i="3"/>
  <c r="O531" i="3"/>
  <c r="V531" i="3"/>
  <c r="O686" i="3"/>
  <c r="V686" i="3"/>
  <c r="O671" i="3"/>
  <c r="V671" i="3"/>
  <c r="O646" i="3"/>
  <c r="V646" i="3"/>
  <c r="O649" i="3"/>
  <c r="V649" i="3"/>
  <c r="O633" i="3"/>
  <c r="V633" i="3"/>
  <c r="O606" i="3"/>
  <c r="V606" i="3"/>
  <c r="O575" i="3"/>
  <c r="V575" i="3"/>
  <c r="U74" i="3"/>
  <c r="U573" i="3"/>
  <c r="U275" i="3"/>
  <c r="U62" i="3"/>
  <c r="U524" i="3"/>
  <c r="U28" i="3"/>
  <c r="U83" i="3"/>
  <c r="U604" i="3"/>
  <c r="U360" i="3"/>
  <c r="U583" i="3"/>
  <c r="O435" i="3"/>
  <c r="V435" i="3"/>
  <c r="O337" i="3"/>
  <c r="V337" i="3"/>
  <c r="O543" i="3"/>
  <c r="V543" i="3"/>
  <c r="O22" i="3"/>
  <c r="V22" i="3"/>
  <c r="O443" i="3"/>
  <c r="V443" i="3"/>
  <c r="O345" i="3"/>
  <c r="V345" i="3"/>
  <c r="O557" i="3"/>
  <c r="V557" i="3"/>
  <c r="O17" i="3"/>
  <c r="V17" i="3"/>
  <c r="O636" i="3"/>
  <c r="V636" i="3"/>
  <c r="O591" i="3"/>
  <c r="V591" i="3"/>
  <c r="O23" i="3"/>
  <c r="V23" i="3"/>
  <c r="O134" i="3"/>
  <c r="V134" i="3"/>
  <c r="O256" i="3"/>
  <c r="V256" i="3"/>
  <c r="O613" i="3"/>
  <c r="V613" i="3"/>
  <c r="O6" i="3"/>
  <c r="V6" i="3"/>
  <c r="O573" i="3"/>
  <c r="V573" i="3"/>
  <c r="O210" i="3"/>
  <c r="V210" i="3"/>
  <c r="O175" i="3"/>
  <c r="V175" i="3"/>
  <c r="O643" i="3"/>
  <c r="V643" i="3"/>
  <c r="O218" i="3"/>
  <c r="V218" i="3"/>
  <c r="O161" i="3"/>
  <c r="V161" i="3"/>
  <c r="O610" i="3"/>
  <c r="O405" i="3"/>
  <c r="U301" i="3"/>
  <c r="N558" i="3"/>
  <c r="U558" i="3"/>
  <c r="R479" i="3"/>
  <c r="U479" i="3"/>
  <c r="R383" i="3"/>
  <c r="U383" i="3"/>
  <c r="R322" i="3"/>
  <c r="U322" i="3"/>
  <c r="M674" i="3"/>
  <c r="U674" i="3"/>
  <c r="U180" i="3"/>
  <c r="R309" i="3"/>
  <c r="U309" i="3"/>
  <c r="U566" i="3"/>
  <c r="U463" i="3"/>
  <c r="U344" i="3"/>
  <c r="U21" i="3"/>
  <c r="U188" i="3"/>
  <c r="U317" i="3"/>
  <c r="U520" i="3"/>
  <c r="M482" i="3"/>
  <c r="U482" i="3"/>
  <c r="R424" i="3"/>
  <c r="U424" i="3"/>
  <c r="U367" i="3"/>
  <c r="U84" i="3"/>
  <c r="R213" i="3"/>
  <c r="U213" i="3"/>
  <c r="R470" i="3"/>
  <c r="U470" i="3"/>
  <c r="M242" i="3"/>
  <c r="U242" i="3"/>
  <c r="U207" i="3"/>
  <c r="M146" i="3"/>
  <c r="U146" i="3"/>
  <c r="R64" i="3"/>
  <c r="U64" i="3"/>
  <c r="N194" i="3"/>
  <c r="U194" i="3"/>
  <c r="R204" i="3"/>
  <c r="U204" i="3"/>
  <c r="U31" i="3"/>
  <c r="R552" i="3"/>
  <c r="U552" i="3"/>
  <c r="R522" i="3"/>
  <c r="U522" i="3"/>
  <c r="U466" i="3"/>
  <c r="R408" i="3"/>
  <c r="U408" i="3"/>
  <c r="R229" i="3"/>
  <c r="U229" i="3"/>
  <c r="R488" i="3"/>
  <c r="U488" i="3"/>
  <c r="R259" i="3"/>
  <c r="U46" i="3"/>
  <c r="U106" i="3"/>
  <c r="R684" i="3"/>
  <c r="U684" i="3"/>
  <c r="U564" i="3"/>
  <c r="N281" i="3"/>
  <c r="U281" i="3"/>
  <c r="R732" i="3"/>
  <c r="R141" i="3"/>
  <c r="U141" i="3"/>
  <c r="R513" i="3"/>
  <c r="U513" i="3"/>
  <c r="U130" i="3"/>
  <c r="U59" i="3"/>
  <c r="R373" i="3"/>
  <c r="U373" i="3"/>
  <c r="N71" i="3"/>
  <c r="R610" i="3"/>
  <c r="U610" i="3"/>
  <c r="N592" i="3"/>
  <c r="U559" i="3"/>
  <c r="R140" i="3"/>
  <c r="U140" i="3"/>
  <c r="R269" i="3"/>
  <c r="U269" i="3"/>
  <c r="R526" i="3"/>
  <c r="U526" i="3"/>
  <c r="R354" i="3"/>
  <c r="U354" i="3"/>
  <c r="R239" i="3"/>
  <c r="U239" i="3"/>
  <c r="R372" i="3"/>
  <c r="U372" i="3"/>
  <c r="R89" i="3"/>
  <c r="U89" i="3"/>
  <c r="R176" i="3"/>
  <c r="U735" i="3"/>
  <c r="R691" i="3"/>
  <c r="U691" i="3"/>
  <c r="U531" i="3"/>
  <c r="M61" i="3"/>
  <c r="U61" i="3"/>
  <c r="R318" i="3"/>
  <c r="U318" i="3"/>
  <c r="U433" i="3"/>
  <c r="R686" i="3"/>
  <c r="U686" i="3"/>
  <c r="U671" i="3"/>
  <c r="R646" i="3"/>
  <c r="U646" i="3"/>
  <c r="N91" i="3"/>
  <c r="Q91" i="3" s="1"/>
  <c r="U91" i="3"/>
  <c r="R405" i="3"/>
  <c r="U405" i="3"/>
  <c r="U649" i="3"/>
  <c r="R633" i="3"/>
  <c r="U633" i="3"/>
  <c r="U606" i="3"/>
  <c r="U453" i="3"/>
  <c r="U382" i="3"/>
  <c r="U328" i="3"/>
  <c r="U343" i="3"/>
  <c r="U261" i="3"/>
  <c r="U480" i="3"/>
  <c r="U392" i="3"/>
  <c r="U168" i="3"/>
  <c r="U276" i="3"/>
  <c r="O222" i="3"/>
  <c r="V222" i="3"/>
  <c r="O578" i="3"/>
  <c r="V578" i="3"/>
  <c r="O353" i="3"/>
  <c r="V353" i="3"/>
  <c r="O347" i="3"/>
  <c r="V347" i="3"/>
  <c r="O352" i="3"/>
  <c r="V352" i="3"/>
  <c r="O24" i="3"/>
  <c r="V24" i="3"/>
  <c r="O652" i="3"/>
  <c r="V652" i="3"/>
  <c r="O369" i="3"/>
  <c r="V369" i="3"/>
  <c r="O560" i="3"/>
  <c r="V560" i="3"/>
  <c r="O363" i="3"/>
  <c r="V363" i="3"/>
  <c r="O150" i="3"/>
  <c r="V150" i="3"/>
  <c r="O394" i="3"/>
  <c r="V394" i="3"/>
  <c r="O605" i="3"/>
  <c r="V605" i="3"/>
  <c r="O108" i="3"/>
  <c r="V108" i="3"/>
  <c r="O306" i="3"/>
  <c r="V306" i="3"/>
  <c r="O271" i="3"/>
  <c r="V271" i="3"/>
  <c r="O152" i="3"/>
  <c r="V152" i="3"/>
  <c r="O43" i="3"/>
  <c r="V43" i="3"/>
  <c r="O228" i="3"/>
  <c r="V228" i="3"/>
  <c r="O55" i="3"/>
  <c r="V55" i="3"/>
  <c r="O232" i="3"/>
  <c r="V232" i="3"/>
  <c r="O275" i="3"/>
  <c r="V275" i="3"/>
  <c r="O460" i="3"/>
  <c r="V460" i="3"/>
  <c r="O62" i="3"/>
  <c r="V62" i="3"/>
  <c r="O177" i="3"/>
  <c r="Q177" i="3" s="1"/>
  <c r="V177" i="3"/>
  <c r="O160" i="3"/>
  <c r="V160" i="3"/>
  <c r="O114" i="3"/>
  <c r="V114" i="3"/>
  <c r="O26" i="3"/>
  <c r="V26" i="3"/>
  <c r="O37" i="3"/>
  <c r="V37" i="3"/>
  <c r="O409" i="3"/>
  <c r="V409" i="3"/>
  <c r="O659" i="3"/>
  <c r="V659" i="3"/>
  <c r="O617" i="3"/>
  <c r="V617" i="3"/>
  <c r="O403" i="3"/>
  <c r="V403" i="3"/>
  <c r="O588" i="3"/>
  <c r="V588" i="3"/>
  <c r="O190" i="3"/>
  <c r="V190" i="3"/>
  <c r="O305" i="3"/>
  <c r="V305" i="3"/>
  <c r="O503" i="3"/>
  <c r="V503" i="3"/>
  <c r="O464" i="3"/>
  <c r="V464" i="3"/>
  <c r="O407" i="3"/>
  <c r="V407" i="3"/>
  <c r="O18" i="3"/>
  <c r="V18" i="3"/>
  <c r="O36" i="3"/>
  <c r="V36" i="3"/>
  <c r="O165" i="3"/>
  <c r="V165" i="3"/>
  <c r="O422" i="3"/>
  <c r="V422" i="3"/>
  <c r="O104" i="3"/>
  <c r="V104" i="3"/>
  <c r="O48" i="3"/>
  <c r="V48" i="3"/>
  <c r="O519" i="3"/>
  <c r="V519" i="3"/>
  <c r="O327" i="3"/>
  <c r="V327" i="3"/>
  <c r="O509" i="3"/>
  <c r="V509" i="3"/>
  <c r="O97" i="3"/>
  <c r="V97" i="3"/>
  <c r="O743" i="3"/>
  <c r="V743" i="3"/>
  <c r="O721" i="3"/>
  <c r="V721" i="3"/>
  <c r="O699" i="3"/>
  <c r="V699" i="3"/>
  <c r="O539" i="3"/>
  <c r="V539" i="3"/>
  <c r="O106" i="3"/>
  <c r="V106" i="3"/>
  <c r="O140" i="3"/>
  <c r="O103" i="3"/>
  <c r="O99" i="3"/>
  <c r="V99" i="3"/>
  <c r="O413" i="3"/>
  <c r="V413" i="3"/>
  <c r="O111" i="3"/>
  <c r="V111" i="3"/>
  <c r="O658" i="3"/>
  <c r="V658" i="3"/>
  <c r="O642" i="3"/>
  <c r="V642" i="3"/>
  <c r="O616" i="3"/>
  <c r="V616" i="3"/>
  <c r="O586" i="3"/>
  <c r="V586" i="3"/>
  <c r="O107" i="3"/>
  <c r="V107" i="3"/>
  <c r="O292" i="3"/>
  <c r="V292" i="3"/>
  <c r="O421" i="3"/>
  <c r="V421" i="3"/>
  <c r="O119" i="3"/>
  <c r="V119" i="3"/>
  <c r="O667" i="3"/>
  <c r="V667" i="3"/>
  <c r="O651" i="3"/>
  <c r="V651" i="3"/>
  <c r="O626" i="3"/>
  <c r="V626" i="3"/>
  <c r="O115" i="3"/>
  <c r="V115" i="3"/>
  <c r="O300" i="3"/>
  <c r="V300" i="3"/>
  <c r="O429" i="3"/>
  <c r="V429" i="3"/>
  <c r="O127" i="3"/>
  <c r="V127" i="3"/>
  <c r="O677" i="3"/>
  <c r="V677" i="3"/>
  <c r="O661" i="3"/>
  <c r="V661" i="3"/>
  <c r="O635" i="3"/>
  <c r="V635" i="3"/>
  <c r="O608" i="3"/>
  <c r="V608" i="3"/>
  <c r="O675" i="3"/>
  <c r="V675" i="3"/>
  <c r="O196" i="3"/>
  <c r="V196" i="3"/>
  <c r="O325" i="3"/>
  <c r="V325" i="3"/>
  <c r="O582" i="3"/>
  <c r="V582" i="3"/>
  <c r="O536" i="3"/>
  <c r="V536" i="3"/>
  <c r="O504" i="3"/>
  <c r="V504" i="3"/>
  <c r="O447" i="3"/>
  <c r="V447" i="3"/>
  <c r="O131" i="3"/>
  <c r="V131" i="3"/>
  <c r="O316" i="3"/>
  <c r="V316" i="3"/>
  <c r="O445" i="3"/>
  <c r="V445" i="3"/>
  <c r="O33" i="3"/>
  <c r="V33" i="3"/>
  <c r="O693" i="3"/>
  <c r="V693" i="3"/>
  <c r="O679" i="3"/>
  <c r="V679" i="3"/>
  <c r="O654" i="3"/>
  <c r="V654" i="3"/>
  <c r="O629" i="3"/>
  <c r="V629" i="3"/>
  <c r="O431" i="3"/>
  <c r="V431" i="3"/>
  <c r="O27" i="3"/>
  <c r="V27" i="3"/>
  <c r="O212" i="3"/>
  <c r="V212" i="3"/>
  <c r="O341" i="3"/>
  <c r="V341" i="3"/>
  <c r="O39" i="3"/>
  <c r="V39" i="3"/>
  <c r="O565" i="3"/>
  <c r="V565" i="3"/>
  <c r="O687" i="3"/>
  <c r="V687" i="3"/>
  <c r="O371" i="3"/>
  <c r="V371" i="3"/>
  <c r="O556" i="3"/>
  <c r="V556" i="3"/>
  <c r="O158" i="3"/>
  <c r="V158" i="3"/>
  <c r="O273" i="3"/>
  <c r="V273" i="3"/>
  <c r="O416" i="3"/>
  <c r="V416" i="3"/>
  <c r="O378" i="3"/>
  <c r="V378" i="3"/>
  <c r="O320" i="3"/>
  <c r="V320" i="3"/>
  <c r="O5" i="3"/>
  <c r="V5" i="3"/>
  <c r="O491" i="3"/>
  <c r="V491" i="3"/>
  <c r="O676" i="3"/>
  <c r="V676" i="3"/>
  <c r="O393" i="3"/>
  <c r="V393" i="3"/>
  <c r="O703" i="3"/>
  <c r="V703" i="3"/>
  <c r="O343" i="3"/>
  <c r="V343" i="3"/>
  <c r="O11" i="3"/>
  <c r="V11" i="3"/>
  <c r="O124" i="3"/>
  <c r="V124" i="3"/>
  <c r="O253" i="3"/>
  <c r="V253" i="3"/>
  <c r="O510" i="3"/>
  <c r="V510" i="3"/>
  <c r="O351" i="3"/>
  <c r="V351" i="3"/>
  <c r="O255" i="3"/>
  <c r="V255" i="3"/>
  <c r="O171" i="3"/>
  <c r="V171" i="3"/>
  <c r="O356" i="3"/>
  <c r="Q356" i="3" s="1"/>
  <c r="V356" i="3"/>
  <c r="O485" i="3"/>
  <c r="V485" i="3"/>
  <c r="O73" i="3"/>
  <c r="V73" i="3"/>
  <c r="O733" i="3"/>
  <c r="V733" i="3"/>
  <c r="O719" i="3"/>
  <c r="V719" i="3"/>
  <c r="O697" i="3"/>
  <c r="V697" i="3"/>
  <c r="O67" i="3"/>
  <c r="V67" i="3"/>
  <c r="O252" i="3"/>
  <c r="V252" i="3"/>
  <c r="O79" i="3"/>
  <c r="V79" i="3"/>
  <c r="O622" i="3"/>
  <c r="V622" i="3"/>
  <c r="O602" i="3"/>
  <c r="V602" i="3"/>
  <c r="O570" i="3"/>
  <c r="V570" i="3"/>
  <c r="O530" i="3"/>
  <c r="V530" i="3"/>
  <c r="O299" i="3"/>
  <c r="V299" i="3"/>
  <c r="O484" i="3"/>
  <c r="V484" i="3"/>
  <c r="O86" i="3"/>
  <c r="V86" i="3"/>
  <c r="O224" i="3"/>
  <c r="V224" i="3"/>
  <c r="O186" i="3"/>
  <c r="Q186" i="3" s="1"/>
  <c r="V186" i="3"/>
  <c r="O122" i="3"/>
  <c r="V122" i="3"/>
  <c r="O44" i="3"/>
  <c r="V44" i="3"/>
  <c r="O173" i="3"/>
  <c r="V173" i="3"/>
  <c r="O430" i="3"/>
  <c r="V430" i="3"/>
  <c r="O136" i="3"/>
  <c r="V136" i="3"/>
  <c r="O80" i="3"/>
  <c r="V80" i="3"/>
  <c r="O609" i="3"/>
  <c r="V609" i="3"/>
  <c r="O474" i="3"/>
  <c r="V474" i="3"/>
  <c r="O203" i="3"/>
  <c r="V203" i="3"/>
  <c r="O388" i="3"/>
  <c r="V388" i="3"/>
  <c r="O517" i="3"/>
  <c r="V517" i="3"/>
  <c r="O105" i="3"/>
  <c r="V105" i="3"/>
  <c r="O154" i="3"/>
  <c r="V154" i="3"/>
  <c r="O729" i="3"/>
  <c r="V729" i="3"/>
  <c r="O10" i="3"/>
  <c r="V10" i="3"/>
  <c r="U363" i="3"/>
  <c r="U486" i="3"/>
  <c r="U706" i="3"/>
  <c r="U12" i="3"/>
  <c r="U273" i="3"/>
  <c r="U661" i="3"/>
  <c r="U286" i="3"/>
  <c r="U630" i="3"/>
  <c r="U391" i="3"/>
  <c r="U196" i="3"/>
  <c r="O192" i="3"/>
  <c r="V192" i="3"/>
  <c r="O317" i="3"/>
  <c r="O269" i="3"/>
  <c r="R99" i="3"/>
  <c r="U99" i="3"/>
  <c r="R284" i="3"/>
  <c r="U284" i="3"/>
  <c r="R413" i="3"/>
  <c r="U413" i="3"/>
  <c r="R111" i="3"/>
  <c r="U111" i="3"/>
  <c r="R658" i="3"/>
  <c r="U658" i="3"/>
  <c r="R642" i="3"/>
  <c r="U642" i="3"/>
  <c r="R616" i="3"/>
  <c r="U616" i="3"/>
  <c r="R586" i="3"/>
  <c r="U586" i="3"/>
  <c r="R107" i="3"/>
  <c r="U107" i="3"/>
  <c r="R292" i="3"/>
  <c r="U292" i="3"/>
  <c r="R421" i="3"/>
  <c r="U421" i="3"/>
  <c r="R119" i="3"/>
  <c r="U119" i="3"/>
  <c r="R667" i="3"/>
  <c r="U667" i="3"/>
  <c r="R651" i="3"/>
  <c r="U651" i="3"/>
  <c r="M626" i="3"/>
  <c r="U626" i="3"/>
  <c r="R598" i="3"/>
  <c r="U598" i="3"/>
  <c r="R115" i="3"/>
  <c r="U115" i="3"/>
  <c r="R300" i="3"/>
  <c r="U300" i="3"/>
  <c r="R429" i="3"/>
  <c r="U429" i="3"/>
  <c r="R127" i="3"/>
  <c r="U127" i="3"/>
  <c r="R677" i="3"/>
  <c r="U677" i="3"/>
  <c r="R608" i="3"/>
  <c r="U608" i="3"/>
  <c r="R675" i="3"/>
  <c r="U675" i="3"/>
  <c r="R325" i="3"/>
  <c r="U325" i="3"/>
  <c r="R582" i="3"/>
  <c r="U582" i="3"/>
  <c r="R536" i="3"/>
  <c r="U536" i="3"/>
  <c r="R504" i="3"/>
  <c r="U504" i="3"/>
  <c r="R447" i="3"/>
  <c r="U447" i="3"/>
  <c r="M386" i="3"/>
  <c r="R131" i="3"/>
  <c r="U131" i="3"/>
  <c r="R316" i="3"/>
  <c r="U316" i="3"/>
  <c r="R445" i="3"/>
  <c r="U445" i="3"/>
  <c r="R33" i="3"/>
  <c r="R693" i="3"/>
  <c r="U693" i="3"/>
  <c r="R679" i="3"/>
  <c r="U679" i="3"/>
  <c r="R629" i="3"/>
  <c r="R27" i="3"/>
  <c r="U27" i="3"/>
  <c r="R341" i="3"/>
  <c r="R565" i="3"/>
  <c r="R687" i="3"/>
  <c r="U687" i="3"/>
  <c r="R371" i="3"/>
  <c r="R320" i="3"/>
  <c r="R11" i="3"/>
  <c r="U11" i="3"/>
  <c r="R124" i="3"/>
  <c r="R253" i="3"/>
  <c r="R510" i="3"/>
  <c r="U510" i="3"/>
  <c r="R351" i="3"/>
  <c r="U351" i="3"/>
  <c r="R312" i="3"/>
  <c r="R255" i="3"/>
  <c r="U255" i="3"/>
  <c r="R171" i="3"/>
  <c r="U171" i="3"/>
  <c r="R356" i="3"/>
  <c r="U356" i="3"/>
  <c r="R485" i="3"/>
  <c r="U485" i="3"/>
  <c r="R73" i="3"/>
  <c r="R733" i="3"/>
  <c r="U733" i="3"/>
  <c r="R697" i="3"/>
  <c r="U697" i="3"/>
  <c r="R252" i="3"/>
  <c r="U252" i="3"/>
  <c r="R79" i="3"/>
  <c r="U79" i="3"/>
  <c r="M602" i="3"/>
  <c r="U602" i="3"/>
  <c r="M530" i="3"/>
  <c r="U530" i="3"/>
  <c r="R299" i="3"/>
  <c r="U299" i="3"/>
  <c r="R484" i="3"/>
  <c r="U484" i="3"/>
  <c r="R86" i="3"/>
  <c r="U86" i="3"/>
  <c r="R201" i="3"/>
  <c r="U201" i="3"/>
  <c r="R224" i="3"/>
  <c r="U224" i="3"/>
  <c r="R186" i="3"/>
  <c r="U186" i="3"/>
  <c r="M122" i="3"/>
  <c r="U122" i="3"/>
  <c r="R8" i="3"/>
  <c r="U8" i="3"/>
  <c r="R44" i="3"/>
  <c r="R173" i="3"/>
  <c r="U173" i="3"/>
  <c r="R430" i="3"/>
  <c r="U430" i="3"/>
  <c r="R136" i="3"/>
  <c r="U136" i="3"/>
  <c r="R80" i="3"/>
  <c r="U80" i="3"/>
  <c r="R609" i="3"/>
  <c r="U609" i="3"/>
  <c r="R474" i="3"/>
  <c r="U474" i="3"/>
  <c r="R203" i="3"/>
  <c r="U203" i="3"/>
  <c r="R388" i="3"/>
  <c r="U388" i="3"/>
  <c r="R517" i="3"/>
  <c r="U517" i="3"/>
  <c r="R105" i="3"/>
  <c r="R304" i="3"/>
  <c r="U304" i="3"/>
  <c r="R154" i="3"/>
  <c r="R729" i="3"/>
  <c r="U729" i="3"/>
  <c r="R10" i="3"/>
  <c r="U10" i="3"/>
  <c r="U548" i="3"/>
  <c r="U259" i="3"/>
  <c r="U332" i="3"/>
  <c r="U511" i="3"/>
  <c r="U491" i="3"/>
  <c r="U676" i="3"/>
  <c r="U744" i="3"/>
  <c r="U597" i="3"/>
  <c r="U572" i="3"/>
  <c r="U312" i="3"/>
  <c r="U167" i="3"/>
  <c r="U627" i="3"/>
  <c r="U596" i="3"/>
  <c r="U238" i="3"/>
  <c r="U692" i="3"/>
  <c r="O15" i="3"/>
  <c r="V15" i="3"/>
  <c r="G44" i="1"/>
  <c r="O287" i="3"/>
  <c r="O211" i="3"/>
  <c r="V211" i="3"/>
  <c r="O396" i="3"/>
  <c r="V396" i="3"/>
  <c r="O525" i="3"/>
  <c r="V525" i="3"/>
  <c r="O113" i="3"/>
  <c r="V113" i="3"/>
  <c r="O410" i="3"/>
  <c r="V410" i="3"/>
  <c r="O263" i="3"/>
  <c r="V263" i="3"/>
  <c r="O737" i="3"/>
  <c r="V737" i="3"/>
  <c r="O715" i="3"/>
  <c r="V715" i="3"/>
  <c r="O219" i="3"/>
  <c r="V219" i="3"/>
  <c r="O404" i="3"/>
  <c r="V404" i="3"/>
  <c r="O533" i="3"/>
  <c r="V533" i="3"/>
  <c r="O121" i="3"/>
  <c r="V121" i="3"/>
  <c r="O455" i="3"/>
  <c r="V455" i="3"/>
  <c r="O391" i="3"/>
  <c r="V391" i="3"/>
  <c r="O745" i="3"/>
  <c r="V745" i="3"/>
  <c r="O723" i="3"/>
  <c r="V723" i="3"/>
  <c r="O227" i="3"/>
  <c r="V227" i="3"/>
  <c r="O412" i="3"/>
  <c r="V412" i="3"/>
  <c r="O541" i="3"/>
  <c r="V541" i="3"/>
  <c r="O129" i="3"/>
  <c r="V129" i="3"/>
  <c r="O599" i="3"/>
  <c r="V599" i="3"/>
  <c r="O496" i="3"/>
  <c r="V496" i="3"/>
  <c r="O98" i="3"/>
  <c r="V98" i="3"/>
  <c r="O731" i="3"/>
  <c r="V731" i="3"/>
  <c r="O123" i="3"/>
  <c r="V123" i="3"/>
  <c r="O308" i="3"/>
  <c r="V308" i="3"/>
  <c r="O437" i="3"/>
  <c r="V437" i="3"/>
  <c r="O135" i="3"/>
  <c r="V135" i="3"/>
  <c r="O685" i="3"/>
  <c r="V685" i="3"/>
  <c r="O670" i="3"/>
  <c r="V670" i="3"/>
  <c r="O645" i="3"/>
  <c r="V645" i="3"/>
  <c r="O618" i="3"/>
  <c r="V618" i="3"/>
  <c r="O243" i="3"/>
  <c r="V243" i="3"/>
  <c r="O428" i="3"/>
  <c r="V428" i="3"/>
  <c r="O30" i="3"/>
  <c r="V30" i="3"/>
  <c r="O145" i="3"/>
  <c r="V145" i="3"/>
  <c r="O42" i="3"/>
  <c r="V42" i="3"/>
  <c r="O700" i="3"/>
  <c r="V700" i="3"/>
  <c r="O551" i="3"/>
  <c r="V551" i="3"/>
  <c r="O34" i="3"/>
  <c r="V34" i="3"/>
  <c r="O638" i="3"/>
  <c r="V638" i="3"/>
  <c r="O139" i="3"/>
  <c r="V139" i="3"/>
  <c r="O324" i="3"/>
  <c r="V324" i="3"/>
  <c r="O453" i="3"/>
  <c r="V453" i="3"/>
  <c r="O41" i="3"/>
  <c r="V41" i="3"/>
  <c r="O701" i="3"/>
  <c r="V701" i="3"/>
  <c r="O724" i="3"/>
  <c r="V724" i="3"/>
  <c r="O639" i="3"/>
  <c r="V639" i="3"/>
  <c r="O483" i="3"/>
  <c r="V483" i="3"/>
  <c r="O668" i="3"/>
  <c r="V668" i="3"/>
  <c r="O270" i="3"/>
  <c r="V270" i="3"/>
  <c r="O385" i="3"/>
  <c r="V385" i="3"/>
  <c r="O632" i="3"/>
  <c r="V632" i="3"/>
  <c r="O615" i="3"/>
  <c r="V615" i="3"/>
  <c r="O585" i="3"/>
  <c r="V585" i="3"/>
  <c r="O16" i="3"/>
  <c r="V16" i="3"/>
  <c r="O603" i="3"/>
  <c r="V603" i="3"/>
  <c r="O133" i="3"/>
  <c r="V133" i="3"/>
  <c r="O390" i="3"/>
  <c r="V390" i="3"/>
  <c r="O505" i="3"/>
  <c r="V505" i="3"/>
  <c r="O82" i="3"/>
  <c r="V82" i="3"/>
  <c r="O597" i="3"/>
  <c r="V597" i="3"/>
  <c r="O51" i="3"/>
  <c r="V51" i="3"/>
  <c r="O236" i="3"/>
  <c r="V236" i="3"/>
  <c r="O365" i="3"/>
  <c r="V365" i="3"/>
  <c r="O63" i="3"/>
  <c r="V63" i="3"/>
  <c r="O600" i="3"/>
  <c r="V600" i="3"/>
  <c r="O581" i="3"/>
  <c r="V581" i="3"/>
  <c r="O544" i="3"/>
  <c r="V544" i="3"/>
  <c r="O283" i="3"/>
  <c r="V283" i="3"/>
  <c r="O468" i="3"/>
  <c r="V468" i="3"/>
  <c r="O70" i="3"/>
  <c r="V70" i="3"/>
  <c r="O185" i="3"/>
  <c r="V185" i="3"/>
  <c r="O183" i="3"/>
  <c r="V183" i="3"/>
  <c r="O144" i="3"/>
  <c r="V144" i="3"/>
  <c r="O58" i="3"/>
  <c r="V58" i="3"/>
  <c r="O179" i="3"/>
  <c r="V179" i="3"/>
  <c r="O364" i="3"/>
  <c r="V364" i="3"/>
  <c r="O493" i="3"/>
  <c r="V493" i="3"/>
  <c r="O81" i="3"/>
  <c r="V81" i="3"/>
  <c r="O741" i="3"/>
  <c r="V741" i="3"/>
  <c r="O727" i="3"/>
  <c r="V727" i="3"/>
  <c r="O705" i="3"/>
  <c r="V705" i="3"/>
  <c r="O683" i="3"/>
  <c r="V683" i="3"/>
  <c r="O411" i="3"/>
  <c r="V411" i="3"/>
  <c r="O596" i="3"/>
  <c r="V596" i="3"/>
  <c r="O198" i="3"/>
  <c r="V198" i="3"/>
  <c r="O313" i="3"/>
  <c r="V313" i="3"/>
  <c r="O521" i="3"/>
  <c r="V521" i="3"/>
  <c r="O487" i="3"/>
  <c r="V487" i="3"/>
  <c r="O426" i="3"/>
  <c r="V426" i="3"/>
  <c r="O14" i="3"/>
  <c r="V14" i="3"/>
  <c r="O156" i="3"/>
  <c r="V156" i="3"/>
  <c r="O285" i="3"/>
  <c r="V285" i="3"/>
  <c r="O542" i="3"/>
  <c r="V542" i="3"/>
  <c r="O434" i="3"/>
  <c r="V434" i="3"/>
  <c r="O399" i="3"/>
  <c r="V399" i="3"/>
  <c r="O338" i="3"/>
  <c r="V338" i="3"/>
  <c r="O280" i="3"/>
  <c r="V280" i="3"/>
  <c r="O315" i="3"/>
  <c r="V315" i="3"/>
  <c r="O500" i="3"/>
  <c r="V500" i="3"/>
  <c r="O102" i="3"/>
  <c r="V102" i="3"/>
  <c r="O217" i="3"/>
  <c r="V217" i="3"/>
  <c r="O266" i="3"/>
  <c r="V266" i="3"/>
  <c r="O231" i="3"/>
  <c r="V231" i="3"/>
  <c r="O170" i="3"/>
  <c r="V170" i="3"/>
  <c r="U371" i="3"/>
  <c r="U349" i="3"/>
  <c r="U416" i="3"/>
  <c r="U590" i="3"/>
  <c r="U290" i="3"/>
  <c r="AH44" i="1"/>
  <c r="U499" i="3"/>
  <c r="U70" i="3"/>
  <c r="U659" i="3"/>
  <c r="U622" i="3"/>
  <c r="U397" i="3"/>
  <c r="U506" i="3"/>
  <c r="U103" i="3"/>
  <c r="O118" i="3"/>
  <c r="V118" i="3"/>
  <c r="H44" i="1"/>
  <c r="U396" i="3"/>
  <c r="R525" i="3"/>
  <c r="U113" i="3"/>
  <c r="U263" i="3"/>
  <c r="U715" i="3"/>
  <c r="U219" i="3"/>
  <c r="U533" i="3"/>
  <c r="U121" i="3"/>
  <c r="U455" i="3"/>
  <c r="R745" i="3"/>
  <c r="U745" i="3"/>
  <c r="R412" i="3"/>
  <c r="U412" i="3"/>
  <c r="U599" i="3"/>
  <c r="M98" i="3"/>
  <c r="U98" i="3"/>
  <c r="U731" i="3"/>
  <c r="U123" i="3"/>
  <c r="U308" i="3"/>
  <c r="U437" i="3"/>
  <c r="U135" i="3"/>
  <c r="U685" i="3"/>
  <c r="R670" i="3"/>
  <c r="U670" i="3"/>
  <c r="R645" i="3"/>
  <c r="U645" i="3"/>
  <c r="U618" i="3"/>
  <c r="U243" i="3"/>
  <c r="U30" i="3"/>
  <c r="U145" i="3"/>
  <c r="U700" i="3"/>
  <c r="U668" i="3"/>
  <c r="R385" i="3"/>
  <c r="U603" i="3"/>
  <c r="U390" i="3"/>
  <c r="U236" i="3"/>
  <c r="U581" i="3"/>
  <c r="U185" i="3"/>
  <c r="U179" i="3"/>
  <c r="U364" i="3"/>
  <c r="U493" i="3"/>
  <c r="U81" i="3"/>
  <c r="U741" i="3"/>
  <c r="U727" i="3"/>
  <c r="U705" i="3"/>
  <c r="U683" i="3"/>
  <c r="U411" i="3"/>
  <c r="U198" i="3"/>
  <c r="U521" i="3"/>
  <c r="U426" i="3"/>
  <c r="U14" i="3"/>
  <c r="U156" i="3"/>
  <c r="U285" i="3"/>
  <c r="U542" i="3"/>
  <c r="M434" i="3"/>
  <c r="U434" i="3"/>
  <c r="U399" i="3"/>
  <c r="M338" i="3"/>
  <c r="U338" i="3"/>
  <c r="U280" i="3"/>
  <c r="U315" i="3"/>
  <c r="U500" i="3"/>
  <c r="U102" i="3"/>
  <c r="U217" i="3"/>
  <c r="M266" i="3"/>
  <c r="U266" i="3"/>
  <c r="U231" i="3"/>
  <c r="M170" i="3"/>
  <c r="U170" i="3"/>
  <c r="U587" i="3"/>
  <c r="S44" i="1"/>
  <c r="U682" i="3"/>
  <c r="U53" i="3"/>
  <c r="U20" i="3"/>
  <c r="M44" i="1"/>
  <c r="AG44" i="1"/>
  <c r="U44" i="1"/>
  <c r="AC44" i="1"/>
  <c r="AE44" i="1"/>
  <c r="K44" i="1"/>
  <c r="Y44" i="1"/>
  <c r="U527" i="3"/>
  <c r="Z44" i="1"/>
  <c r="U329" i="3"/>
  <c r="N44" i="1"/>
  <c r="V44" i="1"/>
  <c r="R44" i="1"/>
  <c r="O69" i="3"/>
  <c r="V69" i="3"/>
  <c r="O326" i="3"/>
  <c r="V326" i="3"/>
  <c r="O441" i="3"/>
  <c r="V441" i="3"/>
  <c r="O694" i="3"/>
  <c r="V694" i="3"/>
  <c r="O680" i="3"/>
  <c r="V680" i="3"/>
  <c r="O655" i="3"/>
  <c r="V655" i="3"/>
  <c r="X44" i="1"/>
  <c r="I44" i="1"/>
  <c r="L44" i="1"/>
  <c r="O44" i="1"/>
  <c r="O247" i="3"/>
  <c r="V247" i="3"/>
  <c r="O208" i="3"/>
  <c r="V208" i="3"/>
  <c r="O151" i="3"/>
  <c r="V151" i="3"/>
  <c r="O4" i="3"/>
  <c r="V4" i="3"/>
  <c r="O52" i="3"/>
  <c r="V52" i="3"/>
  <c r="O181" i="3"/>
  <c r="V181" i="3"/>
  <c r="O438" i="3"/>
  <c r="V438" i="3"/>
  <c r="O159" i="3"/>
  <c r="V159" i="3"/>
  <c r="O112" i="3"/>
  <c r="V112" i="3"/>
  <c r="O648" i="3"/>
  <c r="V648" i="3"/>
  <c r="O589" i="3"/>
  <c r="V589" i="3"/>
  <c r="Q44" i="1"/>
  <c r="AD44" i="1"/>
  <c r="M166" i="3"/>
  <c r="M614" i="3"/>
  <c r="M293" i="3"/>
  <c r="M604" i="3"/>
  <c r="M414" i="3"/>
  <c r="M200" i="3"/>
  <c r="M205" i="3"/>
  <c r="M66" i="3"/>
  <c r="M286" i="3"/>
  <c r="M239" i="3"/>
  <c r="M537" i="3"/>
  <c r="M378" i="3"/>
  <c r="M381" i="3"/>
  <c r="N429" i="3"/>
  <c r="M517" i="3"/>
  <c r="N386" i="3"/>
  <c r="Q386" i="3" s="1"/>
  <c r="M5" i="3"/>
  <c r="N635" i="3"/>
  <c r="M173" i="3"/>
  <c r="M304" i="3"/>
  <c r="M485" i="3"/>
  <c r="M292" i="3"/>
  <c r="M278" i="3"/>
  <c r="N484" i="3"/>
  <c r="M703" i="3"/>
  <c r="M675" i="3"/>
  <c r="N667" i="3"/>
  <c r="M431" i="3"/>
  <c r="M252" i="3"/>
  <c r="M651" i="3"/>
  <c r="M131" i="3"/>
  <c r="M687" i="3"/>
  <c r="M11" i="3"/>
  <c r="M356" i="3"/>
  <c r="M693" i="3"/>
  <c r="M635" i="3"/>
  <c r="M510" i="3"/>
  <c r="N733" i="3"/>
  <c r="M115" i="3"/>
  <c r="M654" i="3"/>
  <c r="M733" i="3"/>
  <c r="M80" i="3"/>
  <c r="M154" i="3"/>
  <c r="R554" i="3"/>
  <c r="M158" i="3"/>
  <c r="M719" i="3"/>
  <c r="R698" i="3"/>
  <c r="N661" i="3"/>
  <c r="M99" i="3"/>
  <c r="M661" i="3"/>
  <c r="M416" i="3"/>
  <c r="N278" i="3"/>
  <c r="Q278" i="3" s="1"/>
  <c r="M255" i="3"/>
  <c r="M474" i="3"/>
  <c r="M161" i="3"/>
  <c r="N611" i="3"/>
  <c r="M424" i="3"/>
  <c r="M176" i="3"/>
  <c r="M100" i="3"/>
  <c r="M611" i="3"/>
  <c r="M633" i="3"/>
  <c r="M514" i="3"/>
  <c r="M526" i="3"/>
  <c r="M686" i="3"/>
  <c r="M111" i="3"/>
  <c r="M213" i="3"/>
  <c r="M141" i="3"/>
  <c r="M479" i="3"/>
  <c r="R602" i="3"/>
  <c r="M373" i="3"/>
  <c r="N408" i="3"/>
  <c r="M229" i="3"/>
  <c r="N379" i="3"/>
  <c r="Q379" i="3" s="1"/>
  <c r="M194" i="3"/>
  <c r="M187" i="3"/>
  <c r="M204" i="3"/>
  <c r="M50" i="3"/>
  <c r="M379" i="3"/>
  <c r="M576" i="3"/>
  <c r="R266" i="3"/>
  <c r="M470" i="3"/>
  <c r="M259" i="3"/>
  <c r="M610" i="3"/>
  <c r="M354" i="3"/>
  <c r="M372" i="3"/>
  <c r="N405" i="3"/>
  <c r="R626" i="3"/>
  <c r="M39" i="3"/>
  <c r="M140" i="3"/>
  <c r="N713" i="3"/>
  <c r="M405" i="3"/>
  <c r="R314" i="3"/>
  <c r="M127" i="3"/>
  <c r="M684" i="3"/>
  <c r="M732" i="3"/>
  <c r="M244" i="3"/>
  <c r="M713" i="3"/>
  <c r="N646" i="3"/>
  <c r="M616" i="3"/>
  <c r="R338" i="3"/>
  <c r="M445" i="3"/>
  <c r="M676" i="3"/>
  <c r="M513" i="3"/>
  <c r="M318" i="3"/>
  <c r="M646" i="3"/>
  <c r="M504" i="3"/>
  <c r="N166" i="3"/>
  <c r="M269" i="3"/>
  <c r="M89" i="3"/>
  <c r="M691" i="3"/>
  <c r="R146" i="3"/>
  <c r="M323" i="3"/>
  <c r="R323" i="3"/>
  <c r="M508" i="3"/>
  <c r="R508" i="3"/>
  <c r="M110" i="3"/>
  <c r="R110" i="3"/>
  <c r="M225" i="3"/>
  <c r="R225" i="3"/>
  <c r="M288" i="3"/>
  <c r="R288" i="3"/>
  <c r="M250" i="3"/>
  <c r="R250" i="3"/>
  <c r="M192" i="3"/>
  <c r="R192" i="3"/>
  <c r="M13" i="3"/>
  <c r="R13" i="3"/>
  <c r="M331" i="3"/>
  <c r="R331" i="3"/>
  <c r="M516" i="3"/>
  <c r="R516" i="3"/>
  <c r="M118" i="3"/>
  <c r="R118" i="3"/>
  <c r="M233" i="3"/>
  <c r="R233" i="3"/>
  <c r="M272" i="3"/>
  <c r="R272" i="3"/>
  <c r="M215" i="3"/>
  <c r="R215" i="3"/>
  <c r="N19" i="3"/>
  <c r="Q19" i="3" s="1"/>
  <c r="R19" i="3"/>
  <c r="M339" i="3"/>
  <c r="R339" i="3"/>
  <c r="M524" i="3"/>
  <c r="R524" i="3"/>
  <c r="M126" i="3"/>
  <c r="R126" i="3"/>
  <c r="M241" i="3"/>
  <c r="R241" i="3"/>
  <c r="M330" i="3"/>
  <c r="R330" i="3"/>
  <c r="N295" i="3"/>
  <c r="R295" i="3"/>
  <c r="N234" i="3"/>
  <c r="R234" i="3"/>
  <c r="M25" i="3"/>
  <c r="R25" i="3"/>
  <c r="M235" i="3"/>
  <c r="R235" i="3"/>
  <c r="M420" i="3"/>
  <c r="R420" i="3"/>
  <c r="M549" i="3"/>
  <c r="R549" i="3"/>
  <c r="M432" i="3"/>
  <c r="R432" i="3"/>
  <c r="N739" i="3"/>
  <c r="R739" i="3"/>
  <c r="M355" i="3"/>
  <c r="R355" i="3"/>
  <c r="N540" i="3"/>
  <c r="Q540" i="3" s="1"/>
  <c r="R540" i="3"/>
  <c r="M142" i="3"/>
  <c r="R142" i="3"/>
  <c r="M257" i="3"/>
  <c r="R257" i="3"/>
  <c r="M375" i="3"/>
  <c r="R375" i="3"/>
  <c r="M336" i="3"/>
  <c r="R336" i="3"/>
  <c r="M279" i="3"/>
  <c r="R279" i="3"/>
  <c r="M15" i="3"/>
  <c r="R15" i="3"/>
  <c r="M282" i="3"/>
  <c r="R282" i="3"/>
  <c r="N251" i="3"/>
  <c r="R251" i="3"/>
  <c r="M436" i="3"/>
  <c r="R436" i="3"/>
  <c r="M38" i="3"/>
  <c r="R38" i="3"/>
  <c r="M153" i="3"/>
  <c r="R153" i="3"/>
  <c r="M359" i="3"/>
  <c r="R359" i="3"/>
  <c r="M298" i="3"/>
  <c r="R298" i="3"/>
  <c r="M595" i="3"/>
  <c r="R595" i="3"/>
  <c r="M125" i="3"/>
  <c r="R125" i="3"/>
  <c r="M497" i="3"/>
  <c r="R497" i="3"/>
  <c r="M199" i="3"/>
  <c r="R199" i="3"/>
  <c r="M736" i="3"/>
  <c r="R736" i="3"/>
  <c r="M714" i="3"/>
  <c r="R714" i="3"/>
  <c r="M116" i="3"/>
  <c r="R116" i="3"/>
  <c r="M245" i="3"/>
  <c r="R245" i="3"/>
  <c r="M502" i="3"/>
  <c r="R502" i="3"/>
  <c r="M328" i="3"/>
  <c r="R328" i="3"/>
  <c r="M744" i="3"/>
  <c r="R744" i="3"/>
  <c r="M722" i="3"/>
  <c r="R722" i="3"/>
  <c r="M163" i="3"/>
  <c r="R163" i="3"/>
  <c r="M348" i="3"/>
  <c r="R348" i="3"/>
  <c r="M477" i="3"/>
  <c r="R477" i="3"/>
  <c r="M65" i="3"/>
  <c r="R65" i="3"/>
  <c r="M725" i="3"/>
  <c r="R725" i="3"/>
  <c r="M711" i="3"/>
  <c r="R711" i="3"/>
  <c r="M689" i="3"/>
  <c r="R689" i="3"/>
  <c r="M395" i="3"/>
  <c r="R395" i="3"/>
  <c r="M580" i="3"/>
  <c r="R580" i="3"/>
  <c r="M182" i="3"/>
  <c r="R182" i="3"/>
  <c r="M297" i="3"/>
  <c r="R297" i="3"/>
  <c r="M480" i="3"/>
  <c r="R480" i="3"/>
  <c r="M442" i="3"/>
  <c r="R442" i="3"/>
  <c r="M384" i="3"/>
  <c r="R384" i="3"/>
  <c r="M291" i="3"/>
  <c r="R291" i="3"/>
  <c r="M476" i="3"/>
  <c r="R476" i="3"/>
  <c r="M78" i="3"/>
  <c r="R78" i="3"/>
  <c r="M193" i="3"/>
  <c r="R193" i="3"/>
  <c r="M202" i="3"/>
  <c r="R202" i="3"/>
  <c r="M167" i="3"/>
  <c r="R167" i="3"/>
  <c r="M90" i="3"/>
  <c r="R90" i="3"/>
  <c r="M716" i="3"/>
  <c r="R716" i="3"/>
  <c r="M523" i="3"/>
  <c r="R523" i="3"/>
  <c r="M310" i="3"/>
  <c r="R310" i="3"/>
  <c r="N425" i="3"/>
  <c r="R425" i="3"/>
  <c r="M678" i="3"/>
  <c r="R678" i="3"/>
  <c r="M662" i="3"/>
  <c r="R662" i="3"/>
  <c r="M637" i="3"/>
  <c r="R637" i="3"/>
  <c r="M83" i="3"/>
  <c r="R83" i="3"/>
  <c r="M268" i="3"/>
  <c r="R268" i="3"/>
  <c r="M397" i="3"/>
  <c r="R397" i="3"/>
  <c r="M95" i="3"/>
  <c r="R95" i="3"/>
  <c r="M640" i="3"/>
  <c r="R640" i="3"/>
  <c r="M624" i="3"/>
  <c r="R624" i="3"/>
  <c r="M594" i="3"/>
  <c r="R594" i="3"/>
  <c r="M561" i="3"/>
  <c r="R561" i="3"/>
  <c r="M427" i="3"/>
  <c r="R427" i="3"/>
  <c r="M612" i="3"/>
  <c r="R612" i="3"/>
  <c r="M214" i="3"/>
  <c r="R214" i="3"/>
  <c r="M329" i="3"/>
  <c r="R329" i="3"/>
  <c r="M553" i="3"/>
  <c r="R553" i="3"/>
  <c r="M527" i="3"/>
  <c r="R527" i="3"/>
  <c r="M447" i="3"/>
  <c r="M679" i="3"/>
  <c r="M663" i="3"/>
  <c r="M393" i="3"/>
  <c r="M171" i="3"/>
  <c r="M413" i="3"/>
  <c r="R74" i="3"/>
  <c r="R650" i="3"/>
  <c r="M316" i="3"/>
  <c r="M677" i="3"/>
  <c r="M341" i="3"/>
  <c r="M556" i="3"/>
  <c r="M491" i="3"/>
  <c r="N674" i="3"/>
  <c r="N570" i="3"/>
  <c r="M299" i="3"/>
  <c r="M10" i="3"/>
  <c r="M119" i="3"/>
  <c r="M435" i="3"/>
  <c r="R435" i="3"/>
  <c r="N620" i="3"/>
  <c r="R620" i="3"/>
  <c r="M222" i="3"/>
  <c r="R222" i="3"/>
  <c r="M337" i="3"/>
  <c r="R337" i="3"/>
  <c r="M567" i="3"/>
  <c r="R567" i="3"/>
  <c r="N543" i="3"/>
  <c r="Q543" i="3" s="1"/>
  <c r="R543" i="3"/>
  <c r="M490" i="3"/>
  <c r="R490" i="3"/>
  <c r="M22" i="3"/>
  <c r="R22" i="3"/>
  <c r="M443" i="3"/>
  <c r="R443" i="3"/>
  <c r="M628" i="3"/>
  <c r="R628" i="3"/>
  <c r="M230" i="3"/>
  <c r="R230" i="3"/>
  <c r="M345" i="3"/>
  <c r="R345" i="3"/>
  <c r="M557" i="3"/>
  <c r="R557" i="3"/>
  <c r="M512" i="3"/>
  <c r="R512" i="3"/>
  <c r="M17" i="3"/>
  <c r="R17" i="3"/>
  <c r="M451" i="3"/>
  <c r="R451" i="3"/>
  <c r="M636" i="3"/>
  <c r="R636" i="3"/>
  <c r="M353" i="3"/>
  <c r="R353" i="3"/>
  <c r="N591" i="3"/>
  <c r="R591" i="3"/>
  <c r="M569" i="3"/>
  <c r="R569" i="3"/>
  <c r="M529" i="3"/>
  <c r="R529" i="3"/>
  <c r="M23" i="3"/>
  <c r="R23" i="3"/>
  <c r="M347" i="3"/>
  <c r="R347" i="3"/>
  <c r="M532" i="3"/>
  <c r="R532" i="3"/>
  <c r="N134" i="3"/>
  <c r="R134" i="3"/>
  <c r="M249" i="3"/>
  <c r="R249" i="3"/>
  <c r="M352" i="3"/>
  <c r="R352" i="3"/>
  <c r="M256" i="3"/>
  <c r="R256" i="3"/>
  <c r="M24" i="3"/>
  <c r="R24" i="3"/>
  <c r="N467" i="3"/>
  <c r="R467" i="3"/>
  <c r="M652" i="3"/>
  <c r="R652" i="3"/>
  <c r="M254" i="3"/>
  <c r="R254" i="3"/>
  <c r="M369" i="3"/>
  <c r="R369" i="3"/>
  <c r="M613" i="3"/>
  <c r="R613" i="3"/>
  <c r="M593" i="3"/>
  <c r="R593" i="3"/>
  <c r="M560" i="3"/>
  <c r="R560" i="3"/>
  <c r="M7" i="3"/>
  <c r="R7" i="3"/>
  <c r="M6" i="3"/>
  <c r="R6" i="3"/>
  <c r="M363" i="3"/>
  <c r="R363" i="3"/>
  <c r="M548" i="3"/>
  <c r="R548" i="3"/>
  <c r="M150" i="3"/>
  <c r="R150" i="3"/>
  <c r="M394" i="3"/>
  <c r="R394" i="3"/>
  <c r="M605" i="3"/>
  <c r="R605" i="3"/>
  <c r="M573" i="3"/>
  <c r="R573" i="3"/>
  <c r="M108" i="3"/>
  <c r="R108" i="3"/>
  <c r="M237" i="3"/>
  <c r="R237" i="3"/>
  <c r="M494" i="3"/>
  <c r="R494" i="3"/>
  <c r="N306" i="3"/>
  <c r="R306" i="3"/>
  <c r="M271" i="3"/>
  <c r="R271" i="3"/>
  <c r="M210" i="3"/>
  <c r="R210" i="3"/>
  <c r="M152" i="3"/>
  <c r="R152" i="3"/>
  <c r="M228" i="3"/>
  <c r="R228" i="3"/>
  <c r="N357" i="3"/>
  <c r="R357" i="3"/>
  <c r="M55" i="3"/>
  <c r="R55" i="3"/>
  <c r="M590" i="3"/>
  <c r="R590" i="3"/>
  <c r="M232" i="3"/>
  <c r="R232" i="3"/>
  <c r="M175" i="3"/>
  <c r="R175" i="3"/>
  <c r="M460" i="3"/>
  <c r="R460" i="3"/>
  <c r="M62" i="3"/>
  <c r="R62" i="3"/>
  <c r="M177" i="3"/>
  <c r="R177" i="3"/>
  <c r="M160" i="3"/>
  <c r="R160" i="3"/>
  <c r="M114" i="3"/>
  <c r="R114" i="3"/>
  <c r="M507" i="3"/>
  <c r="R507" i="3"/>
  <c r="M37" i="3"/>
  <c r="R37" i="3"/>
  <c r="M294" i="3"/>
  <c r="R294" i="3"/>
  <c r="M409" i="3"/>
  <c r="R409" i="3"/>
  <c r="M659" i="3"/>
  <c r="R659" i="3"/>
  <c r="M643" i="3"/>
  <c r="R643" i="3"/>
  <c r="M617" i="3"/>
  <c r="R617" i="3"/>
  <c r="N403" i="3"/>
  <c r="R403" i="3"/>
  <c r="M588" i="3"/>
  <c r="R588" i="3"/>
  <c r="M190" i="3"/>
  <c r="R190" i="3"/>
  <c r="M305" i="3"/>
  <c r="R305" i="3"/>
  <c r="M503" i="3"/>
  <c r="R503" i="3"/>
  <c r="M464" i="3"/>
  <c r="R464" i="3"/>
  <c r="M407" i="3"/>
  <c r="R407" i="3"/>
  <c r="M165" i="3"/>
  <c r="R165" i="3"/>
  <c r="M422" i="3"/>
  <c r="R422" i="3"/>
  <c r="M104" i="3"/>
  <c r="R104" i="3"/>
  <c r="M48" i="3"/>
  <c r="R48" i="3"/>
  <c r="M519" i="3"/>
  <c r="R519" i="3"/>
  <c r="M327" i="3"/>
  <c r="R327" i="3"/>
  <c r="M195" i="3"/>
  <c r="R195" i="3"/>
  <c r="M380" i="3"/>
  <c r="R380" i="3"/>
  <c r="M509" i="3"/>
  <c r="R509" i="3"/>
  <c r="M97" i="3"/>
  <c r="R97" i="3"/>
  <c r="M743" i="3"/>
  <c r="R743" i="3"/>
  <c r="M721" i="3"/>
  <c r="R721" i="3"/>
  <c r="M699" i="3"/>
  <c r="R699" i="3"/>
  <c r="M539" i="3"/>
  <c r="R539" i="3"/>
  <c r="M69" i="3"/>
  <c r="R69" i="3"/>
  <c r="M326" i="3"/>
  <c r="R326" i="3"/>
  <c r="M441" i="3"/>
  <c r="R441" i="3"/>
  <c r="M694" i="3"/>
  <c r="R694" i="3"/>
  <c r="M680" i="3"/>
  <c r="R680" i="3"/>
  <c r="M655" i="3"/>
  <c r="R655" i="3"/>
  <c r="R290" i="3"/>
  <c r="R386" i="3"/>
  <c r="M471" i="3"/>
  <c r="R471" i="3"/>
  <c r="M325" i="3"/>
  <c r="M64" i="3"/>
  <c r="M486" i="3"/>
  <c r="M320" i="3"/>
  <c r="N703" i="3"/>
  <c r="Q703" i="3" s="1"/>
  <c r="M124" i="3"/>
  <c r="M312" i="3"/>
  <c r="M570" i="3"/>
  <c r="M224" i="3"/>
  <c r="M8" i="3"/>
  <c r="N173" i="3"/>
  <c r="M105" i="3"/>
  <c r="M642" i="3"/>
  <c r="R530" i="3"/>
  <c r="R218" i="3"/>
  <c r="M547" i="3"/>
  <c r="R547" i="3"/>
  <c r="M77" i="3"/>
  <c r="R77" i="3"/>
  <c r="M334" i="3"/>
  <c r="R334" i="3"/>
  <c r="M449" i="3"/>
  <c r="R449" i="3"/>
  <c r="M702" i="3"/>
  <c r="R702" i="3"/>
  <c r="M688" i="3"/>
  <c r="R688" i="3"/>
  <c r="M664" i="3"/>
  <c r="R664" i="3"/>
  <c r="M439" i="3"/>
  <c r="R439" i="3"/>
  <c r="M555" i="3"/>
  <c r="R555" i="3"/>
  <c r="M342" i="3"/>
  <c r="R342" i="3"/>
  <c r="M457" i="3"/>
  <c r="R457" i="3"/>
  <c r="M710" i="3"/>
  <c r="R710" i="3"/>
  <c r="N696" i="3"/>
  <c r="R696" i="3"/>
  <c r="M673" i="3"/>
  <c r="R673" i="3"/>
  <c r="M625" i="3"/>
  <c r="R625" i="3"/>
  <c r="M93" i="3"/>
  <c r="R93" i="3"/>
  <c r="M350" i="3"/>
  <c r="R350" i="3"/>
  <c r="M465" i="3"/>
  <c r="R465" i="3"/>
  <c r="M718" i="3"/>
  <c r="R718" i="3"/>
  <c r="M704" i="3"/>
  <c r="R704" i="3"/>
  <c r="M682" i="3"/>
  <c r="R682" i="3"/>
  <c r="M717" i="3"/>
  <c r="R717" i="3"/>
  <c r="M459" i="3"/>
  <c r="R459" i="3"/>
  <c r="M644" i="3"/>
  <c r="R644" i="3"/>
  <c r="M246" i="3"/>
  <c r="R246" i="3"/>
  <c r="M361" i="3"/>
  <c r="R361" i="3"/>
  <c r="M601" i="3"/>
  <c r="R601" i="3"/>
  <c r="M583" i="3"/>
  <c r="R583" i="3"/>
  <c r="M545" i="3"/>
  <c r="R545" i="3"/>
  <c r="M9" i="3"/>
  <c r="R9" i="3"/>
  <c r="M579" i="3"/>
  <c r="R579" i="3"/>
  <c r="M109" i="3"/>
  <c r="R109" i="3"/>
  <c r="M366" i="3"/>
  <c r="R366" i="3"/>
  <c r="M481" i="3"/>
  <c r="R481" i="3"/>
  <c r="M734" i="3"/>
  <c r="R734" i="3"/>
  <c r="M720" i="3"/>
  <c r="R720" i="3"/>
  <c r="M248" i="3"/>
  <c r="R248" i="3"/>
  <c r="M12" i="3"/>
  <c r="R12" i="3"/>
  <c r="M475" i="3"/>
  <c r="R475" i="3"/>
  <c r="M660" i="3"/>
  <c r="R660" i="3"/>
  <c r="M262" i="3"/>
  <c r="R262" i="3"/>
  <c r="M377" i="3"/>
  <c r="R377" i="3"/>
  <c r="M623" i="3"/>
  <c r="R623" i="3"/>
  <c r="M728" i="3"/>
  <c r="R728" i="3"/>
  <c r="M220" i="3"/>
  <c r="R220" i="3"/>
  <c r="M349" i="3"/>
  <c r="R349" i="3"/>
  <c r="N47" i="3"/>
  <c r="R47" i="3"/>
  <c r="M577" i="3"/>
  <c r="R577" i="3"/>
  <c r="M511" i="3"/>
  <c r="R511" i="3"/>
  <c r="M155" i="3"/>
  <c r="R155" i="3"/>
  <c r="M340" i="3"/>
  <c r="R340" i="3"/>
  <c r="M469" i="3"/>
  <c r="R469" i="3"/>
  <c r="M57" i="3"/>
  <c r="R57" i="3"/>
  <c r="M641" i="3"/>
  <c r="R641" i="3"/>
  <c r="M528" i="3"/>
  <c r="R528" i="3"/>
  <c r="M472" i="3"/>
  <c r="R472" i="3"/>
  <c r="M387" i="3"/>
  <c r="R387" i="3"/>
  <c r="M572" i="3"/>
  <c r="R572" i="3"/>
  <c r="M174" i="3"/>
  <c r="R174" i="3"/>
  <c r="M289" i="3"/>
  <c r="R289" i="3"/>
  <c r="M423" i="3"/>
  <c r="R423" i="3"/>
  <c r="M619" i="3"/>
  <c r="R619" i="3"/>
  <c r="N149" i="3"/>
  <c r="R149" i="3"/>
  <c r="M406" i="3"/>
  <c r="R406" i="3"/>
  <c r="M40" i="3"/>
  <c r="R40" i="3"/>
  <c r="M666" i="3"/>
  <c r="R666" i="3"/>
  <c r="M240" i="3"/>
  <c r="R240" i="3"/>
  <c r="M738" i="3"/>
  <c r="R738" i="3"/>
  <c r="M515" i="3"/>
  <c r="R515" i="3"/>
  <c r="M45" i="3"/>
  <c r="R45" i="3"/>
  <c r="M302" i="3"/>
  <c r="R302" i="3"/>
  <c r="M417" i="3"/>
  <c r="R417" i="3"/>
  <c r="M669" i="3"/>
  <c r="R669" i="3"/>
  <c r="M653" i="3"/>
  <c r="R653" i="3"/>
  <c r="M707" i="3"/>
  <c r="R707" i="3"/>
  <c r="M148" i="3"/>
  <c r="R148" i="3"/>
  <c r="M277" i="3"/>
  <c r="R277" i="3"/>
  <c r="M534" i="3"/>
  <c r="R534" i="3"/>
  <c r="M415" i="3"/>
  <c r="R415" i="3"/>
  <c r="M376" i="3"/>
  <c r="R376" i="3"/>
  <c r="M319" i="3"/>
  <c r="R319" i="3"/>
  <c r="M258" i="3"/>
  <c r="R258" i="3"/>
  <c r="M307" i="3"/>
  <c r="R307" i="3"/>
  <c r="M492" i="3"/>
  <c r="R492" i="3"/>
  <c r="M94" i="3"/>
  <c r="R94" i="3"/>
  <c r="M209" i="3"/>
  <c r="R209" i="3"/>
  <c r="M247" i="3"/>
  <c r="R247" i="3"/>
  <c r="M208" i="3"/>
  <c r="R208" i="3"/>
  <c r="M151" i="3"/>
  <c r="R151" i="3"/>
  <c r="M4" i="3"/>
  <c r="R4" i="3"/>
  <c r="M52" i="3"/>
  <c r="R52" i="3"/>
  <c r="M181" i="3"/>
  <c r="R181" i="3"/>
  <c r="M438" i="3"/>
  <c r="R438" i="3"/>
  <c r="M159" i="3"/>
  <c r="R159" i="3"/>
  <c r="M648" i="3"/>
  <c r="R648" i="3"/>
  <c r="M589" i="3"/>
  <c r="R589" i="3"/>
  <c r="M408" i="3"/>
  <c r="M253" i="3"/>
  <c r="M67" i="3"/>
  <c r="M79" i="3"/>
  <c r="M484" i="3"/>
  <c r="M429" i="3"/>
  <c r="M112" i="3"/>
  <c r="M322" i="3"/>
  <c r="M658" i="3"/>
  <c r="M667" i="3"/>
  <c r="M60" i="3"/>
  <c r="R60" i="3"/>
  <c r="M189" i="3"/>
  <c r="R189" i="3"/>
  <c r="N446" i="3"/>
  <c r="R446" i="3"/>
  <c r="M178" i="3"/>
  <c r="R178" i="3"/>
  <c r="M143" i="3"/>
  <c r="R143" i="3"/>
  <c r="M56" i="3"/>
  <c r="R56" i="3"/>
  <c r="M657" i="3"/>
  <c r="R657" i="3"/>
  <c r="M665" i="3"/>
  <c r="R665" i="3"/>
  <c r="M68" i="3"/>
  <c r="R68" i="3"/>
  <c r="M197" i="3"/>
  <c r="R197" i="3"/>
  <c r="M454" i="3"/>
  <c r="R454" i="3"/>
  <c r="M162" i="3"/>
  <c r="R162" i="3"/>
  <c r="M88" i="3"/>
  <c r="R88" i="3"/>
  <c r="M708" i="3"/>
  <c r="R708" i="3"/>
  <c r="M495" i="3"/>
  <c r="R495" i="3"/>
  <c r="N76" i="3"/>
  <c r="Q76" i="3" s="1"/>
  <c r="R76" i="3"/>
  <c r="M462" i="3"/>
  <c r="R462" i="3"/>
  <c r="M223" i="3"/>
  <c r="R223" i="3"/>
  <c r="M184" i="3"/>
  <c r="R184" i="3"/>
  <c r="M120" i="3"/>
  <c r="R120" i="3"/>
  <c r="M32" i="3"/>
  <c r="R32" i="3"/>
  <c r="M730" i="3"/>
  <c r="R730" i="3"/>
  <c r="M571" i="3"/>
  <c r="R571" i="3"/>
  <c r="M101" i="3"/>
  <c r="R101" i="3"/>
  <c r="M358" i="3"/>
  <c r="R358" i="3"/>
  <c r="M473" i="3"/>
  <c r="R473" i="3"/>
  <c r="M726" i="3"/>
  <c r="R726" i="3"/>
  <c r="M712" i="3"/>
  <c r="R712" i="3"/>
  <c r="M690" i="3"/>
  <c r="R690" i="3"/>
  <c r="M562" i="3"/>
  <c r="R562" i="3"/>
  <c r="M92" i="3"/>
  <c r="R92" i="3"/>
  <c r="M221" i="3"/>
  <c r="R221" i="3"/>
  <c r="M478" i="3"/>
  <c r="R478" i="3"/>
  <c r="M264" i="3"/>
  <c r="R264" i="3"/>
  <c r="M226" i="3"/>
  <c r="R226" i="3"/>
  <c r="M168" i="3"/>
  <c r="R168" i="3"/>
  <c r="M96" i="3"/>
  <c r="R96" i="3"/>
  <c r="M706" i="3"/>
  <c r="R706" i="3"/>
  <c r="M138" i="3"/>
  <c r="R138" i="3"/>
  <c r="M587" i="3"/>
  <c r="R587" i="3"/>
  <c r="M117" i="3"/>
  <c r="R117" i="3"/>
  <c r="M374" i="3"/>
  <c r="R374" i="3"/>
  <c r="N489" i="3"/>
  <c r="R489" i="3"/>
  <c r="N742" i="3"/>
  <c r="R742" i="3"/>
  <c r="M191" i="3"/>
  <c r="R191" i="3"/>
  <c r="M147" i="3"/>
  <c r="R147" i="3"/>
  <c r="M332" i="3"/>
  <c r="R332" i="3"/>
  <c r="M461" i="3"/>
  <c r="R461" i="3"/>
  <c r="M49" i="3"/>
  <c r="R49" i="3"/>
  <c r="M709" i="3"/>
  <c r="R709" i="3"/>
  <c r="M695" i="3"/>
  <c r="R695" i="3"/>
  <c r="M672" i="3"/>
  <c r="R672" i="3"/>
  <c r="M647" i="3"/>
  <c r="R647" i="3"/>
  <c r="N267" i="3"/>
  <c r="R267" i="3"/>
  <c r="M452" i="3"/>
  <c r="R452" i="3"/>
  <c r="M54" i="3"/>
  <c r="R54" i="3"/>
  <c r="M169" i="3"/>
  <c r="R169" i="3"/>
  <c r="M681" i="3"/>
  <c r="R681" i="3"/>
  <c r="N656" i="3"/>
  <c r="R656" i="3"/>
  <c r="M499" i="3"/>
  <c r="R499" i="3"/>
  <c r="M29" i="3"/>
  <c r="R29" i="3"/>
  <c r="M401" i="3"/>
  <c r="R401" i="3"/>
  <c r="M634" i="3"/>
  <c r="R634" i="3"/>
  <c r="N607" i="3"/>
  <c r="Q607" i="3" s="1"/>
  <c r="R607" i="3"/>
  <c r="N132" i="3"/>
  <c r="Q132" i="3" s="1"/>
  <c r="R132" i="3"/>
  <c r="M261" i="3"/>
  <c r="R261" i="3"/>
  <c r="M518" i="3"/>
  <c r="R518" i="3"/>
  <c r="M370" i="3"/>
  <c r="R370" i="3"/>
  <c r="M335" i="3"/>
  <c r="R335" i="3"/>
  <c r="M274" i="3"/>
  <c r="R274" i="3"/>
  <c r="M216" i="3"/>
  <c r="R216" i="3"/>
  <c r="M28" i="3"/>
  <c r="R28" i="3"/>
  <c r="M157" i="3"/>
  <c r="R157" i="3"/>
  <c r="M72" i="3"/>
  <c r="R72" i="3"/>
  <c r="M740" i="3"/>
  <c r="R740" i="3"/>
  <c r="M346" i="3"/>
  <c r="R346" i="3"/>
  <c r="N75" i="3"/>
  <c r="R75" i="3"/>
  <c r="M260" i="3"/>
  <c r="R260" i="3"/>
  <c r="N389" i="3"/>
  <c r="R389" i="3"/>
  <c r="M87" i="3"/>
  <c r="R87" i="3"/>
  <c r="M631" i="3"/>
  <c r="R631" i="3"/>
  <c r="N584" i="3"/>
  <c r="R584" i="3"/>
  <c r="M546" i="3"/>
  <c r="R546" i="3"/>
  <c r="M419" i="3"/>
  <c r="R419" i="3"/>
  <c r="M206" i="3"/>
  <c r="R206" i="3"/>
  <c r="M321" i="3"/>
  <c r="R321" i="3"/>
  <c r="M448" i="3"/>
  <c r="R448" i="3"/>
  <c r="M20" i="3"/>
  <c r="R20" i="3"/>
  <c r="M164" i="3"/>
  <c r="R164" i="3"/>
  <c r="M550" i="3"/>
  <c r="R550" i="3"/>
  <c r="M456" i="3"/>
  <c r="R456" i="3"/>
  <c r="M418" i="3"/>
  <c r="R418" i="3"/>
  <c r="M360" i="3"/>
  <c r="R360" i="3"/>
  <c r="M303" i="3"/>
  <c r="R303" i="3"/>
  <c r="M582" i="3"/>
  <c r="M33" i="3"/>
  <c r="M574" i="3"/>
  <c r="N388" i="3"/>
  <c r="M383" i="3"/>
  <c r="R194" i="3"/>
  <c r="N629" i="3"/>
  <c r="M27" i="3"/>
  <c r="M565" i="3"/>
  <c r="M273" i="3"/>
  <c r="M598" i="3"/>
  <c r="N343" i="3"/>
  <c r="Q343" i="3" s="1"/>
  <c r="M622" i="3"/>
  <c r="M186" i="3"/>
  <c r="N430" i="3"/>
  <c r="M609" i="3"/>
  <c r="M388" i="3"/>
  <c r="M586" i="3"/>
  <c r="M172" i="3"/>
  <c r="R172" i="3"/>
  <c r="M301" i="3"/>
  <c r="R301" i="3"/>
  <c r="M558" i="3"/>
  <c r="R558" i="3"/>
  <c r="M440" i="3"/>
  <c r="R440" i="3"/>
  <c r="M180" i="3"/>
  <c r="R180" i="3"/>
  <c r="M566" i="3"/>
  <c r="R566" i="3"/>
  <c r="M498" i="3"/>
  <c r="R498" i="3"/>
  <c r="M463" i="3"/>
  <c r="R463" i="3"/>
  <c r="M402" i="3"/>
  <c r="R402" i="3"/>
  <c r="M344" i="3"/>
  <c r="R344" i="3"/>
  <c r="M21" i="3"/>
  <c r="R21" i="3"/>
  <c r="N188" i="3"/>
  <c r="Q188" i="3" s="1"/>
  <c r="R188" i="3"/>
  <c r="M317" i="3"/>
  <c r="R317" i="3"/>
  <c r="M520" i="3"/>
  <c r="R520" i="3"/>
  <c r="M367" i="3"/>
  <c r="R367" i="3"/>
  <c r="M3" i="3"/>
  <c r="R3" i="3"/>
  <c r="M84" i="3"/>
  <c r="R84" i="3"/>
  <c r="M207" i="3"/>
  <c r="R207" i="3"/>
  <c r="M333" i="3"/>
  <c r="R333" i="3"/>
  <c r="M31" i="3"/>
  <c r="R31" i="3"/>
  <c r="M466" i="3"/>
  <c r="R466" i="3"/>
  <c r="M128" i="3"/>
  <c r="R128" i="3"/>
  <c r="M287" i="3"/>
  <c r="R287" i="3"/>
  <c r="M538" i="3"/>
  <c r="R538" i="3"/>
  <c r="N444" i="3"/>
  <c r="R444" i="3"/>
  <c r="M46" i="3"/>
  <c r="R46" i="3"/>
  <c r="M106" i="3"/>
  <c r="R106" i="3"/>
  <c r="M368" i="3"/>
  <c r="R368" i="3"/>
  <c r="M564" i="3"/>
  <c r="R564" i="3"/>
  <c r="M281" i="3"/>
  <c r="R281" i="3"/>
  <c r="M568" i="3"/>
  <c r="R568" i="3"/>
  <c r="M535" i="3"/>
  <c r="R535" i="3"/>
  <c r="M398" i="3"/>
  <c r="R398" i="3"/>
  <c r="M630" i="3"/>
  <c r="R630" i="3"/>
  <c r="M130" i="3"/>
  <c r="R130" i="3"/>
  <c r="M59" i="3"/>
  <c r="R59" i="3"/>
  <c r="M71" i="3"/>
  <c r="R71" i="3"/>
  <c r="M592" i="3"/>
  <c r="R592" i="3"/>
  <c r="M559" i="3"/>
  <c r="R559" i="3"/>
  <c r="M392" i="3"/>
  <c r="R392" i="3"/>
  <c r="M296" i="3"/>
  <c r="R296" i="3"/>
  <c r="M501" i="3"/>
  <c r="R501" i="3"/>
  <c r="M735" i="3"/>
  <c r="R735" i="3"/>
  <c r="M531" i="3"/>
  <c r="R531" i="3"/>
  <c r="N61" i="3"/>
  <c r="Q61" i="3" s="1"/>
  <c r="R61" i="3"/>
  <c r="M433" i="3"/>
  <c r="R433" i="3"/>
  <c r="M671" i="3"/>
  <c r="R671" i="3"/>
  <c r="M91" i="3"/>
  <c r="R91" i="3"/>
  <c r="M276" i="3"/>
  <c r="R276" i="3"/>
  <c r="M103" i="3"/>
  <c r="R103" i="3"/>
  <c r="M649" i="3"/>
  <c r="R649" i="3"/>
  <c r="M606" i="3"/>
  <c r="R606" i="3"/>
  <c r="M575" i="3"/>
  <c r="R575" i="3"/>
  <c r="R434" i="3"/>
  <c r="R98" i="3"/>
  <c r="M536" i="3"/>
  <c r="N131" i="3"/>
  <c r="M552" i="3"/>
  <c r="M629" i="3"/>
  <c r="M300" i="3"/>
  <c r="M343" i="3"/>
  <c r="N485" i="3"/>
  <c r="N719" i="3"/>
  <c r="N669" i="3"/>
  <c r="N520" i="3"/>
  <c r="M86" i="3"/>
  <c r="M608" i="3"/>
  <c r="M430" i="3"/>
  <c r="M107" i="3"/>
  <c r="N651" i="3"/>
  <c r="R26" i="3"/>
  <c r="R674" i="3"/>
  <c r="N534" i="3"/>
  <c r="Q534" i="3" s="1"/>
  <c r="N83" i="3"/>
  <c r="R458" i="3"/>
  <c r="R122" i="3"/>
  <c r="R362" i="3"/>
  <c r="N196" i="3"/>
  <c r="M188" i="3"/>
  <c r="M212" i="3"/>
  <c r="M371" i="3"/>
  <c r="N3" i="3"/>
  <c r="Q3" i="3" s="1"/>
  <c r="M44" i="3"/>
  <c r="N136" i="3"/>
  <c r="Q136" i="3" s="1"/>
  <c r="M309" i="3"/>
  <c r="M211" i="3"/>
  <c r="R211" i="3"/>
  <c r="M396" i="3"/>
  <c r="R396" i="3"/>
  <c r="M113" i="3"/>
  <c r="R113" i="3"/>
  <c r="M263" i="3"/>
  <c r="R263" i="3"/>
  <c r="M737" i="3"/>
  <c r="R737" i="3"/>
  <c r="M715" i="3"/>
  <c r="R715" i="3"/>
  <c r="M219" i="3"/>
  <c r="R219" i="3"/>
  <c r="M404" i="3"/>
  <c r="R404" i="3"/>
  <c r="N533" i="3"/>
  <c r="R533" i="3"/>
  <c r="M121" i="3"/>
  <c r="R121" i="3"/>
  <c r="M455" i="3"/>
  <c r="R455" i="3"/>
  <c r="N391" i="3"/>
  <c r="R391" i="3"/>
  <c r="M723" i="3"/>
  <c r="R723" i="3"/>
  <c r="M227" i="3"/>
  <c r="R227" i="3"/>
  <c r="M541" i="3"/>
  <c r="R541" i="3"/>
  <c r="M129" i="3"/>
  <c r="R129" i="3"/>
  <c r="M599" i="3"/>
  <c r="R599" i="3"/>
  <c r="M496" i="3"/>
  <c r="R496" i="3"/>
  <c r="M731" i="3"/>
  <c r="R731" i="3"/>
  <c r="M123" i="3"/>
  <c r="R123" i="3"/>
  <c r="M308" i="3"/>
  <c r="R308" i="3"/>
  <c r="M437" i="3"/>
  <c r="R437" i="3"/>
  <c r="M135" i="3"/>
  <c r="R135" i="3"/>
  <c r="M685" i="3"/>
  <c r="R685" i="3"/>
  <c r="M618" i="3"/>
  <c r="R618" i="3"/>
  <c r="M243" i="3"/>
  <c r="R243" i="3"/>
  <c r="M428" i="3"/>
  <c r="R428" i="3"/>
  <c r="M30" i="3"/>
  <c r="R30" i="3"/>
  <c r="M145" i="3"/>
  <c r="R145" i="3"/>
  <c r="M42" i="3"/>
  <c r="R42" i="3"/>
  <c r="M700" i="3"/>
  <c r="R700" i="3"/>
  <c r="M551" i="3"/>
  <c r="R551" i="3"/>
  <c r="M34" i="3"/>
  <c r="R34" i="3"/>
  <c r="M638" i="3"/>
  <c r="R638" i="3"/>
  <c r="M139" i="3"/>
  <c r="R139" i="3"/>
  <c r="M324" i="3"/>
  <c r="R324" i="3"/>
  <c r="M453" i="3"/>
  <c r="R453" i="3"/>
  <c r="M41" i="3"/>
  <c r="R41" i="3"/>
  <c r="M701" i="3"/>
  <c r="R701" i="3"/>
  <c r="M724" i="3"/>
  <c r="R724" i="3"/>
  <c r="M639" i="3"/>
  <c r="R639" i="3"/>
  <c r="M483" i="3"/>
  <c r="R483" i="3"/>
  <c r="N668" i="3"/>
  <c r="R668" i="3"/>
  <c r="M270" i="3"/>
  <c r="R270" i="3"/>
  <c r="M632" i="3"/>
  <c r="R632" i="3"/>
  <c r="N615" i="3"/>
  <c r="R615" i="3"/>
  <c r="M585" i="3"/>
  <c r="R585" i="3"/>
  <c r="M16" i="3"/>
  <c r="R16" i="3"/>
  <c r="M603" i="3"/>
  <c r="R603" i="3"/>
  <c r="M133" i="3"/>
  <c r="R133" i="3"/>
  <c r="M390" i="3"/>
  <c r="R390" i="3"/>
  <c r="N505" i="3"/>
  <c r="R505" i="3"/>
  <c r="M82" i="3"/>
  <c r="R82" i="3"/>
  <c r="M597" i="3"/>
  <c r="R597" i="3"/>
  <c r="M51" i="3"/>
  <c r="R51" i="3"/>
  <c r="M236" i="3"/>
  <c r="R236" i="3"/>
  <c r="M365" i="3"/>
  <c r="R365" i="3"/>
  <c r="M63" i="3"/>
  <c r="R63" i="3"/>
  <c r="M600" i="3"/>
  <c r="R600" i="3"/>
  <c r="M581" i="3"/>
  <c r="R581" i="3"/>
  <c r="N544" i="3"/>
  <c r="R544" i="3"/>
  <c r="M283" i="3"/>
  <c r="R283" i="3"/>
  <c r="M468" i="3"/>
  <c r="R468" i="3"/>
  <c r="M70" i="3"/>
  <c r="R70" i="3"/>
  <c r="M185" i="3"/>
  <c r="R185" i="3"/>
  <c r="M183" i="3"/>
  <c r="R183" i="3"/>
  <c r="M144" i="3"/>
  <c r="R144" i="3"/>
  <c r="M58" i="3"/>
  <c r="R58" i="3"/>
  <c r="M179" i="3"/>
  <c r="R179" i="3"/>
  <c r="M364" i="3"/>
  <c r="R364" i="3"/>
  <c r="M493" i="3"/>
  <c r="R493" i="3"/>
  <c r="M81" i="3"/>
  <c r="R81" i="3"/>
  <c r="M741" i="3"/>
  <c r="R741" i="3"/>
  <c r="M727" i="3"/>
  <c r="R727" i="3"/>
  <c r="M705" i="3"/>
  <c r="R705" i="3"/>
  <c r="M683" i="3"/>
  <c r="R683" i="3"/>
  <c r="M411" i="3"/>
  <c r="R411" i="3"/>
  <c r="M596" i="3"/>
  <c r="R596" i="3"/>
  <c r="M198" i="3"/>
  <c r="R198" i="3"/>
  <c r="M313" i="3"/>
  <c r="R313" i="3"/>
  <c r="M521" i="3"/>
  <c r="R521" i="3"/>
  <c r="M487" i="3"/>
  <c r="R487" i="3"/>
  <c r="M426" i="3"/>
  <c r="R426" i="3"/>
  <c r="M14" i="3"/>
  <c r="R14" i="3"/>
  <c r="M156" i="3"/>
  <c r="R156" i="3"/>
  <c r="M285" i="3"/>
  <c r="R285" i="3"/>
  <c r="M542" i="3"/>
  <c r="R542" i="3"/>
  <c r="M399" i="3"/>
  <c r="R399" i="3"/>
  <c r="M280" i="3"/>
  <c r="R280" i="3"/>
  <c r="N315" i="3"/>
  <c r="R315" i="3"/>
  <c r="M500" i="3"/>
  <c r="R500" i="3"/>
  <c r="M102" i="3"/>
  <c r="R102" i="3"/>
  <c r="M217" i="3"/>
  <c r="R217" i="3"/>
  <c r="M231" i="3"/>
  <c r="R231" i="3"/>
  <c r="R482" i="3"/>
  <c r="R506" i="3"/>
  <c r="R578" i="3"/>
  <c r="M196" i="3"/>
  <c r="N204" i="3"/>
  <c r="Q204" i="3" s="1"/>
  <c r="M522" i="3"/>
  <c r="M488" i="3"/>
  <c r="M351" i="3"/>
  <c r="M73" i="3"/>
  <c r="M697" i="3"/>
  <c r="M201" i="3"/>
  <c r="M136" i="3"/>
  <c r="N474" i="3"/>
  <c r="Q474" i="3" s="1"/>
  <c r="M729" i="3"/>
  <c r="M284" i="3"/>
  <c r="M421" i="3"/>
  <c r="R410" i="3"/>
  <c r="R242" i="3"/>
  <c r="R170" i="3"/>
  <c r="N571" i="3"/>
  <c r="N344" i="3"/>
  <c r="M489" i="3"/>
  <c r="M267" i="3"/>
  <c r="N546" i="3"/>
  <c r="Q546" i="3" s="1"/>
  <c r="N518" i="3"/>
  <c r="Q518" i="3" s="1"/>
  <c r="N32" i="3"/>
  <c r="M389" i="3"/>
  <c r="M234" i="3"/>
  <c r="M251" i="3"/>
  <c r="N128" i="3"/>
  <c r="N535" i="3"/>
  <c r="N671" i="3"/>
  <c r="N48" i="3"/>
  <c r="Q48" i="3" s="1"/>
  <c r="N199" i="3"/>
  <c r="Q199" i="3" s="1"/>
  <c r="N130" i="3"/>
  <c r="N566" i="3"/>
  <c r="Q566" i="3" s="1"/>
  <c r="N327" i="3"/>
  <c r="N466" i="3"/>
  <c r="N398" i="3"/>
  <c r="Q398" i="3" s="1"/>
  <c r="N649" i="3"/>
  <c r="N418" i="3"/>
  <c r="N143" i="3"/>
  <c r="M76" i="3"/>
  <c r="M584" i="3"/>
  <c r="M543" i="3"/>
  <c r="N595" i="3"/>
  <c r="Q595" i="3" s="1"/>
  <c r="M306" i="3"/>
  <c r="M403" i="3"/>
  <c r="M533" i="3"/>
  <c r="M696" i="3"/>
  <c r="M446" i="3"/>
  <c r="N337" i="3"/>
  <c r="Q337" i="3" s="1"/>
  <c r="N613" i="3"/>
  <c r="N462" i="3"/>
  <c r="N374" i="3"/>
  <c r="Q374" i="3" s="1"/>
  <c r="M742" i="3"/>
  <c r="M656" i="3"/>
  <c r="M132" i="3"/>
  <c r="N96" i="3"/>
  <c r="N672" i="3"/>
  <c r="M295" i="3"/>
  <c r="M620" i="3"/>
  <c r="N587" i="3"/>
  <c r="Q587" i="3" s="1"/>
  <c r="N452" i="3"/>
  <c r="N506" i="3"/>
  <c r="Q506" i="3" s="1"/>
  <c r="N336" i="3"/>
  <c r="N214" i="3"/>
  <c r="M739" i="3"/>
  <c r="N744" i="3"/>
  <c r="M540" i="3"/>
  <c r="N13" i="3"/>
  <c r="Q13" i="3" s="1"/>
  <c r="M554" i="3"/>
  <c r="N257" i="3"/>
  <c r="N528" i="3"/>
  <c r="Q528" i="3" s="1"/>
  <c r="M19" i="3"/>
  <c r="N235" i="3"/>
  <c r="N432" i="3"/>
  <c r="M425" i="3"/>
  <c r="N549" i="3"/>
  <c r="N551" i="3"/>
  <c r="Q551" i="3" s="1"/>
  <c r="N728" i="3"/>
  <c r="N714" i="3"/>
  <c r="M615" i="3"/>
  <c r="N308" i="3"/>
  <c r="N683" i="3"/>
  <c r="N9" i="3"/>
  <c r="Q9" i="3" s="1"/>
  <c r="M505" i="3"/>
  <c r="M668" i="3"/>
  <c r="N399" i="3"/>
  <c r="N266" i="3"/>
  <c r="N720" i="3"/>
  <c r="N16" i="3"/>
  <c r="N727" i="3"/>
  <c r="M315" i="3"/>
  <c r="N481" i="3"/>
  <c r="N577" i="3"/>
  <c r="M149" i="3"/>
  <c r="N240" i="3"/>
  <c r="N737" i="3"/>
  <c r="M391" i="3"/>
  <c r="N283" i="3"/>
  <c r="N437" i="3"/>
  <c r="N219" i="3"/>
  <c r="M544" i="3"/>
  <c r="N40" i="3"/>
  <c r="N192" i="3"/>
  <c r="N263" i="3"/>
  <c r="M525" i="3"/>
  <c r="N525" i="3"/>
  <c r="M745" i="3"/>
  <c r="N745" i="3"/>
  <c r="M412" i="3"/>
  <c r="N412" i="3"/>
  <c r="M670" i="3"/>
  <c r="N670" i="3"/>
  <c r="M645" i="3"/>
  <c r="N645" i="3"/>
  <c r="M385" i="3"/>
  <c r="N385" i="3"/>
  <c r="N605" i="3"/>
  <c r="M311" i="3"/>
  <c r="N311" i="3"/>
  <c r="M137" i="3"/>
  <c r="N137" i="3"/>
  <c r="M692" i="3"/>
  <c r="N692" i="3"/>
  <c r="M621" i="3"/>
  <c r="N621" i="3"/>
  <c r="M382" i="3"/>
  <c r="N382" i="3"/>
  <c r="M400" i="3"/>
  <c r="N400" i="3"/>
  <c r="M53" i="3"/>
  <c r="N53" i="3"/>
  <c r="M85" i="3"/>
  <c r="N85" i="3"/>
  <c r="M563" i="3"/>
  <c r="N563" i="3"/>
  <c r="M35" i="3"/>
  <c r="N35" i="3"/>
  <c r="M450" i="3"/>
  <c r="N450" i="3"/>
  <c r="M627" i="3"/>
  <c r="N627" i="3"/>
  <c r="N503" i="3"/>
  <c r="N578" i="3"/>
  <c r="N305" i="3"/>
  <c r="M265" i="3"/>
  <c r="N265" i="3"/>
  <c r="M43" i="3"/>
  <c r="N43" i="3"/>
  <c r="M18" i="3"/>
  <c r="N18" i="3"/>
  <c r="Q18" i="3" s="1"/>
  <c r="M36" i="3"/>
  <c r="N36" i="3"/>
  <c r="M134" i="3"/>
  <c r="N256" i="3"/>
  <c r="Q256" i="3" s="1"/>
  <c r="N590" i="3"/>
  <c r="N26" i="3"/>
  <c r="N410" i="3"/>
  <c r="M238" i="3"/>
  <c r="N238" i="3"/>
  <c r="M467" i="3"/>
  <c r="M357" i="3"/>
  <c r="M275" i="3"/>
  <c r="N275" i="3"/>
  <c r="N6" i="3"/>
  <c r="M591" i="3"/>
  <c r="N457" i="3"/>
  <c r="N181" i="3"/>
  <c r="N14" i="3"/>
  <c r="Q14" i="3" s="1"/>
  <c r="N148" i="3"/>
  <c r="P72" i="3"/>
  <c r="P12" i="3"/>
  <c r="P62" i="3"/>
  <c r="P59" i="3"/>
  <c r="P34" i="3"/>
  <c r="P36" i="3"/>
  <c r="P57" i="3"/>
  <c r="P118" i="3"/>
  <c r="P288" i="3"/>
  <c r="P112" i="3"/>
  <c r="P83" i="3"/>
  <c r="P86" i="3"/>
  <c r="P111" i="3"/>
  <c r="P37" i="3"/>
  <c r="P78" i="3"/>
  <c r="P38" i="3"/>
  <c r="P114" i="3"/>
  <c r="P122" i="3"/>
  <c r="P79" i="3"/>
  <c r="P102" i="3"/>
  <c r="P63" i="3"/>
  <c r="P89" i="3"/>
  <c r="P22" i="3"/>
  <c r="P71" i="3"/>
  <c r="P42" i="3"/>
  <c r="P70" i="3"/>
  <c r="P113" i="3"/>
  <c r="P58" i="3"/>
  <c r="P85" i="3"/>
  <c r="P73" i="3"/>
  <c r="P67" i="3"/>
  <c r="P66" i="3"/>
  <c r="P40" i="3"/>
  <c r="P14" i="3"/>
  <c r="P17" i="3"/>
  <c r="P116" i="3"/>
  <c r="P87" i="3"/>
  <c r="P94" i="3"/>
  <c r="P115" i="3"/>
  <c r="P76" i="3"/>
  <c r="P18" i="3"/>
  <c r="P33" i="3"/>
  <c r="P16" i="3"/>
  <c r="P117" i="3"/>
  <c r="P92" i="3"/>
  <c r="P108" i="3"/>
  <c r="P128" i="3"/>
  <c r="P20" i="3"/>
  <c r="P107" i="3"/>
  <c r="P98" i="3"/>
  <c r="P93" i="3"/>
  <c r="P6" i="3"/>
  <c r="P48" i="3"/>
  <c r="P56" i="3"/>
  <c r="P31" i="3"/>
  <c r="P65" i="3"/>
  <c r="P95" i="3"/>
  <c r="P50" i="3"/>
  <c r="P82" i="3"/>
  <c r="P97" i="3"/>
  <c r="P105" i="3"/>
  <c r="P35" i="3"/>
  <c r="P51" i="3"/>
  <c r="P26" i="3"/>
  <c r="P3" i="3"/>
  <c r="P99" i="3"/>
  <c r="P90" i="3"/>
  <c r="P43" i="3"/>
  <c r="P21" i="3"/>
  <c r="P81" i="3"/>
  <c r="P24" i="3"/>
  <c r="P96" i="3"/>
  <c r="P74" i="3"/>
  <c r="P69" i="3"/>
  <c r="P25" i="3"/>
  <c r="P49" i="3"/>
  <c r="P52" i="3"/>
  <c r="P120" i="3"/>
  <c r="P53" i="3"/>
  <c r="P110" i="3"/>
  <c r="P9" i="3"/>
  <c r="P41" i="3"/>
  <c r="P44" i="3"/>
  <c r="P106" i="3"/>
  <c r="P91" i="3"/>
  <c r="P119" i="3"/>
  <c r="P101" i="3"/>
  <c r="P61" i="3"/>
  <c r="P46" i="3"/>
  <c r="P7" i="3"/>
  <c r="P60" i="3"/>
  <c r="P84" i="3"/>
  <c r="P100" i="3"/>
  <c r="P75" i="3"/>
  <c r="P11" i="3"/>
  <c r="P291" i="3"/>
  <c r="P45" i="3"/>
  <c r="P15" i="3"/>
  <c r="P109" i="3"/>
  <c r="P39" i="3"/>
  <c r="P55" i="3"/>
  <c r="P124" i="3"/>
  <c r="P19" i="3"/>
  <c r="P54" i="3"/>
  <c r="P5" i="3"/>
  <c r="P28" i="3"/>
  <c r="P23" i="3"/>
  <c r="P64" i="3"/>
  <c r="P88" i="3"/>
  <c r="P104" i="3"/>
  <c r="P30" i="3"/>
  <c r="P4" i="3"/>
  <c r="P103" i="3"/>
  <c r="P13" i="3"/>
  <c r="J98" i="5"/>
  <c r="AE2" i="1"/>
  <c r="AE4" i="1" s="1"/>
  <c r="N316" i="3"/>
  <c r="N580" i="3"/>
  <c r="N87" i="3"/>
  <c r="Q87" i="3" s="1"/>
  <c r="N415" i="3"/>
  <c r="N333" i="3"/>
  <c r="N478" i="3"/>
  <c r="N100" i="3"/>
  <c r="N117" i="3"/>
  <c r="N74" i="3"/>
  <c r="N340" i="3"/>
  <c r="N439" i="3"/>
  <c r="N82" i="3"/>
  <c r="N141" i="3"/>
  <c r="N289" i="3"/>
  <c r="N160" i="3"/>
  <c r="N730" i="3"/>
  <c r="N73" i="3"/>
  <c r="N335" i="3"/>
  <c r="N515" i="3"/>
  <c r="N588" i="3"/>
  <c r="N78" i="3"/>
  <c r="N622" i="3"/>
  <c r="N156" i="3"/>
  <c r="N318" i="3"/>
  <c r="Q318" i="3" s="1"/>
  <c r="N293" i="3"/>
  <c r="N170" i="3"/>
  <c r="N707" i="3"/>
  <c r="N715" i="3"/>
  <c r="Q715" i="3" s="1"/>
  <c r="N180" i="3"/>
  <c r="Q180" i="3" s="1"/>
  <c r="N190" i="3"/>
  <c r="N582" i="3"/>
  <c r="Q582" i="3" s="1"/>
  <c r="N242" i="3"/>
  <c r="N726" i="3"/>
  <c r="N30" i="3"/>
  <c r="N33" i="3"/>
  <c r="N623" i="3"/>
  <c r="N359" i="3"/>
  <c r="N511" i="3"/>
  <c r="Q511" i="3" s="1"/>
  <c r="N491" i="3"/>
  <c r="N510" i="3"/>
  <c r="Q510" i="3" s="1"/>
  <c r="N513" i="3"/>
  <c r="N650" i="3"/>
  <c r="N423" i="3"/>
  <c r="N171" i="3"/>
  <c r="N297" i="3"/>
  <c r="N216" i="3"/>
  <c r="N202" i="3"/>
  <c r="N413" i="3"/>
  <c r="N200" i="3"/>
  <c r="Q200" i="3" s="1"/>
  <c r="N583" i="3"/>
  <c r="N552" i="3"/>
  <c r="N639" i="3"/>
  <c r="N220" i="3"/>
  <c r="N564" i="3"/>
  <c r="N57" i="3"/>
  <c r="N559" i="3"/>
  <c r="Q559" i="3" s="1"/>
  <c r="N260" i="3"/>
  <c r="N422" i="3"/>
  <c r="N105" i="3"/>
  <c r="N360" i="3"/>
  <c r="N688" i="3"/>
  <c r="N119" i="3"/>
  <c r="N644" i="3"/>
  <c r="N109" i="3"/>
  <c r="N693" i="3"/>
  <c r="N522" i="3"/>
  <c r="N682" i="3"/>
  <c r="N548" i="3"/>
  <c r="Q548" i="3" s="1"/>
  <c r="N38" i="3"/>
  <c r="N565" i="3"/>
  <c r="Q565" i="3" s="1"/>
  <c r="N349" i="3"/>
  <c r="Q349" i="3" s="1"/>
  <c r="N494" i="3"/>
  <c r="N11" i="3"/>
  <c r="Q11" i="3" s="1"/>
  <c r="N499" i="3"/>
  <c r="N572" i="3"/>
  <c r="Q572" i="3" s="1"/>
  <c r="N62" i="3"/>
  <c r="N364" i="3"/>
  <c r="N381" i="3"/>
  <c r="Q381" i="3" s="1"/>
  <c r="N72" i="3"/>
  <c r="Q72" i="3" s="1"/>
  <c r="N167" i="3"/>
  <c r="N350" i="3"/>
  <c r="Q350" i="3" s="1"/>
  <c r="N604" i="3"/>
  <c r="N640" i="3"/>
  <c r="Q640" i="3" s="1"/>
  <c r="N609" i="3"/>
  <c r="Q609" i="3" s="1"/>
  <c r="N303" i="3"/>
  <c r="N111" i="3"/>
  <c r="N555" i="3"/>
  <c r="N118" i="3"/>
  <c r="S98" i="5"/>
  <c r="N407" i="3"/>
  <c r="N614" i="3"/>
  <c r="N397" i="3"/>
  <c r="N594" i="3"/>
  <c r="N102" i="3"/>
  <c r="N456" i="3"/>
  <c r="N616" i="3"/>
  <c r="N657" i="3"/>
  <c r="Q657" i="3" s="1"/>
  <c r="N284" i="3"/>
  <c r="N225" i="3"/>
  <c r="N443" i="3"/>
  <c r="Q443" i="3" s="1"/>
  <c r="N404" i="3"/>
  <c r="T98" i="5"/>
  <c r="N352" i="3"/>
  <c r="Q352" i="3" s="1"/>
  <c r="N690" i="3"/>
  <c r="N92" i="3"/>
  <c r="N654" i="3"/>
  <c r="N475" i="3"/>
  <c r="N486" i="3"/>
  <c r="N488" i="3"/>
  <c r="Q488" i="3" s="1"/>
  <c r="N12" i="3"/>
  <c r="Q12" i="3" s="1"/>
  <c r="N210" i="3"/>
  <c r="Q210" i="3" s="1"/>
  <c r="N512" i="3"/>
  <c r="Q512" i="3" s="1"/>
  <c r="N133" i="3"/>
  <c r="N169" i="3"/>
  <c r="N286" i="3"/>
  <c r="N312" i="3"/>
  <c r="Q312" i="3" s="1"/>
  <c r="N704" i="3"/>
  <c r="N244" i="3"/>
  <c r="N291" i="3"/>
  <c r="N302" i="3"/>
  <c r="N346" i="3"/>
  <c r="N716" i="3"/>
  <c r="Q716" i="3" s="1"/>
  <c r="N319" i="3"/>
  <c r="N574" i="3"/>
  <c r="N542" i="3"/>
  <c r="Q542" i="3" s="1"/>
  <c r="N280" i="3"/>
  <c r="N575" i="3"/>
  <c r="N301" i="3"/>
  <c r="N440" i="3"/>
  <c r="N421" i="3"/>
  <c r="N345" i="3"/>
  <c r="Q345" i="3" s="1"/>
  <c r="N455" i="3"/>
  <c r="N463" i="3"/>
  <c r="N531" i="3"/>
  <c r="N686" i="3"/>
  <c r="N164" i="3"/>
  <c r="I98" i="5"/>
  <c r="N123" i="3"/>
  <c r="N135" i="3"/>
  <c r="N243" i="3"/>
  <c r="N254" i="3"/>
  <c r="N226" i="3"/>
  <c r="N27" i="3"/>
  <c r="N660" i="3"/>
  <c r="Q660" i="3" s="1"/>
  <c r="N300" i="3"/>
  <c r="N461" i="3"/>
  <c r="N50" i="3"/>
  <c r="Q50" i="3" s="1"/>
  <c r="N152" i="3"/>
  <c r="N138" i="3"/>
  <c r="N597" i="3"/>
  <c r="N365" i="3"/>
  <c r="N401" i="3"/>
  <c r="N373" i="3"/>
  <c r="Q373" i="3" s="1"/>
  <c r="N183" i="3"/>
  <c r="Q183" i="3" s="1"/>
  <c r="N21" i="3"/>
  <c r="Q21" i="3" s="1"/>
  <c r="N476" i="3"/>
  <c r="N367" i="3"/>
  <c r="N501" i="3"/>
  <c r="N186" i="3"/>
  <c r="N258" i="3"/>
  <c r="N44" i="3"/>
  <c r="N80" i="3"/>
  <c r="Q80" i="3" s="1"/>
  <c r="N276" i="3"/>
  <c r="Q276" i="3" s="1"/>
  <c r="N648" i="3"/>
  <c r="N471" i="3"/>
  <c r="N508" i="3"/>
  <c r="N288" i="3"/>
  <c r="N107" i="3"/>
  <c r="N628" i="3"/>
  <c r="N633" i="3"/>
  <c r="N213" i="3"/>
  <c r="N685" i="3"/>
  <c r="Q685" i="3" s="1"/>
  <c r="N618" i="3"/>
  <c r="N42" i="3"/>
  <c r="N560" i="3"/>
  <c r="N262" i="3"/>
  <c r="N248" i="3"/>
  <c r="N215" i="3"/>
  <c r="N108" i="3"/>
  <c r="N402" i="3"/>
  <c r="N241" i="3"/>
  <c r="N697" i="3"/>
  <c r="N67" i="3"/>
  <c r="N81" i="3"/>
  <c r="N464" i="3"/>
  <c r="N631" i="3"/>
  <c r="N662" i="3"/>
  <c r="N184" i="3"/>
  <c r="Q184" i="3" s="1"/>
  <c r="N321" i="3"/>
  <c r="N20" i="3"/>
  <c r="N550" i="3"/>
  <c r="N154" i="3"/>
  <c r="Q154" i="3" s="1"/>
  <c r="N99" i="3"/>
  <c r="N110" i="3"/>
  <c r="N479" i="3"/>
  <c r="N230" i="3"/>
  <c r="Q230" i="3" s="1"/>
  <c r="N121" i="3"/>
  <c r="N710" i="3"/>
  <c r="Q710" i="3" s="1"/>
  <c r="N347" i="3"/>
  <c r="Q347" i="3" s="1"/>
  <c r="N358" i="3"/>
  <c r="N504" i="3"/>
  <c r="N445" i="3"/>
  <c r="N679" i="3"/>
  <c r="Q679" i="3" s="1"/>
  <c r="N15" i="3"/>
  <c r="Q15" i="3" s="1"/>
  <c r="N120" i="3"/>
  <c r="N573" i="3"/>
  <c r="N147" i="3"/>
  <c r="N161" i="3"/>
  <c r="N271" i="3"/>
  <c r="Q271" i="3" s="1"/>
  <c r="N54" i="3"/>
  <c r="Q54" i="3" s="1"/>
  <c r="N641" i="3"/>
  <c r="N51" i="3"/>
  <c r="N29" i="3"/>
  <c r="N59" i="3"/>
  <c r="Q59" i="3" s="1"/>
  <c r="N70" i="3"/>
  <c r="N442" i="3"/>
  <c r="N514" i="3"/>
  <c r="Q514" i="3" s="1"/>
  <c r="N90" i="3"/>
  <c r="N187" i="3"/>
  <c r="N201" i="3"/>
  <c r="Q201" i="3" s="1"/>
  <c r="N376" i="3"/>
  <c r="Q376" i="3" s="1"/>
  <c r="N159" i="3"/>
  <c r="N553" i="3"/>
  <c r="N606" i="3"/>
  <c r="Q606" i="3" s="1"/>
  <c r="N664" i="3"/>
  <c r="N172" i="3"/>
  <c r="N331" i="3"/>
  <c r="N292" i="3"/>
  <c r="Q98" i="5"/>
  <c r="U2" i="1"/>
  <c r="U4" i="1" s="1"/>
  <c r="K2" i="1"/>
  <c r="K4" i="1" s="1"/>
  <c r="N420" i="3"/>
  <c r="N361" i="3"/>
  <c r="N146" i="3"/>
  <c r="N529" i="3"/>
  <c r="N31" i="3"/>
  <c r="N127" i="3"/>
  <c r="Q127" i="3" s="1"/>
  <c r="N341" i="3"/>
  <c r="N377" i="3"/>
  <c r="Q377" i="3" s="1"/>
  <c r="N237" i="3"/>
  <c r="N709" i="3"/>
  <c r="N368" i="3"/>
  <c r="Q368" i="3" s="1"/>
  <c r="N353" i="3"/>
  <c r="Q353" i="3" s="1"/>
  <c r="N732" i="3"/>
  <c r="Q732" i="3" s="1"/>
  <c r="N124" i="3"/>
  <c r="N600" i="3"/>
  <c r="N634" i="3"/>
  <c r="N610" i="3"/>
  <c r="N58" i="3"/>
  <c r="N157" i="3"/>
  <c r="N193" i="3"/>
  <c r="N277" i="3"/>
  <c r="N176" i="3"/>
  <c r="Q176" i="3" s="1"/>
  <c r="N8" i="3"/>
  <c r="Q8" i="3" s="1"/>
  <c r="N569" i="3"/>
  <c r="N433" i="3"/>
  <c r="Q433" i="3" s="1"/>
  <c r="N541" i="3"/>
  <c r="Q541" i="3" s="1"/>
  <c r="N103" i="3"/>
  <c r="N211" i="3"/>
  <c r="N658" i="3"/>
  <c r="N342" i="3"/>
  <c r="N115" i="3"/>
  <c r="O98" i="5"/>
  <c r="G98" i="5"/>
  <c r="AC98" i="5"/>
  <c r="L2" i="1"/>
  <c r="L4" i="1" s="1"/>
  <c r="AA2" i="1"/>
  <c r="AA4" i="1" s="1"/>
  <c r="AD98" i="5"/>
  <c r="F2" i="1"/>
  <c r="F4" i="1" s="1"/>
  <c r="W2" i="1"/>
  <c r="W4" i="1" s="1"/>
  <c r="N101" i="3"/>
  <c r="Q101" i="3" s="1"/>
  <c r="N473" i="3"/>
  <c r="N712" i="3"/>
  <c r="Q712" i="3" s="1"/>
  <c r="N22" i="3"/>
  <c r="N652" i="3"/>
  <c r="N369" i="3"/>
  <c r="Q369" i="3" s="1"/>
  <c r="N593" i="3"/>
  <c r="N7" i="3"/>
  <c r="Q7" i="3" s="1"/>
  <c r="N139" i="3"/>
  <c r="N453" i="3"/>
  <c r="N701" i="3"/>
  <c r="N663" i="3"/>
  <c r="Q663" i="3" s="1"/>
  <c r="N673" i="3"/>
  <c r="N556" i="3"/>
  <c r="N273" i="3"/>
  <c r="Q273" i="3" s="1"/>
  <c r="N378" i="3"/>
  <c r="Q378" i="3" s="1"/>
  <c r="N5" i="3"/>
  <c r="Q5" i="3" s="1"/>
  <c r="N731" i="3"/>
  <c r="N245" i="3"/>
  <c r="N328" i="3"/>
  <c r="N232" i="3"/>
  <c r="N163" i="3"/>
  <c r="N477" i="3"/>
  <c r="N725" i="3"/>
  <c r="N689" i="3"/>
  <c r="N98" i="3"/>
  <c r="N37" i="3"/>
  <c r="N409" i="3"/>
  <c r="N643" i="3"/>
  <c r="N93" i="3"/>
  <c r="N269" i="3"/>
  <c r="N392" i="3"/>
  <c r="N296" i="3"/>
  <c r="N482" i="3"/>
  <c r="N596" i="3"/>
  <c r="N313" i="3"/>
  <c r="N487" i="3"/>
  <c r="N636" i="3"/>
  <c r="N195" i="3"/>
  <c r="N509" i="3"/>
  <c r="N218" i="3"/>
  <c r="N721" i="3"/>
  <c r="N427" i="3"/>
  <c r="Q427" i="3" s="1"/>
  <c r="N227" i="3"/>
  <c r="H98" i="5"/>
  <c r="W98" i="5"/>
  <c r="J2" i="1"/>
  <c r="J4" i="1" s="1"/>
  <c r="Z98" i="5"/>
  <c r="N2" i="1"/>
  <c r="N4" i="1" s="1"/>
  <c r="X98" i="5"/>
  <c r="AG2" i="1"/>
  <c r="AG4" i="1" s="1"/>
  <c r="C98" i="5"/>
  <c r="I2" i="1"/>
  <c r="I4" i="1" s="1"/>
  <c r="Q2" i="1"/>
  <c r="Q4" i="1" s="1"/>
  <c r="N307" i="3"/>
  <c r="N94" i="3"/>
  <c r="N247" i="3"/>
  <c r="N151" i="3"/>
  <c r="N539" i="3"/>
  <c r="N326" i="3"/>
  <c r="N694" i="3"/>
  <c r="N655" i="3"/>
  <c r="N322" i="3"/>
  <c r="N77" i="3"/>
  <c r="N449" i="3"/>
  <c r="N56" i="3"/>
  <c r="N197" i="3"/>
  <c r="N339" i="3"/>
  <c r="Q339" i="3" s="1"/>
  <c r="O2" i="1"/>
  <c r="O4" i="1" s="1"/>
  <c r="V2" i="1"/>
  <c r="V4" i="1" s="1"/>
  <c r="K98" i="5"/>
  <c r="AC2" i="1"/>
  <c r="AC4" i="1" s="1"/>
  <c r="N459" i="3"/>
  <c r="N246" i="3"/>
  <c r="N601" i="3"/>
  <c r="N545" i="3"/>
  <c r="Q545" i="3" s="1"/>
  <c r="N355" i="3"/>
  <c r="N142" i="3"/>
  <c r="N375" i="3"/>
  <c r="Q375" i="3" s="1"/>
  <c r="N279" i="3"/>
  <c r="N465" i="3"/>
  <c r="N212" i="3"/>
  <c r="Q212" i="3" s="1"/>
  <c r="N39" i="3"/>
  <c r="N538" i="3"/>
  <c r="Q538" i="3" s="1"/>
  <c r="N431" i="3"/>
  <c r="N259" i="3"/>
  <c r="N46" i="3"/>
  <c r="N106" i="3"/>
  <c r="N684" i="3"/>
  <c r="N708" i="3"/>
  <c r="N603" i="3"/>
  <c r="N390" i="3"/>
  <c r="Q390" i="3" s="1"/>
  <c r="N562" i="3"/>
  <c r="N722" i="3"/>
  <c r="N236" i="3"/>
  <c r="N63" i="3"/>
  <c r="Q63" i="3" s="1"/>
  <c r="N581" i="3"/>
  <c r="N495" i="3"/>
  <c r="N395" i="3"/>
  <c r="Q395" i="3" s="1"/>
  <c r="N182" i="3"/>
  <c r="N480" i="3"/>
  <c r="N384" i="3"/>
  <c r="N28" i="3"/>
  <c r="N414" i="3"/>
  <c r="N740" i="3"/>
  <c r="N66" i="3"/>
  <c r="N299" i="3"/>
  <c r="N86" i="3"/>
  <c r="Q86" i="3" s="1"/>
  <c r="N224" i="3"/>
  <c r="Q224" i="3" s="1"/>
  <c r="N122" i="3"/>
  <c r="N129" i="3"/>
  <c r="N268" i="3"/>
  <c r="N95" i="3"/>
  <c r="N624" i="3"/>
  <c r="N561" i="3"/>
  <c r="N500" i="3"/>
  <c r="N217" i="3"/>
  <c r="N231" i="3"/>
  <c r="N323" i="3"/>
  <c r="X2" i="1"/>
  <c r="X4" i="1" s="1"/>
  <c r="P2" i="1"/>
  <c r="P4" i="1" s="1"/>
  <c r="U98" i="5"/>
  <c r="Z2" i="1"/>
  <c r="Z4" i="1" s="1"/>
  <c r="G2" i="1"/>
  <c r="G4" i="1" s="1"/>
  <c r="AE98" i="5"/>
  <c r="F98" i="5"/>
  <c r="AH2" i="1"/>
  <c r="AH4" i="1" s="1"/>
  <c r="AD2" i="1"/>
  <c r="AD4" i="1" s="1"/>
  <c r="R98" i="5"/>
  <c r="Y98" i="5"/>
  <c r="AF2" i="1"/>
  <c r="AF4" i="1" s="1"/>
  <c r="N325" i="3"/>
  <c r="N536" i="3"/>
  <c r="N447" i="3"/>
  <c r="N317" i="3"/>
  <c r="N221" i="3"/>
  <c r="N264" i="3"/>
  <c r="N168" i="3"/>
  <c r="N88" i="3"/>
  <c r="N363" i="3"/>
  <c r="Q363" i="3" s="1"/>
  <c r="N150" i="3"/>
  <c r="N394" i="3"/>
  <c r="N298" i="3"/>
  <c r="N723" i="3"/>
  <c r="N125" i="3"/>
  <c r="N497" i="3"/>
  <c r="Q497" i="3" s="1"/>
  <c r="N736" i="3"/>
  <c r="N557" i="3"/>
  <c r="N155" i="3"/>
  <c r="N469" i="3"/>
  <c r="N717" i="3"/>
  <c r="N681" i="3"/>
  <c r="Q681" i="3" s="1"/>
  <c r="N387" i="3"/>
  <c r="N174" i="3"/>
  <c r="Q174" i="3" s="1"/>
  <c r="N458" i="3"/>
  <c r="N362" i="3"/>
  <c r="N23" i="3"/>
  <c r="Q23" i="3" s="1"/>
  <c r="N261" i="3"/>
  <c r="N370" i="3"/>
  <c r="N274" i="3"/>
  <c r="N179" i="3"/>
  <c r="Q179" i="3" s="1"/>
  <c r="N493" i="3"/>
  <c r="N741" i="3"/>
  <c r="N705" i="3"/>
  <c r="Q705" i="3" s="1"/>
  <c r="N424" i="3"/>
  <c r="N165" i="3"/>
  <c r="N104" i="3"/>
  <c r="N519" i="3"/>
  <c r="Q519" i="3" s="1"/>
  <c r="N126" i="3"/>
  <c r="Q126" i="3" s="1"/>
  <c r="N419" i="3"/>
  <c r="N206" i="3"/>
  <c r="Q206" i="3" s="1"/>
  <c r="N537" i="3"/>
  <c r="N448" i="3"/>
  <c r="Q448" i="3" s="1"/>
  <c r="N52" i="3"/>
  <c r="N438" i="3"/>
  <c r="N112" i="3"/>
  <c r="N589" i="3"/>
  <c r="Q589" i="3" s="1"/>
  <c r="N586" i="3"/>
  <c r="Q586" i="3" s="1"/>
  <c r="N189" i="3"/>
  <c r="N178" i="3"/>
  <c r="Q178" i="3" s="1"/>
  <c r="N383" i="3"/>
  <c r="N309" i="3"/>
  <c r="N498" i="3"/>
  <c r="N451" i="3"/>
  <c r="D98" i="5"/>
  <c r="M2" i="1"/>
  <c r="M4" i="1" s="1"/>
  <c r="E2" i="1"/>
  <c r="E4" i="1" s="1"/>
  <c r="R2" i="1"/>
  <c r="R4" i="1" s="1"/>
  <c r="AF98" i="5"/>
  <c r="N677" i="3"/>
  <c r="N324" i="3"/>
  <c r="N41" i="3"/>
  <c r="N687" i="3"/>
  <c r="Q687" i="3" s="1"/>
  <c r="N638" i="3"/>
  <c r="N371" i="3"/>
  <c r="Q371" i="3" s="1"/>
  <c r="N158" i="3"/>
  <c r="N416" i="3"/>
  <c r="N320" i="3"/>
  <c r="N598" i="3"/>
  <c r="Q598" i="3" s="1"/>
  <c r="N116" i="3"/>
  <c r="N502" i="3"/>
  <c r="N290" i="3"/>
  <c r="N175" i="3"/>
  <c r="Q175" i="3" s="1"/>
  <c r="N348" i="3"/>
  <c r="N65" i="3"/>
  <c r="N711" i="3"/>
  <c r="Q711" i="3" s="1"/>
  <c r="N665" i="3"/>
  <c r="N507" i="3"/>
  <c r="N294" i="3"/>
  <c r="N659" i="3"/>
  <c r="N617" i="3"/>
  <c r="N140" i="3"/>
  <c r="N526" i="3"/>
  <c r="N354" i="3"/>
  <c r="Q354" i="3" s="1"/>
  <c r="N239" i="3"/>
  <c r="N411" i="3"/>
  <c r="Q411" i="3" s="1"/>
  <c r="N198" i="3"/>
  <c r="Q198" i="3" s="1"/>
  <c r="N521" i="3"/>
  <c r="Q521" i="3" s="1"/>
  <c r="N426" i="3"/>
  <c r="N223" i="3"/>
  <c r="N380" i="3"/>
  <c r="N97" i="3"/>
  <c r="N743" i="3"/>
  <c r="N699" i="3"/>
  <c r="N612" i="3"/>
  <c r="N329" i="3"/>
  <c r="N527" i="3"/>
  <c r="N10" i="3"/>
  <c r="Q10" i="3" s="1"/>
  <c r="N435" i="3"/>
  <c r="N222" i="3"/>
  <c r="N567" i="3"/>
  <c r="AB98" i="5"/>
  <c r="E98" i="5"/>
  <c r="S2" i="1"/>
  <c r="S4" i="1" s="1"/>
  <c r="Y2" i="1"/>
  <c r="Y4" i="1" s="1"/>
  <c r="D2" i="1"/>
  <c r="N532" i="3"/>
  <c r="N249" i="3"/>
  <c r="N314" i="3"/>
  <c r="N24" i="3"/>
  <c r="N428" i="3"/>
  <c r="Q428" i="3" s="1"/>
  <c r="N145" i="3"/>
  <c r="N700" i="3"/>
  <c r="N34" i="3"/>
  <c r="N25" i="3"/>
  <c r="N229" i="3"/>
  <c r="N287" i="3"/>
  <c r="N191" i="3"/>
  <c r="Q191" i="3" s="1"/>
  <c r="N626" i="3"/>
  <c r="N332" i="3"/>
  <c r="N49" i="3"/>
  <c r="N695" i="3"/>
  <c r="Q695" i="3" s="1"/>
  <c r="N647" i="3"/>
  <c r="N496" i="3"/>
  <c r="N676" i="3"/>
  <c r="N393" i="3"/>
  <c r="N625" i="3"/>
  <c r="N205" i="3"/>
  <c r="Q205" i="3" s="1"/>
  <c r="N253" i="3"/>
  <c r="N351" i="3"/>
  <c r="N255" i="3"/>
  <c r="N718" i="3"/>
  <c r="N468" i="3"/>
  <c r="N185" i="3"/>
  <c r="Q185" i="3" s="1"/>
  <c r="N144" i="3"/>
  <c r="N675" i="3"/>
  <c r="N45" i="3"/>
  <c r="N417" i="3"/>
  <c r="N653" i="3"/>
  <c r="N524" i="3"/>
  <c r="Q524" i="3" s="1"/>
  <c r="N372" i="3"/>
  <c r="N89" i="3"/>
  <c r="N735" i="3"/>
  <c r="N691" i="3"/>
  <c r="Q691" i="3" s="1"/>
  <c r="N608" i="3"/>
  <c r="Q608" i="3" s="1"/>
  <c r="N285" i="3"/>
  <c r="Q285" i="3" s="1"/>
  <c r="N434" i="3"/>
  <c r="N338" i="3"/>
  <c r="N203" i="3"/>
  <c r="Q203" i="3" s="1"/>
  <c r="N517" i="3"/>
  <c r="Q517" i="3" s="1"/>
  <c r="N304" i="3"/>
  <c r="Q304" i="3" s="1"/>
  <c r="N729" i="3"/>
  <c r="N490" i="3"/>
  <c r="N396" i="3"/>
  <c r="N113" i="3"/>
  <c r="N250" i="3"/>
  <c r="N516" i="3"/>
  <c r="Q516" i="3" s="1"/>
  <c r="N233" i="3"/>
  <c r="N272" i="3"/>
  <c r="P98" i="5"/>
  <c r="L98" i="5"/>
  <c r="AB2" i="1"/>
  <c r="AB4" i="1" s="1"/>
  <c r="N98" i="5"/>
  <c r="H2" i="1"/>
  <c r="H4" i="1" s="1"/>
  <c r="AG98" i="5"/>
  <c r="V98" i="5"/>
  <c r="T2" i="1"/>
  <c r="T4" i="1" s="1"/>
  <c r="M98" i="5"/>
  <c r="AA98" i="5"/>
  <c r="N84" i="3"/>
  <c r="N470" i="3"/>
  <c r="Q470" i="3" s="1"/>
  <c r="N207" i="3"/>
  <c r="Q207" i="3" s="1"/>
  <c r="N64" i="3"/>
  <c r="Q64" i="3" s="1"/>
  <c r="N579" i="3"/>
  <c r="N366" i="3"/>
  <c r="N734" i="3"/>
  <c r="N698" i="3"/>
  <c r="N330" i="3"/>
  <c r="N436" i="3"/>
  <c r="N153" i="3"/>
  <c r="N724" i="3"/>
  <c r="N282" i="3"/>
  <c r="N483" i="3"/>
  <c r="N270" i="3"/>
  <c r="Q270" i="3" s="1"/>
  <c r="N632" i="3"/>
  <c r="N585" i="3"/>
  <c r="Q585" i="3" s="1"/>
  <c r="N17" i="3"/>
  <c r="Q17" i="3" s="1"/>
  <c r="N228" i="3"/>
  <c r="N55" i="3"/>
  <c r="N568" i="3"/>
  <c r="Q568" i="3" s="1"/>
  <c r="N472" i="3"/>
  <c r="N460" i="3"/>
  <c r="N177" i="3"/>
  <c r="N114" i="3"/>
  <c r="N576" i="3"/>
  <c r="N619" i="3"/>
  <c r="N406" i="3"/>
  <c r="N666" i="3"/>
  <c r="Q666" i="3" s="1"/>
  <c r="N738" i="3"/>
  <c r="N252" i="3"/>
  <c r="Q252" i="3" s="1"/>
  <c r="N79" i="3"/>
  <c r="Q79" i="3" s="1"/>
  <c r="N602" i="3"/>
  <c r="N530" i="3"/>
  <c r="N523" i="3"/>
  <c r="Q523" i="3" s="1"/>
  <c r="N310" i="3"/>
  <c r="N678" i="3"/>
  <c r="Q678" i="3" s="1"/>
  <c r="N637" i="3"/>
  <c r="N599" i="3"/>
  <c r="N492" i="3"/>
  <c r="N209" i="3"/>
  <c r="Q209" i="3" s="1"/>
  <c r="N208" i="3"/>
  <c r="N4" i="3"/>
  <c r="Q4" i="3" s="1"/>
  <c r="N69" i="3"/>
  <c r="N441" i="3"/>
  <c r="N680" i="3"/>
  <c r="Q680" i="3" s="1"/>
  <c r="N642" i="3"/>
  <c r="N547" i="3"/>
  <c r="Q547" i="3" s="1"/>
  <c r="N334" i="3"/>
  <c r="N702" i="3"/>
  <c r="Q702" i="3" s="1"/>
  <c r="N68" i="3"/>
  <c r="N454" i="3"/>
  <c r="N162" i="3"/>
  <c r="P27" i="3"/>
  <c r="P29" i="3"/>
  <c r="AH25" i="1"/>
  <c r="AH24" i="1"/>
  <c r="AH29" i="1"/>
  <c r="AH28" i="1"/>
  <c r="AH23" i="1"/>
  <c r="AH27" i="1"/>
  <c r="AH26" i="1"/>
  <c r="AD23" i="1"/>
  <c r="AE23" i="1"/>
  <c r="F28" i="1"/>
  <c r="I23" i="1"/>
  <c r="V23" i="1"/>
  <c r="T23" i="1"/>
  <c r="H23" i="1"/>
  <c r="Q23" i="1"/>
  <c r="E23" i="1"/>
  <c r="K28" i="1"/>
  <c r="J23" i="1"/>
  <c r="AF23" i="1"/>
  <c r="F23" i="1"/>
  <c r="N26" i="1"/>
  <c r="G23" i="1"/>
  <c r="I28" i="1"/>
  <c r="M28" i="1"/>
  <c r="M23" i="1"/>
  <c r="G28" i="1"/>
  <c r="AC23" i="1"/>
  <c r="AG23" i="1"/>
  <c r="Y23" i="1"/>
  <c r="P23" i="1"/>
  <c r="R23" i="1"/>
  <c r="L28" i="1"/>
  <c r="AA28" i="1"/>
  <c r="Z28" i="1"/>
  <c r="K23" i="1"/>
  <c r="S23" i="1"/>
  <c r="U23" i="1"/>
  <c r="H28" i="1"/>
  <c r="N23" i="1"/>
  <c r="AA23" i="1"/>
  <c r="J28" i="1"/>
  <c r="N28" i="1"/>
  <c r="Z23" i="1"/>
  <c r="W27" i="1"/>
  <c r="L23" i="1"/>
  <c r="AB23" i="1"/>
  <c r="O23" i="1"/>
  <c r="W23" i="1"/>
  <c r="X23" i="1"/>
  <c r="T29" i="1"/>
  <c r="G29" i="1"/>
  <c r="K29" i="1"/>
  <c r="Q29" i="1"/>
  <c r="E29" i="1"/>
  <c r="F29" i="1"/>
  <c r="U29" i="1"/>
  <c r="AC29" i="1"/>
  <c r="W29" i="1"/>
  <c r="H29" i="1"/>
  <c r="L29" i="1"/>
  <c r="R29" i="1"/>
  <c r="Y29" i="1"/>
  <c r="AB29" i="1"/>
  <c r="AE29" i="1"/>
  <c r="V29" i="1"/>
  <c r="AD29" i="1"/>
  <c r="I29" i="1"/>
  <c r="M29" i="1"/>
  <c r="AF29" i="1"/>
  <c r="O29" i="1"/>
  <c r="X29" i="1"/>
  <c r="Z29" i="1"/>
  <c r="AA29" i="1"/>
  <c r="S29" i="1"/>
  <c r="J29" i="1"/>
  <c r="N29" i="1"/>
  <c r="P29" i="1"/>
  <c r="AG29" i="1"/>
  <c r="Q28" i="1"/>
  <c r="AE28" i="1"/>
  <c r="AD28" i="1"/>
  <c r="E28" i="1"/>
  <c r="AG28" i="1"/>
  <c r="V28" i="1"/>
  <c r="P28" i="1"/>
  <c r="AF28" i="1"/>
  <c r="AB28" i="1"/>
  <c r="U28" i="1"/>
  <c r="X28" i="1"/>
  <c r="O28" i="1"/>
  <c r="S28" i="1"/>
  <c r="T28" i="1"/>
  <c r="R28" i="1"/>
  <c r="AC28" i="1"/>
  <c r="Y28" i="1"/>
  <c r="W28" i="1"/>
  <c r="AG27" i="1"/>
  <c r="F27" i="1"/>
  <c r="J27" i="1"/>
  <c r="N27" i="1"/>
  <c r="P27" i="1"/>
  <c r="T27" i="1"/>
  <c r="Z27" i="1"/>
  <c r="AC27" i="1"/>
  <c r="AF27" i="1"/>
  <c r="E27" i="1"/>
  <c r="I27" i="1"/>
  <c r="M27" i="1"/>
  <c r="Q27" i="1"/>
  <c r="U27" i="1"/>
  <c r="AE27" i="1"/>
  <c r="Y27" i="1"/>
  <c r="AB27" i="1"/>
  <c r="H27" i="1"/>
  <c r="L27" i="1"/>
  <c r="R27" i="1"/>
  <c r="V27" i="1"/>
  <c r="X27" i="1"/>
  <c r="G27" i="1"/>
  <c r="K27" i="1"/>
  <c r="O27" i="1"/>
  <c r="S27" i="1"/>
  <c r="AA27" i="1"/>
  <c r="AD27" i="1"/>
  <c r="E26" i="1"/>
  <c r="H26" i="1"/>
  <c r="AA26" i="1"/>
  <c r="AC26" i="1"/>
  <c r="K26" i="1"/>
  <c r="AD26" i="1"/>
  <c r="O26" i="1"/>
  <c r="S26" i="1"/>
  <c r="W26" i="1"/>
  <c r="G26" i="1"/>
  <c r="AG26" i="1"/>
  <c r="AE26" i="1"/>
  <c r="R26" i="1"/>
  <c r="V26" i="1"/>
  <c r="F26" i="1"/>
  <c r="J26" i="1"/>
  <c r="Y26" i="1"/>
  <c r="M26" i="1"/>
  <c r="AF26" i="1"/>
  <c r="Q26" i="1"/>
  <c r="U26" i="1"/>
  <c r="I26" i="1"/>
  <c r="Z26" i="1"/>
  <c r="AB26" i="1"/>
  <c r="L26" i="1"/>
  <c r="P26" i="1"/>
  <c r="T26" i="1"/>
  <c r="X26" i="1"/>
  <c r="X24" i="1"/>
  <c r="AG24" i="1"/>
  <c r="Q24" i="1"/>
  <c r="AC24" i="1"/>
  <c r="Z24" i="1"/>
  <c r="V24" i="1"/>
  <c r="F24" i="1"/>
  <c r="H24" i="1"/>
  <c r="J24" i="1"/>
  <c r="L24" i="1"/>
  <c r="N24" i="1"/>
  <c r="P24" i="1"/>
  <c r="AE24" i="1"/>
  <c r="Y24" i="1"/>
  <c r="U24" i="1"/>
  <c r="O24" i="1"/>
  <c r="S24" i="1"/>
  <c r="AD24" i="1"/>
  <c r="T24" i="1"/>
  <c r="E24" i="1"/>
  <c r="G24" i="1"/>
  <c r="I24" i="1"/>
  <c r="K24" i="1"/>
  <c r="M24" i="1"/>
  <c r="R24" i="1"/>
  <c r="AF24" i="1"/>
  <c r="AB24" i="1"/>
  <c r="AA24" i="1"/>
  <c r="W24" i="1"/>
  <c r="AG25" i="1"/>
  <c r="AC25" i="1"/>
  <c r="AB25" i="1"/>
  <c r="AE25" i="1"/>
  <c r="AD25" i="1"/>
  <c r="AF25" i="1"/>
  <c r="U25" i="1"/>
  <c r="W25" i="1"/>
  <c r="H25" i="1"/>
  <c r="L25" i="1"/>
  <c r="Y25" i="1"/>
  <c r="R25" i="1"/>
  <c r="V25" i="1"/>
  <c r="I25" i="1"/>
  <c r="M25" i="1"/>
  <c r="O25" i="1"/>
  <c r="X25" i="1"/>
  <c r="Z25" i="1"/>
  <c r="S25" i="1"/>
  <c r="J25" i="1"/>
  <c r="N25" i="1"/>
  <c r="P25" i="1"/>
  <c r="T25" i="1"/>
  <c r="G25" i="1"/>
  <c r="K25" i="1"/>
  <c r="Q25" i="1"/>
  <c r="E25" i="1"/>
  <c r="F25" i="1"/>
  <c r="AA25" i="1"/>
  <c r="D25" i="1"/>
  <c r="D28" i="1"/>
  <c r="D23" i="1"/>
  <c r="D27" i="1"/>
  <c r="D24" i="1"/>
  <c r="D26" i="1"/>
  <c r="Q635" i="3" l="1"/>
  <c r="Q650" i="3"/>
  <c r="Q656" i="3"/>
  <c r="Q639" i="3"/>
  <c r="Q642" i="3"/>
  <c r="Q714" i="3"/>
  <c r="Q692" i="3"/>
  <c r="Q704" i="3"/>
  <c r="Q708" i="3"/>
  <c r="Q535" i="3"/>
  <c r="Q522" i="3"/>
  <c r="Q284" i="3"/>
  <c r="Q690" i="3"/>
  <c r="Q513" i="3"/>
  <c r="Q699" i="3"/>
  <c r="Q713" i="3"/>
  <c r="Q467" i="3"/>
  <c r="Q620" i="3"/>
  <c r="Q707" i="3"/>
  <c r="Q709" i="3"/>
  <c r="Q367" i="3"/>
  <c r="Q539" i="3"/>
  <c r="Q718" i="3"/>
  <c r="Q688" i="3"/>
  <c r="Q351" i="3"/>
  <c r="Q682" i="3"/>
  <c r="Q684" i="3"/>
  <c r="Q536" i="3"/>
  <c r="Q355" i="3"/>
  <c r="Q570" i="3"/>
  <c r="Q366" i="3"/>
  <c r="Q380" i="3"/>
  <c r="Q370" i="3"/>
  <c r="Q686" i="3"/>
  <c r="Q346" i="3"/>
  <c r="Q544" i="3"/>
  <c r="Q515" i="3"/>
  <c r="Q689" i="3"/>
  <c r="Q537" i="3"/>
  <c r="Q583" i="3"/>
  <c r="Q492" i="3"/>
  <c r="Q561" i="3"/>
  <c r="Q683" i="3"/>
  <c r="Q533" i="3"/>
  <c r="Q557" i="3"/>
  <c r="Q550" i="3"/>
  <c r="Q152" i="3"/>
  <c r="D38" i="1"/>
  <c r="D22" i="1"/>
  <c r="Q325" i="3"/>
  <c r="Q486" i="3"/>
  <c r="Q658" i="3"/>
  <c r="Q622" i="3"/>
  <c r="Q491" i="3"/>
  <c r="Q295" i="3"/>
  <c r="Q489" i="3"/>
  <c r="Q401" i="3"/>
  <c r="Q253" i="3"/>
  <c r="Q438" i="3"/>
  <c r="Q662" i="3"/>
  <c r="Q636" i="3"/>
  <c r="Q446" i="3"/>
  <c r="Q659" i="3"/>
  <c r="Q464" i="3"/>
  <c r="Q562" i="3"/>
  <c r="Q564" i="3"/>
  <c r="Q571" i="3"/>
  <c r="Q667" i="3"/>
  <c r="Q290" i="3"/>
  <c r="Q326" i="3"/>
  <c r="Q591" i="3"/>
  <c r="Q490" i="3"/>
  <c r="Q455" i="3"/>
  <c r="Q740" i="3"/>
  <c r="Q454" i="3"/>
  <c r="Q637" i="3"/>
  <c r="Q617" i="3"/>
  <c r="Q150" i="3"/>
  <c r="Q247" i="3"/>
  <c r="Q158" i="3"/>
  <c r="Q631" i="3"/>
  <c r="Q619" i="3"/>
  <c r="Q282" i="3"/>
  <c r="Q500" i="3"/>
  <c r="Q90" i="3"/>
  <c r="Q588" i="3"/>
  <c r="Q416" i="3"/>
  <c r="Q643" i="3"/>
  <c r="Q504" i="3"/>
  <c r="Q418" i="3"/>
  <c r="Q250" i="3"/>
  <c r="Q226" i="3"/>
  <c r="Q424" i="3"/>
  <c r="Q229" i="3"/>
  <c r="Q402" i="3"/>
  <c r="Q611" i="3"/>
  <c r="Q429" i="3"/>
  <c r="Q493" i="3"/>
  <c r="Q322" i="3"/>
  <c r="Q392" i="3"/>
  <c r="Q654" i="3"/>
  <c r="Q397" i="3"/>
  <c r="Q414" i="3"/>
  <c r="Q610" i="3"/>
  <c r="Q329" i="3"/>
  <c r="Q473" i="3"/>
  <c r="Q445" i="3"/>
  <c r="Q62" i="3"/>
  <c r="Q592" i="3"/>
  <c r="Q164" i="3"/>
  <c r="Q68" i="3"/>
  <c r="Q499" i="3"/>
  <c r="Q612" i="3"/>
  <c r="Q498" i="3"/>
  <c r="Q440" i="3"/>
  <c r="Q468" i="3"/>
  <c r="Q465" i="3"/>
  <c r="Q664" i="3"/>
  <c r="Q641" i="3"/>
  <c r="Q225" i="3"/>
  <c r="Q423" i="3"/>
  <c r="Q316" i="3"/>
  <c r="Q668" i="3"/>
  <c r="Q234" i="3"/>
  <c r="Q632" i="3"/>
  <c r="Q567" i="3"/>
  <c r="Q596" i="3"/>
  <c r="Q593" i="3"/>
  <c r="Q319" i="3"/>
  <c r="Q590" i="3"/>
  <c r="Q475" i="3"/>
  <c r="Q298" i="3"/>
  <c r="Q560" i="3"/>
  <c r="Q644" i="3"/>
  <c r="Q615" i="3"/>
  <c r="Q417" i="3"/>
  <c r="Q496" i="3"/>
  <c r="Q451" i="3"/>
  <c r="Q442" i="3"/>
  <c r="Q258" i="3"/>
  <c r="Q308" i="3"/>
  <c r="Q558" i="3"/>
  <c r="Q109" i="3"/>
  <c r="Q618" i="3"/>
  <c r="Q330" i="3"/>
  <c r="Q249" i="3"/>
  <c r="Q495" i="3"/>
  <c r="Q421" i="3"/>
  <c r="Q563" i="3"/>
  <c r="Q246" i="3"/>
  <c r="Q450" i="3"/>
  <c r="Q621" i="3"/>
  <c r="Q472" i="3"/>
  <c r="Q104" i="3"/>
  <c r="Q569" i="3"/>
  <c r="Q404" i="3"/>
  <c r="Q105" i="3"/>
  <c r="Q594" i="3"/>
  <c r="Q222" i="3"/>
  <c r="Q296" i="3"/>
  <c r="Q634" i="3"/>
  <c r="Q248" i="3"/>
  <c r="Q156" i="3"/>
  <c r="Q257" i="3"/>
  <c r="Q742" i="3"/>
  <c r="Q623" i="3"/>
  <c r="Q60" i="3"/>
  <c r="Q655" i="3"/>
  <c r="Q306" i="3"/>
  <c r="Q396" i="3"/>
  <c r="Q321" i="3"/>
  <c r="Q463" i="3"/>
  <c r="Q92" i="3"/>
  <c r="Q614" i="3"/>
  <c r="Q584" i="3"/>
  <c r="Q153" i="3"/>
  <c r="Q320" i="3"/>
  <c r="Q419" i="3"/>
  <c r="Q394" i="3"/>
  <c r="Q259" i="3"/>
  <c r="Q143" i="3"/>
  <c r="Q426" i="3"/>
  <c r="Q726" i="3"/>
  <c r="Q616" i="3"/>
  <c r="Q403" i="3"/>
  <c r="Q415" i="3"/>
  <c r="Q661" i="3"/>
  <c r="Q638" i="3"/>
  <c r="Q307" i="3"/>
  <c r="Q400" i="3"/>
  <c r="Q613" i="3"/>
  <c r="Q633" i="3"/>
  <c r="Q301" i="3"/>
  <c r="Q111" i="3"/>
  <c r="Q422" i="3"/>
  <c r="Q466" i="3"/>
  <c r="Q425" i="3"/>
  <c r="Q665" i="3"/>
  <c r="Q452" i="3"/>
  <c r="Q393" i="3"/>
  <c r="Q116" i="3"/>
  <c r="Q106" i="3"/>
  <c r="Q420" i="3"/>
  <c r="Q302" i="3"/>
  <c r="Q673" i="3"/>
  <c r="Q481" i="3"/>
  <c r="Q83" i="3"/>
  <c r="Q476" i="3"/>
  <c r="Q494" i="3"/>
  <c r="Q251" i="3"/>
  <c r="Q294" i="3"/>
  <c r="Q160" i="3"/>
  <c r="Q327" i="3"/>
  <c r="Q129" i="3"/>
  <c r="Q228" i="3"/>
  <c r="Q223" i="3"/>
  <c r="Q279" i="3"/>
  <c r="Q56" i="3"/>
  <c r="Q255" i="3"/>
  <c r="Q317" i="3"/>
  <c r="Q487" i="3"/>
  <c r="Q462" i="3"/>
  <c r="Q469" i="3"/>
  <c r="Q441" i="3"/>
  <c r="Q233" i="3"/>
  <c r="Q112" i="3"/>
  <c r="Q163" i="3"/>
  <c r="Q159" i="3"/>
  <c r="Q235" i="3"/>
  <c r="Q58" i="3"/>
  <c r="Q471" i="3"/>
  <c r="Q456" i="3"/>
  <c r="Q439" i="3"/>
  <c r="Q399" i="3"/>
  <c r="Q323" i="3"/>
  <c r="Q84" i="3"/>
  <c r="Q89" i="3"/>
  <c r="Q274" i="3"/>
  <c r="Q231" i="3"/>
  <c r="Q672" i="3"/>
  <c r="Q449" i="3"/>
  <c r="Q283" i="3"/>
  <c r="Q391" i="3"/>
  <c r="Q444" i="3"/>
  <c r="Q447" i="3"/>
  <c r="Q157" i="3"/>
  <c r="Q161" i="3"/>
  <c r="Q227" i="3"/>
  <c r="Q328" i="3"/>
  <c r="Q232" i="3"/>
  <c r="Q115" i="3"/>
  <c r="Q78" i="3"/>
  <c r="Q66" i="3"/>
  <c r="Q300" i="3"/>
  <c r="Q281" i="3"/>
  <c r="Q275" i="3"/>
  <c r="Q331" i="3"/>
  <c r="Q297" i="3"/>
  <c r="Q103" i="3"/>
  <c r="Q85" i="3"/>
  <c r="Q332" i="3"/>
  <c r="Q236" i="3"/>
  <c r="Q67" i="3"/>
  <c r="Q254" i="3"/>
  <c r="Q133" i="3"/>
  <c r="Q303" i="3"/>
  <c r="Q260" i="3"/>
  <c r="Q277" i="3"/>
  <c r="Q107" i="3"/>
  <c r="Q280" i="3"/>
  <c r="Q131" i="3"/>
  <c r="Q88" i="3"/>
  <c r="Q272" i="3"/>
  <c r="Q324" i="3"/>
  <c r="Q299" i="3"/>
  <c r="Q305" i="3"/>
  <c r="Q237" i="3"/>
  <c r="Q81" i="3"/>
  <c r="Q82" i="3"/>
  <c r="Q155" i="3"/>
  <c r="Q55" i="3"/>
  <c r="Q102" i="3"/>
  <c r="Q65" i="3"/>
  <c r="Q137" i="3"/>
  <c r="Q110" i="3"/>
  <c r="Q113" i="3"/>
  <c r="Q138" i="3"/>
  <c r="Q108" i="3"/>
  <c r="Q130" i="3"/>
  <c r="Q128" i="3"/>
  <c r="Q57" i="3"/>
  <c r="Q140" i="3"/>
  <c r="Q151" i="3"/>
  <c r="Q134" i="3"/>
  <c r="Q139" i="3"/>
  <c r="Q135" i="3"/>
  <c r="Q162" i="3"/>
  <c r="Q114" i="3"/>
  <c r="Q96" i="3"/>
  <c r="AH22" i="1"/>
  <c r="M22" i="1"/>
  <c r="S22" i="1"/>
  <c r="L22" i="1"/>
  <c r="AA22" i="1"/>
  <c r="H22" i="1"/>
  <c r="Z22" i="1"/>
  <c r="W22" i="1"/>
  <c r="X22" i="1"/>
  <c r="AC22" i="1"/>
  <c r="O22" i="1"/>
  <c r="U22" i="1"/>
  <c r="AF22" i="1"/>
  <c r="F22" i="1"/>
  <c r="I22" i="1"/>
  <c r="Q22" i="1"/>
  <c r="AD22" i="1"/>
  <c r="K22" i="1"/>
  <c r="V22" i="1"/>
  <c r="G22" i="1"/>
  <c r="AG22" i="1"/>
  <c r="AE22" i="1"/>
  <c r="T22" i="1"/>
  <c r="E22" i="1"/>
  <c r="P22" i="1"/>
  <c r="AB22" i="1"/>
  <c r="N22" i="1"/>
  <c r="Y22" i="1"/>
  <c r="J22" i="1"/>
  <c r="R22" i="1"/>
  <c r="Q412" i="3"/>
  <c r="Q239" i="3"/>
  <c r="Q601" i="3"/>
  <c r="Q624" i="3"/>
  <c r="Q45" i="3"/>
  <c r="Q505" i="3"/>
  <c r="Q195" i="3"/>
  <c r="Q722" i="3"/>
  <c r="Q553" i="3"/>
  <c r="Q432" i="3"/>
  <c r="Q313" i="3"/>
  <c r="Q123" i="3"/>
  <c r="Q25" i="3"/>
  <c r="Q52" i="3"/>
  <c r="Q340" i="3"/>
  <c r="Q148" i="3"/>
  <c r="Q384" i="3"/>
  <c r="Q600" i="3"/>
  <c r="Q242" i="3"/>
  <c r="Q383" i="3"/>
  <c r="Q387" i="3"/>
  <c r="Q436" i="3"/>
  <c r="Q118" i="3"/>
  <c r="Q701" i="3"/>
  <c r="Q71" i="3"/>
  <c r="Q741" i="3"/>
  <c r="Q149" i="3"/>
  <c r="Q573" i="3"/>
  <c r="Q125" i="3"/>
  <c r="Q694" i="3"/>
  <c r="Q652" i="3"/>
  <c r="Q552" i="3"/>
  <c r="Q269" i="3"/>
  <c r="Q100" i="3"/>
  <c r="Q24" i="3"/>
  <c r="Q244" i="3"/>
  <c r="Q478" i="3"/>
  <c r="Q719" i="3"/>
  <c r="Q744" i="3"/>
  <c r="Q75" i="3"/>
  <c r="Q507" i="3"/>
  <c r="Q336" i="3"/>
  <c r="Q267" i="3"/>
  <c r="Q288" i="3"/>
  <c r="Q736" i="3"/>
  <c r="Q529" i="3"/>
  <c r="Q220" i="3"/>
  <c r="Q696" i="3"/>
  <c r="Q167" i="3"/>
  <c r="Q406" i="3"/>
  <c r="Q483" i="3"/>
  <c r="Q625" i="3"/>
  <c r="Q700" i="3"/>
  <c r="Q435" i="3"/>
  <c r="Q217" i="3"/>
  <c r="Q28" i="3"/>
  <c r="Q361" i="3"/>
  <c r="Q693" i="3"/>
  <c r="Q359" i="3"/>
  <c r="Q47" i="3"/>
  <c r="Q94" i="3"/>
  <c r="Q501" i="3"/>
  <c r="Q577" i="3"/>
  <c r="Q532" i="3"/>
  <c r="Q334" i="3"/>
  <c r="Q580" i="3"/>
  <c r="Q717" i="3"/>
  <c r="Q289" i="3"/>
  <c r="Q720" i="3"/>
  <c r="Q245" i="3"/>
  <c r="Q389" i="3"/>
  <c r="Q502" i="3"/>
  <c r="Q145" i="3"/>
  <c r="Q653" i="3"/>
  <c r="Q526" i="3"/>
  <c r="Q457" i="3"/>
  <c r="Q166" i="3"/>
  <c r="Q240" i="3"/>
  <c r="Q213" i="3"/>
  <c r="Q728" i="3"/>
  <c r="Q579" i="3"/>
  <c r="Q218" i="3"/>
  <c r="Q193" i="3"/>
  <c r="Q479" i="3"/>
  <c r="Q310" i="3"/>
  <c r="Q142" i="3"/>
  <c r="Q574" i="3"/>
  <c r="Q170" i="3"/>
  <c r="Q646" i="3"/>
  <c r="Q603" i="3"/>
  <c r="Q261" i="3"/>
  <c r="Q731" i="3"/>
  <c r="Q22" i="3"/>
  <c r="Q262" i="3"/>
  <c r="Q531" i="3"/>
  <c r="Q117" i="3"/>
  <c r="Q724" i="3"/>
  <c r="Q527" i="3"/>
  <c r="Q291" i="3"/>
  <c r="Q144" i="3"/>
  <c r="Q581" i="3"/>
  <c r="Q29" i="3"/>
  <c r="Q555" i="3"/>
  <c r="Q525" i="3"/>
  <c r="Q734" i="3"/>
  <c r="Q97" i="3"/>
  <c r="Q172" i="3"/>
  <c r="Q530" i="3"/>
  <c r="Q434" i="3"/>
  <c r="Q626" i="3"/>
  <c r="Q264" i="3"/>
  <c r="Q121" i="3"/>
  <c r="Q263" i="3"/>
  <c r="Q727" i="3"/>
  <c r="Q141" i="3"/>
  <c r="Q77" i="3"/>
  <c r="Q410" i="3"/>
  <c r="Q243" i="3"/>
  <c r="Q645" i="3"/>
  <c r="Q697" i="3"/>
  <c r="Q482" i="3"/>
  <c r="Q648" i="3"/>
  <c r="Q458" i="3"/>
  <c r="Q268" i="3"/>
  <c r="Q360" i="3"/>
  <c r="Q698" i="3"/>
  <c r="Q286" i="3"/>
  <c r="Q49" i="3"/>
  <c r="Q743" i="3"/>
  <c r="Q165" i="3"/>
  <c r="Q122" i="3"/>
  <c r="Q509" i="3"/>
  <c r="Q171" i="3"/>
  <c r="Q190" i="3"/>
  <c r="Q311" i="3"/>
  <c r="Q388" i="3"/>
  <c r="Q628" i="3"/>
  <c r="Q265" i="3"/>
  <c r="Q549" i="3"/>
  <c r="Q733" i="3"/>
  <c r="Q341" i="3"/>
  <c r="Q53" i="3"/>
  <c r="Q605" i="3"/>
  <c r="Q477" i="3"/>
  <c r="Q241" i="3"/>
  <c r="Q385" i="3"/>
  <c r="Q651" i="3"/>
  <c r="Q408" i="3"/>
  <c r="Q189" i="3"/>
  <c r="Q677" i="3"/>
  <c r="Q508" i="3"/>
  <c r="Q604" i="3"/>
  <c r="Q578" i="3"/>
  <c r="Q266" i="3"/>
  <c r="Q99" i="3"/>
  <c r="Q26" i="3"/>
  <c r="Q197" i="3"/>
  <c r="Q597" i="3"/>
  <c r="Q382" i="3"/>
  <c r="Q437" i="3"/>
  <c r="Q671" i="3"/>
  <c r="Q173" i="3"/>
  <c r="Q338" i="3"/>
  <c r="Q168" i="3"/>
  <c r="Q98" i="3"/>
  <c r="Q51" i="3"/>
  <c r="Q169" i="3"/>
  <c r="Q730" i="3"/>
  <c r="Q602" i="3"/>
  <c r="Q221" i="3"/>
  <c r="Q725" i="3"/>
  <c r="Q453" i="3"/>
  <c r="Q238" i="3"/>
  <c r="Q192" i="3"/>
  <c r="Q405" i="3"/>
  <c r="Q287" i="3"/>
  <c r="Q430" i="3"/>
  <c r="Q69" i="3"/>
  <c r="Q738" i="3"/>
  <c r="Q735" i="3"/>
  <c r="Q147" i="3"/>
  <c r="Q365" i="3"/>
  <c r="Q293" i="3"/>
  <c r="Q503" i="3"/>
  <c r="Q219" i="3"/>
  <c r="Q315" i="3"/>
  <c r="D20" i="1"/>
  <c r="Q215" i="3"/>
  <c r="Q627" i="3"/>
  <c r="Q484" i="3"/>
  <c r="Q576" i="3"/>
  <c r="Q676" i="3"/>
  <c r="Q480" i="3"/>
  <c r="Q46" i="3"/>
  <c r="Q459" i="3"/>
  <c r="Q124" i="3"/>
  <c r="Q364" i="3"/>
  <c r="Q737" i="3"/>
  <c r="Q196" i="3"/>
  <c r="Q669" i="3"/>
  <c r="Q723" i="3"/>
  <c r="Q599" i="3"/>
  <c r="Q729" i="3"/>
  <c r="Q362" i="3"/>
  <c r="Q93" i="3"/>
  <c r="Q407" i="3"/>
  <c r="Q119" i="3"/>
  <c r="Q413" i="3"/>
  <c r="Q357" i="3"/>
  <c r="Q194" i="3"/>
  <c r="Q647" i="3"/>
  <c r="Q314" i="3"/>
  <c r="Q95" i="3"/>
  <c r="Q431" i="3"/>
  <c r="Q70" i="3"/>
  <c r="Q333" i="3"/>
  <c r="Q745" i="3"/>
  <c r="Q485" i="3"/>
  <c r="Q629" i="3"/>
  <c r="Q461" i="3"/>
  <c r="Q120" i="3"/>
  <c r="Q74" i="3"/>
  <c r="Q460" i="3"/>
  <c r="Q675" i="3"/>
  <c r="Q309" i="3"/>
  <c r="Q721" i="3"/>
  <c r="Q409" i="3"/>
  <c r="Q556" i="3"/>
  <c r="Q292" i="3"/>
  <c r="Q358" i="3"/>
  <c r="Q216" i="3"/>
  <c r="Q335" i="3"/>
  <c r="Q649" i="3"/>
  <c r="Q575" i="3"/>
  <c r="Q146" i="3"/>
  <c r="Q674" i="3"/>
  <c r="Q739" i="3"/>
  <c r="Q670" i="3"/>
  <c r="Q27" i="3"/>
  <c r="Q73" i="3"/>
  <c r="Q214" i="3"/>
  <c r="Q554" i="3"/>
  <c r="D41" i="1"/>
  <c r="F40" i="1"/>
  <c r="D40" i="1"/>
  <c r="AG40" i="1"/>
  <c r="M43" i="1"/>
  <c r="M42" i="1" s="1"/>
  <c r="AE40" i="1"/>
  <c r="AD43" i="1"/>
  <c r="AD42" i="1" s="1"/>
  <c r="M40" i="1"/>
  <c r="D43" i="1"/>
  <c r="D42" i="1" s="1"/>
  <c r="F41" i="1"/>
  <c r="T40" i="1"/>
  <c r="AF43" i="1"/>
  <c r="AF42" i="1" s="1"/>
  <c r="T41" i="1"/>
  <c r="S40" i="1"/>
  <c r="G43" i="1"/>
  <c r="G42" i="1" s="1"/>
  <c r="W40" i="1"/>
  <c r="P43" i="1"/>
  <c r="P42" i="1" s="1"/>
  <c r="I40" i="1"/>
  <c r="Z43" i="1"/>
  <c r="Z42" i="1" s="1"/>
  <c r="Y43" i="1"/>
  <c r="Y42" i="1" s="1"/>
  <c r="J40" i="1"/>
  <c r="L41" i="1"/>
  <c r="G41" i="1"/>
  <c r="Q41" i="1"/>
  <c r="H43" i="1"/>
  <c r="H42" i="1" s="1"/>
  <c r="I43" i="1"/>
  <c r="I42" i="1" s="1"/>
  <c r="O41" i="1"/>
  <c r="W43" i="1"/>
  <c r="W42" i="1" s="1"/>
  <c r="R40" i="1"/>
  <c r="U43" i="1"/>
  <c r="U42" i="1" s="1"/>
  <c r="R43" i="1"/>
  <c r="R42" i="1" s="1"/>
  <c r="K41" i="1"/>
  <c r="X41" i="1"/>
  <c r="H41" i="1"/>
  <c r="Q43" i="1"/>
  <c r="Q42" i="1" s="1"/>
  <c r="O43" i="1"/>
  <c r="O42" i="1" s="1"/>
  <c r="Z40" i="1"/>
  <c r="W41" i="1"/>
  <c r="AD41" i="1"/>
  <c r="S41" i="1"/>
  <c r="Y40" i="1"/>
  <c r="U41" i="1"/>
  <c r="S43" i="1"/>
  <c r="S42" i="1" s="1"/>
  <c r="N43" i="1"/>
  <c r="N42" i="1" s="1"/>
  <c r="V40" i="1"/>
  <c r="AH41" i="1"/>
  <c r="AE43" i="1"/>
  <c r="AE42" i="1" s="1"/>
  <c r="C44" i="1"/>
  <c r="J43" i="1"/>
  <c r="J42" i="1" s="1"/>
  <c r="J41" i="1"/>
  <c r="G40" i="1"/>
  <c r="AG41" i="1"/>
  <c r="N40" i="1"/>
  <c r="M41" i="1"/>
  <c r="V41" i="1"/>
  <c r="E40" i="1"/>
  <c r="Q40" i="1"/>
  <c r="Z41" i="1"/>
  <c r="X40" i="1"/>
  <c r="AA43" i="1"/>
  <c r="AA42" i="1" s="1"/>
  <c r="K40" i="1"/>
  <c r="T43" i="1"/>
  <c r="T42" i="1" s="1"/>
  <c r="H40" i="1"/>
  <c r="U40" i="1"/>
  <c r="AA40" i="1"/>
  <c r="I41" i="1"/>
  <c r="AC40" i="1"/>
  <c r="N41" i="1"/>
  <c r="P40" i="1"/>
  <c r="L43" i="1"/>
  <c r="L42" i="1" s="1"/>
  <c r="V43" i="1"/>
  <c r="V42" i="1" s="1"/>
  <c r="AF40" i="1"/>
  <c r="F43" i="1"/>
  <c r="F42" i="1" s="1"/>
  <c r="L40" i="1"/>
  <c r="AC41" i="1"/>
  <c r="AF41" i="1"/>
  <c r="AB43" i="1"/>
  <c r="AB42" i="1" s="1"/>
  <c r="P41" i="1"/>
  <c r="R41" i="1"/>
  <c r="AG43" i="1"/>
  <c r="AG42" i="1" s="1"/>
  <c r="AH40" i="1"/>
  <c r="X43" i="1"/>
  <c r="X42" i="1" s="1"/>
  <c r="AE41" i="1"/>
  <c r="AA41" i="1"/>
  <c r="AH43" i="1"/>
  <c r="AH42" i="1" s="1"/>
  <c r="K43" i="1"/>
  <c r="K42" i="1" s="1"/>
  <c r="O40" i="1"/>
  <c r="AB41" i="1"/>
  <c r="AD40" i="1"/>
  <c r="E43" i="1"/>
  <c r="E42" i="1" s="1"/>
  <c r="E41" i="1"/>
  <c r="AC43" i="1"/>
  <c r="AC42" i="1" s="1"/>
  <c r="Y41" i="1"/>
  <c r="AB40" i="1"/>
  <c r="AG38" i="1"/>
  <c r="Q38" i="1"/>
  <c r="F38" i="1"/>
  <c r="D18" i="1"/>
  <c r="AD38" i="1"/>
  <c r="R38" i="1"/>
  <c r="O38" i="1"/>
  <c r="AF38" i="1"/>
  <c r="AC38" i="1"/>
  <c r="J38" i="1"/>
  <c r="AA38" i="1"/>
  <c r="AH38" i="1"/>
  <c r="E38" i="1"/>
  <c r="K38" i="1"/>
  <c r="H38" i="1"/>
  <c r="N38" i="1"/>
  <c r="V38" i="1"/>
  <c r="U38" i="1"/>
  <c r="AB38" i="1"/>
  <c r="X38" i="1"/>
  <c r="AE38" i="1"/>
  <c r="G38" i="1"/>
  <c r="Y38" i="1"/>
  <c r="S38" i="1"/>
  <c r="M38" i="1"/>
  <c r="I38" i="1"/>
  <c r="Z38" i="1"/>
  <c r="W38" i="1"/>
  <c r="T38" i="1"/>
  <c r="L38" i="1"/>
  <c r="P38" i="1"/>
  <c r="T20" i="1"/>
  <c r="S20" i="1"/>
  <c r="AC20" i="1"/>
  <c r="W20" i="1"/>
  <c r="C2" i="1"/>
  <c r="AF20" i="1"/>
  <c r="N20" i="1"/>
  <c r="O20" i="1"/>
  <c r="X20" i="1"/>
  <c r="AG20" i="1"/>
  <c r="AA20" i="1"/>
  <c r="AE20" i="1"/>
  <c r="K20" i="1"/>
  <c r="Y20" i="1"/>
  <c r="P20" i="1"/>
  <c r="L20" i="1"/>
  <c r="AD20" i="1"/>
  <c r="R20" i="1"/>
  <c r="H20" i="1"/>
  <c r="F20" i="1"/>
  <c r="AC18" i="1"/>
  <c r="E20" i="1"/>
  <c r="E18" i="1"/>
  <c r="AH18" i="1"/>
  <c r="J20" i="1"/>
  <c r="L21" i="1"/>
  <c r="I20" i="1"/>
  <c r="T21" i="1"/>
  <c r="R21" i="1"/>
  <c r="K21" i="1"/>
  <c r="G21" i="1"/>
  <c r="N21" i="1"/>
  <c r="Z18" i="1"/>
  <c r="G18" i="1"/>
  <c r="AG21" i="1"/>
  <c r="E21" i="1"/>
  <c r="P21" i="1"/>
  <c r="J21" i="1"/>
  <c r="I21" i="1"/>
  <c r="AD18" i="1"/>
  <c r="J18" i="1"/>
  <c r="AA18" i="1"/>
  <c r="M18" i="1"/>
  <c r="U20" i="1"/>
  <c r="O18" i="1"/>
  <c r="Q20" i="1"/>
  <c r="V20" i="1"/>
  <c r="Q21" i="1"/>
  <c r="R18" i="1"/>
  <c r="Y21" i="1"/>
  <c r="L18" i="1"/>
  <c r="I18" i="1"/>
  <c r="S18" i="1"/>
  <c r="Q18" i="1"/>
  <c r="AC21" i="1"/>
  <c r="V18" i="1"/>
  <c r="AH21" i="1"/>
  <c r="AD21" i="1"/>
  <c r="AE21" i="1"/>
  <c r="Y18" i="1"/>
  <c r="AG18" i="1"/>
  <c r="Z21" i="1"/>
  <c r="U21" i="1"/>
  <c r="G20" i="1"/>
  <c r="AB20" i="1"/>
  <c r="W21" i="1"/>
  <c r="AE18" i="1"/>
  <c r="M20" i="1"/>
  <c r="Z20" i="1"/>
  <c r="AA21" i="1"/>
  <c r="H18" i="1"/>
  <c r="W18" i="1"/>
  <c r="M21" i="1"/>
  <c r="H21" i="1"/>
  <c r="S21" i="1"/>
  <c r="U18" i="1"/>
  <c r="X21" i="1"/>
  <c r="F18" i="1"/>
  <c r="T18" i="1"/>
  <c r="V21" i="1"/>
  <c r="N18" i="1"/>
  <c r="F21" i="1"/>
  <c r="X18" i="1"/>
  <c r="AF21" i="1"/>
  <c r="O21" i="1"/>
  <c r="AB21" i="1"/>
  <c r="K18" i="1"/>
  <c r="AB18" i="1"/>
  <c r="AF18" i="1"/>
  <c r="P18" i="1"/>
  <c r="AH20" i="1"/>
  <c r="C27" i="1"/>
  <c r="C28" i="1"/>
  <c r="C29" i="1"/>
  <c r="C26" i="1"/>
  <c r="C24" i="1"/>
  <c r="C25" i="1"/>
  <c r="C23" i="1"/>
  <c r="D39" i="1" l="1"/>
  <c r="C22" i="1"/>
  <c r="Z8" i="1"/>
  <c r="D53" i="1"/>
  <c r="C15" i="1"/>
  <c r="J58" i="1"/>
  <c r="X58" i="1"/>
  <c r="D60" i="1"/>
  <c r="R60" i="1"/>
  <c r="AF60" i="1"/>
  <c r="O61" i="1"/>
  <c r="AC61" i="1"/>
  <c r="L62" i="1"/>
  <c r="Z62" i="1"/>
  <c r="Q65" i="1"/>
  <c r="AE65" i="1"/>
  <c r="K58" i="1"/>
  <c r="Y58" i="1"/>
  <c r="H59" i="1"/>
  <c r="V59" i="1"/>
  <c r="P61" i="1"/>
  <c r="AD61" i="1"/>
  <c r="M62" i="1"/>
  <c r="AA62" i="1"/>
  <c r="J63" i="1"/>
  <c r="X63" i="1"/>
  <c r="D65" i="1"/>
  <c r="L58" i="1"/>
  <c r="Z58" i="1"/>
  <c r="I59" i="1"/>
  <c r="W59" i="1"/>
  <c r="F60" i="1"/>
  <c r="T60" i="1"/>
  <c r="AH60" i="1"/>
  <c r="L59" i="1"/>
  <c r="AC58" i="1"/>
  <c r="I60" i="1"/>
  <c r="F61" i="1"/>
  <c r="Q62" i="1"/>
  <c r="N63" i="1"/>
  <c r="H65" i="1"/>
  <c r="V65" i="1"/>
  <c r="H60" i="1"/>
  <c r="V60" i="1"/>
  <c r="E61" i="1"/>
  <c r="S61" i="1"/>
  <c r="AG61" i="1"/>
  <c r="O58" i="1"/>
  <c r="Z59" i="1"/>
  <c r="W60" i="1"/>
  <c r="T61" i="1"/>
  <c r="AH61" i="1"/>
  <c r="AE62" i="1"/>
  <c r="AB63" i="1"/>
  <c r="Q64" i="1"/>
  <c r="J59" i="1"/>
  <c r="W61" i="1"/>
  <c r="J60" i="1"/>
  <c r="S60" i="1"/>
  <c r="L63" i="1"/>
  <c r="G65" i="1"/>
  <c r="D61" i="1"/>
  <c r="AH58" i="1"/>
  <c r="Y62" i="1"/>
  <c r="AF65" i="1"/>
  <c r="P59" i="1"/>
  <c r="Y61" i="1"/>
  <c r="AD65" i="1"/>
  <c r="N59" i="1"/>
  <c r="Y60" i="1"/>
  <c r="U62" i="1"/>
  <c r="AG63" i="1"/>
  <c r="F62" i="1"/>
  <c r="AA58" i="1"/>
  <c r="E60" i="1"/>
  <c r="AB62" i="1"/>
  <c r="W64" i="1"/>
  <c r="X60" i="1"/>
  <c r="T58" i="1"/>
  <c r="K62" i="1"/>
  <c r="R65" i="1"/>
  <c r="AF58" i="1"/>
  <c r="K61" i="1"/>
  <c r="P65" i="1"/>
  <c r="AD58" i="1"/>
  <c r="Z63" i="1"/>
  <c r="AD64" i="1"/>
  <c r="M59" i="1"/>
  <c r="AA65" i="1"/>
  <c r="D64" i="1"/>
  <c r="U59" i="1"/>
  <c r="N62" i="1"/>
  <c r="I64" i="1"/>
  <c r="G61" i="1"/>
  <c r="F58" i="1"/>
  <c r="AA61" i="1"/>
  <c r="AH64" i="1"/>
  <c r="R58" i="1"/>
  <c r="AA60" i="1"/>
  <c r="AF64" i="1"/>
  <c r="P58" i="1"/>
  <c r="S62" i="1"/>
  <c r="T62" i="1"/>
  <c r="V61" i="1"/>
  <c r="K59" i="1"/>
  <c r="W65" i="1"/>
  <c r="G59" i="1"/>
  <c r="AH59" i="1"/>
  <c r="Y63" i="1"/>
  <c r="AH65" i="1"/>
  <c r="S63" i="1"/>
  <c r="M61" i="1"/>
  <c r="T64" i="1"/>
  <c r="AA59" i="1"/>
  <c r="M60" i="1"/>
  <c r="R64" i="1"/>
  <c r="U65" i="1"/>
  <c r="AE63" i="1"/>
  <c r="M58" i="1"/>
  <c r="X65" i="1"/>
  <c r="I65" i="1"/>
  <c r="W58" i="1"/>
  <c r="T59" i="1"/>
  <c r="K63" i="1"/>
  <c r="T65" i="1"/>
  <c r="AF63" i="1"/>
  <c r="AC60" i="1"/>
  <c r="F64" i="1"/>
  <c r="N58" i="1"/>
  <c r="AC59" i="1"/>
  <c r="AH63" i="1"/>
  <c r="L64" i="1"/>
  <c r="AG59" i="1"/>
  <c r="Q59" i="1"/>
  <c r="Q58" i="1"/>
  <c r="P64" i="1"/>
  <c r="I62" i="1"/>
  <c r="Z65" i="1"/>
  <c r="D63" i="1"/>
  <c r="J65" i="1"/>
  <c r="Y64" i="1"/>
  <c r="I58" i="1"/>
  <c r="F59" i="1"/>
  <c r="AE60" i="1"/>
  <c r="F65" i="1"/>
  <c r="AC64" i="1"/>
  <c r="O60" i="1"/>
  <c r="V63" i="1"/>
  <c r="U61" i="1"/>
  <c r="O59" i="1"/>
  <c r="T63" i="1"/>
  <c r="AB64" i="1"/>
  <c r="AA63" i="1"/>
  <c r="H58" i="1"/>
  <c r="H64" i="1"/>
  <c r="X62" i="1"/>
  <c r="V62" i="1"/>
  <c r="X59" i="1"/>
  <c r="D59" i="1"/>
  <c r="L65" i="1"/>
  <c r="Y65" i="1"/>
  <c r="Z64" i="1"/>
  <c r="K64" i="1"/>
  <c r="O65" i="1"/>
  <c r="V58" i="1"/>
  <c r="Q60" i="1"/>
  <c r="V64" i="1"/>
  <c r="AG62" i="1"/>
  <c r="AE59" i="1"/>
  <c r="H63" i="1"/>
  <c r="D58" i="1"/>
  <c r="AE58" i="1"/>
  <c r="F63" i="1"/>
  <c r="K65" i="1"/>
  <c r="G62" i="1"/>
  <c r="AG65" i="1"/>
  <c r="AG64" i="1"/>
  <c r="G60" i="1"/>
  <c r="AB59" i="1"/>
  <c r="N64" i="1"/>
  <c r="AA64" i="1"/>
  <c r="AD62" i="1"/>
  <c r="M63" i="1"/>
  <c r="AH62" i="1"/>
  <c r="AE64" i="1"/>
  <c r="S59" i="1"/>
  <c r="AB61" i="1"/>
  <c r="S65" i="1"/>
  <c r="AG58" i="1"/>
  <c r="J62" i="1"/>
  <c r="S64" i="1"/>
  <c r="E63" i="1"/>
  <c r="H62" i="1"/>
  <c r="K60" i="1"/>
  <c r="R59" i="1"/>
  <c r="AD63" i="1"/>
  <c r="M64" i="1"/>
  <c r="P62" i="1"/>
  <c r="AC62" i="1"/>
  <c r="O64" i="1"/>
  <c r="I61" i="1"/>
  <c r="E59" i="1"/>
  <c r="N61" i="1"/>
  <c r="E65" i="1"/>
  <c r="S58" i="1"/>
  <c r="Z61" i="1"/>
  <c r="E64" i="1"/>
  <c r="AB65" i="1"/>
  <c r="X61" i="1"/>
  <c r="U60" i="1"/>
  <c r="I63" i="1"/>
  <c r="P63" i="1"/>
  <c r="AC63" i="1"/>
  <c r="AF61" i="1"/>
  <c r="O62" i="1"/>
  <c r="Q63" i="1"/>
  <c r="R63" i="1"/>
  <c r="U58" i="1"/>
  <c r="AD60" i="1"/>
  <c r="U64" i="1"/>
  <c r="E58" i="1"/>
  <c r="L61" i="1"/>
  <c r="U63" i="1"/>
  <c r="AB58" i="1"/>
  <c r="J61" i="1"/>
  <c r="Q61" i="1"/>
  <c r="AD59" i="1"/>
  <c r="AF62" i="1"/>
  <c r="O63" i="1"/>
  <c r="R61" i="1"/>
  <c r="AE61" i="1"/>
  <c r="X64" i="1"/>
  <c r="M65" i="1"/>
  <c r="G58" i="1"/>
  <c r="P60" i="1"/>
  <c r="G64" i="1"/>
  <c r="N65" i="1"/>
  <c r="AB60" i="1"/>
  <c r="G63" i="1"/>
  <c r="D62" i="1"/>
  <c r="Z60" i="1"/>
  <c r="R62" i="1"/>
  <c r="J64" i="1"/>
  <c r="Y59" i="1"/>
  <c r="AC65" i="1"/>
  <c r="AF59" i="1"/>
  <c r="W63" i="1"/>
  <c r="H61" i="1"/>
  <c r="N60" i="1"/>
  <c r="W62" i="1"/>
  <c r="E62" i="1"/>
  <c r="L60" i="1"/>
  <c r="AG60" i="1"/>
  <c r="C58" i="1"/>
  <c r="C60" i="1"/>
  <c r="C61" i="1"/>
  <c r="C62" i="1"/>
  <c r="C63" i="1"/>
  <c r="C64" i="1"/>
  <c r="C59" i="1"/>
  <c r="C65" i="1"/>
  <c r="AC8" i="1"/>
  <c r="AG8" i="1"/>
  <c r="X8" i="1"/>
  <c r="F8" i="1"/>
  <c r="K8" i="1"/>
  <c r="Y8" i="1"/>
  <c r="N8" i="1"/>
  <c r="U8" i="1"/>
  <c r="W8" i="1"/>
  <c r="AA8" i="1"/>
  <c r="AE8" i="1"/>
  <c r="M8" i="1"/>
  <c r="S8" i="1"/>
  <c r="I8" i="1"/>
  <c r="E8" i="1"/>
  <c r="D8" i="1"/>
  <c r="H8" i="1"/>
  <c r="O8" i="1"/>
  <c r="R8" i="1"/>
  <c r="AB8" i="1"/>
  <c r="AH8" i="1"/>
  <c r="AD8" i="1"/>
  <c r="T8" i="1"/>
  <c r="G8" i="1"/>
  <c r="V8" i="1"/>
  <c r="AG39" i="1"/>
  <c r="L8" i="1"/>
  <c r="P8" i="1"/>
  <c r="AF8" i="1"/>
  <c r="J8" i="1"/>
  <c r="Q8" i="1"/>
  <c r="F39" i="1"/>
  <c r="G39" i="1"/>
  <c r="AF39" i="1"/>
  <c r="AE39" i="1"/>
  <c r="I39" i="1"/>
  <c r="J39" i="1"/>
  <c r="T39" i="1"/>
  <c r="M39" i="1"/>
  <c r="S39" i="1"/>
  <c r="W39" i="1"/>
  <c r="H39" i="1"/>
  <c r="AH39" i="1"/>
  <c r="O39" i="1"/>
  <c r="X39" i="1"/>
  <c r="V39" i="1"/>
  <c r="AD39" i="1"/>
  <c r="C41" i="1"/>
  <c r="Q39" i="1"/>
  <c r="R39" i="1"/>
  <c r="P39" i="1"/>
  <c r="K39" i="1"/>
  <c r="E39" i="1"/>
  <c r="Y39" i="1"/>
  <c r="AB39" i="1"/>
  <c r="AC39" i="1"/>
  <c r="C43" i="1"/>
  <c r="N39" i="1"/>
  <c r="C42" i="1"/>
  <c r="C40" i="1"/>
  <c r="AA39" i="1"/>
  <c r="L39" i="1"/>
  <c r="U39" i="1"/>
  <c r="Z39" i="1"/>
  <c r="C38" i="1"/>
  <c r="T48" i="1"/>
  <c r="AB53" i="1"/>
  <c r="K53" i="1"/>
  <c r="AG52" i="1"/>
  <c r="I55" i="1"/>
  <c r="F52" i="1"/>
  <c r="AA53" i="1"/>
  <c r="P54" i="1"/>
  <c r="Y57" i="1"/>
  <c r="AB49" i="1"/>
  <c r="AE49" i="1"/>
  <c r="G49" i="1"/>
  <c r="AD48" i="1"/>
  <c r="O48" i="1"/>
  <c r="O53" i="1"/>
  <c r="AE51" i="1"/>
  <c r="O49" i="1"/>
  <c r="AD49" i="1"/>
  <c r="U48" i="1"/>
  <c r="K49" i="1"/>
  <c r="L48" i="1"/>
  <c r="U51" i="1"/>
  <c r="N57" i="1"/>
  <c r="AD54" i="1"/>
  <c r="O51" i="1"/>
  <c r="AC53" i="1"/>
  <c r="AH49" i="1"/>
  <c r="AC54" i="1"/>
  <c r="E48" i="1"/>
  <c r="U57" i="1"/>
  <c r="AA52" i="1"/>
  <c r="AC56" i="1"/>
  <c r="G53" i="1"/>
  <c r="I53" i="1"/>
  <c r="S52" i="1"/>
  <c r="M51" i="1"/>
  <c r="X52" i="1"/>
  <c r="L57" i="1"/>
  <c r="O56" i="1"/>
  <c r="X49" i="1"/>
  <c r="P52" i="1"/>
  <c r="AD52" i="1"/>
  <c r="V55" i="1"/>
  <c r="K55" i="1"/>
  <c r="C54" i="1"/>
  <c r="O57" i="1"/>
  <c r="AH54" i="1"/>
  <c r="Q56" i="1"/>
  <c r="W57" i="1"/>
  <c r="Z57" i="1"/>
  <c r="M55" i="1"/>
  <c r="AG53" i="1"/>
  <c r="AF55" i="1"/>
  <c r="T54" i="1"/>
  <c r="Q53" i="1"/>
  <c r="AG57" i="1"/>
  <c r="AH55" i="1"/>
  <c r="M56" i="1"/>
  <c r="S56" i="1"/>
  <c r="P55" i="1"/>
  <c r="AB55" i="1"/>
  <c r="T52" i="1"/>
  <c r="C56" i="1"/>
  <c r="T55" i="1"/>
  <c r="Z55" i="1"/>
  <c r="AA51" i="1"/>
  <c r="P48" i="1"/>
  <c r="T49" i="1"/>
  <c r="Y48" i="1"/>
  <c r="L55" i="1"/>
  <c r="E57" i="1"/>
  <c r="F49" i="1"/>
  <c r="AF51" i="1"/>
  <c r="AH53" i="1"/>
  <c r="T56" i="1"/>
  <c r="G52" i="1"/>
  <c r="Y54" i="1"/>
  <c r="AB51" i="1"/>
  <c r="O54" i="1"/>
  <c r="H56" i="1"/>
  <c r="J51" i="1"/>
  <c r="AG51" i="1"/>
  <c r="L49" i="1"/>
  <c r="AD51" i="1"/>
  <c r="V49" i="1"/>
  <c r="AA48" i="1"/>
  <c r="AD57" i="1"/>
  <c r="R53" i="1"/>
  <c r="N51" i="1"/>
  <c r="AG55" i="1"/>
  <c r="F53" i="1"/>
  <c r="X57" i="1"/>
  <c r="Q51" i="1"/>
  <c r="AB48" i="1"/>
  <c r="AG48" i="1"/>
  <c r="G57" i="1"/>
  <c r="Y52" i="1"/>
  <c r="M57" i="1"/>
  <c r="AE52" i="1"/>
  <c r="R55" i="1"/>
  <c r="E51" i="1"/>
  <c r="AC52" i="1"/>
  <c r="H55" i="1"/>
  <c r="Q57" i="1"/>
  <c r="K52" i="1"/>
  <c r="Z52" i="1"/>
  <c r="AD56" i="1"/>
  <c r="Q52" i="1"/>
  <c r="D55" i="1"/>
  <c r="W52" i="1"/>
  <c r="J55" i="1"/>
  <c r="AA57" i="1"/>
  <c r="M52" i="1"/>
  <c r="AE54" i="1"/>
  <c r="X56" i="1"/>
  <c r="AH51" i="1"/>
  <c r="R52" i="1"/>
  <c r="Z48" i="1"/>
  <c r="V56" i="1"/>
  <c r="I52" i="1"/>
  <c r="K54" i="1"/>
  <c r="AB56" i="1"/>
  <c r="O52" i="1"/>
  <c r="AG54" i="1"/>
  <c r="AH56" i="1"/>
  <c r="E52" i="1"/>
  <c r="W54" i="1"/>
  <c r="P56" i="1"/>
  <c r="Z51" i="1"/>
  <c r="J52" i="1"/>
  <c r="M48" i="1"/>
  <c r="K48" i="1"/>
  <c r="N56" i="1"/>
  <c r="R56" i="1"/>
  <c r="AE48" i="1"/>
  <c r="C57" i="1"/>
  <c r="F56" i="1"/>
  <c r="X51" i="1"/>
  <c r="Z53" i="1"/>
  <c r="L56" i="1"/>
  <c r="X53" i="1"/>
  <c r="J56" i="1"/>
  <c r="T51" i="1"/>
  <c r="G54" i="1"/>
  <c r="W55" i="1"/>
  <c r="AF57" i="1"/>
  <c r="Y51" i="1"/>
  <c r="I49" i="1"/>
  <c r="J48" i="1"/>
  <c r="AC55" i="1"/>
  <c r="D56" i="1"/>
  <c r="P53" i="1"/>
  <c r="L51" i="1"/>
  <c r="O55" i="1"/>
  <c r="U55" i="1"/>
  <c r="V57" i="1"/>
  <c r="J53" i="1"/>
  <c r="S55" i="1"/>
  <c r="F51" i="1"/>
  <c r="H53" i="1"/>
  <c r="Y55" i="1"/>
  <c r="AH57" i="1"/>
  <c r="AB52" i="1"/>
  <c r="G55" i="1"/>
  <c r="AE56" i="1"/>
  <c r="I51" i="1"/>
  <c r="G48" i="1"/>
  <c r="X48" i="1"/>
  <c r="AG56" i="1"/>
  <c r="Z49" i="1"/>
  <c r="W48" i="1"/>
  <c r="D57" i="1"/>
  <c r="V52" i="1"/>
  <c r="AF54" i="1"/>
  <c r="L52" i="1"/>
  <c r="V54" i="1"/>
  <c r="G56" i="1"/>
  <c r="D54" i="1"/>
  <c r="U56" i="1"/>
  <c r="H52" i="1"/>
  <c r="Z54" i="1"/>
  <c r="AA56" i="1"/>
  <c r="N52" i="1"/>
  <c r="X54" i="1"/>
  <c r="Y56" i="1"/>
  <c r="D52" i="1"/>
  <c r="F54" i="1"/>
  <c r="AD55" i="1"/>
  <c r="S19" i="1"/>
  <c r="S47" i="1" s="1"/>
  <c r="C52" i="1"/>
  <c r="AE57" i="1"/>
  <c r="S53" i="1"/>
  <c r="E56" i="1"/>
  <c r="W51" i="1"/>
  <c r="Y53" i="1"/>
  <c r="K56" i="1"/>
  <c r="AC51" i="1"/>
  <c r="H54" i="1"/>
  <c r="I56" i="1"/>
  <c r="K51" i="1"/>
  <c r="E53" i="1"/>
  <c r="N55" i="1"/>
  <c r="S48" i="1"/>
  <c r="AC19" i="1"/>
  <c r="AC17" i="1" s="1"/>
  <c r="F55" i="1"/>
  <c r="M54" i="1"/>
  <c r="U54" i="1"/>
  <c r="Q55" i="1"/>
  <c r="D51" i="1"/>
  <c r="N53" i="1"/>
  <c r="AE55" i="1"/>
  <c r="R51" i="1"/>
  <c r="E54" i="1"/>
  <c r="W19" i="1"/>
  <c r="W17" i="1" s="1"/>
  <c r="W45" i="1" s="1"/>
  <c r="P57" i="1"/>
  <c r="T53" i="1"/>
  <c r="L54" i="1"/>
  <c r="F57" i="1"/>
  <c r="AF52" i="1"/>
  <c r="AA55" i="1"/>
  <c r="V51" i="1"/>
  <c r="Q54" i="1"/>
  <c r="Z56" i="1"/>
  <c r="U52" i="1"/>
  <c r="X55" i="1"/>
  <c r="S51" i="1"/>
  <c r="N54" i="1"/>
  <c r="H57" i="1"/>
  <c r="AH52" i="1"/>
  <c r="M49" i="1"/>
  <c r="N49" i="1"/>
  <c r="R48" i="1"/>
  <c r="L53" i="1"/>
  <c r="Q49" i="1"/>
  <c r="C51" i="1"/>
  <c r="C55" i="1"/>
  <c r="E55" i="1"/>
  <c r="P51" i="1"/>
  <c r="AA54" i="1"/>
  <c r="G51" i="1"/>
  <c r="R54" i="1"/>
  <c r="AB57" i="1"/>
  <c r="I54" i="1"/>
  <c r="S57" i="1"/>
  <c r="AE53" i="1"/>
  <c r="R57" i="1"/>
  <c r="AD53" i="1"/>
  <c r="I57" i="1"/>
  <c r="U53" i="1"/>
  <c r="C53" i="1"/>
  <c r="AC48" i="1"/>
  <c r="AB54" i="1"/>
  <c r="H51" i="1"/>
  <c r="S54" i="1"/>
  <c r="AC57" i="1"/>
  <c r="J54" i="1"/>
  <c r="T57" i="1"/>
  <c r="AF53" i="1"/>
  <c r="K57" i="1"/>
  <c r="W53" i="1"/>
  <c r="J57" i="1"/>
  <c r="V53" i="1"/>
  <c r="AF56" i="1"/>
  <c r="M53" i="1"/>
  <c r="W56" i="1"/>
  <c r="V48" i="1"/>
  <c r="N48" i="1"/>
  <c r="F48" i="1"/>
  <c r="AF48" i="1"/>
  <c r="H48" i="1"/>
  <c r="X50" i="1"/>
  <c r="E50" i="1"/>
  <c r="AF50" i="1"/>
  <c r="AB50" i="1"/>
  <c r="Y50" i="1"/>
  <c r="G50" i="1"/>
  <c r="AD50" i="1"/>
  <c r="U50" i="1"/>
  <c r="K50" i="1"/>
  <c r="P50" i="1"/>
  <c r="AC50" i="1"/>
  <c r="N50" i="1"/>
  <c r="M50" i="1"/>
  <c r="W50" i="1"/>
  <c r="J50" i="1"/>
  <c r="Q50" i="1"/>
  <c r="AE50" i="1"/>
  <c r="T50" i="1"/>
  <c r="AG50" i="1"/>
  <c r="AH50" i="1"/>
  <c r="F50" i="1"/>
  <c r="H50" i="1"/>
  <c r="Z50" i="1"/>
  <c r="I50" i="1"/>
  <c r="AA50" i="1"/>
  <c r="O50" i="1"/>
  <c r="V50" i="1"/>
  <c r="L50" i="1"/>
  <c r="R50" i="1"/>
  <c r="Y19" i="1"/>
  <c r="Y47" i="1" s="1"/>
  <c r="AF19" i="1"/>
  <c r="AF47" i="1" s="1"/>
  <c r="AG19" i="1"/>
  <c r="AG17" i="1" s="1"/>
  <c r="AG45" i="1" s="1"/>
  <c r="AA19" i="1"/>
  <c r="AA17" i="1" s="1"/>
  <c r="H19" i="1"/>
  <c r="T19" i="1"/>
  <c r="T47" i="1" s="1"/>
  <c r="AD19" i="1"/>
  <c r="AD47" i="1" s="1"/>
  <c r="P19" i="1"/>
  <c r="P47" i="1" s="1"/>
  <c r="R19" i="1"/>
  <c r="R47" i="1" s="1"/>
  <c r="E19" i="1"/>
  <c r="I19" i="1"/>
  <c r="I17" i="1" s="1"/>
  <c r="AH19" i="1"/>
  <c r="AH47" i="1" s="1"/>
  <c r="J19" i="1"/>
  <c r="AE19" i="1"/>
  <c r="AE17" i="1" s="1"/>
  <c r="AG49" i="1"/>
  <c r="W49" i="1"/>
  <c r="I48" i="1"/>
  <c r="E49" i="1"/>
  <c r="F19" i="1"/>
  <c r="H49" i="1"/>
  <c r="U19" i="1"/>
  <c r="U47" i="1" s="1"/>
  <c r="L19" i="1"/>
  <c r="L47" i="1" s="1"/>
  <c r="Y49" i="1"/>
  <c r="R49" i="1"/>
  <c r="AC49" i="1"/>
  <c r="G19" i="1"/>
  <c r="G17" i="1" s="1"/>
  <c r="P49" i="1"/>
  <c r="J49" i="1"/>
  <c r="K19" i="1"/>
  <c r="K47" i="1" s="1"/>
  <c r="N19" i="1"/>
  <c r="N47" i="1" s="1"/>
  <c r="AA49" i="1"/>
  <c r="AF49" i="1"/>
  <c r="M19" i="1"/>
  <c r="M7" i="1" s="1"/>
  <c r="V19" i="1"/>
  <c r="V17" i="1" s="1"/>
  <c r="U49" i="1"/>
  <c r="Q19" i="1"/>
  <c r="Q47" i="1" s="1"/>
  <c r="AH48" i="1"/>
  <c r="Z19" i="1"/>
  <c r="AB19" i="1"/>
  <c r="AB47" i="1" s="1"/>
  <c r="Q48" i="1"/>
  <c r="S49" i="1"/>
  <c r="X19" i="1"/>
  <c r="X47" i="1" s="1"/>
  <c r="O19" i="1"/>
  <c r="O47" i="1" s="1"/>
  <c r="C18" i="1"/>
  <c r="AE45" i="1" l="1"/>
  <c r="AA45" i="1"/>
  <c r="AC45" i="1"/>
  <c r="I45" i="1"/>
  <c r="G45" i="1"/>
  <c r="V45" i="1"/>
  <c r="M6" i="1"/>
  <c r="M5" i="1" s="1"/>
  <c r="C8" i="1"/>
  <c r="C39" i="1"/>
  <c r="S7" i="1"/>
  <c r="S6" i="1" s="1"/>
  <c r="S5" i="1" s="1"/>
  <c r="AC47" i="1"/>
  <c r="AC7" i="1"/>
  <c r="AC6" i="1" s="1"/>
  <c r="AC5" i="1" s="1"/>
  <c r="F17" i="1"/>
  <c r="F45" i="1" s="1"/>
  <c r="W7" i="1"/>
  <c r="W6" i="1" s="1"/>
  <c r="W5" i="1" s="1"/>
  <c r="W47" i="1"/>
  <c r="E17" i="1"/>
  <c r="E45" i="1" s="1"/>
  <c r="J7" i="1"/>
  <c r="J6" i="1" s="1"/>
  <c r="J5" i="1" s="1"/>
  <c r="S50" i="1"/>
  <c r="H17" i="1"/>
  <c r="H45" i="1" s="1"/>
  <c r="Z17" i="1"/>
  <c r="Z45" i="1" s="1"/>
  <c r="S17" i="1"/>
  <c r="S45" i="1" s="1"/>
  <c r="D50" i="1"/>
  <c r="C50" i="1"/>
  <c r="AG47" i="1"/>
  <c r="AF17" i="1"/>
  <c r="AF45" i="1" s="1"/>
  <c r="Y17" i="1"/>
  <c r="Y45" i="1" s="1"/>
  <c r="Y7" i="1"/>
  <c r="Y6" i="1" s="1"/>
  <c r="Y5" i="1" s="1"/>
  <c r="AD7" i="1"/>
  <c r="AD6" i="1" s="1"/>
  <c r="AD5" i="1" s="1"/>
  <c r="AF7" i="1"/>
  <c r="AF6" i="1" s="1"/>
  <c r="AF5" i="1" s="1"/>
  <c r="AG7" i="1"/>
  <c r="AG6" i="1" s="1"/>
  <c r="AG5" i="1" s="1"/>
  <c r="T17" i="1"/>
  <c r="T45" i="1" s="1"/>
  <c r="AD17" i="1"/>
  <c r="AD45" i="1" s="1"/>
  <c r="AA7" i="1"/>
  <c r="AA6" i="1" s="1"/>
  <c r="AA5" i="1" s="1"/>
  <c r="J17" i="1"/>
  <c r="J45" i="1" s="1"/>
  <c r="H47" i="1"/>
  <c r="E47" i="1"/>
  <c r="H7" i="1"/>
  <c r="H6" i="1" s="1"/>
  <c r="H5" i="1" s="1"/>
  <c r="T7" i="1"/>
  <c r="T6" i="1" s="1"/>
  <c r="T5" i="1" s="1"/>
  <c r="AE7" i="1"/>
  <c r="AE6" i="1" s="1"/>
  <c r="AE5" i="1" s="1"/>
  <c r="L7" i="1"/>
  <c r="L6" i="1" s="1"/>
  <c r="L5" i="1" s="1"/>
  <c r="P17" i="1"/>
  <c r="P45" i="1" s="1"/>
  <c r="AA47" i="1"/>
  <c r="E7" i="1"/>
  <c r="E6" i="1" s="1"/>
  <c r="E5" i="1" s="1"/>
  <c r="P7" i="1"/>
  <c r="P6" i="1" s="1"/>
  <c r="P5" i="1" s="1"/>
  <c r="R17" i="1"/>
  <c r="R45" i="1" s="1"/>
  <c r="R7" i="1"/>
  <c r="R6" i="1" s="1"/>
  <c r="R5" i="1" s="1"/>
  <c r="I47" i="1"/>
  <c r="AH17" i="1"/>
  <c r="AH45" i="1" s="1"/>
  <c r="AH7" i="1"/>
  <c r="AH6" i="1" s="1"/>
  <c r="AH5" i="1" s="1"/>
  <c r="I7" i="1"/>
  <c r="I6" i="1" s="1"/>
  <c r="I5" i="1" s="1"/>
  <c r="F7" i="1"/>
  <c r="F6" i="1" s="1"/>
  <c r="F5" i="1" s="1"/>
  <c r="AE47" i="1"/>
  <c r="U7" i="1"/>
  <c r="U6" i="1" s="1"/>
  <c r="U5" i="1" s="1"/>
  <c r="J47" i="1"/>
  <c r="L17" i="1"/>
  <c r="L45" i="1" s="1"/>
  <c r="U17" i="1"/>
  <c r="U45" i="1" s="1"/>
  <c r="F47" i="1"/>
  <c r="V7" i="1"/>
  <c r="V6" i="1" s="1"/>
  <c r="V5" i="1" s="1"/>
  <c r="G47" i="1"/>
  <c r="G7" i="1"/>
  <c r="G6" i="1" s="1"/>
  <c r="G5" i="1" s="1"/>
  <c r="M47" i="1"/>
  <c r="K7" i="1"/>
  <c r="K6" i="1" s="1"/>
  <c r="K5" i="1" s="1"/>
  <c r="K17" i="1"/>
  <c r="K45" i="1" s="1"/>
  <c r="Q17" i="1"/>
  <c r="Q45" i="1" s="1"/>
  <c r="N7" i="1"/>
  <c r="N6" i="1" s="1"/>
  <c r="N5" i="1" s="1"/>
  <c r="N17" i="1"/>
  <c r="N45" i="1" s="1"/>
  <c r="M17" i="1"/>
  <c r="M45" i="1" s="1"/>
  <c r="V47" i="1"/>
  <c r="Q7" i="1"/>
  <c r="Q6" i="1" s="1"/>
  <c r="Q5" i="1" s="1"/>
  <c r="AB17" i="1"/>
  <c r="AB45" i="1" s="1"/>
  <c r="Z7" i="1"/>
  <c r="Z6" i="1" s="1"/>
  <c r="Z5" i="1" s="1"/>
  <c r="AB7" i="1"/>
  <c r="AB6" i="1" s="1"/>
  <c r="AB5" i="1" s="1"/>
  <c r="Z47" i="1"/>
  <c r="X7" i="1"/>
  <c r="X6" i="1" s="1"/>
  <c r="X5" i="1" s="1"/>
  <c r="X17" i="1"/>
  <c r="X45" i="1" s="1"/>
  <c r="O17" i="1"/>
  <c r="O45" i="1" s="1"/>
  <c r="O7" i="1"/>
  <c r="O6" i="1" s="1"/>
  <c r="O5" i="1" s="1"/>
  <c r="C28" i="5" l="1"/>
  <c r="C30" i="5" l="1"/>
  <c r="AH28" i="5"/>
  <c r="D3" i="1"/>
  <c r="F34" i="5" l="1"/>
  <c r="F33" i="5"/>
  <c r="D4" i="1"/>
  <c r="C3" i="1"/>
  <c r="C14" i="1" s="1"/>
  <c r="D21" i="1"/>
  <c r="D49" i="1" s="1"/>
  <c r="D19" i="1" l="1"/>
  <c r="D17" i="1" s="1"/>
  <c r="D45" i="1" s="1"/>
  <c r="D48" i="1"/>
  <c r="C4" i="1" s="1"/>
  <c r="C21" i="1"/>
  <c r="C49" i="1" s="1"/>
  <c r="C20" i="1"/>
  <c r="C48" i="1" s="1"/>
  <c r="C17" i="1" l="1"/>
  <c r="D7" i="1"/>
  <c r="D6" i="1" s="1"/>
  <c r="D47" i="1"/>
  <c r="C19" i="1"/>
  <c r="C47" i="1" s="1"/>
  <c r="D5" i="1" l="1"/>
  <c r="C7" i="1"/>
  <c r="C6" i="1" s="1"/>
  <c r="C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<sst xmlns="http://schemas.openxmlformats.org/spreadsheetml/2006/main" count="2896" uniqueCount="174">
  <si>
    <t>结算电费（元）</t>
    <phoneticPr fontId="2" type="noConversion"/>
  </si>
  <si>
    <t>交易电费</t>
    <phoneticPr fontId="2" type="noConversion"/>
  </si>
  <si>
    <t>电量波动（%）</t>
    <phoneticPr fontId="2" type="noConversion"/>
  </si>
  <si>
    <t>结算电价（元/MWh）</t>
    <phoneticPr fontId="2" type="noConversion"/>
  </si>
  <si>
    <t>中长期策略导致电费损益</t>
    <phoneticPr fontId="2" type="noConversion"/>
  </si>
  <si>
    <t>日前策略导致电费损益</t>
    <phoneticPr fontId="2" type="noConversion"/>
  </si>
  <si>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</si>
  <si>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</si>
  <si>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</si>
  <si>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</si>
  <si>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</si>
  <si>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</si>
  <si>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</si>
  <si>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</si>
  <si>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</si>
  <si>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</si>
  <si>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</si>
  <si>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</si>
  <si>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</si>
  <si>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</si>
  <si>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</si>
  <si>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</si>
  <si>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</si>
  <si>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</si>
  <si>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</si>
  <si>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</si>
  <si>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</si>
  <si>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</si>
  <si>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</si>
  <si>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23:00-24:00</t>
  </si>
  <si>
    <t>退补清算</t>
    <phoneticPr fontId="2" type="noConversion"/>
  </si>
  <si>
    <r>
      <rPr>
        <sz val="11"/>
        <color theme="1"/>
        <rFont val="等线"/>
        <family val="3"/>
        <charset val="134"/>
      </rPr>
      <t>时段</t>
    </r>
  </si>
  <si>
    <r>
      <rPr>
        <sz val="11"/>
        <rFont val="Times New Roman"/>
        <family val="1"/>
      </rPr>
      <t>1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</si>
  <si>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</si>
  <si>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3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</si>
  <si>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4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</si>
  <si>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5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</si>
  <si>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6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</si>
  <si>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7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</si>
  <si>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8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</si>
  <si>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9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</si>
  <si>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10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</si>
  <si>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11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</si>
  <si>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12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</si>
  <si>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13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</si>
  <si>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14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</si>
  <si>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15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</si>
  <si>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16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</si>
  <si>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17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</si>
  <si>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18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</si>
  <si>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19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</si>
  <si>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20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</si>
  <si>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21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</si>
  <si>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22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</si>
  <si>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23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</si>
  <si>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24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</si>
  <si>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25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</si>
  <si>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26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</si>
  <si>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27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</si>
  <si>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28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</si>
  <si>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29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</si>
  <si>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30</t>
    </r>
    <r>
      <rPr>
        <sz val="11"/>
        <rFont val="等线"/>
        <family val="3"/>
        <charset val="134"/>
      </rPr>
      <t>日</t>
    </r>
  </si>
  <si>
    <r>
      <rPr>
        <sz val="11"/>
        <rFont val="Times New Roman"/>
        <family val="1"/>
      </rPr>
      <t>31</t>
    </r>
    <r>
      <rPr>
        <sz val="11"/>
        <rFont val="等线"/>
        <family val="3"/>
        <charset val="134"/>
      </rPr>
      <t>日</t>
    </r>
  </si>
  <si>
    <r>
      <rPr>
        <sz val="11"/>
        <rFont val="等线"/>
        <family val="3"/>
        <charset val="134"/>
      </rPr>
      <t>日合计</t>
    </r>
  </si>
  <si>
    <r>
      <rPr>
        <sz val="11"/>
        <rFont val="等线"/>
        <family val="3"/>
        <charset val="134"/>
      </rPr>
      <t>月合计</t>
    </r>
  </si>
  <si>
    <r>
      <rPr>
        <b/>
        <sz val="12"/>
        <color theme="1"/>
        <rFont val="等线"/>
        <family val="3"/>
        <charset val="134"/>
      </rPr>
      <t>中长期合约加权电价</t>
    </r>
    <r>
      <rPr>
        <b/>
        <sz val="12"/>
        <color theme="1"/>
        <rFont val="Times New Roman"/>
        <family val="1"/>
      </rPr>
      <t>(</t>
    </r>
    <r>
      <rPr>
        <b/>
        <sz val="12"/>
        <color theme="1"/>
        <rFont val="等线"/>
        <family val="3"/>
        <charset val="134"/>
      </rPr>
      <t>元</t>
    </r>
    <r>
      <rPr>
        <b/>
        <sz val="12"/>
        <color theme="1"/>
        <rFont val="Times New Roman"/>
        <family val="1"/>
      </rPr>
      <t>/MWh)</t>
    </r>
    <phoneticPr fontId="2" type="noConversion"/>
  </si>
  <si>
    <r>
      <rPr>
        <b/>
        <sz val="12"/>
        <color theme="1"/>
        <rFont val="等线"/>
        <family val="3"/>
        <charset val="134"/>
      </rPr>
      <t>中长期合约电量</t>
    </r>
    <r>
      <rPr>
        <b/>
        <sz val="12"/>
        <color theme="1"/>
        <rFont val="Times New Roman"/>
        <family val="1"/>
      </rPr>
      <t>(MWh)</t>
    </r>
    <phoneticPr fontId="2" type="noConversion"/>
  </si>
  <si>
    <r>
      <rPr>
        <b/>
        <sz val="11"/>
        <color theme="1"/>
        <rFont val="仿宋"/>
        <family val="3"/>
        <charset val="134"/>
      </rPr>
      <t>复盘日期</t>
    </r>
  </si>
  <si>
    <t>MWh</t>
    <phoneticPr fontId="2" type="noConversion"/>
  </si>
  <si>
    <t>全量日前电费</t>
    <phoneticPr fontId="2" type="noConversion"/>
  </si>
  <si>
    <t>平段</t>
  </si>
  <si>
    <t>低谷</t>
  </si>
  <si>
    <t>高峰</t>
  </si>
  <si>
    <t>尖峰</t>
  </si>
  <si>
    <t>分时合计</t>
    <phoneticPr fontId="2" type="noConversion"/>
  </si>
  <si>
    <t>天数</t>
    <phoneticPr fontId="2" type="noConversion"/>
  </si>
  <si>
    <t>省间现货电量</t>
    <phoneticPr fontId="2" type="noConversion"/>
  </si>
  <si>
    <t>省间现货电价</t>
    <phoneticPr fontId="2" type="noConversion"/>
  </si>
  <si>
    <t>省间现货电费</t>
    <phoneticPr fontId="2" type="noConversion"/>
  </si>
  <si>
    <t>中长期策略影响电价</t>
    <phoneticPr fontId="2" type="noConversion"/>
  </si>
  <si>
    <t>申报策略影响电价</t>
    <phoneticPr fontId="2" type="noConversion"/>
  </si>
  <si>
    <t>预测偏差影响电价</t>
    <phoneticPr fontId="2" type="noConversion"/>
  </si>
  <si>
    <t>日前策略影响电价</t>
    <phoneticPr fontId="2" type="noConversion"/>
  </si>
  <si>
    <t>合计</t>
    <phoneticPr fontId="2" type="noConversion"/>
  </si>
  <si>
    <r>
      <rPr>
        <b/>
        <sz val="11"/>
        <color theme="1"/>
        <rFont val="华文仿宋"/>
        <family val="3"/>
        <charset val="134"/>
      </rPr>
      <t>类别</t>
    </r>
  </si>
  <si>
    <t>省间电费</t>
    <phoneticPr fontId="2" type="noConversion"/>
  </si>
  <si>
    <t>交易电费（元）</t>
    <phoneticPr fontId="2" type="noConversion"/>
  </si>
  <si>
    <r>
      <t>7</t>
    </r>
    <r>
      <rPr>
        <sz val="11"/>
        <color theme="1"/>
        <rFont val="宋体"/>
        <family val="1"/>
        <charset val="134"/>
      </rPr>
      <t>、8、9</t>
    </r>
    <phoneticPr fontId="2" type="noConversion"/>
  </si>
  <si>
    <t>其他</t>
    <phoneticPr fontId="2" type="noConversion"/>
  </si>
  <si>
    <t>年度双边交易</t>
    <phoneticPr fontId="2" type="noConversion"/>
  </si>
  <si>
    <t>年度挂牌交易</t>
    <phoneticPr fontId="2" type="noConversion"/>
  </si>
  <si>
    <t>年度集中竞争交易</t>
    <phoneticPr fontId="2" type="noConversion"/>
  </si>
  <si>
    <r>
      <rPr>
        <b/>
        <sz val="18"/>
        <color theme="1"/>
        <rFont val="等线"/>
        <family val="2"/>
        <charset val="134"/>
      </rPr>
      <t>年度绿电双边</t>
    </r>
    <r>
      <rPr>
        <b/>
        <sz val="18"/>
        <color theme="1"/>
        <rFont val="微软雅黑"/>
        <family val="2"/>
        <charset val="134"/>
      </rPr>
      <t>交易</t>
    </r>
    <phoneticPr fontId="2" type="noConversion"/>
  </si>
  <si>
    <t>月度双边交易</t>
    <phoneticPr fontId="2" type="noConversion"/>
  </si>
  <si>
    <t>月度绿电集中交易</t>
    <phoneticPr fontId="2" type="noConversion"/>
  </si>
  <si>
    <t>交易窗口</t>
    <phoneticPr fontId="2" type="noConversion"/>
  </si>
  <si>
    <t>日前申报电量</t>
    <phoneticPr fontId="2" type="noConversion"/>
  </si>
  <si>
    <t>预估用电量</t>
    <phoneticPr fontId="2" type="noConversion"/>
  </si>
  <si>
    <t>日前统一结算点价格</t>
    <phoneticPr fontId="2" type="noConversion"/>
  </si>
  <si>
    <t>实时统一结算点价格</t>
    <phoneticPr fontId="2" type="noConversion"/>
  </si>
  <si>
    <t>全电量中长期电费</t>
    <phoneticPr fontId="2" type="noConversion"/>
  </si>
  <si>
    <t>若全量进中长期的电费</t>
    <phoneticPr fontId="2" type="noConversion"/>
  </si>
  <si>
    <t>若全量进日前的电费</t>
    <phoneticPr fontId="2" type="noConversion"/>
  </si>
  <si>
    <t>日前偏差超额回收（日考核）</t>
    <phoneticPr fontId="2" type="noConversion"/>
  </si>
  <si>
    <t>中长期偏差考核（月考核）</t>
    <phoneticPr fontId="2" type="noConversion"/>
  </si>
  <si>
    <t>月度绿电挂牌交易</t>
    <phoneticPr fontId="2" type="noConversion"/>
  </si>
  <si>
    <t>月度分时集中交易</t>
    <phoneticPr fontId="2" type="noConversion"/>
  </si>
  <si>
    <t>月内第一次多日交易</t>
    <phoneticPr fontId="2" type="noConversion"/>
  </si>
  <si>
    <t>月内第二次多日交易</t>
    <phoneticPr fontId="2" type="noConversion"/>
  </si>
  <si>
    <t>实际用电量（MWh）</t>
    <phoneticPr fontId="2" type="noConversion"/>
  </si>
  <si>
    <t>预测用电量（MWh）</t>
    <phoneticPr fontId="2" type="noConversion"/>
  </si>
  <si>
    <t>零售成本电价（元/MWh）</t>
    <phoneticPr fontId="2" type="noConversion"/>
  </si>
  <si>
    <t>零售成本电费（元）</t>
    <phoneticPr fontId="2" type="noConversion"/>
  </si>
  <si>
    <t>预估零售成本电费（元）</t>
    <phoneticPr fontId="2" type="noConversion"/>
  </si>
  <si>
    <t>项目</t>
  </si>
  <si>
    <t>月度汇总</t>
  </si>
  <si>
    <t>1日</t>
    <phoneticPr fontId="2" type="noConversion"/>
  </si>
  <si>
    <t>2日</t>
  </si>
  <si>
    <t>3日</t>
  </si>
  <si>
    <t>4日</t>
  </si>
  <si>
    <t>5日</t>
  </si>
  <si>
    <t>6日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</si>
  <si>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</si>
  <si>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</si>
  <si>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</si>
  <si>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</si>
  <si>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</si>
  <si>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</si>
  <si>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</si>
  <si>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</si>
  <si>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</si>
  <si>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</si>
  <si>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</si>
  <si>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</si>
  <si>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</si>
  <si>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20日</t>
  </si>
  <si>
    <t>21日</t>
  </si>
  <si>
    <t>22日</t>
  </si>
  <si>
    <t>23日</t>
  </si>
  <si>
    <t>24日</t>
  </si>
  <si>
    <t>25日</t>
  </si>
  <si>
    <t>26日</t>
  </si>
  <si>
    <t>27日</t>
  </si>
  <si>
    <t>28日</t>
  </si>
  <si>
    <t>29日</t>
  </si>
  <si>
    <t>30日</t>
  </si>
  <si>
    <t>31日</t>
  </si>
  <si>
    <t>多月连续集中交易</t>
    <phoneticPr fontId="2" type="noConversion"/>
  </si>
  <si>
    <t>月内合同转让交易</t>
    <phoneticPr fontId="2" type="noConversion"/>
  </si>
  <si>
    <t>月度跨省外送交易</t>
    <phoneticPr fontId="2" type="noConversion"/>
  </si>
  <si>
    <t>月度集中（市场用户负荷曲线）交易</t>
    <phoneticPr fontId="2" type="noConversion"/>
  </si>
  <si>
    <t>月内周双边交易</t>
    <phoneticPr fontId="2" type="noConversion"/>
  </si>
  <si>
    <r>
      <rPr>
        <b/>
        <sz val="11"/>
        <color theme="0"/>
        <rFont val="等线"/>
        <family val="3"/>
        <charset val="134"/>
      </rPr>
      <t>日期</t>
    </r>
  </si>
  <si>
    <r>
      <rPr>
        <b/>
        <sz val="11"/>
        <color theme="0"/>
        <rFont val="等线"/>
        <family val="3"/>
        <charset val="134"/>
      </rPr>
      <t>时间</t>
    </r>
  </si>
  <si>
    <t>申报策略影响电费</t>
    <phoneticPr fontId="2" type="noConversion"/>
  </si>
  <si>
    <t>预测偏差产生电费</t>
    <phoneticPr fontId="2" type="noConversion"/>
  </si>
  <si>
    <t>日前预测偏差产生电费</t>
    <phoneticPr fontId="2" type="noConversion"/>
  </si>
  <si>
    <t>日前申报策略影响电费</t>
    <phoneticPr fontId="2" type="noConversion"/>
  </si>
  <si>
    <t>中长期申报策略影响电费</t>
    <phoneticPr fontId="2" type="noConversion"/>
  </si>
  <si>
    <t>中长期预测偏差产生电费（全量中长期）</t>
    <phoneticPr fontId="2" type="noConversion"/>
  </si>
  <si>
    <t>中长期申报策略影响电费（全量中长期）</t>
    <phoneticPr fontId="2" type="noConversion"/>
  </si>
  <si>
    <t>日前预测偏差产生电费（全量中长期）</t>
    <phoneticPr fontId="2" type="noConversion"/>
  </si>
  <si>
    <t>日前申报策略影响电费（全量中长期）</t>
    <phoneticPr fontId="2" type="noConversion"/>
  </si>
  <si>
    <t>日前策略导致电费变动</t>
    <phoneticPr fontId="2" type="noConversion"/>
  </si>
  <si>
    <t>中长期策略导致电费变动</t>
    <phoneticPr fontId="2" type="noConversion"/>
  </si>
  <si>
    <t>实际用电量</t>
    <phoneticPr fontId="2" type="noConversion"/>
  </si>
  <si>
    <t>持仓电量</t>
    <phoneticPr fontId="2" type="noConversion"/>
  </si>
  <si>
    <t>累计交易电量</t>
    <phoneticPr fontId="2" type="noConversion"/>
  </si>
  <si>
    <t>上限：</t>
    <phoneticPr fontId="2" type="noConversion"/>
  </si>
  <si>
    <t>分时剩余限额</t>
    <phoneticPr fontId="2" type="noConversion"/>
  </si>
  <si>
    <r>
      <rPr>
        <b/>
        <sz val="12"/>
        <color theme="1"/>
        <rFont val="等线"/>
        <family val="3"/>
        <charset val="134"/>
      </rPr>
      <t>中长期合约电量剩余可买限额</t>
    </r>
    <r>
      <rPr>
        <b/>
        <sz val="12"/>
        <color theme="1"/>
        <rFont val="Times New Roman"/>
        <family val="1"/>
      </rPr>
      <t>(MWh)</t>
    </r>
    <phoneticPr fontId="2" type="noConversion"/>
  </si>
  <si>
    <t>年度+月度电量</t>
    <phoneticPr fontId="2" type="noConversion"/>
  </si>
  <si>
    <t>月度+月内电量</t>
    <phoneticPr fontId="2" type="noConversion"/>
  </si>
  <si>
    <t>下限：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</si>
</sst>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76" formatCode="0.0"/>
    <numFmt numFmtId="177" formatCode="0.000"/>
    <numFmt numFmtId="178" formatCode="0_ "/>
    <numFmt numFmtId="179" formatCode="0.0_ "/>
    <numFmt numFmtId="180" formatCode="0.000_ "/>
    <numFmt numFmtId="181" formatCode="0.00_);[Red]\(0.00\)"/>
    <numFmt numFmtId="182" formatCode="0.00_ "/>
    <numFmt numFmtId="183" formatCode="#,##0_ ;[Red]\-#,##0\ "/>
    <numFmt numFmtId="184" formatCode="0_ ;[Red]\-0\ "/>
    <numFmt numFmtId="185" formatCode="0_);[Red]\(0\)"/>
    <numFmt numFmtId="186" formatCode="0.0000%"/>
    <numFmt numFmtId="187" formatCode="_ * #,##0_ ;_ * \-#,##0_ ;_ * &quot;-&quot;??_ ;_ @_ "/>
    <numFmt numFmtId="188" formatCode="0.000;\-0.000;&quot;&quot;"/>
    <numFmt numFmtId="189" formatCode="#,##0.000;\-#,##0.000;"/>
    <numFmt numFmtId="190" formatCode="0.000_);[Red]\(0.000\)"/>
  </numFmts>
  <fonts count="46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  <font>
      <sz val="11"/>
      <color theme="1"/>
      <name val="宋体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2"/>
      <color theme="1"/>
      <name val="Times New Roman"/>
      <family val="1"/>
    </font>
    <font>
      <b/>
      <sz val="12"/>
      <color theme="1"/>
      <name val="等线"/>
      <family val="3"/>
      <charset val="134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</font>
    <font>
      <sz val="11"/>
      <name val="Times New Roman"/>
      <family val="1"/>
    </font>
    <font>
      <sz val="11"/>
      <name val="等线"/>
      <family val="3"/>
      <charset val="134"/>
    </font>
    <font>
      <b/>
      <sz val="11"/>
      <color theme="1"/>
      <name val="Times New Roman"/>
      <family val="1"/>
    </font>
    <font>
      <b/>
      <sz val="11"/>
      <color theme="9" tint="-0.249977111117893"/>
      <name val="Times New Roman"/>
      <family val="1"/>
    </font>
    <font>
      <sz val="11"/>
      <color rgb="FFFF0000"/>
      <name val="Times New Roman"/>
      <family val="1"/>
    </font>
    <font>
      <sz val="11"/>
      <name val="等线"/>
      <family val="3"/>
      <charset val="134"/>
      <scheme val="minor"/>
    </font>
    <font>
      <b/>
      <sz val="12"/>
      <color theme="9" tint="-0.249977111117893"/>
      <name val="Times New Roman"/>
      <family val="1"/>
    </font>
    <font>
      <b/>
      <sz val="18"/>
      <color theme="1"/>
      <name val="Times New Roman"/>
      <family val="1"/>
    </font>
    <font>
      <b/>
      <sz val="18"/>
      <color theme="1"/>
      <name val="等线"/>
      <family val="3"/>
      <charset val="134"/>
    </font>
    <font>
      <b/>
      <sz val="12"/>
      <color theme="1"/>
      <name val="Times New Roman"/>
      <family val="3"/>
      <charset val="134"/>
    </font>
    <font>
      <b/>
      <sz val="18"/>
      <color theme="1"/>
      <name val="Times New Roman"/>
      <family val="3"/>
      <charset val="134"/>
    </font>
    <font>
      <b/>
      <sz val="18"/>
      <color theme="1"/>
      <name val="Times New Roman"/>
      <family val="2"/>
      <charset val="134"/>
    </font>
    <font>
      <b/>
      <sz val="18"/>
      <color theme="1"/>
      <name val="等线"/>
      <family val="2"/>
      <charset val="134"/>
    </font>
    <font>
      <b/>
      <sz val="18"/>
      <color theme="1"/>
      <name val="微软雅黑"/>
      <family val="2"/>
      <charset val="134"/>
    </font>
    <font>
      <b/>
      <sz val="11"/>
      <color theme="1"/>
      <name val="宋体"/>
      <family val="1"/>
      <charset val="134"/>
    </font>
    <font>
      <sz val="11"/>
      <color theme="9" tint="-0.249977111117893"/>
      <name val="Times New Roman"/>
      <family val="1"/>
    </font>
    <font>
      <b/>
      <sz val="11"/>
      <color theme="1"/>
      <name val="仿宋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宋体"/>
      <family val="1"/>
      <charset val="134"/>
    </font>
    <font>
      <b/>
      <sz val="11"/>
      <color theme="1"/>
      <name val="宋体"/>
      <family val="3"/>
      <charset val="134"/>
    </font>
    <font>
      <b/>
      <sz val="11"/>
      <name val="Times New Roman"/>
      <family val="1"/>
    </font>
    <font>
      <sz val="11"/>
      <name val="宋体"/>
      <family val="1"/>
      <charset val="134"/>
    </font>
    <font>
      <b/>
      <sz val="11"/>
      <color theme="1"/>
      <name val="华文仿宋"/>
      <family val="3"/>
      <charset val="134"/>
    </font>
    <font>
      <sz val="11"/>
      <name val="等线"/>
      <family val="2"/>
      <scheme val="minor"/>
    </font>
    <font>
      <sz val="11"/>
      <color indexed="8"/>
      <name val="等线"/>
      <family val="2"/>
      <charset val="1"/>
      <scheme val="minor"/>
    </font>
    <font>
      <b/>
      <sz val="11"/>
      <color theme="1"/>
      <name val="Calibri"/>
      <family val="2"/>
    </font>
    <font>
      <b/>
      <sz val="11"/>
      <color theme="1"/>
      <name val="宋体"/>
      <family val="2"/>
      <charset val="134"/>
    </font>
    <font>
      <b/>
      <sz val="11"/>
      <name val="宋体"/>
      <family val="2"/>
      <charset val="134"/>
    </font>
    <font>
      <b/>
      <sz val="11"/>
      <name val="Calibri"/>
      <family val="2"/>
    </font>
    <font>
      <b/>
      <sz val="11"/>
      <color rgb="FFFF0000"/>
      <name val="宋体"/>
      <family val="3"/>
      <charset val="134"/>
    </font>
    <font>
      <b/>
      <sz val="18"/>
      <color theme="1"/>
      <name val="宋体"/>
      <family val="3"/>
      <charset val="134"/>
    </font>
    <font>
      <b/>
      <sz val="11"/>
      <color rgb="FFFF0000"/>
      <name val="微软雅黑"/>
      <family val="2"/>
      <charset val="134"/>
    </font>
    <font>
      <sz val="1"/>
      <color theme="0"/>
      <name val="Times New Roman"/>
      <family val="1"/>
    </font>
    <font>
      <b/>
      <sz val="11"/>
      <color theme="9" tint="-0.249977111117893"/>
      <name val="等线"/>
      <family val="3"/>
      <charset val="134"/>
      <scheme val="minor"/>
    </font>
    <font>
      <b/>
      <sz val="11"/>
      <color theme="0"/>
      <name val="微软雅黑"/>
      <family val="2"/>
      <charset val="134"/>
    </font>
    <font>
      <b/>
      <sz val="11"/>
      <color theme="0"/>
      <name val="等线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rgb="FF1B5E20"/>
        <bgColor rgb="FF1B5E20"/>
      </patternFill>
    </fill>
    <fill>
      <patternFill patternType="solid">
        <fgColor rgb="FFE8F5E9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rgb="FF4CAF50"/>
      </left>
      <right style="thin">
        <color rgb="FF4CAF50"/>
      </right>
      <top style="thin">
        <color rgb="FF4CAF50"/>
      </top>
      <bottom style="thin">
        <color rgb="FF4CAF5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</borders>
  <cellStyleXfs count="7">
    <xf numFmtId="0" fontId="0" fillId="0" borderId="0"/>
    <xf numFmtId="9" fontId="1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  <xf numFmtId="43" fontId="1" fillId="0" borderId="0">
      <alignment vertical="center"/>
    </xf>
    <xf numFmtId="0" fontId="34" fillId="0" borderId="0">
      <alignment vertical="center"/>
    </xf>
  </cellStyleXfs>
  <cellXfs count="173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indent="1"/>
    </xf>
    <xf numFmtId="0" fontId="8" fillId="0" borderId="0" xfId="2" applyFont="1">
      <alignment vertical="center"/>
    </xf>
    <xf numFmtId="0" fontId="8" fillId="0" borderId="1" xfId="2" applyFont="1" applyBorder="1" applyAlignment="1">
      <alignment horizontal="center" vertical="center"/>
    </xf>
    <xf numFmtId="176" fontId="10" fillId="0" borderId="1" xfId="2" applyNumberFormat="1" applyFont="1" applyBorder="1">
      <alignment vertical="center"/>
    </xf>
    <xf numFmtId="0" fontId="10" fillId="0" borderId="1" xfId="2" applyFont="1" applyBorder="1">
      <alignment vertical="center"/>
    </xf>
    <xf numFmtId="49" fontId="8" fillId="0" borderId="1" xfId="2" applyNumberFormat="1" applyFont="1" applyBorder="1" applyAlignment="1">
      <alignment horizontal="center" vertical="center"/>
    </xf>
    <xf numFmtId="0" fontId="10" fillId="0" borderId="0" xfId="2" applyFont="1" applyAlignment="1">
      <alignment horizontal="right" vertical="center"/>
    </xf>
    <xf numFmtId="176" fontId="12" fillId="0" borderId="2" xfId="2" applyNumberFormat="1" applyFont="1" applyBorder="1">
      <alignment vertical="center"/>
    </xf>
    <xf numFmtId="176" fontId="12" fillId="0" borderId="3" xfId="2" applyNumberFormat="1" applyFont="1" applyBorder="1">
      <alignment vertical="center"/>
    </xf>
    <xf numFmtId="2" fontId="12" fillId="0" borderId="3" xfId="2" applyNumberFormat="1" applyFont="1" applyBorder="1">
      <alignment vertical="center"/>
    </xf>
    <xf numFmtId="176" fontId="12" fillId="0" borderId="4" xfId="2" applyNumberFormat="1" applyFont="1" applyBorder="1">
      <alignment vertical="center"/>
    </xf>
    <xf numFmtId="178" fontId="8" fillId="0" borderId="0" xfId="2" applyNumberFormat="1" applyFont="1">
      <alignment vertical="center"/>
    </xf>
    <xf numFmtId="179" fontId="8" fillId="0" borderId="1" xfId="2" applyNumberFormat="1" applyFont="1" applyBorder="1" applyAlignment="1">
      <alignment horizontal="center"/>
    </xf>
    <xf numFmtId="176" fontId="8" fillId="0" borderId="0" xfId="2" applyNumberFormat="1" applyFont="1">
      <alignment vertical="center"/>
    </xf>
    <xf numFmtId="0" fontId="5" fillId="0" borderId="0" xfId="2">
      <alignment vertical="center"/>
    </xf>
    <xf numFmtId="181" fontId="5" fillId="0" borderId="0" xfId="2" applyNumberFormat="1" applyAlignment="1">
      <alignment horizontal="right" vertical="center"/>
    </xf>
    <xf numFmtId="49" fontId="8" fillId="0" borderId="8" xfId="2" applyNumberFormat="1" applyFont="1" applyBorder="1" applyAlignment="1">
      <alignment horizontal="center" vertical="center"/>
    </xf>
    <xf numFmtId="182" fontId="15" fillId="0" borderId="0" xfId="2" applyNumberFormat="1" applyFont="1" applyAlignment="1">
      <alignment horizontal="center" vertical="center"/>
    </xf>
    <xf numFmtId="182" fontId="5" fillId="0" borderId="0" xfId="2" applyNumberFormat="1" applyAlignment="1">
      <alignment horizontal="center" vertical="center"/>
    </xf>
    <xf numFmtId="181" fontId="8" fillId="0" borderId="1" xfId="2" applyNumberFormat="1" applyFont="1" applyBorder="1" applyAlignment="1">
      <alignment horizontal="center"/>
    </xf>
    <xf numFmtId="181" fontId="8" fillId="0" borderId="1" xfId="2" applyNumberFormat="1" applyFont="1" applyBorder="1" applyAlignment="1">
      <alignment horizontal="center" vertical="center"/>
    </xf>
    <xf numFmtId="14" fontId="0" fillId="0" borderId="0" xfId="0" applyNumberFormat="1"/>
    <xf numFmtId="0" fontId="12" fillId="4" borderId="1" xfId="0" applyFont="1" applyFill="1" applyBorder="1" applyAlignment="1">
      <alignment horizontal="center" vertical="center" wrapText="1"/>
    </xf>
    <xf numFmtId="0" fontId="10" fillId="0" borderId="10" xfId="2" applyFont="1" applyBorder="1">
      <alignment vertical="center"/>
    </xf>
    <xf numFmtId="10" fontId="0" fillId="0" borderId="0" xfId="0" applyNumberFormat="1"/>
    <xf numFmtId="183" fontId="3" fillId="0" borderId="0" xfId="0" applyNumberFormat="1" applyFont="1"/>
    <xf numFmtId="1" fontId="8" fillId="0" borderId="1" xfId="2" applyNumberFormat="1" applyFont="1" applyBorder="1" applyAlignment="1">
      <alignment horizontal="center"/>
    </xf>
    <xf numFmtId="181" fontId="24" fillId="0" borderId="1" xfId="2" applyNumberFormat="1" applyFont="1" applyBorder="1" applyAlignment="1">
      <alignment horizontal="center" vertical="center" wrapText="1"/>
    </xf>
    <xf numFmtId="185" fontId="8" fillId="0" borderId="1" xfId="2" applyNumberFormat="1" applyFont="1" applyBorder="1" applyAlignment="1">
      <alignment horizontal="center"/>
    </xf>
    <xf numFmtId="0" fontId="5" fillId="6" borderId="0" xfId="4" applyFill="1" applyAlignment="1">
      <alignment horizontal="center"/>
    </xf>
    <xf numFmtId="0" fontId="5" fillId="7" borderId="0" xfId="4" applyFill="1" applyAlignment="1">
      <alignment horizontal="center"/>
    </xf>
    <xf numFmtId="0" fontId="5" fillId="8" borderId="0" xfId="4" applyFill="1" applyAlignment="1">
      <alignment horizontal="center"/>
    </xf>
    <xf numFmtId="0" fontId="5" fillId="9" borderId="0" xfId="4" applyFill="1" applyAlignment="1">
      <alignment horizontal="center"/>
    </xf>
    <xf numFmtId="0" fontId="28" fillId="0" borderId="0" xfId="2" applyFont="1">
      <alignment vertical="center"/>
    </xf>
    <xf numFmtId="0" fontId="13" fillId="0" borderId="1" xfId="2" applyFont="1" applyBorder="1" applyAlignment="1">
      <alignment horizontal="center" vertical="center"/>
    </xf>
    <xf numFmtId="182" fontId="16" fillId="0" borderId="9" xfId="2" applyNumberFormat="1" applyFont="1" applyBorder="1" applyAlignment="1">
      <alignment horizontal="center" vertical="center" wrapText="1"/>
    </xf>
    <xf numFmtId="1" fontId="30" fillId="0" borderId="4" xfId="2" applyNumberFormat="1" applyFont="1" applyBorder="1">
      <alignment vertical="center"/>
    </xf>
    <xf numFmtId="2" fontId="8" fillId="0" borderId="0" xfId="2" applyNumberFormat="1" applyFont="1">
      <alignment vertical="center"/>
    </xf>
    <xf numFmtId="177" fontId="8" fillId="0" borderId="0" xfId="2" applyNumberFormat="1" applyFont="1">
      <alignment vertical="center"/>
    </xf>
    <xf numFmtId="186" fontId="8" fillId="0" borderId="0" xfId="1" applyNumberFormat="1" applyFont="1">
      <alignment vertical="center"/>
    </xf>
    <xf numFmtId="187" fontId="3" fillId="0" borderId="0" xfId="5" applyNumberFormat="1" applyFont="1" applyAlignment="1"/>
    <xf numFmtId="0" fontId="31" fillId="0" borderId="10" xfId="2" applyFont="1" applyBorder="1">
      <alignment vertical="center"/>
    </xf>
    <xf numFmtId="179" fontId="0" fillId="0" borderId="0" xfId="0" applyNumberFormat="1"/>
    <xf numFmtId="0" fontId="10" fillId="0" borderId="0" xfId="2" applyFont="1">
      <alignment vertical="center"/>
    </xf>
    <xf numFmtId="9" fontId="25" fillId="0" borderId="0" xfId="2" applyNumberFormat="1" applyFont="1" applyProtection="1">
      <alignment vertical="center"/>
      <protection locked="0"/>
    </xf>
    <xf numFmtId="182" fontId="13" fillId="0" borderId="1" xfId="2" applyNumberFormat="1" applyFont="1" applyBorder="1" applyAlignment="1" applyProtection="1">
      <alignment horizontal="center" vertical="center"/>
      <protection locked="0"/>
    </xf>
    <xf numFmtId="0" fontId="13" fillId="0" borderId="1" xfId="2" applyFont="1" applyBorder="1" applyAlignment="1" applyProtection="1">
      <alignment horizontal="center" vertical="center"/>
      <protection locked="0"/>
    </xf>
    <xf numFmtId="176" fontId="12" fillId="0" borderId="11" xfId="2" applyNumberFormat="1" applyFont="1" applyBorder="1">
      <alignment vertical="center"/>
    </xf>
    <xf numFmtId="0" fontId="25" fillId="0" borderId="0" xfId="2" applyFont="1" applyProtection="1">
      <alignment vertical="center"/>
      <protection locked="0"/>
    </xf>
    <xf numFmtId="0" fontId="33" fillId="0" borderId="0" xfId="0" applyFont="1"/>
    <xf numFmtId="14" fontId="25" fillId="5" borderId="1" xfId="0" applyNumberFormat="1" applyFont="1" applyFill="1" applyBorder="1" applyAlignment="1" applyProtection="1">
      <alignment horizontal="center" vertical="center"/>
      <protection locked="0"/>
    </xf>
    <xf numFmtId="179" fontId="3" fillId="0" borderId="0" xfId="0" applyNumberFormat="1" applyFont="1"/>
    <xf numFmtId="176" fontId="3" fillId="0" borderId="0" xfId="2" applyNumberFormat="1" applyFont="1">
      <alignment vertical="center"/>
    </xf>
    <xf numFmtId="179" fontId="35" fillId="0" borderId="0" xfId="0" applyNumberFormat="1" applyFont="1"/>
    <xf numFmtId="0" fontId="28" fillId="0" borderId="0" xfId="2" applyFont="1" applyAlignment="1">
      <alignment horizontal="left" vertical="center"/>
    </xf>
    <xf numFmtId="0" fontId="35" fillId="0" borderId="0" xfId="0" applyFont="1"/>
    <xf numFmtId="0" fontId="38" fillId="0" borderId="0" xfId="0" applyFont="1"/>
    <xf numFmtId="184" fontId="35" fillId="0" borderId="0" xfId="0" applyNumberFormat="1" applyFont="1"/>
    <xf numFmtId="183" fontId="3" fillId="0" borderId="1" xfId="0" applyNumberFormat="1" applyFont="1" applyBorder="1"/>
    <xf numFmtId="9" fontId="3" fillId="0" borderId="1" xfId="1" applyFont="1" applyBorder="1" applyAlignment="1"/>
    <xf numFmtId="184" fontId="35" fillId="0" borderId="1" xfId="1" applyNumberFormat="1" applyFont="1" applyBorder="1" applyAlignment="1"/>
    <xf numFmtId="183" fontId="35" fillId="0" borderId="1" xfId="0" applyNumberFormat="1" applyFont="1" applyBorder="1"/>
    <xf numFmtId="181" fontId="13" fillId="0" borderId="1" xfId="2" applyNumberFormat="1" applyFont="1" applyBorder="1" applyAlignment="1" applyProtection="1">
      <alignment horizontal="center"/>
      <protection locked="0"/>
    </xf>
    <xf numFmtId="0" fontId="39" fillId="0" borderId="0" xfId="2" applyFont="1">
      <alignment vertical="center"/>
    </xf>
    <xf numFmtId="0" fontId="8" fillId="0" borderId="0" xfId="2" applyFont="1" applyAlignment="1">
      <alignment horizontal="right" vertical="center"/>
    </xf>
    <xf numFmtId="188" fontId="8" fillId="0" borderId="1" xfId="2" applyNumberFormat="1" applyFont="1" applyBorder="1" applyAlignment="1">
      <alignment horizontal="center" vertical="center"/>
    </xf>
    <xf numFmtId="179" fontId="10" fillId="0" borderId="1" xfId="2" applyNumberFormat="1" applyFont="1" applyBorder="1" applyAlignment="1">
      <alignment horizontal="center" vertical="center"/>
    </xf>
    <xf numFmtId="0" fontId="13" fillId="0" borderId="0" xfId="2" applyFont="1" applyProtection="1">
      <alignment vertical="center"/>
      <protection locked="0"/>
    </xf>
    <xf numFmtId="0" fontId="30" fillId="0" borderId="0" xfId="2" applyFont="1" applyProtection="1">
      <alignment vertical="center"/>
      <protection locked="0"/>
    </xf>
    <xf numFmtId="182" fontId="8" fillId="0" borderId="0" xfId="2" applyNumberFormat="1" applyFont="1">
      <alignment vertical="center"/>
    </xf>
    <xf numFmtId="0" fontId="8" fillId="0" borderId="0" xfId="2" applyFont="1" applyAlignment="1">
      <alignment horizontal="center" vertical="center"/>
    </xf>
    <xf numFmtId="0" fontId="28" fillId="0" borderId="0" xfId="2" applyFont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10" fillId="0" borderId="16" xfId="2" applyFont="1" applyBorder="1">
      <alignment vertical="center"/>
    </xf>
    <xf numFmtId="49" fontId="8" fillId="0" borderId="15" xfId="2" applyNumberFormat="1" applyFont="1" applyBorder="1" applyAlignment="1">
      <alignment horizontal="center" vertical="center"/>
    </xf>
    <xf numFmtId="0" fontId="8" fillId="0" borderId="17" xfId="2" applyFont="1" applyBorder="1">
      <alignment vertical="center"/>
    </xf>
    <xf numFmtId="180" fontId="8" fillId="0" borderId="0" xfId="2" applyNumberFormat="1" applyFont="1">
      <alignment vertical="center"/>
    </xf>
    <xf numFmtId="180" fontId="8" fillId="0" borderId="18" xfId="2" applyNumberFormat="1" applyFont="1" applyBorder="1">
      <alignment vertical="center"/>
    </xf>
    <xf numFmtId="0" fontId="10" fillId="0" borderId="17" xfId="2" applyFont="1" applyBorder="1" applyAlignment="1">
      <alignment horizontal="right" vertical="center"/>
    </xf>
    <xf numFmtId="0" fontId="8" fillId="0" borderId="18" xfId="2" applyFont="1" applyBorder="1">
      <alignment vertical="center"/>
    </xf>
    <xf numFmtId="179" fontId="10" fillId="0" borderId="16" xfId="2" applyNumberFormat="1" applyFont="1" applyBorder="1" applyAlignment="1">
      <alignment horizontal="center" vertical="center"/>
    </xf>
    <xf numFmtId="0" fontId="10" fillId="0" borderId="19" xfId="2" applyFont="1" applyBorder="1" applyAlignment="1">
      <alignment horizontal="right" vertical="center"/>
    </xf>
    <xf numFmtId="0" fontId="8" fillId="0" borderId="20" xfId="2" applyFont="1" applyBorder="1">
      <alignment vertical="center"/>
    </xf>
    <xf numFmtId="0" fontId="8" fillId="0" borderId="21" xfId="2" applyFont="1" applyBorder="1">
      <alignment vertical="center"/>
    </xf>
    <xf numFmtId="176" fontId="12" fillId="0" borderId="0" xfId="2" applyNumberFormat="1" applyFont="1">
      <alignment vertical="center"/>
    </xf>
    <xf numFmtId="176" fontId="12" fillId="0" borderId="20" xfId="2" applyNumberFormat="1" applyFont="1" applyBorder="1">
      <alignment vertical="center"/>
    </xf>
    <xf numFmtId="182" fontId="16" fillId="0" borderId="27" xfId="2" applyNumberFormat="1" applyFont="1" applyBorder="1" applyAlignment="1">
      <alignment horizontal="center" vertical="center" wrapText="1"/>
    </xf>
    <xf numFmtId="0" fontId="14" fillId="3" borderId="0" xfId="3" applyFont="1" applyFill="1" applyAlignment="1">
      <alignment horizontal="center" vertical="center"/>
    </xf>
    <xf numFmtId="0" fontId="13" fillId="0" borderId="16" xfId="2" applyFont="1" applyBorder="1" applyAlignment="1">
      <alignment horizontal="center" vertical="center"/>
    </xf>
    <xf numFmtId="182" fontId="13" fillId="0" borderId="16" xfId="2" applyNumberFormat="1" applyFont="1" applyBorder="1" applyAlignment="1" applyProtection="1">
      <alignment horizontal="center" vertical="center"/>
      <protection locked="0"/>
    </xf>
    <xf numFmtId="0" fontId="13" fillId="0" borderId="16" xfId="2" applyFont="1" applyBorder="1" applyAlignment="1" applyProtection="1">
      <alignment horizontal="center" vertical="center"/>
      <protection locked="0"/>
    </xf>
    <xf numFmtId="0" fontId="8" fillId="0" borderId="19" xfId="2" applyFont="1" applyBorder="1">
      <alignment vertical="center"/>
    </xf>
    <xf numFmtId="0" fontId="41" fillId="0" borderId="0" xfId="2" applyFont="1" applyAlignment="1">
      <alignment horizontal="center" vertical="center"/>
    </xf>
    <xf numFmtId="0" fontId="42" fillId="0" borderId="0" xfId="2" applyFont="1">
      <alignment vertical="center"/>
    </xf>
    <xf numFmtId="0" fontId="3" fillId="0" borderId="1" xfId="0" applyFont="1" applyBorder="1"/>
    <xf numFmtId="0" fontId="43" fillId="0" borderId="1" xfId="0" applyFont="1" applyBorder="1" applyAlignment="1">
      <alignment horizontal="center"/>
    </xf>
    <xf numFmtId="2" fontId="43" fillId="0" borderId="1" xfId="0" quotePrefix="1" applyNumberFormat="1" applyFont="1" applyBorder="1" applyAlignment="1">
      <alignment horizontal="center"/>
    </xf>
    <xf numFmtId="0" fontId="44" fillId="10" borderId="28" xfId="0" applyFont="1" applyFill="1" applyBorder="1" applyAlignment="1">
      <alignment horizontal="center" vertical="center" wrapText="1"/>
    </xf>
    <xf numFmtId="0" fontId="4" fillId="11" borderId="1" xfId="0" applyFont="1" applyFill="1" applyBorder="1"/>
    <xf numFmtId="0" fontId="36" fillId="11" borderId="1" xfId="0" applyFont="1" applyFill="1" applyBorder="1"/>
    <xf numFmtId="0" fontId="4" fillId="11" borderId="1" xfId="0" applyFont="1" applyFill="1" applyBorder="1" applyAlignment="1">
      <alignment horizontal="left" indent="1"/>
    </xf>
    <xf numFmtId="0" fontId="29" fillId="11" borderId="1" xfId="0" applyFont="1" applyFill="1" applyBorder="1" applyAlignment="1">
      <alignment horizontal="left" indent="1"/>
    </xf>
    <xf numFmtId="0" fontId="37" fillId="11" borderId="1" xfId="0" applyFont="1" applyFill="1" applyBorder="1" applyAlignment="1">
      <alignment horizontal="left" indent="1"/>
    </xf>
    <xf numFmtId="0" fontId="4" fillId="11" borderId="1" xfId="0" applyFont="1" applyFill="1" applyBorder="1" applyAlignment="1">
      <alignment horizontal="left" indent="2"/>
    </xf>
    <xf numFmtId="183" fontId="3" fillId="12" borderId="1" xfId="0" applyNumberFormat="1" applyFont="1" applyFill="1" applyBorder="1"/>
    <xf numFmtId="9" fontId="3" fillId="12" borderId="1" xfId="1" applyFont="1" applyFill="1" applyBorder="1" applyAlignment="1"/>
    <xf numFmtId="184" fontId="35" fillId="12" borderId="1" xfId="1" applyNumberFormat="1" applyFont="1" applyFill="1" applyBorder="1" applyAlignment="1"/>
    <xf numFmtId="183" fontId="35" fillId="12" borderId="1" xfId="0" applyNumberFormat="1" applyFont="1" applyFill="1" applyBorder="1"/>
    <xf numFmtId="0" fontId="35" fillId="12" borderId="1" xfId="0" applyFont="1" applyFill="1" applyBorder="1" applyProtection="1">
      <protection locked="0"/>
    </xf>
    <xf numFmtId="0" fontId="4" fillId="11" borderId="29" xfId="0" applyFont="1" applyFill="1" applyBorder="1" applyAlignment="1">
      <alignment horizontal="left" indent="2"/>
    </xf>
    <xf numFmtId="0" fontId="29" fillId="11" borderId="30" xfId="0" applyFont="1" applyFill="1" applyBorder="1" applyAlignment="1">
      <alignment horizontal="left" indent="1"/>
    </xf>
    <xf numFmtId="0" fontId="37" fillId="11" borderId="30" xfId="0" applyFont="1" applyFill="1" applyBorder="1" applyAlignment="1">
      <alignment horizontal="left" indent="1"/>
    </xf>
    <xf numFmtId="180" fontId="13" fillId="0" borderId="1" xfId="2" applyNumberFormat="1" applyFont="1" applyBorder="1" applyAlignment="1" applyProtection="1">
      <alignment horizontal="center" vertical="center"/>
      <protection locked="0"/>
    </xf>
    <xf numFmtId="189" fontId="13" fillId="0" borderId="1" xfId="2" applyNumberFormat="1" applyFont="1" applyBorder="1" applyAlignment="1" applyProtection="1">
      <alignment horizontal="center" vertical="center"/>
      <protection locked="0"/>
    </xf>
    <xf numFmtId="189" fontId="13" fillId="0" borderId="16" xfId="2" applyNumberFormat="1" applyFont="1" applyBorder="1" applyAlignment="1" applyProtection="1">
      <alignment horizontal="center" vertical="center"/>
      <protection locked="0"/>
    </xf>
    <xf numFmtId="181" fontId="24" fillId="0" borderId="0" xfId="2" applyNumberFormat="1" applyFont="1" applyAlignment="1">
      <alignment horizontal="center" vertical="center" wrapText="1"/>
    </xf>
    <xf numFmtId="1" fontId="8" fillId="0" borderId="0" xfId="2" applyNumberFormat="1" applyFont="1" applyAlignment="1">
      <alignment horizontal="center"/>
    </xf>
    <xf numFmtId="181" fontId="12" fillId="13" borderId="1" xfId="2" applyNumberFormat="1" applyFont="1" applyFill="1" applyBorder="1" applyAlignment="1">
      <alignment horizontal="center" vertical="center" wrapText="1"/>
    </xf>
    <xf numFmtId="181" fontId="8" fillId="13" borderId="1" xfId="2" applyNumberFormat="1" applyFont="1" applyFill="1" applyBorder="1" applyAlignment="1">
      <alignment horizontal="center"/>
    </xf>
    <xf numFmtId="181" fontId="8" fillId="13" borderId="1" xfId="2" applyNumberFormat="1" applyFont="1" applyFill="1" applyBorder="1" applyAlignment="1">
      <alignment horizontal="center" vertical="center"/>
    </xf>
    <xf numFmtId="181" fontId="12" fillId="15" borderId="1" xfId="2" applyNumberFormat="1" applyFont="1" applyFill="1" applyBorder="1" applyAlignment="1">
      <alignment horizontal="center" vertical="center" wrapText="1"/>
    </xf>
    <xf numFmtId="181" fontId="8" fillId="15" borderId="1" xfId="2" applyNumberFormat="1" applyFont="1" applyFill="1" applyBorder="1" applyAlignment="1">
      <alignment horizontal="center"/>
    </xf>
    <xf numFmtId="181" fontId="8" fillId="15" borderId="1" xfId="2" applyNumberFormat="1" applyFont="1" applyFill="1" applyBorder="1" applyAlignment="1">
      <alignment horizontal="center" vertical="center"/>
    </xf>
    <xf numFmtId="14" fontId="8" fillId="11" borderId="1" xfId="2" applyNumberFormat="1" applyFont="1" applyFill="1" applyBorder="1" applyAlignment="1">
      <alignment horizontal="center" vertical="center"/>
    </xf>
    <xf numFmtId="0" fontId="36" fillId="11" borderId="1" xfId="0" applyFont="1" applyFill="1" applyBorder="1" applyAlignment="1">
      <alignment horizontal="left" indent="1"/>
    </xf>
    <xf numFmtId="178" fontId="3" fillId="12" borderId="1" xfId="0" applyNumberFormat="1" applyFont="1" applyFill="1" applyBorder="1"/>
    <xf numFmtId="178" fontId="3" fillId="0" borderId="1" xfId="0" applyNumberFormat="1" applyFont="1" applyBorder="1"/>
    <xf numFmtId="178" fontId="38" fillId="12" borderId="1" xfId="0" applyNumberFormat="1" applyFont="1" applyFill="1" applyBorder="1"/>
    <xf numFmtId="178" fontId="38" fillId="0" borderId="1" xfId="0" applyNumberFormat="1" applyFont="1" applyBorder="1"/>
    <xf numFmtId="178" fontId="3" fillId="12" borderId="29" xfId="0" applyNumberFormat="1" applyFont="1" applyFill="1" applyBorder="1"/>
    <xf numFmtId="178" fontId="3" fillId="0" borderId="29" xfId="0" applyNumberFormat="1" applyFont="1" applyBorder="1"/>
    <xf numFmtId="178" fontId="3" fillId="12" borderId="30" xfId="0" applyNumberFormat="1" applyFont="1" applyFill="1" applyBorder="1"/>
    <xf numFmtId="178" fontId="3" fillId="0" borderId="30" xfId="0" applyNumberFormat="1" applyFont="1" applyBorder="1"/>
    <xf numFmtId="178" fontId="38" fillId="12" borderId="30" xfId="0" applyNumberFormat="1" applyFont="1" applyFill="1" applyBorder="1"/>
    <xf numFmtId="178" fontId="35" fillId="0" borderId="30" xfId="0" applyNumberFormat="1" applyFont="1" applyBorder="1"/>
    <xf numFmtId="178" fontId="3" fillId="0" borderId="0" xfId="0" applyNumberFormat="1" applyFont="1"/>
    <xf numFmtId="178" fontId="35" fillId="12" borderId="1" xfId="0" applyNumberFormat="1" applyFont="1" applyFill="1" applyBorder="1"/>
    <xf numFmtId="178" fontId="35" fillId="0" borderId="1" xfId="0" applyNumberFormat="1" applyFont="1" applyBorder="1"/>
    <xf numFmtId="1" fontId="30" fillId="0" borderId="0" xfId="2" applyNumberFormat="1" applyFont="1">
      <alignment vertical="center"/>
    </xf>
    <xf numFmtId="0" fontId="31" fillId="0" borderId="0" xfId="2" applyFont="1" applyAlignment="1">
      <alignment horizontal="right" vertical="center"/>
    </xf>
    <xf numFmtId="0" fontId="28" fillId="0" borderId="0" xfId="2" applyFont="1" applyAlignment="1">
      <alignment horizontal="right" vertical="center"/>
    </xf>
    <xf numFmtId="177" fontId="8" fillId="0" borderId="1" xfId="2" applyNumberFormat="1" applyFont="1" applyBorder="1" applyAlignment="1">
      <alignment horizontal="center"/>
    </xf>
    <xf numFmtId="190" fontId="8" fillId="0" borderId="1" xfId="2" applyNumberFormat="1" applyFont="1" applyBorder="1" applyAlignment="1">
      <alignment horizontal="center"/>
    </xf>
    <xf numFmtId="0" fontId="19" fillId="2" borderId="5" xfId="2" applyFont="1" applyFill="1" applyBorder="1" applyAlignment="1">
      <alignment horizontal="left" vertical="center"/>
    </xf>
    <xf numFmtId="0" fontId="6" fillId="2" borderId="6" xfId="2" applyFont="1" applyFill="1" applyBorder="1" applyAlignment="1">
      <alignment horizontal="left" vertical="center"/>
    </xf>
    <xf numFmtId="0" fontId="6" fillId="2" borderId="7" xfId="2" applyFont="1" applyFill="1" applyBorder="1" applyAlignment="1">
      <alignment horizontal="left" vertical="center"/>
    </xf>
    <xf numFmtId="0" fontId="27" fillId="13" borderId="5" xfId="2" applyFont="1" applyFill="1" applyBorder="1" applyAlignment="1">
      <alignment horizontal="left" vertical="center"/>
    </xf>
    <xf numFmtId="0" fontId="6" fillId="13" borderId="6" xfId="2" applyFont="1" applyFill="1" applyBorder="1" applyAlignment="1">
      <alignment horizontal="left" vertical="center"/>
    </xf>
    <xf numFmtId="0" fontId="6" fillId="13" borderId="7" xfId="2" applyFont="1" applyFill="1" applyBorder="1" applyAlignment="1">
      <alignment horizontal="left" vertical="center"/>
    </xf>
    <xf numFmtId="0" fontId="21" fillId="14" borderId="12" xfId="2" applyFont="1" applyFill="1" applyBorder="1" applyAlignment="1">
      <alignment horizontal="center" vertical="center"/>
    </xf>
    <xf numFmtId="0" fontId="17" fillId="14" borderId="13" xfId="2" applyFont="1" applyFill="1" applyBorder="1" applyAlignment="1">
      <alignment horizontal="center" vertical="center"/>
    </xf>
    <xf numFmtId="0" fontId="17" fillId="14" borderId="14" xfId="2" applyFont="1" applyFill="1" applyBorder="1" applyAlignment="1">
      <alignment horizontal="center" vertical="center"/>
    </xf>
    <xf numFmtId="0" fontId="20" fillId="0" borderId="15" xfId="2" applyFont="1" applyBorder="1" applyAlignment="1">
      <alignment horizontal="left" vertical="center"/>
    </xf>
    <xf numFmtId="0" fontId="17" fillId="0" borderId="1" xfId="2" applyFont="1" applyBorder="1" applyAlignment="1">
      <alignment horizontal="left" vertical="center"/>
    </xf>
    <xf numFmtId="0" fontId="17" fillId="0" borderId="16" xfId="2" applyFont="1" applyBorder="1" applyAlignment="1">
      <alignment horizontal="left" vertical="center"/>
    </xf>
    <xf numFmtId="0" fontId="18" fillId="14" borderId="22" xfId="2" applyFont="1" applyFill="1" applyBorder="1" applyAlignment="1">
      <alignment horizontal="center" vertical="center"/>
    </xf>
    <xf numFmtId="0" fontId="17" fillId="14" borderId="23" xfId="2" applyFont="1" applyFill="1" applyBorder="1" applyAlignment="1">
      <alignment horizontal="center" vertical="center"/>
    </xf>
    <xf numFmtId="0" fontId="17" fillId="14" borderId="24" xfId="2" applyFont="1" applyFill="1" applyBorder="1" applyAlignment="1">
      <alignment horizontal="center" vertical="center"/>
    </xf>
    <xf numFmtId="0" fontId="18" fillId="14" borderId="12" xfId="2" applyFont="1" applyFill="1" applyBorder="1" applyAlignment="1">
      <alignment horizontal="center" vertical="center"/>
    </xf>
    <xf numFmtId="0" fontId="5" fillId="0" borderId="0" xfId="2" applyAlignment="1">
      <alignment horizontal="center" vertical="center"/>
    </xf>
    <xf numFmtId="0" fontId="40" fillId="14" borderId="12" xfId="2" applyFont="1" applyFill="1" applyBorder="1" applyAlignment="1">
      <alignment horizontal="center" vertical="center"/>
    </xf>
    <xf numFmtId="0" fontId="20" fillId="14" borderId="23" xfId="2" applyFont="1" applyFill="1" applyBorder="1" applyAlignment="1">
      <alignment horizontal="center" vertical="center"/>
    </xf>
    <xf numFmtId="0" fontId="20" fillId="14" borderId="24" xfId="2" applyFont="1" applyFill="1" applyBorder="1" applyAlignment="1">
      <alignment horizontal="center" vertical="center"/>
    </xf>
    <xf numFmtId="0" fontId="21" fillId="0" borderId="15" xfId="2" applyFont="1" applyBorder="1" applyAlignment="1">
      <alignment horizontal="left" vertical="center"/>
    </xf>
    <xf numFmtId="0" fontId="17" fillId="0" borderId="15" xfId="2" applyFont="1" applyBorder="1" applyAlignment="1">
      <alignment horizontal="left" vertical="center"/>
    </xf>
    <xf numFmtId="0" fontId="20" fillId="0" borderId="25" xfId="2" applyFont="1" applyBorder="1" applyAlignment="1">
      <alignment horizontal="left" vertical="center"/>
    </xf>
    <xf numFmtId="0" fontId="20" fillId="0" borderId="6" xfId="2" applyFont="1" applyBorder="1" applyAlignment="1">
      <alignment horizontal="left" vertical="center"/>
    </xf>
    <xf numFmtId="0" fontId="20" fillId="0" borderId="26" xfId="2" applyFont="1" applyBorder="1" applyAlignment="1">
      <alignment horizontal="left" vertical="center"/>
    </xf>
    <xf numFmtId="0" fontId="18" fillId="13" borderId="12" xfId="2" applyFont="1" applyFill="1" applyBorder="1" applyAlignment="1">
      <alignment horizontal="center" vertical="center"/>
    </xf>
    <xf numFmtId="0" fontId="17" fillId="13" borderId="13" xfId="2" applyFont="1" applyFill="1" applyBorder="1" applyAlignment="1">
      <alignment horizontal="center" vertical="center"/>
    </xf>
    <xf numFmtId="0" fontId="17" fillId="13" borderId="14" xfId="2" applyFont="1" applyFill="1" applyBorder="1" applyAlignment="1">
      <alignment horizontal="center" vertical="center"/>
    </xf>
  </cellXfs>
  <cellStyles count="7">
    <cellStyle name="百分比" xfId="1" builtinId="5"/>
    <cellStyle name="常规" xfId="0" builtinId="0"/>
    <cellStyle name="常规 2" xfId="4" xr:uid="{00000000-0005-0000-0000-000002000000}"/>
    <cellStyle name="常规 3" xfId="3" xr:uid="{00000000-0005-0000-0000-000003000000}"/>
    <cellStyle name="常规 4" xfId="2" xr:uid="{00000000-0005-0000-0000-000004000000}"/>
    <cellStyle name="常规 5" xfId="6" xr:uid="{1DDF00BE-BC94-49A6-A795-4A8081C7C8BC}"/>
    <cellStyle name="千位分隔" xfId="5" builtinId="3"/>
  </cellStyles>
  <dxfs count="9"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FFE8F5E9"/>
      <color rgb="FFF1F8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H65"/>
  <sheetViews>
    <sheetView showGridLines="0" tabSelected="1" workbookViewId="0">
      <pane xSplit="3" ySplit="1" topLeftCell="E2" activePane="bottomRight" state="frozen"/>
      <selection pane="topRight" activeCell="D1" sqref="D1"/>
      <selection pane="bottomLeft" activeCell="A2" sqref="A2"/>
      <selection pane="bottomRight" activeCell="F15" sqref="F15"/>
    </sheetView>
  </sheetViews>
  <sheetFormatPr defaultColWidth="8.875" defaultRowHeight="15"/>
  <cols>
    <col min="1" max="1" width="22" style="1" hidden="1" customWidth="1"/>
    <col min="2" max="2" width="31.125" style="1" bestFit="1" customWidth="1"/>
    <col min="3" max="3" width="10.375" style="1" bestFit="1" customWidth="1"/>
    <col min="4" max="4" width="9.125" style="1" customWidth="1"/>
    <col min="5" max="34" width="9" style="1" bestFit="1" customWidth="1"/>
    <col min="35" max="16384" width="8.875" style="1"/>
  </cols>
  <sheetData>
    <row r="1" spans="1:34" s="57" customFormat="1" ht="16.5">
      <c r="A1" s="57" t="s">
        <v>84</v>
      </c>
      <c r="B1" s="99" t="s">
        <v>114</v>
      </c>
      <c r="C1" s="99" t="s">
        <v>115</v>
      </c>
      <c r="D1" s="99" t="s">
        <v>116</v>
      </c>
      <c r="E1" s="99" t="s">
        <v>117</v>
      </c>
      <c r="F1" s="99" t="s">
        <v>118</v>
      </c>
      <c r="G1" s="99" t="s">
        <v>119</v>
      </c>
      <c r="H1" s="99" t="s">
        <v>120</v>
      </c>
      <c r="I1" s="99" t="s">
        <v>121</v>
      </c>
      <c r="J1" s="99" t="s">
        <v>122</v>
      </c>
      <c r="K1" s="99" t="s">
        <v>123</v>
      </c>
      <c r="L1" s="99" t="s">
        <v>124</v>
      </c>
      <c r="M1" s="99" t="s">
        <v>125</v>
      </c>
      <c r="N1" s="99" t="s">
        <v>126</v>
      </c>
      <c r="O1" s="99" t="s">
        <v>127</v>
      </c>
      <c r="P1" s="99" t="s">
        <v>128</v>
      </c>
      <c r="Q1" s="99" t="s">
        <v>129</v>
      </c>
      <c r="R1" s="99" t="s">
        <v>130</v>
      </c>
      <c r="S1" s="99" t="s">
        <v>131</v>
      </c>
      <c r="T1" s="99" t="s">
        <v>132</v>
      </c>
      <c r="U1" s="99" t="s">
        <v>133</v>
      </c>
      <c r="V1" s="99" t="s">
        <v>134</v>
      </c>
      <c r="W1" s="99" t="s">
        <v>135</v>
      </c>
      <c r="X1" s="99" t="s">
        <v>136</v>
      </c>
      <c r="Y1" s="99" t="s">
        <v>137</v>
      </c>
      <c r="Z1" s="99" t="s">
        <v>138</v>
      </c>
      <c r="AA1" s="99" t="s">
        <v>139</v>
      </c>
      <c r="AB1" s="99" t="s">
        <v>140</v>
      </c>
      <c r="AC1" s="99" t="s">
        <v>141</v>
      </c>
      <c r="AD1" s="99" t="s">
        <v>142</v>
      </c>
      <c r="AE1" s="99" t="s">
        <v>143</v>
      </c>
      <c r="AF1" s="99" t="s">
        <v>144</v>
      </c>
      <c r="AG1" s="99" t="s">
        <v>145</v>
      </c>
      <c r="AH1" s="99" t="s">
        <v>146</v>
      </c>
    </row>
    <row r="2" spans="1:34">
      <c r="B2" s="100" t="s">
        <v>109</v>
      </c>
      <c r="C2" s="106">
        <f>SUM(D2:AH2)</f>
        <v>14040.644</v>
      </c>
      <c r="D2" s="60">
        <f>SUMIF('计算过程-数据汇总'!$A:$A,'维护-日期'!B2,'计算过程-数据汇总'!$C:$C)</f>
        <v>458.39600000000002</v>
      </c>
      <c r="E2" s="60">
        <f>SUMIF('计算过程-数据汇总'!$A:$A,'维护-日期'!C2,'计算过程-数据汇总'!$C:$C)</f>
        <v>458.39600000000002</v>
      </c>
      <c r="F2" s="60">
        <f>SUMIF('计算过程-数据汇总'!$A:$A,'维护-日期'!D2,'计算过程-数据汇总'!$C:$C)</f>
        <v>458.39600000000002</v>
      </c>
      <c r="G2" s="60">
        <f>SUMIF('计算过程-数据汇总'!$A:$A,'维护-日期'!E2,'计算过程-数据汇总'!$C:$C)</f>
        <v>458.39600000000002</v>
      </c>
      <c r="H2" s="60">
        <f>SUMIF('计算过程-数据汇总'!$A:$A,'维护-日期'!F2,'计算过程-数据汇总'!$C:$C)</f>
        <v>437.19200000000001</v>
      </c>
      <c r="I2" s="60">
        <f>SUMIF('计算过程-数据汇总'!$A:$A,'维护-日期'!G2,'计算过程-数据汇总'!$C:$C)</f>
        <v>437.19200000000001</v>
      </c>
      <c r="J2" s="60">
        <f>SUMIF('计算过程-数据汇总'!$A:$A,'维护-日期'!H2,'计算过程-数据汇总'!$C:$C)</f>
        <v>458.39600000000002</v>
      </c>
      <c r="K2" s="60">
        <f>SUMIF('计算过程-数据汇总'!$A:$A,'维护-日期'!I2,'计算过程-数据汇总'!$C:$C)</f>
        <v>458.39600000000002</v>
      </c>
      <c r="L2" s="60">
        <f>SUMIF('计算过程-数据汇总'!$A:$A,'维护-日期'!J2,'计算过程-数据汇总'!$C:$C)</f>
        <v>458.39600000000002</v>
      </c>
      <c r="M2" s="60">
        <f>SUMIF('计算过程-数据汇总'!$A:$A,'维护-日期'!K2,'计算过程-数据汇总'!$C:$C)</f>
        <v>458.39600000000002</v>
      </c>
      <c r="N2" s="60">
        <f>SUMIF('计算过程-数据汇总'!$A:$A,'维护-日期'!L2,'计算过程-数据汇总'!$C:$C)</f>
        <v>458.39600000000002</v>
      </c>
      <c r="O2" s="60">
        <f>SUMIF('计算过程-数据汇总'!$A:$A,'维护-日期'!M2,'计算过程-数据汇总'!$C:$C)</f>
        <v>437.19200000000001</v>
      </c>
      <c r="P2" s="60">
        <f>SUMIF('计算过程-数据汇总'!$A:$A,'维护-日期'!N2,'计算过程-数据汇总'!$C:$C)</f>
        <v>437.19200000000001</v>
      </c>
      <c r="Q2" s="60">
        <f>SUMIF('计算过程-数据汇总'!$A:$A,'维护-日期'!O2,'计算过程-数据汇总'!$C:$C)</f>
        <v>458.39600000000002</v>
      </c>
      <c r="R2" s="60">
        <f>SUMIF('计算过程-数据汇总'!$A:$A,'维护-日期'!P2,'计算过程-数据汇总'!$C:$C)</f>
        <v>458.39600000000002</v>
      </c>
      <c r="S2" s="60">
        <f>SUMIF('计算过程-数据汇总'!$A:$A,'维护-日期'!Q2,'计算过程-数据汇总'!$C:$C)</f>
        <v>458.39600000000002</v>
      </c>
      <c r="T2" s="60">
        <f>SUMIF('计算过程-数据汇总'!$A:$A,'维护-日期'!R2,'计算过程-数据汇总'!$C:$C)</f>
        <v>458.39600000000002</v>
      </c>
      <c r="U2" s="60">
        <f>SUMIF('计算过程-数据汇总'!$A:$A,'维护-日期'!S2,'计算过程-数据汇总'!$C:$C)</f>
        <v>458.39600000000002</v>
      </c>
      <c r="V2" s="60">
        <f>SUMIF('计算过程-数据汇总'!$A:$A,'维护-日期'!T2,'计算过程-数据汇总'!$C:$C)</f>
        <v>458.39600000000002</v>
      </c>
      <c r="W2" s="60">
        <f>SUMIF('计算过程-数据汇总'!$A:$A,'维护-日期'!U2,'计算过程-数据汇总'!$C:$C)</f>
        <v>437.19200000000001</v>
      </c>
      <c r="X2" s="60">
        <f>SUMIF('计算过程-数据汇总'!$A:$A,'维护-日期'!V2,'计算过程-数据汇总'!$C:$C)</f>
        <v>437.19200000000001</v>
      </c>
      <c r="Y2" s="60">
        <f>SUMIF('计算过程-数据汇总'!$A:$A,'维护-日期'!W2,'计算过程-数据汇总'!$C:$C)</f>
        <v>458.39600000000002</v>
      </c>
      <c r="Z2" s="60">
        <f>SUMIF('计算过程-数据汇总'!$A:$A,'维护-日期'!X2,'计算过程-数据汇总'!$C:$C)</f>
        <v>458.39600000000002</v>
      </c>
      <c r="AA2" s="60">
        <f>SUMIF('计算过程-数据汇总'!$A:$A,'维护-日期'!Y2,'计算过程-数据汇总'!$C:$C)</f>
        <v>458.39600000000002</v>
      </c>
      <c r="AB2" s="60">
        <f>SUMIF('计算过程-数据汇总'!$A:$A,'维护-日期'!Z2,'计算过程-数据汇总'!$C:$C)</f>
        <v>458.39600000000002</v>
      </c>
      <c r="AC2" s="60">
        <f>SUMIF('计算过程-数据汇总'!$A:$A,'维护-日期'!AA2,'计算过程-数据汇总'!$C:$C)</f>
        <v>458.39600000000002</v>
      </c>
      <c r="AD2" s="60">
        <f>SUMIF('计算过程-数据汇总'!$A:$A,'维护-日期'!AB2,'计算过程-数据汇总'!$C:$C)</f>
        <v>437.19200000000001</v>
      </c>
      <c r="AE2" s="60">
        <f>SUMIF('计算过程-数据汇总'!$A:$A,'维护-日期'!AC2,'计算过程-数据汇总'!$C:$C)</f>
        <v>437.19200000000001</v>
      </c>
      <c r="AF2" s="60">
        <f>SUMIF('计算过程-数据汇总'!$A:$A,'维护-日期'!AD2,'计算过程-数据汇总'!$C:$C)</f>
        <v>458.39600000000002</v>
      </c>
      <c r="AG2" s="60">
        <f>SUMIF('计算过程-数据汇总'!$A:$A,'维护-日期'!AE2,'计算过程-数据汇总'!$C:$C)</f>
        <v>458.39600000000002</v>
      </c>
      <c r="AH2" s="60">
        <f>SUMIF('计算过程-数据汇总'!$A:$A,'维护-日期'!AF2,'计算过程-数据汇总'!$C:$C)</f>
        <v>458.39600000000002</v>
      </c>
    </row>
    <row r="3" spans="1:34">
      <c r="B3" s="100" t="s">
        <v>110</v>
      </c>
      <c r="C3" s="106">
        <f>SUM(D3:AH3)</f>
        <v>14040.644</v>
      </c>
      <c r="D3" s="60">
        <f>SUMIF('计算过程-数据汇总'!$A:$A,'维护-日期'!B2,'计算过程-数据汇总'!$D:$D)</f>
        <v>458.39600000000002</v>
      </c>
      <c r="E3" s="60">
        <f>SUMIF('计算过程-数据汇总'!$A:$A,'维护-日期'!C2,'计算过程-数据汇总'!$D:$D)</f>
        <v>458.39600000000002</v>
      </c>
      <c r="F3" s="60">
        <f>SUMIF('计算过程-数据汇总'!$A:$A,'维护-日期'!D2,'计算过程-数据汇总'!$D:$D)</f>
        <v>458.39600000000002</v>
      </c>
      <c r="G3" s="60">
        <f>SUMIF('计算过程-数据汇总'!$A:$A,'维护-日期'!E2,'计算过程-数据汇总'!$D:$D)</f>
        <v>458.39600000000002</v>
      </c>
      <c r="H3" s="60">
        <f>SUMIF('计算过程-数据汇总'!$A:$A,'维护-日期'!F2,'计算过程-数据汇总'!$D:$D)</f>
        <v>437.19200000000001</v>
      </c>
      <c r="I3" s="60">
        <f>SUMIF('计算过程-数据汇总'!$A:$A,'维护-日期'!G2,'计算过程-数据汇总'!$D:$D)</f>
        <v>437.19200000000001</v>
      </c>
      <c r="J3" s="60">
        <f>SUMIF('计算过程-数据汇总'!$A:$A,'维护-日期'!H2,'计算过程-数据汇总'!$D:$D)</f>
        <v>458.39600000000002</v>
      </c>
      <c r="K3" s="60">
        <f>SUMIF('计算过程-数据汇总'!$A:$A,'维护-日期'!I2,'计算过程-数据汇总'!$D:$D)</f>
        <v>458.39600000000002</v>
      </c>
      <c r="L3" s="60">
        <f>SUMIF('计算过程-数据汇总'!$A:$A,'维护-日期'!J2,'计算过程-数据汇总'!$D:$D)</f>
        <v>458.39600000000002</v>
      </c>
      <c r="M3" s="60">
        <f>SUMIF('计算过程-数据汇总'!$A:$A,'维护-日期'!K2,'计算过程-数据汇总'!$D:$D)</f>
        <v>458.39600000000002</v>
      </c>
      <c r="N3" s="60">
        <f>SUMIF('计算过程-数据汇总'!$A:$A,'维护-日期'!L2,'计算过程-数据汇总'!$D:$D)</f>
        <v>458.39600000000002</v>
      </c>
      <c r="O3" s="60">
        <f>SUMIF('计算过程-数据汇总'!$A:$A,'维护-日期'!M2,'计算过程-数据汇总'!$D:$D)</f>
        <v>437.19200000000001</v>
      </c>
      <c r="P3" s="60">
        <f>SUMIF('计算过程-数据汇总'!$A:$A,'维护-日期'!N2,'计算过程-数据汇总'!$D:$D)</f>
        <v>437.19200000000001</v>
      </c>
      <c r="Q3" s="60">
        <f>SUMIF('计算过程-数据汇总'!$A:$A,'维护-日期'!O2,'计算过程-数据汇总'!$D:$D)</f>
        <v>458.39600000000002</v>
      </c>
      <c r="R3" s="60">
        <f>SUMIF('计算过程-数据汇总'!$A:$A,'维护-日期'!P2,'计算过程-数据汇总'!$D:$D)</f>
        <v>458.39600000000002</v>
      </c>
      <c r="S3" s="60">
        <f>SUMIF('计算过程-数据汇总'!$A:$A,'维护-日期'!Q2,'计算过程-数据汇总'!$D:$D)</f>
        <v>458.39600000000002</v>
      </c>
      <c r="T3" s="60">
        <f>SUMIF('计算过程-数据汇总'!$A:$A,'维护-日期'!R2,'计算过程-数据汇总'!$D:$D)</f>
        <v>458.39600000000002</v>
      </c>
      <c r="U3" s="60">
        <f>SUMIF('计算过程-数据汇总'!$A:$A,'维护-日期'!S2,'计算过程-数据汇总'!$D:$D)</f>
        <v>458.39600000000002</v>
      </c>
      <c r="V3" s="60">
        <f>SUMIF('计算过程-数据汇总'!$A:$A,'维护-日期'!T2,'计算过程-数据汇总'!$D:$D)</f>
        <v>458.39600000000002</v>
      </c>
      <c r="W3" s="60">
        <f>SUMIF('计算过程-数据汇总'!$A:$A,'维护-日期'!U2,'计算过程-数据汇总'!$D:$D)</f>
        <v>437.19200000000001</v>
      </c>
      <c r="X3" s="60">
        <f>SUMIF('计算过程-数据汇总'!$A:$A,'维护-日期'!V2,'计算过程-数据汇总'!$D:$D)</f>
        <v>437.19200000000001</v>
      </c>
      <c r="Y3" s="60">
        <f>SUMIF('计算过程-数据汇总'!$A:$A,'维护-日期'!W2,'计算过程-数据汇总'!$D:$D)</f>
        <v>458.39600000000002</v>
      </c>
      <c r="Z3" s="60">
        <f>SUMIF('计算过程-数据汇总'!$A:$A,'维护-日期'!X2,'计算过程-数据汇总'!$D:$D)</f>
        <v>458.39600000000002</v>
      </c>
      <c r="AA3" s="60">
        <f>SUMIF('计算过程-数据汇总'!$A:$A,'维护-日期'!Y2,'计算过程-数据汇总'!$D:$D)</f>
        <v>458.39600000000002</v>
      </c>
      <c r="AB3" s="60">
        <f>SUMIF('计算过程-数据汇总'!$A:$A,'维护-日期'!Z2,'计算过程-数据汇总'!$D:$D)</f>
        <v>458.39600000000002</v>
      </c>
      <c r="AC3" s="60">
        <f>SUMIF('计算过程-数据汇总'!$A:$A,'维护-日期'!AA2,'计算过程-数据汇总'!$D:$D)</f>
        <v>458.39600000000002</v>
      </c>
      <c r="AD3" s="60">
        <f>SUMIF('计算过程-数据汇总'!$A:$A,'维护-日期'!AB2,'计算过程-数据汇总'!$D:$D)</f>
        <v>437.19200000000001</v>
      </c>
      <c r="AE3" s="60">
        <f>SUMIF('计算过程-数据汇总'!$A:$A,'维护-日期'!AC2,'计算过程-数据汇总'!$D:$D)</f>
        <v>437.19200000000001</v>
      </c>
      <c r="AF3" s="60">
        <f>SUMIF('计算过程-数据汇总'!$A:$A,'维护-日期'!AD2,'计算过程-数据汇总'!$D:$D)</f>
        <v>458.39600000000002</v>
      </c>
      <c r="AG3" s="60">
        <f>SUMIF('计算过程-数据汇总'!$A:$A,'维护-日期'!AE2,'计算过程-数据汇总'!$D:$D)</f>
        <v>458.39600000000002</v>
      </c>
      <c r="AH3" s="60">
        <f>SUMIF('计算过程-数据汇总'!$A:$A,'维护-日期'!AF2,'计算过程-数据汇总'!$D:$D)</f>
        <v>458.39600000000002</v>
      </c>
    </row>
    <row r="4" spans="1:34">
      <c r="B4" s="100" t="s">
        <v>2</v>
      </c>
      <c r="C4" s="107">
        <f>C2/C3-1</f>
        <v>0</v>
      </c>
      <c r="D4" s="61">
        <f>D2/D3-1</f>
        <v>0</v>
      </c>
      <c r="E4" s="61">
        <f t="shared" ref="E4:AG4" si="0">E2/E3-1</f>
        <v>0</v>
      </c>
      <c r="F4" s="61">
        <f t="shared" si="0"/>
        <v>0</v>
      </c>
      <c r="G4" s="61">
        <f t="shared" si="0"/>
        <v>0</v>
      </c>
      <c r="H4" s="61">
        <f t="shared" si="0"/>
        <v>0</v>
      </c>
      <c r="I4" s="61">
        <f t="shared" si="0"/>
        <v>0</v>
      </c>
      <c r="J4" s="61">
        <f t="shared" si="0"/>
        <v>0</v>
      </c>
      <c r="K4" s="61">
        <f t="shared" si="0"/>
        <v>0</v>
      </c>
      <c r="L4" s="61">
        <f t="shared" si="0"/>
        <v>0</v>
      </c>
      <c r="M4" s="61">
        <f t="shared" si="0"/>
        <v>0</v>
      </c>
      <c r="N4" s="61">
        <f t="shared" si="0"/>
        <v>0</v>
      </c>
      <c r="O4" s="61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si="0"/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>AH2/AH3-1</f>
        <v>0</v>
      </c>
    </row>
    <row r="5" spans="1:34" s="59" customFormat="1">
      <c r="B5" s="101" t="s">
        <v>3</v>
      </c>
      <c r="C5" s="108">
        <f>C6/C2</f>
        <v>371.99999999999989</v>
      </c>
      <c r="D5" s="62">
        <f>D6/D2</f>
        <v>372</v>
      </c>
      <c r="E5" s="62">
        <f t="shared" ref="E5:AG5" si="1">E6/E2</f>
        <v>372</v>
      </c>
      <c r="F5" s="62">
        <f t="shared" si="1"/>
        <v>372</v>
      </c>
      <c r="G5" s="62">
        <f t="shared" si="1"/>
        <v>372</v>
      </c>
      <c r="H5" s="62">
        <f t="shared" si="1"/>
        <v>371.99999999999994</v>
      </c>
      <c r="I5" s="62">
        <f t="shared" si="1"/>
        <v>371.99999999999994</v>
      </c>
      <c r="J5" s="62">
        <f t="shared" si="1"/>
        <v>372</v>
      </c>
      <c r="K5" s="62">
        <f t="shared" si="1"/>
        <v>372</v>
      </c>
      <c r="L5" s="62">
        <f t="shared" si="1"/>
        <v>372</v>
      </c>
      <c r="M5" s="62">
        <f t="shared" si="1"/>
        <v>372</v>
      </c>
      <c r="N5" s="62">
        <f t="shared" si="1"/>
        <v>372</v>
      </c>
      <c r="O5" s="62">
        <f t="shared" si="1"/>
        <v>371.99999999999994</v>
      </c>
      <c r="P5" s="62">
        <f t="shared" si="1"/>
        <v>371.99999999999994</v>
      </c>
      <c r="Q5" s="62">
        <f t="shared" si="1"/>
        <v>372</v>
      </c>
      <c r="R5" s="62">
        <f t="shared" si="1"/>
        <v>372</v>
      </c>
      <c r="S5" s="62">
        <f t="shared" si="1"/>
        <v>372</v>
      </c>
      <c r="T5" s="62">
        <f t="shared" si="1"/>
        <v>372</v>
      </c>
      <c r="U5" s="62">
        <f t="shared" si="1"/>
        <v>372</v>
      </c>
      <c r="V5" s="62">
        <f t="shared" si="1"/>
        <v>372</v>
      </c>
      <c r="W5" s="62">
        <f t="shared" si="1"/>
        <v>371.99999999999994</v>
      </c>
      <c r="X5" s="62">
        <f t="shared" si="1"/>
        <v>371.99999999999994</v>
      </c>
      <c r="Y5" s="62">
        <f t="shared" si="1"/>
        <v>372</v>
      </c>
      <c r="Z5" s="62">
        <f t="shared" si="1"/>
        <v>372</v>
      </c>
      <c r="AA5" s="62">
        <f t="shared" si="1"/>
        <v>372</v>
      </c>
      <c r="AB5" s="62">
        <f t="shared" si="1"/>
        <v>372</v>
      </c>
      <c r="AC5" s="62">
        <f t="shared" si="1"/>
        <v>372</v>
      </c>
      <c r="AD5" s="62">
        <f t="shared" si="1"/>
        <v>371.99999999999994</v>
      </c>
      <c r="AE5" s="62">
        <f t="shared" si="1"/>
        <v>371.99999999999994</v>
      </c>
      <c r="AF5" s="62">
        <f t="shared" si="1"/>
        <v>372</v>
      </c>
      <c r="AG5" s="62">
        <f t="shared" si="1"/>
        <v>372</v>
      </c>
      <c r="AH5" s="62">
        <f t="shared" ref="AH5" si="2">AH6/AH2</f>
        <v>372</v>
      </c>
    </row>
    <row r="6" spans="1:34" s="57" customFormat="1">
      <c r="B6" s="101" t="s">
        <v>0</v>
      </c>
      <c r="C6" s="109">
        <f t="shared" ref="C6:AH6" si="3">SUM(C7:C12)</f>
        <v>5223119.5679999981</v>
      </c>
      <c r="D6" s="63">
        <f t="shared" si="3"/>
        <v>170523.31200000001</v>
      </c>
      <c r="E6" s="63">
        <f t="shared" si="3"/>
        <v>170523.31200000001</v>
      </c>
      <c r="F6" s="63">
        <f t="shared" si="3"/>
        <v>170523.31200000001</v>
      </c>
      <c r="G6" s="63">
        <f t="shared" si="3"/>
        <v>170523.31200000001</v>
      </c>
      <c r="H6" s="63">
        <f t="shared" si="3"/>
        <v>162635.42399999997</v>
      </c>
      <c r="I6" s="63">
        <f t="shared" si="3"/>
        <v>162635.42399999997</v>
      </c>
      <c r="J6" s="63">
        <f t="shared" si="3"/>
        <v>170523.31200000001</v>
      </c>
      <c r="K6" s="63">
        <f t="shared" si="3"/>
        <v>170523.31200000001</v>
      </c>
      <c r="L6" s="63">
        <f t="shared" si="3"/>
        <v>170523.31200000001</v>
      </c>
      <c r="M6" s="63">
        <f t="shared" si="3"/>
        <v>170523.31200000001</v>
      </c>
      <c r="N6" s="63">
        <f t="shared" si="3"/>
        <v>170523.31200000001</v>
      </c>
      <c r="O6" s="63">
        <f t="shared" si="3"/>
        <v>162635.42399999997</v>
      </c>
      <c r="P6" s="63">
        <f t="shared" si="3"/>
        <v>162635.42399999997</v>
      </c>
      <c r="Q6" s="63">
        <f t="shared" si="3"/>
        <v>170523.31200000001</v>
      </c>
      <c r="R6" s="63">
        <f t="shared" si="3"/>
        <v>170523.31200000001</v>
      </c>
      <c r="S6" s="63">
        <f t="shared" si="3"/>
        <v>170523.31200000001</v>
      </c>
      <c r="T6" s="63">
        <f t="shared" si="3"/>
        <v>170523.31200000001</v>
      </c>
      <c r="U6" s="63">
        <f t="shared" si="3"/>
        <v>170523.31200000001</v>
      </c>
      <c r="V6" s="63">
        <f t="shared" si="3"/>
        <v>170523.31200000001</v>
      </c>
      <c r="W6" s="63">
        <f t="shared" si="3"/>
        <v>162635.42399999997</v>
      </c>
      <c r="X6" s="63">
        <f t="shared" si="3"/>
        <v>162635.42399999997</v>
      </c>
      <c r="Y6" s="63">
        <f t="shared" si="3"/>
        <v>170523.31200000001</v>
      </c>
      <c r="Z6" s="63">
        <f t="shared" si="3"/>
        <v>170523.31200000001</v>
      </c>
      <c r="AA6" s="63">
        <f t="shared" si="3"/>
        <v>170523.31200000001</v>
      </c>
      <c r="AB6" s="63">
        <f t="shared" si="3"/>
        <v>170523.31200000001</v>
      </c>
      <c r="AC6" s="63">
        <f t="shared" si="3"/>
        <v>170523.31200000001</v>
      </c>
      <c r="AD6" s="63">
        <f t="shared" si="3"/>
        <v>162635.42399999997</v>
      </c>
      <c r="AE6" s="63">
        <f t="shared" si="3"/>
        <v>162635.42399999997</v>
      </c>
      <c r="AF6" s="63">
        <f t="shared" si="3"/>
        <v>170523.31200000001</v>
      </c>
      <c r="AG6" s="63">
        <f t="shared" si="3"/>
        <v>170523.31200000001</v>
      </c>
      <c r="AH6" s="63">
        <f t="shared" si="3"/>
        <v>170523.31200000001</v>
      </c>
    </row>
    <row r="7" spans="1:34">
      <c r="B7" s="102" t="s">
        <v>1</v>
      </c>
      <c r="C7" s="106">
        <f>SUM(D7:AH7)</f>
        <v>5223119.5679999981</v>
      </c>
      <c r="D7" s="60">
        <f t="shared" ref="D7:AH7" si="4">D18+D9+D19+D22</f>
        <v>170523.31200000001</v>
      </c>
      <c r="E7" s="60">
        <f t="shared" si="4"/>
        <v>170523.31200000001</v>
      </c>
      <c r="F7" s="60">
        <f t="shared" si="4"/>
        <v>170523.31200000001</v>
      </c>
      <c r="G7" s="60">
        <f t="shared" si="4"/>
        <v>170523.31200000001</v>
      </c>
      <c r="H7" s="60">
        <f t="shared" si="4"/>
        <v>162635.42399999997</v>
      </c>
      <c r="I7" s="60">
        <f t="shared" si="4"/>
        <v>162635.42399999997</v>
      </c>
      <c r="J7" s="60">
        <f t="shared" si="4"/>
        <v>170523.31200000001</v>
      </c>
      <c r="K7" s="60">
        <f t="shared" si="4"/>
        <v>170523.31200000001</v>
      </c>
      <c r="L7" s="60">
        <f t="shared" si="4"/>
        <v>170523.31200000001</v>
      </c>
      <c r="M7" s="60">
        <f t="shared" si="4"/>
        <v>170523.31200000001</v>
      </c>
      <c r="N7" s="60">
        <f t="shared" si="4"/>
        <v>170523.31200000001</v>
      </c>
      <c r="O7" s="60">
        <f t="shared" si="4"/>
        <v>162635.42399999997</v>
      </c>
      <c r="P7" s="60">
        <f t="shared" si="4"/>
        <v>162635.42399999997</v>
      </c>
      <c r="Q7" s="60">
        <f t="shared" si="4"/>
        <v>170523.31200000001</v>
      </c>
      <c r="R7" s="60">
        <f t="shared" si="4"/>
        <v>170523.31200000001</v>
      </c>
      <c r="S7" s="60">
        <f t="shared" si="4"/>
        <v>170523.31200000001</v>
      </c>
      <c r="T7" s="60">
        <f t="shared" si="4"/>
        <v>170523.31200000001</v>
      </c>
      <c r="U7" s="60">
        <f t="shared" si="4"/>
        <v>170523.31200000001</v>
      </c>
      <c r="V7" s="60">
        <f t="shared" si="4"/>
        <v>170523.31200000001</v>
      </c>
      <c r="W7" s="60">
        <f t="shared" si="4"/>
        <v>162635.42399999997</v>
      </c>
      <c r="X7" s="60">
        <f t="shared" si="4"/>
        <v>162635.42399999997</v>
      </c>
      <c r="Y7" s="60">
        <f t="shared" si="4"/>
        <v>170523.31200000001</v>
      </c>
      <c r="Z7" s="60">
        <f t="shared" si="4"/>
        <v>170523.31200000001</v>
      </c>
      <c r="AA7" s="60">
        <f t="shared" si="4"/>
        <v>170523.31200000001</v>
      </c>
      <c r="AB7" s="60">
        <f t="shared" si="4"/>
        <v>170523.31200000001</v>
      </c>
      <c r="AC7" s="60">
        <f t="shared" si="4"/>
        <v>170523.31200000001</v>
      </c>
      <c r="AD7" s="60">
        <f t="shared" si="4"/>
        <v>162635.42399999997</v>
      </c>
      <c r="AE7" s="60">
        <f t="shared" si="4"/>
        <v>162635.42399999997</v>
      </c>
      <c r="AF7" s="60">
        <f t="shared" si="4"/>
        <v>170523.31200000001</v>
      </c>
      <c r="AG7" s="60">
        <f t="shared" si="4"/>
        <v>170523.31200000001</v>
      </c>
      <c r="AH7" s="60">
        <f t="shared" si="4"/>
        <v>170523.31200000001</v>
      </c>
    </row>
    <row r="8" spans="1:34">
      <c r="B8" s="102" t="str">
        <f>'计算过程-数据汇总'!Q1</f>
        <v>日前偏差超额回收（日考核）</v>
      </c>
      <c r="C8" s="106">
        <f>SUM(D8:AH8)</f>
        <v>0</v>
      </c>
      <c r="D8" s="96">
        <f>SUMIF('计算过程-数据汇总'!$A:$A,'维护-日期'!B2,'计算过程-数据汇总'!$Q:$Q)</f>
        <v>0</v>
      </c>
      <c r="E8" s="96">
        <f>SUMIF('计算过程-数据汇总'!$A:$A,'维护-日期'!C2,'计算过程-数据汇总'!$Q:$Q)</f>
        <v>0</v>
      </c>
      <c r="F8" s="96">
        <f>SUMIF('计算过程-数据汇总'!$A:$A,'维护-日期'!D2,'计算过程-数据汇总'!$Q:$Q)</f>
        <v>0</v>
      </c>
      <c r="G8" s="96">
        <f>SUMIF('计算过程-数据汇总'!$A:$A,'维护-日期'!E2,'计算过程-数据汇总'!$Q:$Q)</f>
        <v>0</v>
      </c>
      <c r="H8" s="96">
        <f>SUMIF('计算过程-数据汇总'!$A:$A,'维护-日期'!F2,'计算过程-数据汇总'!$Q:$Q)</f>
        <v>0</v>
      </c>
      <c r="I8" s="96">
        <f>SUMIF('计算过程-数据汇总'!$A:$A,'维护-日期'!G2,'计算过程-数据汇总'!$Q:$Q)</f>
        <v>0</v>
      </c>
      <c r="J8" s="96">
        <f>SUMIF('计算过程-数据汇总'!$A:$A,'维护-日期'!H2,'计算过程-数据汇总'!$Q:$Q)</f>
        <v>0</v>
      </c>
      <c r="K8" s="96">
        <f>SUMIF('计算过程-数据汇总'!$A:$A,'维护-日期'!I2,'计算过程-数据汇总'!$Q:$Q)</f>
        <v>0</v>
      </c>
      <c r="L8" s="96">
        <f>SUMIF('计算过程-数据汇总'!$A:$A,'维护-日期'!J2,'计算过程-数据汇总'!$Q:$Q)</f>
        <v>0</v>
      </c>
      <c r="M8" s="96">
        <f>SUMIF('计算过程-数据汇总'!$A:$A,'维护-日期'!K2,'计算过程-数据汇总'!$Q:$Q)</f>
        <v>0</v>
      </c>
      <c r="N8" s="96">
        <f>SUMIF('计算过程-数据汇总'!$A:$A,'维护-日期'!L2,'计算过程-数据汇总'!$Q:$Q)</f>
        <v>0</v>
      </c>
      <c r="O8" s="96">
        <f>SUMIF('计算过程-数据汇总'!$A:$A,'维护-日期'!M2,'计算过程-数据汇总'!$Q:$Q)</f>
        <v>0</v>
      </c>
      <c r="P8" s="96">
        <f>SUMIF('计算过程-数据汇总'!$A:$A,'维护-日期'!N2,'计算过程-数据汇总'!$Q:$Q)</f>
        <v>0</v>
      </c>
      <c r="Q8" s="96">
        <f>SUMIF('计算过程-数据汇总'!$A:$A,'维护-日期'!O2,'计算过程-数据汇总'!$Q:$Q)</f>
        <v>0</v>
      </c>
      <c r="R8" s="96">
        <f>SUMIF('计算过程-数据汇总'!$A:$A,'维护-日期'!P2,'计算过程-数据汇总'!$Q:$Q)</f>
        <v>0</v>
      </c>
      <c r="S8" s="96">
        <f>SUMIF('计算过程-数据汇总'!$A:$A,'维护-日期'!Q2,'计算过程-数据汇总'!$Q:$Q)</f>
        <v>0</v>
      </c>
      <c r="T8" s="96">
        <f>SUMIF('计算过程-数据汇总'!$A:$A,'维护-日期'!R2,'计算过程-数据汇总'!$Q:$Q)</f>
        <v>0</v>
      </c>
      <c r="U8" s="96">
        <f>SUMIF('计算过程-数据汇总'!$A:$A,'维护-日期'!S2,'计算过程-数据汇总'!$Q:$Q)</f>
        <v>0</v>
      </c>
      <c r="V8" s="96">
        <f>SUMIF('计算过程-数据汇总'!$A:$A,'维护-日期'!T2,'计算过程-数据汇总'!$Q:$Q)</f>
        <v>0</v>
      </c>
      <c r="W8" s="96">
        <f>SUMIF('计算过程-数据汇总'!$A:$A,'维护-日期'!U2,'计算过程-数据汇总'!$Q:$Q)</f>
        <v>0</v>
      </c>
      <c r="X8" s="96">
        <f>SUMIF('计算过程-数据汇总'!$A:$A,'维护-日期'!V2,'计算过程-数据汇总'!$Q:$Q)</f>
        <v>0</v>
      </c>
      <c r="Y8" s="96">
        <f>SUMIF('计算过程-数据汇总'!$A:$A,'维护-日期'!W2,'计算过程-数据汇总'!$Q:$Q)</f>
        <v>0</v>
      </c>
      <c r="Z8" s="96">
        <f>SUMIF('计算过程-数据汇总'!$A:$A,'维护-日期'!X2,'计算过程-数据汇总'!$Q:$Q)</f>
        <v>0</v>
      </c>
      <c r="AA8" s="96">
        <f>SUMIF('计算过程-数据汇总'!$A:$A,'维护-日期'!Y2,'计算过程-数据汇总'!$Q:$Q)</f>
        <v>0</v>
      </c>
      <c r="AB8" s="96">
        <f>SUMIF('计算过程-数据汇总'!$A:$A,'维护-日期'!Z2,'计算过程-数据汇总'!$Q:$Q)</f>
        <v>0</v>
      </c>
      <c r="AC8" s="96">
        <f>SUMIF('计算过程-数据汇总'!$A:$A,'维护-日期'!AA2,'计算过程-数据汇总'!$Q:$Q)</f>
        <v>0</v>
      </c>
      <c r="AD8" s="96">
        <f>SUMIF('计算过程-数据汇总'!$A:$A,'维护-日期'!AB2,'计算过程-数据汇总'!$Q:$Q)</f>
        <v>0</v>
      </c>
      <c r="AE8" s="96">
        <f>SUMIF('计算过程-数据汇总'!$A:$A,'维护-日期'!AC2,'计算过程-数据汇总'!$Q:$Q)</f>
        <v>0</v>
      </c>
      <c r="AF8" s="96">
        <f>SUMIF('计算过程-数据汇总'!$A:$A,'维护-日期'!AD2,'计算过程-数据汇总'!$Q:$Q)</f>
        <v>0</v>
      </c>
      <c r="AG8" s="96">
        <f>SUMIF('计算过程-数据汇总'!$A:$A,'维护-日期'!AE2,'计算过程-数据汇总'!$Q:$Q)</f>
        <v>0</v>
      </c>
      <c r="AH8" s="96">
        <f>SUMIF('计算过程-数据汇总'!$A:$A,'维护-日期'!AF2,'计算过程-数据汇总'!$Q:$Q)</f>
        <v>0</v>
      </c>
    </row>
    <row r="9" spans="1:34" hidden="1">
      <c r="B9" s="102" t="s">
        <v>78</v>
      </c>
      <c r="C9" s="106">
        <f>SUM(D9:AH9)</f>
        <v>0</v>
      </c>
      <c r="D9" s="60">
        <f>SUMIF('计算过程-数据汇总'!$A:$A,'维护-日期'!B2,'计算过程-数据汇总'!$L:$L)</f>
        <v>0</v>
      </c>
      <c r="E9" s="60">
        <f>SUMIF('计算过程-数据汇总'!$A:$A,'维护-日期'!C2,'计算过程-数据汇总'!$L:$L)</f>
        <v>0</v>
      </c>
      <c r="F9" s="60">
        <f>SUMIF('计算过程-数据汇总'!$A:$A,'维护-日期'!D2,'计算过程-数据汇总'!$L:$L)</f>
        <v>0</v>
      </c>
      <c r="G9" s="60">
        <f>SUMIF('计算过程-数据汇总'!$A:$A,'维护-日期'!E2,'计算过程-数据汇总'!$L:$L)</f>
        <v>0</v>
      </c>
      <c r="H9" s="60">
        <f>SUMIF('计算过程-数据汇总'!$A:$A,'维护-日期'!F2,'计算过程-数据汇总'!$L:$L)</f>
        <v>0</v>
      </c>
      <c r="I9" s="60">
        <f>SUMIF('计算过程-数据汇总'!$A:$A,'维护-日期'!G2,'计算过程-数据汇总'!$L:$L)</f>
        <v>0</v>
      </c>
      <c r="J9" s="60">
        <f>SUMIF('计算过程-数据汇总'!$A:$A,'维护-日期'!H2,'计算过程-数据汇总'!$L:$L)</f>
        <v>0</v>
      </c>
      <c r="K9" s="60">
        <f>SUMIF('计算过程-数据汇总'!$A:$A,'维护-日期'!I2,'计算过程-数据汇总'!$L:$L)</f>
        <v>0</v>
      </c>
      <c r="L9" s="60">
        <f>SUMIF('计算过程-数据汇总'!$A:$A,'维护-日期'!J2,'计算过程-数据汇总'!$L:$L)</f>
        <v>0</v>
      </c>
      <c r="M9" s="60">
        <f>SUMIF('计算过程-数据汇总'!$A:$A,'维护-日期'!K2,'计算过程-数据汇总'!$L:$L)</f>
        <v>0</v>
      </c>
      <c r="N9" s="60">
        <f>SUMIF('计算过程-数据汇总'!$A:$A,'维护-日期'!L2,'计算过程-数据汇总'!$L:$L)</f>
        <v>0</v>
      </c>
      <c r="O9" s="60">
        <f>SUMIF('计算过程-数据汇总'!$A:$A,'维护-日期'!M2,'计算过程-数据汇总'!$L:$L)</f>
        <v>0</v>
      </c>
      <c r="P9" s="60">
        <f>SUMIF('计算过程-数据汇总'!$A:$A,'维护-日期'!N2,'计算过程-数据汇总'!$L:$L)</f>
        <v>0</v>
      </c>
      <c r="Q9" s="60">
        <f>SUMIF('计算过程-数据汇总'!$A:$A,'维护-日期'!O2,'计算过程-数据汇总'!$L:$L)</f>
        <v>0</v>
      </c>
      <c r="R9" s="60">
        <f>SUMIF('计算过程-数据汇总'!$A:$A,'维护-日期'!P2,'计算过程-数据汇总'!$L:$L)</f>
        <v>0</v>
      </c>
      <c r="S9" s="60">
        <f>SUMIF('计算过程-数据汇总'!$A:$A,'维护-日期'!Q2,'计算过程-数据汇总'!$L:$L)</f>
        <v>0</v>
      </c>
      <c r="T9" s="60">
        <f>SUMIF('计算过程-数据汇总'!$A:$A,'维护-日期'!R2,'计算过程-数据汇总'!$L:$L)</f>
        <v>0</v>
      </c>
      <c r="U9" s="60">
        <f>SUMIF('计算过程-数据汇总'!$A:$A,'维护-日期'!S2,'计算过程-数据汇总'!$L:$L)</f>
        <v>0</v>
      </c>
      <c r="V9" s="60">
        <f>SUMIF('计算过程-数据汇总'!$A:$A,'维护-日期'!T2,'计算过程-数据汇总'!$L:$L)</f>
        <v>0</v>
      </c>
      <c r="W9" s="60">
        <f>SUMIF('计算过程-数据汇总'!$A:$A,'维护-日期'!U2,'计算过程-数据汇总'!$L:$L)</f>
        <v>0</v>
      </c>
      <c r="X9" s="60">
        <f>SUMIF('计算过程-数据汇总'!$A:$A,'维护-日期'!V2,'计算过程-数据汇总'!$L:$L)</f>
        <v>0</v>
      </c>
      <c r="Y9" s="60">
        <f>SUMIF('计算过程-数据汇总'!$A:$A,'维护-日期'!W2,'计算过程-数据汇总'!$L:$L)</f>
        <v>0</v>
      </c>
      <c r="Z9" s="60">
        <f>SUMIF('计算过程-数据汇总'!$A:$A,'维护-日期'!X2,'计算过程-数据汇总'!$L:$L)</f>
        <v>0</v>
      </c>
      <c r="AA9" s="60">
        <f>SUMIF('计算过程-数据汇总'!$A:$A,'维护-日期'!Y2,'计算过程-数据汇总'!$L:$L)</f>
        <v>0</v>
      </c>
      <c r="AB9" s="60">
        <f>SUMIF('计算过程-数据汇总'!$A:$A,'维护-日期'!Z2,'计算过程-数据汇总'!$L:$L)</f>
        <v>0</v>
      </c>
      <c r="AC9" s="60">
        <f>SUMIF('计算过程-数据汇总'!$A:$A,'维护-日期'!AA2,'计算过程-数据汇总'!$L:$L)</f>
        <v>0</v>
      </c>
      <c r="AD9" s="60">
        <f>SUMIF('计算过程-数据汇总'!$A:$A,'维护-日期'!AB2,'计算过程-数据汇总'!$L:$L)</f>
        <v>0</v>
      </c>
      <c r="AE9" s="60">
        <f>SUMIF('计算过程-数据汇总'!$A:$A,'维护-日期'!AC2,'计算过程-数据汇总'!$L:$L)</f>
        <v>0</v>
      </c>
      <c r="AF9" s="60">
        <f>SUMIF('计算过程-数据汇总'!$A:$A,'维护-日期'!AD2,'计算过程-数据汇总'!$L:$L)</f>
        <v>0</v>
      </c>
      <c r="AG9" s="60">
        <f>SUMIF('计算过程-数据汇总'!$A:$A,'维护-日期'!AE2,'计算过程-数据汇总'!$L:$L)</f>
        <v>0</v>
      </c>
      <c r="AH9" s="60">
        <f>SUMIF('计算过程-数据汇总'!$A:$A,'维护-日期'!AF2,'计算过程-数据汇总'!$L:$L)</f>
        <v>0</v>
      </c>
    </row>
    <row r="10" spans="1:34">
      <c r="B10" s="102" t="s">
        <v>104</v>
      </c>
      <c r="C10" s="106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</row>
    <row r="11" spans="1:34">
      <c r="B11" s="102" t="s">
        <v>30</v>
      </c>
      <c r="C11" s="106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</row>
    <row r="12" spans="1:34">
      <c r="B12" s="102" t="s">
        <v>88</v>
      </c>
      <c r="C12" s="106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</row>
    <row r="13" spans="1:34">
      <c r="B13" s="100" t="s">
        <v>111</v>
      </c>
      <c r="C13" s="110">
        <v>372</v>
      </c>
    </row>
    <row r="14" spans="1:34">
      <c r="B14" s="100" t="s">
        <v>113</v>
      </c>
      <c r="C14" s="109">
        <f>C13*C3</f>
        <v>5223119.568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>
      <c r="B15" s="100" t="s">
        <v>112</v>
      </c>
      <c r="C15" s="109">
        <f>C13*C2</f>
        <v>5223119.568</v>
      </c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</row>
    <row r="17" spans="2:34">
      <c r="B17" s="100" t="s">
        <v>86</v>
      </c>
      <c r="C17" s="127">
        <f>SUM(D17:AH17)</f>
        <v>5223119.5679999981</v>
      </c>
      <c r="D17" s="128">
        <f>D18+D19+D22</f>
        <v>170523.31200000001</v>
      </c>
      <c r="E17" s="128">
        <f t="shared" ref="E17:AH17" si="5">E18+E19+E22</f>
        <v>170523.31200000001</v>
      </c>
      <c r="F17" s="128">
        <f t="shared" si="5"/>
        <v>170523.31200000001</v>
      </c>
      <c r="G17" s="128">
        <f t="shared" si="5"/>
        <v>170523.31200000001</v>
      </c>
      <c r="H17" s="128">
        <f t="shared" si="5"/>
        <v>162635.42399999997</v>
      </c>
      <c r="I17" s="128">
        <f t="shared" si="5"/>
        <v>162635.42399999997</v>
      </c>
      <c r="J17" s="128">
        <f t="shared" si="5"/>
        <v>170523.31200000001</v>
      </c>
      <c r="K17" s="128">
        <f t="shared" si="5"/>
        <v>170523.31200000001</v>
      </c>
      <c r="L17" s="128">
        <f t="shared" si="5"/>
        <v>170523.31200000001</v>
      </c>
      <c r="M17" s="128">
        <f t="shared" si="5"/>
        <v>170523.31200000001</v>
      </c>
      <c r="N17" s="128">
        <f t="shared" si="5"/>
        <v>170523.31200000001</v>
      </c>
      <c r="O17" s="128">
        <f t="shared" si="5"/>
        <v>162635.42399999997</v>
      </c>
      <c r="P17" s="128">
        <f t="shared" si="5"/>
        <v>162635.42399999997</v>
      </c>
      <c r="Q17" s="128">
        <f t="shared" si="5"/>
        <v>170523.31200000001</v>
      </c>
      <c r="R17" s="128">
        <f t="shared" si="5"/>
        <v>170523.31200000001</v>
      </c>
      <c r="S17" s="128">
        <f t="shared" si="5"/>
        <v>170523.31200000001</v>
      </c>
      <c r="T17" s="128">
        <f t="shared" si="5"/>
        <v>170523.31200000001</v>
      </c>
      <c r="U17" s="128">
        <f t="shared" si="5"/>
        <v>170523.31200000001</v>
      </c>
      <c r="V17" s="128">
        <f t="shared" si="5"/>
        <v>170523.31200000001</v>
      </c>
      <c r="W17" s="128">
        <f t="shared" si="5"/>
        <v>162635.42399999997</v>
      </c>
      <c r="X17" s="128">
        <f t="shared" si="5"/>
        <v>162635.42399999997</v>
      </c>
      <c r="Y17" s="128">
        <f t="shared" si="5"/>
        <v>170523.31200000001</v>
      </c>
      <c r="Z17" s="128">
        <f t="shared" si="5"/>
        <v>170523.31200000001</v>
      </c>
      <c r="AA17" s="128">
        <f t="shared" si="5"/>
        <v>170523.31200000001</v>
      </c>
      <c r="AB17" s="128">
        <f t="shared" si="5"/>
        <v>170523.31200000001</v>
      </c>
      <c r="AC17" s="128">
        <f t="shared" si="5"/>
        <v>170523.31200000001</v>
      </c>
      <c r="AD17" s="128">
        <f t="shared" si="5"/>
        <v>162635.42399999997</v>
      </c>
      <c r="AE17" s="128">
        <f t="shared" si="5"/>
        <v>162635.42399999997</v>
      </c>
      <c r="AF17" s="128">
        <f t="shared" si="5"/>
        <v>170523.31200000001</v>
      </c>
      <c r="AG17" s="128">
        <f t="shared" si="5"/>
        <v>170523.31200000001</v>
      </c>
      <c r="AH17" s="128">
        <f t="shared" si="5"/>
        <v>170523.31200000001</v>
      </c>
    </row>
    <row r="18" spans="2:34">
      <c r="B18" s="103" t="s">
        <v>102</v>
      </c>
      <c r="C18" s="127">
        <f t="shared" ref="C18:C37" si="6">SUM(D18:AH18)</f>
        <v>5223119.5679999981</v>
      </c>
      <c r="D18" s="128">
        <f>SUMIF('计算过程-数据汇总'!$A:$A,'维护-日期'!B2,'计算过程-数据汇总'!$M:$M)</f>
        <v>170523.31200000001</v>
      </c>
      <c r="E18" s="128">
        <f>SUMIF('计算过程-数据汇总'!$A:$A,'维护-日期'!C2,'计算过程-数据汇总'!$M:$M)</f>
        <v>170523.31200000001</v>
      </c>
      <c r="F18" s="128">
        <f>SUMIF('计算过程-数据汇总'!$A:$A,'维护-日期'!D2,'计算过程-数据汇总'!$M:$M)</f>
        <v>170523.31200000001</v>
      </c>
      <c r="G18" s="128">
        <f>SUMIF('计算过程-数据汇总'!$A:$A,'维护-日期'!E2,'计算过程-数据汇总'!$M:$M)</f>
        <v>170523.31200000001</v>
      </c>
      <c r="H18" s="128">
        <f>SUMIF('计算过程-数据汇总'!$A:$A,'维护-日期'!F2,'计算过程-数据汇总'!$M:$M)</f>
        <v>162635.42399999997</v>
      </c>
      <c r="I18" s="128">
        <f>SUMIF('计算过程-数据汇总'!$A:$A,'维护-日期'!G2,'计算过程-数据汇总'!$M:$M)</f>
        <v>162635.42399999997</v>
      </c>
      <c r="J18" s="128">
        <f>SUMIF('计算过程-数据汇总'!$A:$A,'维护-日期'!H2,'计算过程-数据汇总'!$M:$M)</f>
        <v>170523.31200000001</v>
      </c>
      <c r="K18" s="128">
        <f>SUMIF('计算过程-数据汇总'!$A:$A,'维护-日期'!I2,'计算过程-数据汇总'!$M:$M)</f>
        <v>170523.31200000001</v>
      </c>
      <c r="L18" s="128">
        <f>SUMIF('计算过程-数据汇总'!$A:$A,'维护-日期'!J2,'计算过程-数据汇总'!$M:$M)</f>
        <v>170523.31200000001</v>
      </c>
      <c r="M18" s="128">
        <f>SUMIF('计算过程-数据汇总'!$A:$A,'维护-日期'!K2,'计算过程-数据汇总'!$M:$M)</f>
        <v>170523.31200000001</v>
      </c>
      <c r="N18" s="128">
        <f>SUMIF('计算过程-数据汇总'!$A:$A,'维护-日期'!L2,'计算过程-数据汇总'!$M:$M)</f>
        <v>170523.31200000001</v>
      </c>
      <c r="O18" s="128">
        <f>SUMIF('计算过程-数据汇总'!$A:$A,'维护-日期'!M2,'计算过程-数据汇总'!$M:$M)</f>
        <v>162635.42399999997</v>
      </c>
      <c r="P18" s="128">
        <f>SUMIF('计算过程-数据汇总'!$A:$A,'维护-日期'!N2,'计算过程-数据汇总'!$M:$M)</f>
        <v>162635.42399999997</v>
      </c>
      <c r="Q18" s="128">
        <f>SUMIF('计算过程-数据汇总'!$A:$A,'维护-日期'!O2,'计算过程-数据汇总'!$M:$M)</f>
        <v>170523.31200000001</v>
      </c>
      <c r="R18" s="128">
        <f>SUMIF('计算过程-数据汇总'!$A:$A,'维护-日期'!P2,'计算过程-数据汇总'!$M:$M)</f>
        <v>170523.31200000001</v>
      </c>
      <c r="S18" s="128">
        <f>SUMIF('计算过程-数据汇总'!$A:$A,'维护-日期'!Q2,'计算过程-数据汇总'!$M:$M)</f>
        <v>170523.31200000001</v>
      </c>
      <c r="T18" s="128">
        <f>SUMIF('计算过程-数据汇总'!$A:$A,'维护-日期'!R2,'计算过程-数据汇总'!$M:$M)</f>
        <v>170523.31200000001</v>
      </c>
      <c r="U18" s="128">
        <f>SUMIF('计算过程-数据汇总'!$A:$A,'维护-日期'!S2,'计算过程-数据汇总'!$M:$M)</f>
        <v>170523.31200000001</v>
      </c>
      <c r="V18" s="128">
        <f>SUMIF('计算过程-数据汇总'!$A:$A,'维护-日期'!T2,'计算过程-数据汇总'!$M:$M)</f>
        <v>170523.31200000001</v>
      </c>
      <c r="W18" s="128">
        <f>SUMIF('计算过程-数据汇总'!$A:$A,'维护-日期'!U2,'计算过程-数据汇总'!$M:$M)</f>
        <v>162635.42399999997</v>
      </c>
      <c r="X18" s="128">
        <f>SUMIF('计算过程-数据汇总'!$A:$A,'维护-日期'!V2,'计算过程-数据汇总'!$M:$M)</f>
        <v>162635.42399999997</v>
      </c>
      <c r="Y18" s="128">
        <f>SUMIF('计算过程-数据汇总'!$A:$A,'维护-日期'!W2,'计算过程-数据汇总'!$M:$M)</f>
        <v>170523.31200000001</v>
      </c>
      <c r="Z18" s="128">
        <f>SUMIF('计算过程-数据汇总'!$A:$A,'维护-日期'!X2,'计算过程-数据汇总'!$M:$M)</f>
        <v>170523.31200000001</v>
      </c>
      <c r="AA18" s="128">
        <f>SUMIF('计算过程-数据汇总'!$A:$A,'维护-日期'!Y2,'计算过程-数据汇总'!$M:$M)</f>
        <v>170523.31200000001</v>
      </c>
      <c r="AB18" s="128">
        <f>SUMIF('计算过程-数据汇总'!$A:$A,'维护-日期'!Z2,'计算过程-数据汇总'!$M:$M)</f>
        <v>170523.31200000001</v>
      </c>
      <c r="AC18" s="128">
        <f>SUMIF('计算过程-数据汇总'!$A:$A,'维护-日期'!AA2,'计算过程-数据汇总'!$M:$M)</f>
        <v>170523.31200000001</v>
      </c>
      <c r="AD18" s="128">
        <f>SUMIF('计算过程-数据汇总'!$A:$A,'维护-日期'!AB2,'计算过程-数据汇总'!$M:$M)</f>
        <v>162635.42399999997</v>
      </c>
      <c r="AE18" s="128">
        <f>SUMIF('计算过程-数据汇总'!$A:$A,'维护-日期'!AC2,'计算过程-数据汇总'!$M:$M)</f>
        <v>162635.42399999997</v>
      </c>
      <c r="AF18" s="128">
        <f>SUMIF('计算过程-数据汇总'!$A:$A,'维护-日期'!AD2,'计算过程-数据汇总'!$M:$M)</f>
        <v>170523.31200000001</v>
      </c>
      <c r="AG18" s="128">
        <f>SUMIF('计算过程-数据汇总'!$A:$A,'维护-日期'!AE2,'计算过程-数据汇总'!$M:$M)</f>
        <v>170523.31200000001</v>
      </c>
      <c r="AH18" s="128">
        <f>SUMIF('计算过程-数据汇总'!$A:$A,'维护-日期'!AF2,'计算过程-数据汇总'!$M:$M)</f>
        <v>170523.31200000001</v>
      </c>
    </row>
    <row r="19" spans="2:34" s="58" customFormat="1">
      <c r="B19" s="104" t="s">
        <v>163</v>
      </c>
      <c r="C19" s="129">
        <f t="shared" si="6"/>
        <v>0</v>
      </c>
      <c r="D19" s="130">
        <f>D20+D21</f>
        <v>0</v>
      </c>
      <c r="E19" s="130">
        <f t="shared" ref="E19:AG19" si="7">E20+E21</f>
        <v>0</v>
      </c>
      <c r="F19" s="130">
        <f t="shared" si="7"/>
        <v>0</v>
      </c>
      <c r="G19" s="130">
        <f t="shared" si="7"/>
        <v>0</v>
      </c>
      <c r="H19" s="130">
        <f t="shared" si="7"/>
        <v>0</v>
      </c>
      <c r="I19" s="130">
        <f>I20+I21</f>
        <v>0</v>
      </c>
      <c r="J19" s="130">
        <f t="shared" si="7"/>
        <v>0</v>
      </c>
      <c r="K19" s="130">
        <f t="shared" si="7"/>
        <v>0</v>
      </c>
      <c r="L19" s="130">
        <f t="shared" si="7"/>
        <v>0</v>
      </c>
      <c r="M19" s="130">
        <f t="shared" si="7"/>
        <v>0</v>
      </c>
      <c r="N19" s="130">
        <f t="shared" si="7"/>
        <v>0</v>
      </c>
      <c r="O19" s="130">
        <f t="shared" si="7"/>
        <v>0</v>
      </c>
      <c r="P19" s="130">
        <f t="shared" si="7"/>
        <v>0</v>
      </c>
      <c r="Q19" s="130">
        <f t="shared" si="7"/>
        <v>0</v>
      </c>
      <c r="R19" s="130">
        <f t="shared" si="7"/>
        <v>0</v>
      </c>
      <c r="S19" s="130">
        <f t="shared" si="7"/>
        <v>0</v>
      </c>
      <c r="T19" s="130">
        <f t="shared" si="7"/>
        <v>0</v>
      </c>
      <c r="U19" s="130">
        <f t="shared" si="7"/>
        <v>0</v>
      </c>
      <c r="V19" s="130">
        <f t="shared" si="7"/>
        <v>0</v>
      </c>
      <c r="W19" s="130">
        <f t="shared" si="7"/>
        <v>0</v>
      </c>
      <c r="X19" s="130">
        <f t="shared" si="7"/>
        <v>0</v>
      </c>
      <c r="Y19" s="130">
        <f t="shared" si="7"/>
        <v>0</v>
      </c>
      <c r="Z19" s="130">
        <f t="shared" si="7"/>
        <v>0</v>
      </c>
      <c r="AA19" s="130">
        <f t="shared" si="7"/>
        <v>0</v>
      </c>
      <c r="AB19" s="130">
        <f t="shared" si="7"/>
        <v>0</v>
      </c>
      <c r="AC19" s="130">
        <f t="shared" si="7"/>
        <v>0</v>
      </c>
      <c r="AD19" s="130">
        <f t="shared" si="7"/>
        <v>0</v>
      </c>
      <c r="AE19" s="130">
        <f t="shared" si="7"/>
        <v>0</v>
      </c>
      <c r="AF19" s="130">
        <f t="shared" si="7"/>
        <v>0</v>
      </c>
      <c r="AG19" s="130">
        <f t="shared" si="7"/>
        <v>0</v>
      </c>
      <c r="AH19" s="130">
        <f t="shared" ref="AH19" si="8">AH20+AH21</f>
        <v>0</v>
      </c>
    </row>
    <row r="20" spans="2:34">
      <c r="B20" s="105" t="s">
        <v>155</v>
      </c>
      <c r="C20" s="127">
        <f t="shared" si="6"/>
        <v>0</v>
      </c>
      <c r="D20" s="128">
        <f>SUMIF('计算过程-数据汇总'!$A:$A,'维护-日期'!B2,'计算过程-数据汇总'!$N:$N)</f>
        <v>0</v>
      </c>
      <c r="E20" s="128">
        <f>SUMIF('计算过程-数据汇总'!$A:$A,'维护-日期'!C2,'计算过程-数据汇总'!$N:$N)</f>
        <v>0</v>
      </c>
      <c r="F20" s="128">
        <f>SUMIF('计算过程-数据汇总'!$A:$A,'维护-日期'!D2,'计算过程-数据汇总'!$N:$N)</f>
        <v>0</v>
      </c>
      <c r="G20" s="128">
        <f>SUMIF('计算过程-数据汇总'!$A:$A,'维护-日期'!E2,'计算过程-数据汇总'!$N:$N)</f>
        <v>0</v>
      </c>
      <c r="H20" s="128">
        <f>SUMIF('计算过程-数据汇总'!$A:$A,'维护-日期'!F2,'计算过程-数据汇总'!$N:$N)</f>
        <v>0</v>
      </c>
      <c r="I20" s="128">
        <f>SUMIF('计算过程-数据汇总'!$A:$A,'维护-日期'!G2,'计算过程-数据汇总'!$N:$N)</f>
        <v>0</v>
      </c>
      <c r="J20" s="128">
        <f>SUMIF('计算过程-数据汇总'!$A:$A,'维护-日期'!H2,'计算过程-数据汇总'!$N:$N)</f>
        <v>0</v>
      </c>
      <c r="K20" s="128">
        <f>SUMIF('计算过程-数据汇总'!$A:$A,'维护-日期'!I2,'计算过程-数据汇总'!$N:$N)</f>
        <v>0</v>
      </c>
      <c r="L20" s="128">
        <f>SUMIF('计算过程-数据汇总'!$A:$A,'维护-日期'!J2,'计算过程-数据汇总'!$N:$N)</f>
        <v>0</v>
      </c>
      <c r="M20" s="128">
        <f>SUMIF('计算过程-数据汇总'!$A:$A,'维护-日期'!K2,'计算过程-数据汇总'!$N:$N)</f>
        <v>0</v>
      </c>
      <c r="N20" s="128">
        <f>SUMIF('计算过程-数据汇总'!$A:$A,'维护-日期'!L2,'计算过程-数据汇总'!$N:$N)</f>
        <v>0</v>
      </c>
      <c r="O20" s="128">
        <f>SUMIF('计算过程-数据汇总'!$A:$A,'维护-日期'!M2,'计算过程-数据汇总'!$N:$N)</f>
        <v>0</v>
      </c>
      <c r="P20" s="128">
        <f>SUMIF('计算过程-数据汇总'!$A:$A,'维护-日期'!N2,'计算过程-数据汇总'!$N:$N)</f>
        <v>0</v>
      </c>
      <c r="Q20" s="128">
        <f>SUMIF('计算过程-数据汇总'!$A:$A,'维护-日期'!O2,'计算过程-数据汇总'!$N:$N)</f>
        <v>0</v>
      </c>
      <c r="R20" s="128">
        <f>SUMIF('计算过程-数据汇总'!$A:$A,'维护-日期'!P2,'计算过程-数据汇总'!$N:$N)</f>
        <v>0</v>
      </c>
      <c r="S20" s="128">
        <f>SUMIF('计算过程-数据汇总'!$A:$A,'维护-日期'!Q2,'计算过程-数据汇总'!$N:$N)</f>
        <v>0</v>
      </c>
      <c r="T20" s="128">
        <f>SUMIF('计算过程-数据汇总'!$A:$A,'维护-日期'!R2,'计算过程-数据汇总'!$N:$N)</f>
        <v>0</v>
      </c>
      <c r="U20" s="128">
        <f>SUMIF('计算过程-数据汇总'!$A:$A,'维护-日期'!S2,'计算过程-数据汇总'!$N:$N)</f>
        <v>0</v>
      </c>
      <c r="V20" s="128">
        <f>SUMIF('计算过程-数据汇总'!$A:$A,'维护-日期'!T2,'计算过程-数据汇总'!$N:$N)</f>
        <v>0</v>
      </c>
      <c r="W20" s="128">
        <f>SUMIF('计算过程-数据汇总'!$A:$A,'维护-日期'!U2,'计算过程-数据汇总'!$N:$N)</f>
        <v>0</v>
      </c>
      <c r="X20" s="128">
        <f>SUMIF('计算过程-数据汇总'!$A:$A,'维护-日期'!V2,'计算过程-数据汇总'!$N:$N)</f>
        <v>0</v>
      </c>
      <c r="Y20" s="128">
        <f>SUMIF('计算过程-数据汇总'!$A:$A,'维护-日期'!W2,'计算过程-数据汇总'!$N:$N)</f>
        <v>0</v>
      </c>
      <c r="Z20" s="128">
        <f>SUMIF('计算过程-数据汇总'!$A:$A,'维护-日期'!X2,'计算过程-数据汇总'!$N:$N)</f>
        <v>0</v>
      </c>
      <c r="AA20" s="128">
        <f>SUMIF('计算过程-数据汇总'!$A:$A,'维护-日期'!Y2,'计算过程-数据汇总'!$N:$N)</f>
        <v>0</v>
      </c>
      <c r="AB20" s="128">
        <f>SUMIF('计算过程-数据汇总'!$A:$A,'维护-日期'!Z2,'计算过程-数据汇总'!$N:$N)</f>
        <v>0</v>
      </c>
      <c r="AC20" s="128">
        <f>SUMIF('计算过程-数据汇总'!$A:$A,'维护-日期'!AA2,'计算过程-数据汇总'!$N:$N)</f>
        <v>0</v>
      </c>
      <c r="AD20" s="128">
        <f>SUMIF('计算过程-数据汇总'!$A:$A,'维护-日期'!AB2,'计算过程-数据汇总'!$N:$N)</f>
        <v>0</v>
      </c>
      <c r="AE20" s="128">
        <f>SUMIF('计算过程-数据汇总'!$A:$A,'维护-日期'!AC2,'计算过程-数据汇总'!$N:$N)</f>
        <v>0</v>
      </c>
      <c r="AF20" s="128">
        <f>SUMIF('计算过程-数据汇总'!$A:$A,'维护-日期'!AD2,'计算过程-数据汇总'!$N:$N)</f>
        <v>0</v>
      </c>
      <c r="AG20" s="128">
        <f>SUMIF('计算过程-数据汇总'!$A:$A,'维护-日期'!AE2,'计算过程-数据汇总'!$N:$N)</f>
        <v>0</v>
      </c>
      <c r="AH20" s="128">
        <f>SUMIF('计算过程-数据汇总'!$A:$A,'维护-日期'!AF2,'计算过程-数据汇总'!$N:$N)</f>
        <v>0</v>
      </c>
    </row>
    <row r="21" spans="2:34">
      <c r="B21" s="105" t="s">
        <v>154</v>
      </c>
      <c r="C21" s="127">
        <f t="shared" si="6"/>
        <v>0</v>
      </c>
      <c r="D21" s="128">
        <f>SUMIF('计算过程-数据汇总'!$A:$A,'维护-日期'!B2,'计算过程-数据汇总'!$O:$O)</f>
        <v>0</v>
      </c>
      <c r="E21" s="128">
        <f>SUMIF('计算过程-数据汇总'!$A:$A,'维护-日期'!C2,'计算过程-数据汇总'!$O:$O)</f>
        <v>0</v>
      </c>
      <c r="F21" s="128">
        <f>SUMIF('计算过程-数据汇总'!$A:$A,'维护-日期'!D2,'计算过程-数据汇总'!$O:$O)</f>
        <v>0</v>
      </c>
      <c r="G21" s="128">
        <f>SUMIF('计算过程-数据汇总'!$A:$A,'维护-日期'!E2,'计算过程-数据汇总'!$O:$O)</f>
        <v>0</v>
      </c>
      <c r="H21" s="128">
        <f>SUMIF('计算过程-数据汇总'!$A:$A,'维护-日期'!F2,'计算过程-数据汇总'!$O:$O)</f>
        <v>0</v>
      </c>
      <c r="I21" s="128">
        <f>SUMIF('计算过程-数据汇总'!$A:$A,'维护-日期'!G2,'计算过程-数据汇总'!$O:$O)</f>
        <v>0</v>
      </c>
      <c r="J21" s="128">
        <f>SUMIF('计算过程-数据汇总'!$A:$A,'维护-日期'!H2,'计算过程-数据汇总'!$O:$O)</f>
        <v>0</v>
      </c>
      <c r="K21" s="128">
        <f>SUMIF('计算过程-数据汇总'!$A:$A,'维护-日期'!I2,'计算过程-数据汇总'!$O:$O)</f>
        <v>0</v>
      </c>
      <c r="L21" s="128">
        <f>SUMIF('计算过程-数据汇总'!$A:$A,'维护-日期'!J2,'计算过程-数据汇总'!$O:$O)</f>
        <v>0</v>
      </c>
      <c r="M21" s="128">
        <f>SUMIF('计算过程-数据汇总'!$A:$A,'维护-日期'!K2,'计算过程-数据汇总'!$O:$O)</f>
        <v>0</v>
      </c>
      <c r="N21" s="128">
        <f>SUMIF('计算过程-数据汇总'!$A:$A,'维护-日期'!L2,'计算过程-数据汇总'!$O:$O)</f>
        <v>0</v>
      </c>
      <c r="O21" s="128">
        <f>SUMIF('计算过程-数据汇总'!$A:$A,'维护-日期'!M2,'计算过程-数据汇总'!$O:$O)</f>
        <v>0</v>
      </c>
      <c r="P21" s="128">
        <f>SUMIF('计算过程-数据汇总'!$A:$A,'维护-日期'!N2,'计算过程-数据汇总'!$O:$O)</f>
        <v>0</v>
      </c>
      <c r="Q21" s="128">
        <f>SUMIF('计算过程-数据汇总'!$A:$A,'维护-日期'!O2,'计算过程-数据汇总'!$O:$O)</f>
        <v>0</v>
      </c>
      <c r="R21" s="128">
        <f>SUMIF('计算过程-数据汇总'!$A:$A,'维护-日期'!P2,'计算过程-数据汇总'!$O:$O)</f>
        <v>0</v>
      </c>
      <c r="S21" s="128">
        <f>SUMIF('计算过程-数据汇总'!$A:$A,'维护-日期'!Q2,'计算过程-数据汇总'!$O:$O)</f>
        <v>0</v>
      </c>
      <c r="T21" s="128">
        <f>SUMIF('计算过程-数据汇总'!$A:$A,'维护-日期'!R2,'计算过程-数据汇总'!$O:$O)</f>
        <v>0</v>
      </c>
      <c r="U21" s="128">
        <f>SUMIF('计算过程-数据汇总'!$A:$A,'维护-日期'!S2,'计算过程-数据汇总'!$O:$O)</f>
        <v>0</v>
      </c>
      <c r="V21" s="128">
        <f>SUMIF('计算过程-数据汇总'!$A:$A,'维护-日期'!T2,'计算过程-数据汇总'!$O:$O)</f>
        <v>0</v>
      </c>
      <c r="W21" s="128">
        <f>SUMIF('计算过程-数据汇总'!$A:$A,'维护-日期'!U2,'计算过程-数据汇总'!$O:$O)</f>
        <v>0</v>
      </c>
      <c r="X21" s="128">
        <f>SUMIF('计算过程-数据汇总'!$A:$A,'维护-日期'!V2,'计算过程-数据汇总'!$O:$O)</f>
        <v>0</v>
      </c>
      <c r="Y21" s="128">
        <f>SUMIF('计算过程-数据汇总'!$A:$A,'维护-日期'!W2,'计算过程-数据汇总'!$O:$O)</f>
        <v>0</v>
      </c>
      <c r="Z21" s="128">
        <f>SUMIF('计算过程-数据汇总'!$A:$A,'维护-日期'!X2,'计算过程-数据汇总'!$O:$O)</f>
        <v>0</v>
      </c>
      <c r="AA21" s="128">
        <f>SUMIF('计算过程-数据汇总'!$A:$A,'维护-日期'!Y2,'计算过程-数据汇总'!$O:$O)</f>
        <v>0</v>
      </c>
      <c r="AB21" s="128">
        <f>SUMIF('计算过程-数据汇总'!$A:$A,'维护-日期'!Z2,'计算过程-数据汇总'!$O:$O)</f>
        <v>0</v>
      </c>
      <c r="AC21" s="128">
        <f>SUMIF('计算过程-数据汇总'!$A:$A,'维护-日期'!AA2,'计算过程-数据汇总'!$O:$O)</f>
        <v>0</v>
      </c>
      <c r="AD21" s="128">
        <f>SUMIF('计算过程-数据汇总'!$A:$A,'维护-日期'!AB2,'计算过程-数据汇总'!$O:$O)</f>
        <v>0</v>
      </c>
      <c r="AE21" s="128">
        <f>SUMIF('计算过程-数据汇总'!$A:$A,'维护-日期'!AC2,'计算过程-数据汇总'!$O:$O)</f>
        <v>0</v>
      </c>
      <c r="AF21" s="128">
        <f>SUMIF('计算过程-数据汇总'!$A:$A,'维护-日期'!AD2,'计算过程-数据汇总'!$O:$O)</f>
        <v>0</v>
      </c>
      <c r="AG21" s="128">
        <f>SUMIF('计算过程-数据汇总'!$A:$A,'维护-日期'!AE2,'计算过程-数据汇总'!$O:$O)</f>
        <v>0</v>
      </c>
      <c r="AH21" s="128">
        <f>SUMIF('计算过程-数据汇总'!$A:$A,'维护-日期'!AF2,'计算过程-数据汇总'!$O:$O)</f>
        <v>0</v>
      </c>
    </row>
    <row r="22" spans="2:34" s="58" customFormat="1">
      <c r="B22" s="104" t="s">
        <v>164</v>
      </c>
      <c r="C22" s="129">
        <f>SUM(D22:AH22)</f>
        <v>0</v>
      </c>
      <c r="D22" s="130">
        <f>SUM(D23:D37)</f>
        <v>0</v>
      </c>
      <c r="E22" s="130">
        <f t="shared" ref="E22:AH22" si="9">SUM(E23:E37)</f>
        <v>0</v>
      </c>
      <c r="F22" s="130">
        <f t="shared" si="9"/>
        <v>0</v>
      </c>
      <c r="G22" s="130">
        <f t="shared" si="9"/>
        <v>0</v>
      </c>
      <c r="H22" s="130">
        <f t="shared" si="9"/>
        <v>0</v>
      </c>
      <c r="I22" s="130">
        <f t="shared" si="9"/>
        <v>0</v>
      </c>
      <c r="J22" s="130">
        <f t="shared" si="9"/>
        <v>0</v>
      </c>
      <c r="K22" s="130">
        <f t="shared" si="9"/>
        <v>0</v>
      </c>
      <c r="L22" s="130">
        <f t="shared" si="9"/>
        <v>0</v>
      </c>
      <c r="M22" s="130">
        <f t="shared" si="9"/>
        <v>0</v>
      </c>
      <c r="N22" s="130">
        <f t="shared" si="9"/>
        <v>0</v>
      </c>
      <c r="O22" s="130">
        <f t="shared" si="9"/>
        <v>0</v>
      </c>
      <c r="P22" s="130">
        <f t="shared" si="9"/>
        <v>0</v>
      </c>
      <c r="Q22" s="130">
        <f t="shared" si="9"/>
        <v>0</v>
      </c>
      <c r="R22" s="130">
        <f t="shared" si="9"/>
        <v>0</v>
      </c>
      <c r="S22" s="130">
        <f t="shared" si="9"/>
        <v>0</v>
      </c>
      <c r="T22" s="130">
        <f t="shared" si="9"/>
        <v>0</v>
      </c>
      <c r="U22" s="130">
        <f t="shared" si="9"/>
        <v>0</v>
      </c>
      <c r="V22" s="130">
        <f t="shared" si="9"/>
        <v>0</v>
      </c>
      <c r="W22" s="130">
        <f t="shared" si="9"/>
        <v>0</v>
      </c>
      <c r="X22" s="130">
        <f t="shared" si="9"/>
        <v>0</v>
      </c>
      <c r="Y22" s="130">
        <f t="shared" si="9"/>
        <v>0</v>
      </c>
      <c r="Z22" s="130">
        <f t="shared" si="9"/>
        <v>0</v>
      </c>
      <c r="AA22" s="130">
        <f t="shared" si="9"/>
        <v>0</v>
      </c>
      <c r="AB22" s="130">
        <f t="shared" si="9"/>
        <v>0</v>
      </c>
      <c r="AC22" s="130">
        <f t="shared" si="9"/>
        <v>0</v>
      </c>
      <c r="AD22" s="130">
        <f t="shared" si="9"/>
        <v>0</v>
      </c>
      <c r="AE22" s="130">
        <f t="shared" si="9"/>
        <v>0</v>
      </c>
      <c r="AF22" s="130">
        <f t="shared" si="9"/>
        <v>0</v>
      </c>
      <c r="AG22" s="130">
        <f t="shared" si="9"/>
        <v>0</v>
      </c>
      <c r="AH22" s="130">
        <f t="shared" si="9"/>
        <v>0</v>
      </c>
    </row>
    <row r="23" spans="2:34">
      <c r="B23" s="105" t="str">
        <f>'计算过程-数据汇总'!AA1</f>
        <v>年度双边策略电费变动（元）</v>
      </c>
      <c r="C23" s="127">
        <f t="shared" si="6"/>
        <v>0</v>
      </c>
      <c r="D23" s="128">
        <f>SUMIF('计算过程-数据汇总'!$A:$A,'维护-日期'!B2,'计算过程-数据汇总'!$AA:$AA)</f>
        <v>0</v>
      </c>
      <c r="E23" s="128">
        <f>SUMIF('计算过程-数据汇总'!$A:$A,'维护-日期'!C2,'计算过程-数据汇总'!$AA:$AA)</f>
        <v>0</v>
      </c>
      <c r="F23" s="128">
        <f>SUMIF('计算过程-数据汇总'!$A:$A,'维护-日期'!D2,'计算过程-数据汇总'!$AA:$AA)</f>
        <v>0</v>
      </c>
      <c r="G23" s="128">
        <f>SUMIF('计算过程-数据汇总'!$A:$A,'维护-日期'!E2,'计算过程-数据汇总'!$AA:$AA)</f>
        <v>0</v>
      </c>
      <c r="H23" s="128">
        <f>SUMIF('计算过程-数据汇总'!$A:$A,'维护-日期'!F2,'计算过程-数据汇总'!$AA:$AA)</f>
        <v>0</v>
      </c>
      <c r="I23" s="128">
        <f>SUMIF('计算过程-数据汇总'!$A:$A,'维护-日期'!G2,'计算过程-数据汇总'!$AA:$AA)</f>
        <v>0</v>
      </c>
      <c r="J23" s="128">
        <f>SUMIF('计算过程-数据汇总'!$A:$A,'维护-日期'!H2,'计算过程-数据汇总'!$AA:$AA)</f>
        <v>0</v>
      </c>
      <c r="K23" s="128">
        <f>SUMIF('计算过程-数据汇总'!$A:$A,'维护-日期'!I2,'计算过程-数据汇总'!$AA:$AA)</f>
        <v>0</v>
      </c>
      <c r="L23" s="128">
        <f>SUMIF('计算过程-数据汇总'!$A:$A,'维护-日期'!J2,'计算过程-数据汇总'!$AA:$AA)</f>
        <v>0</v>
      </c>
      <c r="M23" s="128">
        <f>SUMIF('计算过程-数据汇总'!$A:$A,'维护-日期'!K2,'计算过程-数据汇总'!$AA:$AA)</f>
        <v>0</v>
      </c>
      <c r="N23" s="128">
        <f>SUMIF('计算过程-数据汇总'!$A:$A,'维护-日期'!L2,'计算过程-数据汇总'!$AA:$AA)</f>
        <v>0</v>
      </c>
      <c r="O23" s="128">
        <f>SUMIF('计算过程-数据汇总'!$A:$A,'维护-日期'!M2,'计算过程-数据汇总'!$AA:$AA)</f>
        <v>0</v>
      </c>
      <c r="P23" s="128">
        <f>SUMIF('计算过程-数据汇总'!$A:$A,'维护-日期'!N2,'计算过程-数据汇总'!$AA:$AA)</f>
        <v>0</v>
      </c>
      <c r="Q23" s="128">
        <f>SUMIF('计算过程-数据汇总'!$A:$A,'维护-日期'!O2,'计算过程-数据汇总'!$AA:$AA)</f>
        <v>0</v>
      </c>
      <c r="R23" s="128">
        <f>SUMIF('计算过程-数据汇总'!$A:$A,'维护-日期'!P2,'计算过程-数据汇总'!$AA:$AA)</f>
        <v>0</v>
      </c>
      <c r="S23" s="128">
        <f>SUMIF('计算过程-数据汇总'!$A:$A,'维护-日期'!Q2,'计算过程-数据汇总'!$AA:$AA)</f>
        <v>0</v>
      </c>
      <c r="T23" s="128">
        <f>SUMIF('计算过程-数据汇总'!$A:$A,'维护-日期'!R2,'计算过程-数据汇总'!$AA:$AA)</f>
        <v>0</v>
      </c>
      <c r="U23" s="128">
        <f>SUMIF('计算过程-数据汇总'!$A:$A,'维护-日期'!S2,'计算过程-数据汇总'!$AA:$AA)</f>
        <v>0</v>
      </c>
      <c r="V23" s="128">
        <f>SUMIF('计算过程-数据汇总'!$A:$A,'维护-日期'!T2,'计算过程-数据汇总'!$AA:$AA)</f>
        <v>0</v>
      </c>
      <c r="W23" s="128">
        <f>SUMIF('计算过程-数据汇总'!$A:$A,'维护-日期'!U2,'计算过程-数据汇总'!$AA:$AA)</f>
        <v>0</v>
      </c>
      <c r="X23" s="128">
        <f>SUMIF('计算过程-数据汇总'!$A:$A,'维护-日期'!V2,'计算过程-数据汇总'!$AA:$AA)</f>
        <v>0</v>
      </c>
      <c r="Y23" s="128">
        <f>SUMIF('计算过程-数据汇总'!$A:$A,'维护-日期'!W2,'计算过程-数据汇总'!$AA:$AA)</f>
        <v>0</v>
      </c>
      <c r="Z23" s="128">
        <f>SUMIF('计算过程-数据汇总'!$A:$A,'维护-日期'!X2,'计算过程-数据汇总'!$AA:$AA)</f>
        <v>0</v>
      </c>
      <c r="AA23" s="128">
        <f>SUMIF('计算过程-数据汇总'!$A:$A,'维护-日期'!Y2,'计算过程-数据汇总'!$AA:$AA)</f>
        <v>0</v>
      </c>
      <c r="AB23" s="128">
        <f>SUMIF('计算过程-数据汇总'!$A:$A,'维护-日期'!Z2,'计算过程-数据汇总'!$AA:$AA)</f>
        <v>0</v>
      </c>
      <c r="AC23" s="128">
        <f>SUMIF('计算过程-数据汇总'!$A:$A,'维护-日期'!AA2,'计算过程-数据汇总'!$AA:$AA)</f>
        <v>0</v>
      </c>
      <c r="AD23" s="128">
        <f>SUMIF('计算过程-数据汇总'!$A:$A,'维护-日期'!AB2,'计算过程-数据汇总'!$AA:$AA)</f>
        <v>0</v>
      </c>
      <c r="AE23" s="128">
        <f>SUMIF('计算过程-数据汇总'!$A:$A,'维护-日期'!AC2,'计算过程-数据汇总'!$AA:$AA)</f>
        <v>0</v>
      </c>
      <c r="AF23" s="128">
        <f>SUMIF('计算过程-数据汇总'!$A:$A,'维护-日期'!AD2,'计算过程-数据汇总'!$AA:$AA)</f>
        <v>0</v>
      </c>
      <c r="AG23" s="128">
        <f>SUMIF('计算过程-数据汇总'!$A:$A,'维护-日期'!AE2,'计算过程-数据汇总'!$AA:$AA)</f>
        <v>0</v>
      </c>
      <c r="AH23" s="128">
        <f>SUMIF('计算过程-数据汇总'!$A:$A,'维护-日期'!AF2,'计算过程-数据汇总'!$AA:$AA)</f>
        <v>0</v>
      </c>
    </row>
    <row r="24" spans="2:34">
      <c r="B24" s="105" t="str">
        <f>'计算过程-数据汇总'!AD1</f>
        <v>年度挂牌策略电费变动（元）</v>
      </c>
      <c r="C24" s="127">
        <f t="shared" si="6"/>
        <v>0</v>
      </c>
      <c r="D24" s="128">
        <f>SUMIF('计算过程-数据汇总'!$A:$A,'维护-日期'!B2,'计算过程-数据汇总'!$AD:$AD)</f>
        <v>0</v>
      </c>
      <c r="E24" s="128">
        <f>SUMIF('计算过程-数据汇总'!$A:$A,'维护-日期'!C2,'计算过程-数据汇总'!$AD:$AD)</f>
        <v>0</v>
      </c>
      <c r="F24" s="128">
        <f>SUMIF('计算过程-数据汇总'!$A:$A,'维护-日期'!D2,'计算过程-数据汇总'!$AD:$AD)</f>
        <v>0</v>
      </c>
      <c r="G24" s="128">
        <f>SUMIF('计算过程-数据汇总'!$A:$A,'维护-日期'!E2,'计算过程-数据汇总'!$AD:$AD)</f>
        <v>0</v>
      </c>
      <c r="H24" s="128">
        <f>SUMIF('计算过程-数据汇总'!$A:$A,'维护-日期'!F2,'计算过程-数据汇总'!$AD:$AD)</f>
        <v>0</v>
      </c>
      <c r="I24" s="128">
        <f>SUMIF('计算过程-数据汇总'!$A:$A,'维护-日期'!G2,'计算过程-数据汇总'!$AD:$AD)</f>
        <v>0</v>
      </c>
      <c r="J24" s="128">
        <f>SUMIF('计算过程-数据汇总'!$A:$A,'维护-日期'!H2,'计算过程-数据汇总'!$AD:$AD)</f>
        <v>0</v>
      </c>
      <c r="K24" s="128">
        <f>SUMIF('计算过程-数据汇总'!$A:$A,'维护-日期'!I2,'计算过程-数据汇总'!$AD:$AD)</f>
        <v>0</v>
      </c>
      <c r="L24" s="128">
        <f>SUMIF('计算过程-数据汇总'!$A:$A,'维护-日期'!J2,'计算过程-数据汇总'!$AD:$AD)</f>
        <v>0</v>
      </c>
      <c r="M24" s="128">
        <f>SUMIF('计算过程-数据汇总'!$A:$A,'维护-日期'!K2,'计算过程-数据汇总'!$AD:$AD)</f>
        <v>0</v>
      </c>
      <c r="N24" s="128">
        <f>SUMIF('计算过程-数据汇总'!$A:$A,'维护-日期'!L2,'计算过程-数据汇总'!$AD:$AD)</f>
        <v>0</v>
      </c>
      <c r="O24" s="128">
        <f>SUMIF('计算过程-数据汇总'!$A:$A,'维护-日期'!M2,'计算过程-数据汇总'!$AD:$AD)</f>
        <v>0</v>
      </c>
      <c r="P24" s="128">
        <f>SUMIF('计算过程-数据汇总'!$A:$A,'维护-日期'!N2,'计算过程-数据汇总'!$AD:$AD)</f>
        <v>0</v>
      </c>
      <c r="Q24" s="128">
        <f>SUMIF('计算过程-数据汇总'!$A:$A,'维护-日期'!O2,'计算过程-数据汇总'!$AD:$AD)</f>
        <v>0</v>
      </c>
      <c r="R24" s="128">
        <f>SUMIF('计算过程-数据汇总'!$A:$A,'维护-日期'!P2,'计算过程-数据汇总'!$AD:$AD)</f>
        <v>0</v>
      </c>
      <c r="S24" s="128">
        <f>SUMIF('计算过程-数据汇总'!$A:$A,'维护-日期'!Q2,'计算过程-数据汇总'!$AD:$AD)</f>
        <v>0</v>
      </c>
      <c r="T24" s="128">
        <f>SUMIF('计算过程-数据汇总'!$A:$A,'维护-日期'!R2,'计算过程-数据汇总'!$AD:$AD)</f>
        <v>0</v>
      </c>
      <c r="U24" s="128">
        <f>SUMIF('计算过程-数据汇总'!$A:$A,'维护-日期'!S2,'计算过程-数据汇总'!$AD:$AD)</f>
        <v>0</v>
      </c>
      <c r="V24" s="128">
        <f>SUMIF('计算过程-数据汇总'!$A:$A,'维护-日期'!T2,'计算过程-数据汇总'!$AD:$AD)</f>
        <v>0</v>
      </c>
      <c r="W24" s="128">
        <f>SUMIF('计算过程-数据汇总'!$A:$A,'维护-日期'!U2,'计算过程-数据汇总'!$AD:$AD)</f>
        <v>0</v>
      </c>
      <c r="X24" s="128">
        <f>SUMIF('计算过程-数据汇总'!$A:$A,'维护-日期'!V2,'计算过程-数据汇总'!$AD:$AD)</f>
        <v>0</v>
      </c>
      <c r="Y24" s="128">
        <f>SUMIF('计算过程-数据汇总'!$A:$A,'维护-日期'!W2,'计算过程-数据汇总'!$AD:$AD)</f>
        <v>0</v>
      </c>
      <c r="Z24" s="128">
        <f>SUMIF('计算过程-数据汇总'!$A:$A,'维护-日期'!X2,'计算过程-数据汇总'!$AD:$AD)</f>
        <v>0</v>
      </c>
      <c r="AA24" s="128">
        <f>SUMIF('计算过程-数据汇总'!$A:$A,'维护-日期'!Y2,'计算过程-数据汇总'!$AD:$AD)</f>
        <v>0</v>
      </c>
      <c r="AB24" s="128">
        <f>SUMIF('计算过程-数据汇总'!$A:$A,'维护-日期'!Z2,'计算过程-数据汇总'!$AD:$AD)</f>
        <v>0</v>
      </c>
      <c r="AC24" s="128">
        <f>SUMIF('计算过程-数据汇总'!$A:$A,'维护-日期'!AA2,'计算过程-数据汇总'!$AD:$AD)</f>
        <v>0</v>
      </c>
      <c r="AD24" s="128">
        <f>SUMIF('计算过程-数据汇总'!$A:$A,'维护-日期'!AB2,'计算过程-数据汇总'!$AD:$AD)</f>
        <v>0</v>
      </c>
      <c r="AE24" s="128">
        <f>SUMIF('计算过程-数据汇总'!$A:$A,'维护-日期'!AC2,'计算过程-数据汇总'!$AD:$AD)</f>
        <v>0</v>
      </c>
      <c r="AF24" s="128">
        <f>SUMIF('计算过程-数据汇总'!$A:$A,'维护-日期'!AD2,'计算过程-数据汇总'!$AD:$AD)</f>
        <v>0</v>
      </c>
      <c r="AG24" s="128">
        <f>SUMIF('计算过程-数据汇总'!$A:$A,'维护-日期'!AE2,'计算过程-数据汇总'!$AD:$AD)</f>
        <v>0</v>
      </c>
      <c r="AH24" s="128">
        <f>SUMIF('计算过程-数据汇总'!$A:$A,'维护-日期'!AF2,'计算过程-数据汇总'!$AD:$AD)</f>
        <v>0</v>
      </c>
    </row>
    <row r="25" spans="2:34">
      <c r="B25" s="105" t="str">
        <f>'计算过程-数据汇总'!AG1</f>
        <v>年度集中竞争策略电费变动（元）</v>
      </c>
      <c r="C25" s="127">
        <f t="shared" si="6"/>
        <v>0</v>
      </c>
      <c r="D25" s="128">
        <f>SUMIF('计算过程-数据汇总'!$A:$A,'维护-日期'!B2,'计算过程-数据汇总'!$AG:$AG)</f>
        <v>0</v>
      </c>
      <c r="E25" s="128">
        <f>SUMIF('计算过程-数据汇总'!$A:$A,'维护-日期'!C2,'计算过程-数据汇总'!$AG:$AG)</f>
        <v>0</v>
      </c>
      <c r="F25" s="128">
        <f>SUMIF('计算过程-数据汇总'!$A:$A,'维护-日期'!D2,'计算过程-数据汇总'!$AG:$AG)</f>
        <v>0</v>
      </c>
      <c r="G25" s="128">
        <f>SUMIF('计算过程-数据汇总'!$A:$A,'维护-日期'!E2,'计算过程-数据汇总'!$AG:$AG)</f>
        <v>0</v>
      </c>
      <c r="H25" s="128">
        <f>SUMIF('计算过程-数据汇总'!$A:$A,'维护-日期'!F2,'计算过程-数据汇总'!$AG:$AG)</f>
        <v>0</v>
      </c>
      <c r="I25" s="128">
        <f>SUMIF('计算过程-数据汇总'!$A:$A,'维护-日期'!G2,'计算过程-数据汇总'!$AG:$AG)</f>
        <v>0</v>
      </c>
      <c r="J25" s="128">
        <f>SUMIF('计算过程-数据汇总'!$A:$A,'维护-日期'!H2,'计算过程-数据汇总'!$AG:$AG)</f>
        <v>0</v>
      </c>
      <c r="K25" s="128">
        <f>SUMIF('计算过程-数据汇总'!$A:$A,'维护-日期'!I2,'计算过程-数据汇总'!$AG:$AG)</f>
        <v>0</v>
      </c>
      <c r="L25" s="128">
        <f>SUMIF('计算过程-数据汇总'!$A:$A,'维护-日期'!J2,'计算过程-数据汇总'!$AG:$AG)</f>
        <v>0</v>
      </c>
      <c r="M25" s="128">
        <f>SUMIF('计算过程-数据汇总'!$A:$A,'维护-日期'!K2,'计算过程-数据汇总'!$AG:$AG)</f>
        <v>0</v>
      </c>
      <c r="N25" s="128">
        <f>SUMIF('计算过程-数据汇总'!$A:$A,'维护-日期'!L2,'计算过程-数据汇总'!$AG:$AG)</f>
        <v>0</v>
      </c>
      <c r="O25" s="128">
        <f>SUMIF('计算过程-数据汇总'!$A:$A,'维护-日期'!M2,'计算过程-数据汇总'!$AG:$AG)</f>
        <v>0</v>
      </c>
      <c r="P25" s="128">
        <f>SUMIF('计算过程-数据汇总'!$A:$A,'维护-日期'!N2,'计算过程-数据汇总'!$AG:$AG)</f>
        <v>0</v>
      </c>
      <c r="Q25" s="128">
        <f>SUMIF('计算过程-数据汇总'!$A:$A,'维护-日期'!O2,'计算过程-数据汇总'!$AG:$AG)</f>
        <v>0</v>
      </c>
      <c r="R25" s="128">
        <f>SUMIF('计算过程-数据汇总'!$A:$A,'维护-日期'!P2,'计算过程-数据汇总'!$AG:$AG)</f>
        <v>0</v>
      </c>
      <c r="S25" s="128">
        <f>SUMIF('计算过程-数据汇总'!$A:$A,'维护-日期'!Q2,'计算过程-数据汇总'!$AG:$AG)</f>
        <v>0</v>
      </c>
      <c r="T25" s="128">
        <f>SUMIF('计算过程-数据汇总'!$A:$A,'维护-日期'!R2,'计算过程-数据汇总'!$AG:$AG)</f>
        <v>0</v>
      </c>
      <c r="U25" s="128">
        <f>SUMIF('计算过程-数据汇总'!$A:$A,'维护-日期'!S2,'计算过程-数据汇总'!$AG:$AG)</f>
        <v>0</v>
      </c>
      <c r="V25" s="128">
        <f>SUMIF('计算过程-数据汇总'!$A:$A,'维护-日期'!T2,'计算过程-数据汇总'!$AG:$AG)</f>
        <v>0</v>
      </c>
      <c r="W25" s="128">
        <f>SUMIF('计算过程-数据汇总'!$A:$A,'维护-日期'!U2,'计算过程-数据汇总'!$AG:$AG)</f>
        <v>0</v>
      </c>
      <c r="X25" s="128">
        <f>SUMIF('计算过程-数据汇总'!$A:$A,'维护-日期'!V2,'计算过程-数据汇总'!$AG:$AG)</f>
        <v>0</v>
      </c>
      <c r="Y25" s="128">
        <f>SUMIF('计算过程-数据汇总'!$A:$A,'维护-日期'!W2,'计算过程-数据汇总'!$AG:$AG)</f>
        <v>0</v>
      </c>
      <c r="Z25" s="128">
        <f>SUMIF('计算过程-数据汇总'!$A:$A,'维护-日期'!X2,'计算过程-数据汇总'!$AG:$AG)</f>
        <v>0</v>
      </c>
      <c r="AA25" s="128">
        <f>SUMIF('计算过程-数据汇总'!$A:$A,'维护-日期'!Y2,'计算过程-数据汇总'!$AG:$AG)</f>
        <v>0</v>
      </c>
      <c r="AB25" s="128">
        <f>SUMIF('计算过程-数据汇总'!$A:$A,'维护-日期'!Z2,'计算过程-数据汇总'!$AG:$AG)</f>
        <v>0</v>
      </c>
      <c r="AC25" s="128">
        <f>SUMIF('计算过程-数据汇总'!$A:$A,'维护-日期'!AA2,'计算过程-数据汇总'!$AG:$AG)</f>
        <v>0</v>
      </c>
      <c r="AD25" s="128">
        <f>SUMIF('计算过程-数据汇总'!$A:$A,'维护-日期'!AB2,'计算过程-数据汇总'!$AG:$AG)</f>
        <v>0</v>
      </c>
      <c r="AE25" s="128">
        <f>SUMIF('计算过程-数据汇总'!$A:$A,'维护-日期'!AC2,'计算过程-数据汇总'!$AG:$AG)</f>
        <v>0</v>
      </c>
      <c r="AF25" s="128">
        <f>SUMIF('计算过程-数据汇总'!$A:$A,'维护-日期'!AD2,'计算过程-数据汇总'!$AG:$AG)</f>
        <v>0</v>
      </c>
      <c r="AG25" s="128">
        <f>SUMIF('计算过程-数据汇总'!$A:$A,'维护-日期'!AE2,'计算过程-数据汇总'!$AG:$AG)</f>
        <v>0</v>
      </c>
      <c r="AH25" s="128">
        <f>SUMIF('计算过程-数据汇总'!$A:$A,'维护-日期'!AF2,'计算过程-数据汇总'!$AG:$AG)</f>
        <v>0</v>
      </c>
    </row>
    <row r="26" spans="2:34">
      <c r="B26" s="105" t="str">
        <f>'计算过程-数据汇总'!AJ1</f>
        <v>年度绿电双边策略电费变动（元）</v>
      </c>
      <c r="C26" s="127">
        <f t="shared" si="6"/>
        <v>0</v>
      </c>
      <c r="D26" s="128">
        <f>SUMIF('计算过程-数据汇总'!$A:$A,'维护-日期'!B2,'计算过程-数据汇总'!$AJ:$AJ)</f>
        <v>0</v>
      </c>
      <c r="E26" s="128">
        <f>SUMIF('计算过程-数据汇总'!$A:$A,'维护-日期'!C2,'计算过程-数据汇总'!$AJ:$AJ)</f>
        <v>0</v>
      </c>
      <c r="F26" s="128">
        <f>SUMIF('计算过程-数据汇总'!$A:$A,'维护-日期'!D2,'计算过程-数据汇总'!$AJ:$AJ)</f>
        <v>0</v>
      </c>
      <c r="G26" s="128">
        <f>SUMIF('计算过程-数据汇总'!$A:$A,'维护-日期'!E2,'计算过程-数据汇总'!$AJ:$AJ)</f>
        <v>0</v>
      </c>
      <c r="H26" s="128">
        <f>SUMIF('计算过程-数据汇总'!$A:$A,'维护-日期'!F2,'计算过程-数据汇总'!$AJ:$AJ)</f>
        <v>0</v>
      </c>
      <c r="I26" s="128">
        <f>SUMIF('计算过程-数据汇总'!$A:$A,'维护-日期'!G2,'计算过程-数据汇总'!$AJ:$AJ)</f>
        <v>0</v>
      </c>
      <c r="J26" s="128">
        <f>SUMIF('计算过程-数据汇总'!$A:$A,'维护-日期'!H2,'计算过程-数据汇总'!$AJ:$AJ)</f>
        <v>0</v>
      </c>
      <c r="K26" s="128">
        <f>SUMIF('计算过程-数据汇总'!$A:$A,'维护-日期'!I2,'计算过程-数据汇总'!$AJ:$AJ)</f>
        <v>0</v>
      </c>
      <c r="L26" s="128">
        <f>SUMIF('计算过程-数据汇总'!$A:$A,'维护-日期'!J2,'计算过程-数据汇总'!$AJ:$AJ)</f>
        <v>0</v>
      </c>
      <c r="M26" s="128">
        <f>SUMIF('计算过程-数据汇总'!$A:$A,'维护-日期'!K2,'计算过程-数据汇总'!$AJ:$AJ)</f>
        <v>0</v>
      </c>
      <c r="N26" s="128">
        <f>SUMIF('计算过程-数据汇总'!$A:$A,'维护-日期'!L2,'计算过程-数据汇总'!$AJ:$AJ)</f>
        <v>0</v>
      </c>
      <c r="O26" s="128">
        <f>SUMIF('计算过程-数据汇总'!$A:$A,'维护-日期'!M2,'计算过程-数据汇总'!$AJ:$AJ)</f>
        <v>0</v>
      </c>
      <c r="P26" s="128">
        <f>SUMIF('计算过程-数据汇总'!$A:$A,'维护-日期'!N2,'计算过程-数据汇总'!$AJ:$AJ)</f>
        <v>0</v>
      </c>
      <c r="Q26" s="128">
        <f>SUMIF('计算过程-数据汇总'!$A:$A,'维护-日期'!O2,'计算过程-数据汇总'!$AJ:$AJ)</f>
        <v>0</v>
      </c>
      <c r="R26" s="128">
        <f>SUMIF('计算过程-数据汇总'!$A:$A,'维护-日期'!P2,'计算过程-数据汇总'!$AJ:$AJ)</f>
        <v>0</v>
      </c>
      <c r="S26" s="128">
        <f>SUMIF('计算过程-数据汇总'!$A:$A,'维护-日期'!Q2,'计算过程-数据汇总'!$AJ:$AJ)</f>
        <v>0</v>
      </c>
      <c r="T26" s="128">
        <f>SUMIF('计算过程-数据汇总'!$A:$A,'维护-日期'!R2,'计算过程-数据汇总'!$AJ:$AJ)</f>
        <v>0</v>
      </c>
      <c r="U26" s="128">
        <f>SUMIF('计算过程-数据汇总'!$A:$A,'维护-日期'!S2,'计算过程-数据汇总'!$AJ:$AJ)</f>
        <v>0</v>
      </c>
      <c r="V26" s="128">
        <f>SUMIF('计算过程-数据汇总'!$A:$A,'维护-日期'!T2,'计算过程-数据汇总'!$AJ:$AJ)</f>
        <v>0</v>
      </c>
      <c r="W26" s="128">
        <f>SUMIF('计算过程-数据汇总'!$A:$A,'维护-日期'!U2,'计算过程-数据汇总'!$AJ:$AJ)</f>
        <v>0</v>
      </c>
      <c r="X26" s="128">
        <f>SUMIF('计算过程-数据汇总'!$A:$A,'维护-日期'!V2,'计算过程-数据汇总'!$AJ:$AJ)</f>
        <v>0</v>
      </c>
      <c r="Y26" s="128">
        <f>SUMIF('计算过程-数据汇总'!$A:$A,'维护-日期'!W2,'计算过程-数据汇总'!$AJ:$AJ)</f>
        <v>0</v>
      </c>
      <c r="Z26" s="128">
        <f>SUMIF('计算过程-数据汇总'!$A:$A,'维护-日期'!X2,'计算过程-数据汇总'!$AJ:$AJ)</f>
        <v>0</v>
      </c>
      <c r="AA26" s="128">
        <f>SUMIF('计算过程-数据汇总'!$A:$A,'维护-日期'!Y2,'计算过程-数据汇总'!$AJ:$AJ)</f>
        <v>0</v>
      </c>
      <c r="AB26" s="128">
        <f>SUMIF('计算过程-数据汇总'!$A:$A,'维护-日期'!Z2,'计算过程-数据汇总'!$AJ:$AJ)</f>
        <v>0</v>
      </c>
      <c r="AC26" s="128">
        <f>SUMIF('计算过程-数据汇总'!$A:$A,'维护-日期'!AA2,'计算过程-数据汇总'!$AJ:$AJ)</f>
        <v>0</v>
      </c>
      <c r="AD26" s="128">
        <f>SUMIF('计算过程-数据汇总'!$A:$A,'维护-日期'!AB2,'计算过程-数据汇总'!$AJ:$AJ)</f>
        <v>0</v>
      </c>
      <c r="AE26" s="128">
        <f>SUMIF('计算过程-数据汇总'!$A:$A,'维护-日期'!AC2,'计算过程-数据汇总'!$AJ:$AJ)</f>
        <v>0</v>
      </c>
      <c r="AF26" s="128">
        <f>SUMIF('计算过程-数据汇总'!$A:$A,'维护-日期'!AD2,'计算过程-数据汇总'!$AJ:$AJ)</f>
        <v>0</v>
      </c>
      <c r="AG26" s="128">
        <f>SUMIF('计算过程-数据汇总'!$A:$A,'维护-日期'!AE2,'计算过程-数据汇总'!$AJ:$AJ)</f>
        <v>0</v>
      </c>
      <c r="AH26" s="128">
        <f>SUMIF('计算过程-数据汇总'!$A:$A,'维护-日期'!AF2,'计算过程-数据汇总'!$AJ:$AJ)</f>
        <v>0</v>
      </c>
    </row>
    <row r="27" spans="2:34">
      <c r="B27" s="105" t="str">
        <f>'计算过程-数据汇总'!AM1</f>
        <v>多月连续集中策略电费变动（元）</v>
      </c>
      <c r="C27" s="127">
        <f t="shared" si="6"/>
        <v>0</v>
      </c>
      <c r="D27" s="128">
        <f>SUMIF('计算过程-数据汇总'!$A:$A,'维护-日期'!B2,'计算过程-数据汇总'!$AM:$AM)</f>
        <v>0</v>
      </c>
      <c r="E27" s="128">
        <f>SUMIF('计算过程-数据汇总'!$A:$A,'维护-日期'!C2,'计算过程-数据汇总'!$AM:$AM)</f>
        <v>0</v>
      </c>
      <c r="F27" s="128">
        <f>SUMIF('计算过程-数据汇总'!$A:$A,'维护-日期'!D2,'计算过程-数据汇总'!$AM:$AM)</f>
        <v>0</v>
      </c>
      <c r="G27" s="128">
        <f>SUMIF('计算过程-数据汇总'!$A:$A,'维护-日期'!E2,'计算过程-数据汇总'!$AM:$AM)</f>
        <v>0</v>
      </c>
      <c r="H27" s="128">
        <f>SUMIF('计算过程-数据汇总'!$A:$A,'维护-日期'!F2,'计算过程-数据汇总'!$AM:$AM)</f>
        <v>0</v>
      </c>
      <c r="I27" s="128">
        <f>SUMIF('计算过程-数据汇总'!$A:$A,'维护-日期'!G2,'计算过程-数据汇总'!$AM:$AM)</f>
        <v>0</v>
      </c>
      <c r="J27" s="128">
        <f>SUMIF('计算过程-数据汇总'!$A:$A,'维护-日期'!H2,'计算过程-数据汇总'!$AM:$AM)</f>
        <v>0</v>
      </c>
      <c r="K27" s="128">
        <f>SUMIF('计算过程-数据汇总'!$A:$A,'维护-日期'!I2,'计算过程-数据汇总'!$AM:$AM)</f>
        <v>0</v>
      </c>
      <c r="L27" s="128">
        <f>SUMIF('计算过程-数据汇总'!$A:$A,'维护-日期'!J2,'计算过程-数据汇总'!$AM:$AM)</f>
        <v>0</v>
      </c>
      <c r="M27" s="128">
        <f>SUMIF('计算过程-数据汇总'!$A:$A,'维护-日期'!K2,'计算过程-数据汇总'!$AM:$AM)</f>
        <v>0</v>
      </c>
      <c r="N27" s="128">
        <f>SUMIF('计算过程-数据汇总'!$A:$A,'维护-日期'!L2,'计算过程-数据汇总'!$AM:$AM)</f>
        <v>0</v>
      </c>
      <c r="O27" s="128">
        <f>SUMIF('计算过程-数据汇总'!$A:$A,'维护-日期'!M2,'计算过程-数据汇总'!$AM:$AM)</f>
        <v>0</v>
      </c>
      <c r="P27" s="128">
        <f>SUMIF('计算过程-数据汇总'!$A:$A,'维护-日期'!N2,'计算过程-数据汇总'!$AM:$AM)</f>
        <v>0</v>
      </c>
      <c r="Q27" s="128">
        <f>SUMIF('计算过程-数据汇总'!$A:$A,'维护-日期'!O2,'计算过程-数据汇总'!$AM:$AM)</f>
        <v>0</v>
      </c>
      <c r="R27" s="128">
        <f>SUMIF('计算过程-数据汇总'!$A:$A,'维护-日期'!P2,'计算过程-数据汇总'!$AM:$AM)</f>
        <v>0</v>
      </c>
      <c r="S27" s="128">
        <f>SUMIF('计算过程-数据汇总'!$A:$A,'维护-日期'!Q2,'计算过程-数据汇总'!$AM:$AM)</f>
        <v>0</v>
      </c>
      <c r="T27" s="128">
        <f>SUMIF('计算过程-数据汇总'!$A:$A,'维护-日期'!R2,'计算过程-数据汇总'!$AM:$AM)</f>
        <v>0</v>
      </c>
      <c r="U27" s="128">
        <f>SUMIF('计算过程-数据汇总'!$A:$A,'维护-日期'!S2,'计算过程-数据汇总'!$AM:$AM)</f>
        <v>0</v>
      </c>
      <c r="V27" s="128">
        <f>SUMIF('计算过程-数据汇总'!$A:$A,'维护-日期'!T2,'计算过程-数据汇总'!$AM:$AM)</f>
        <v>0</v>
      </c>
      <c r="W27" s="128">
        <f>SUMIF('计算过程-数据汇总'!$A:$A,'维护-日期'!U2,'计算过程-数据汇总'!$AM:$AM)</f>
        <v>0</v>
      </c>
      <c r="X27" s="128">
        <f>SUMIF('计算过程-数据汇总'!$A:$A,'维护-日期'!V2,'计算过程-数据汇总'!$AM:$AM)</f>
        <v>0</v>
      </c>
      <c r="Y27" s="128">
        <f>SUMIF('计算过程-数据汇总'!$A:$A,'维护-日期'!W2,'计算过程-数据汇总'!$AM:$AM)</f>
        <v>0</v>
      </c>
      <c r="Z27" s="128">
        <f>SUMIF('计算过程-数据汇总'!$A:$A,'维护-日期'!X2,'计算过程-数据汇总'!$AM:$AM)</f>
        <v>0</v>
      </c>
      <c r="AA27" s="128">
        <f>SUMIF('计算过程-数据汇总'!$A:$A,'维护-日期'!Y2,'计算过程-数据汇总'!$AM:$AM)</f>
        <v>0</v>
      </c>
      <c r="AB27" s="128">
        <f>SUMIF('计算过程-数据汇总'!$A:$A,'维护-日期'!Z2,'计算过程-数据汇总'!$AM:$AM)</f>
        <v>0</v>
      </c>
      <c r="AC27" s="128">
        <f>SUMIF('计算过程-数据汇总'!$A:$A,'维护-日期'!AA2,'计算过程-数据汇总'!$AM:$AM)</f>
        <v>0</v>
      </c>
      <c r="AD27" s="128">
        <f>SUMIF('计算过程-数据汇总'!$A:$A,'维护-日期'!AB2,'计算过程-数据汇总'!$AM:$AM)</f>
        <v>0</v>
      </c>
      <c r="AE27" s="128">
        <f>SUMIF('计算过程-数据汇总'!$A:$A,'维护-日期'!AC2,'计算过程-数据汇总'!$AM:$AM)</f>
        <v>0</v>
      </c>
      <c r="AF27" s="128">
        <f>SUMIF('计算过程-数据汇总'!$A:$A,'维护-日期'!AD2,'计算过程-数据汇总'!$AM:$AM)</f>
        <v>0</v>
      </c>
      <c r="AG27" s="128">
        <f>SUMIF('计算过程-数据汇总'!$A:$A,'维护-日期'!AE2,'计算过程-数据汇总'!$AM:$AM)</f>
        <v>0</v>
      </c>
      <c r="AH27" s="128">
        <f>SUMIF('计算过程-数据汇总'!$A:$A,'维护-日期'!AF2,'计算过程-数据汇总'!$AM:$AM)</f>
        <v>0</v>
      </c>
    </row>
    <row r="28" spans="2:34">
      <c r="B28" s="105" t="str">
        <f>'计算过程-数据汇总'!AP1</f>
        <v>月度跨省外送策略电费变动（元）</v>
      </c>
      <c r="C28" s="127">
        <f t="shared" si="6"/>
        <v>0</v>
      </c>
      <c r="D28" s="128">
        <f>SUMIF('计算过程-数据汇总'!$A:$A,'维护-日期'!B2,'计算过程-数据汇总'!$AP:$AP)</f>
        <v>0</v>
      </c>
      <c r="E28" s="128">
        <f>SUMIF('计算过程-数据汇总'!$A:$A,'维护-日期'!C2,'计算过程-数据汇总'!$AP:$AP)</f>
        <v>0</v>
      </c>
      <c r="F28" s="128">
        <f>SUMIF('计算过程-数据汇总'!$A:$A,'维护-日期'!D2,'计算过程-数据汇总'!$AP:$AP)</f>
        <v>0</v>
      </c>
      <c r="G28" s="128">
        <f>SUMIF('计算过程-数据汇总'!$A:$A,'维护-日期'!E2,'计算过程-数据汇总'!$AP:$AP)</f>
        <v>0</v>
      </c>
      <c r="H28" s="128">
        <f>SUMIF('计算过程-数据汇总'!$A:$A,'维护-日期'!F2,'计算过程-数据汇总'!$AP:$AP)</f>
        <v>0</v>
      </c>
      <c r="I28" s="128">
        <f>SUMIF('计算过程-数据汇总'!$A:$A,'维护-日期'!G2,'计算过程-数据汇总'!$AP:$AP)</f>
        <v>0</v>
      </c>
      <c r="J28" s="128">
        <f>SUMIF('计算过程-数据汇总'!$A:$A,'维护-日期'!H2,'计算过程-数据汇总'!$AP:$AP)</f>
        <v>0</v>
      </c>
      <c r="K28" s="128">
        <f>SUMIF('计算过程-数据汇总'!$A:$A,'维护-日期'!I2,'计算过程-数据汇总'!$AP:$AP)</f>
        <v>0</v>
      </c>
      <c r="L28" s="128">
        <f>SUMIF('计算过程-数据汇总'!$A:$A,'维护-日期'!J2,'计算过程-数据汇总'!$AP:$AP)</f>
        <v>0</v>
      </c>
      <c r="M28" s="128">
        <f>SUMIF('计算过程-数据汇总'!$A:$A,'维护-日期'!K2,'计算过程-数据汇总'!$AP:$AP)</f>
        <v>0</v>
      </c>
      <c r="N28" s="128">
        <f>SUMIF('计算过程-数据汇总'!$A:$A,'维护-日期'!L2,'计算过程-数据汇总'!$AP:$AP)</f>
        <v>0</v>
      </c>
      <c r="O28" s="128">
        <f>SUMIF('计算过程-数据汇总'!$A:$A,'维护-日期'!M2,'计算过程-数据汇总'!$AP:$AP)</f>
        <v>0</v>
      </c>
      <c r="P28" s="128">
        <f>SUMIF('计算过程-数据汇总'!$A:$A,'维护-日期'!N2,'计算过程-数据汇总'!$AP:$AP)</f>
        <v>0</v>
      </c>
      <c r="Q28" s="128">
        <f>SUMIF('计算过程-数据汇总'!$A:$A,'维护-日期'!O2,'计算过程-数据汇总'!$AP:$AP)</f>
        <v>0</v>
      </c>
      <c r="R28" s="128">
        <f>SUMIF('计算过程-数据汇总'!$A:$A,'维护-日期'!P2,'计算过程-数据汇总'!$AP:$AP)</f>
        <v>0</v>
      </c>
      <c r="S28" s="128">
        <f>SUMIF('计算过程-数据汇总'!$A:$A,'维护-日期'!Q2,'计算过程-数据汇总'!$AP:$AP)</f>
        <v>0</v>
      </c>
      <c r="T28" s="128">
        <f>SUMIF('计算过程-数据汇总'!$A:$A,'维护-日期'!R2,'计算过程-数据汇总'!$AP:$AP)</f>
        <v>0</v>
      </c>
      <c r="U28" s="128">
        <f>SUMIF('计算过程-数据汇总'!$A:$A,'维护-日期'!S2,'计算过程-数据汇总'!$AP:$AP)</f>
        <v>0</v>
      </c>
      <c r="V28" s="128">
        <f>SUMIF('计算过程-数据汇总'!$A:$A,'维护-日期'!T2,'计算过程-数据汇总'!$AP:$AP)</f>
        <v>0</v>
      </c>
      <c r="W28" s="128">
        <f>SUMIF('计算过程-数据汇总'!$A:$A,'维护-日期'!U2,'计算过程-数据汇总'!$AP:$AP)</f>
        <v>0</v>
      </c>
      <c r="X28" s="128">
        <f>SUMIF('计算过程-数据汇总'!$A:$A,'维护-日期'!V2,'计算过程-数据汇总'!$AP:$AP)</f>
        <v>0</v>
      </c>
      <c r="Y28" s="128">
        <f>SUMIF('计算过程-数据汇总'!$A:$A,'维护-日期'!W2,'计算过程-数据汇总'!$AP:$AP)</f>
        <v>0</v>
      </c>
      <c r="Z28" s="128">
        <f>SUMIF('计算过程-数据汇总'!$A:$A,'维护-日期'!X2,'计算过程-数据汇总'!$AP:$AP)</f>
        <v>0</v>
      </c>
      <c r="AA28" s="128">
        <f>SUMIF('计算过程-数据汇总'!$A:$A,'维护-日期'!Y2,'计算过程-数据汇总'!$AP:$AP)</f>
        <v>0</v>
      </c>
      <c r="AB28" s="128">
        <f>SUMIF('计算过程-数据汇总'!$A:$A,'维护-日期'!Z2,'计算过程-数据汇总'!$AP:$AP)</f>
        <v>0</v>
      </c>
      <c r="AC28" s="128">
        <f>SUMIF('计算过程-数据汇总'!$A:$A,'维护-日期'!AA2,'计算过程-数据汇总'!$AP:$AP)</f>
        <v>0</v>
      </c>
      <c r="AD28" s="128">
        <f>SUMIF('计算过程-数据汇总'!$A:$A,'维护-日期'!AB2,'计算过程-数据汇总'!$AP:$AP)</f>
        <v>0</v>
      </c>
      <c r="AE28" s="128">
        <f>SUMIF('计算过程-数据汇总'!$A:$A,'维护-日期'!AC2,'计算过程-数据汇总'!$AP:$AP)</f>
        <v>0</v>
      </c>
      <c r="AF28" s="128">
        <f>SUMIF('计算过程-数据汇总'!$A:$A,'维护-日期'!AD2,'计算过程-数据汇总'!$AP:$AP)</f>
        <v>0</v>
      </c>
      <c r="AG28" s="128">
        <f>SUMIF('计算过程-数据汇总'!$A:$A,'维护-日期'!AE2,'计算过程-数据汇总'!$AP:$AP)</f>
        <v>0</v>
      </c>
      <c r="AH28" s="128">
        <f>SUMIF('计算过程-数据汇总'!$A:$A,'维护-日期'!AF2,'计算过程-数据汇总'!$AP:$AP)</f>
        <v>0</v>
      </c>
    </row>
    <row r="29" spans="2:34">
      <c r="B29" s="105" t="str">
        <f>'计算过程-数据汇总'!AS1</f>
        <v>月度双边策略电费变动（元）</v>
      </c>
      <c r="C29" s="127">
        <f t="shared" si="6"/>
        <v>0</v>
      </c>
      <c r="D29" s="128">
        <f>SUMIF('计算过程-数据汇总'!$A:$A,'维护-日期'!B2,'计算过程-数据汇总'!$AS:$AS)</f>
        <v>0</v>
      </c>
      <c r="E29" s="128">
        <f>SUMIF('计算过程-数据汇总'!$A:$A,'维护-日期'!C2,'计算过程-数据汇总'!$AS:$AS)</f>
        <v>0</v>
      </c>
      <c r="F29" s="128">
        <f>SUMIF('计算过程-数据汇总'!$A:$A,'维护-日期'!D2,'计算过程-数据汇总'!$AS:$AS)</f>
        <v>0</v>
      </c>
      <c r="G29" s="128">
        <f>SUMIF('计算过程-数据汇总'!$A:$A,'维护-日期'!E2,'计算过程-数据汇总'!$AS:$AS)</f>
        <v>0</v>
      </c>
      <c r="H29" s="128">
        <f>SUMIF('计算过程-数据汇总'!$A:$A,'维护-日期'!F2,'计算过程-数据汇总'!$AS:$AS)</f>
        <v>0</v>
      </c>
      <c r="I29" s="128">
        <f>SUMIF('计算过程-数据汇总'!$A:$A,'维护-日期'!G2,'计算过程-数据汇总'!$AS:$AS)</f>
        <v>0</v>
      </c>
      <c r="J29" s="128">
        <f>SUMIF('计算过程-数据汇总'!$A:$A,'维护-日期'!H2,'计算过程-数据汇总'!$AS:$AS)</f>
        <v>0</v>
      </c>
      <c r="K29" s="128">
        <f>SUMIF('计算过程-数据汇总'!$A:$A,'维护-日期'!I2,'计算过程-数据汇总'!$AS:$AS)</f>
        <v>0</v>
      </c>
      <c r="L29" s="128">
        <f>SUMIF('计算过程-数据汇总'!$A:$A,'维护-日期'!J2,'计算过程-数据汇总'!$AS:$AS)</f>
        <v>0</v>
      </c>
      <c r="M29" s="128">
        <f>SUMIF('计算过程-数据汇总'!$A:$A,'维护-日期'!K2,'计算过程-数据汇总'!$AS:$AS)</f>
        <v>0</v>
      </c>
      <c r="N29" s="128">
        <f>SUMIF('计算过程-数据汇总'!$A:$A,'维护-日期'!L2,'计算过程-数据汇总'!$AS:$AS)</f>
        <v>0</v>
      </c>
      <c r="O29" s="128">
        <f>SUMIF('计算过程-数据汇总'!$A:$A,'维护-日期'!M2,'计算过程-数据汇总'!$AS:$AS)</f>
        <v>0</v>
      </c>
      <c r="P29" s="128">
        <f>SUMIF('计算过程-数据汇总'!$A:$A,'维护-日期'!N2,'计算过程-数据汇总'!$AS:$AS)</f>
        <v>0</v>
      </c>
      <c r="Q29" s="128">
        <f>SUMIF('计算过程-数据汇总'!$A:$A,'维护-日期'!O2,'计算过程-数据汇总'!$AS:$AS)</f>
        <v>0</v>
      </c>
      <c r="R29" s="128">
        <f>SUMIF('计算过程-数据汇总'!$A:$A,'维护-日期'!P2,'计算过程-数据汇总'!$AS:$AS)</f>
        <v>0</v>
      </c>
      <c r="S29" s="128">
        <f>SUMIF('计算过程-数据汇总'!$A:$A,'维护-日期'!Q2,'计算过程-数据汇总'!$AS:$AS)</f>
        <v>0</v>
      </c>
      <c r="T29" s="128">
        <f>SUMIF('计算过程-数据汇总'!$A:$A,'维护-日期'!R2,'计算过程-数据汇总'!$AS:$AS)</f>
        <v>0</v>
      </c>
      <c r="U29" s="128">
        <f>SUMIF('计算过程-数据汇总'!$A:$A,'维护-日期'!S2,'计算过程-数据汇总'!$AS:$AS)</f>
        <v>0</v>
      </c>
      <c r="V29" s="128">
        <f>SUMIF('计算过程-数据汇总'!$A:$A,'维护-日期'!T2,'计算过程-数据汇总'!$AS:$AS)</f>
        <v>0</v>
      </c>
      <c r="W29" s="128">
        <f>SUMIF('计算过程-数据汇总'!$A:$A,'维护-日期'!U2,'计算过程-数据汇总'!$AS:$AS)</f>
        <v>0</v>
      </c>
      <c r="X29" s="128">
        <f>SUMIF('计算过程-数据汇总'!$A:$A,'维护-日期'!V2,'计算过程-数据汇总'!$AS:$AS)</f>
        <v>0</v>
      </c>
      <c r="Y29" s="128">
        <f>SUMIF('计算过程-数据汇总'!$A:$A,'维护-日期'!W2,'计算过程-数据汇总'!$AS:$AS)</f>
        <v>0</v>
      </c>
      <c r="Z29" s="128">
        <f>SUMIF('计算过程-数据汇总'!$A:$A,'维护-日期'!X2,'计算过程-数据汇总'!$AS:$AS)</f>
        <v>0</v>
      </c>
      <c r="AA29" s="128">
        <f>SUMIF('计算过程-数据汇总'!$A:$A,'维护-日期'!Y2,'计算过程-数据汇总'!$AS:$AS)</f>
        <v>0</v>
      </c>
      <c r="AB29" s="128">
        <f>SUMIF('计算过程-数据汇总'!$A:$A,'维护-日期'!Z2,'计算过程-数据汇总'!$AS:$AS)</f>
        <v>0</v>
      </c>
      <c r="AC29" s="128">
        <f>SUMIF('计算过程-数据汇总'!$A:$A,'维护-日期'!AA2,'计算过程-数据汇总'!$AS:$AS)</f>
        <v>0</v>
      </c>
      <c r="AD29" s="128">
        <f>SUMIF('计算过程-数据汇总'!$A:$A,'维护-日期'!AB2,'计算过程-数据汇总'!$AS:$AS)</f>
        <v>0</v>
      </c>
      <c r="AE29" s="128">
        <f>SUMIF('计算过程-数据汇总'!$A:$A,'维护-日期'!AC2,'计算过程-数据汇总'!$AS:$AS)</f>
        <v>0</v>
      </c>
      <c r="AF29" s="128">
        <f>SUMIF('计算过程-数据汇总'!$A:$A,'维护-日期'!AD2,'计算过程-数据汇总'!$AS:$AS)</f>
        <v>0</v>
      </c>
      <c r="AG29" s="128">
        <f>SUMIF('计算过程-数据汇总'!$A:$A,'维护-日期'!AE2,'计算过程-数据汇总'!$AS:$AS)</f>
        <v>0</v>
      </c>
      <c r="AH29" s="128">
        <f>SUMIF('计算过程-数据汇总'!$A:$A,'维护-日期'!AF2,'计算过程-数据汇总'!$AS:$AS)</f>
        <v>0</v>
      </c>
    </row>
    <row r="30" spans="2:34">
      <c r="B30" s="105" t="str">
        <f>'计算过程-数据汇总'!AV1</f>
        <v>月度绿电挂牌策略电费变动（元）</v>
      </c>
      <c r="C30" s="127">
        <f t="shared" si="6"/>
        <v>0</v>
      </c>
      <c r="D30" s="128">
        <f>SUMIF('计算过程-数据汇总'!$A:$A,'维护-日期'!B2,'计算过程-数据汇总'!$AV:$AV)</f>
        <v>0</v>
      </c>
      <c r="E30" s="128">
        <f>SUMIF('计算过程-数据汇总'!$A:$A,'维护-日期'!C2,'计算过程-数据汇总'!$AV:$AV)</f>
        <v>0</v>
      </c>
      <c r="F30" s="128">
        <f>SUMIF('计算过程-数据汇总'!$A:$A,'维护-日期'!D2,'计算过程-数据汇总'!$AV:$AV)</f>
        <v>0</v>
      </c>
      <c r="G30" s="128">
        <f>SUMIF('计算过程-数据汇总'!$A:$A,'维护-日期'!E2,'计算过程-数据汇总'!$AV:$AV)</f>
        <v>0</v>
      </c>
      <c r="H30" s="128">
        <f>SUMIF('计算过程-数据汇总'!$A:$A,'维护-日期'!F2,'计算过程-数据汇总'!$AV:$AV)</f>
        <v>0</v>
      </c>
      <c r="I30" s="128">
        <f>SUMIF('计算过程-数据汇总'!$A:$A,'维护-日期'!G2,'计算过程-数据汇总'!$AV:$AV)</f>
        <v>0</v>
      </c>
      <c r="J30" s="128">
        <f>SUMIF('计算过程-数据汇总'!$A:$A,'维护-日期'!H2,'计算过程-数据汇总'!$AV:$AV)</f>
        <v>0</v>
      </c>
      <c r="K30" s="128">
        <f>SUMIF('计算过程-数据汇总'!$A:$A,'维护-日期'!I2,'计算过程-数据汇总'!$AV:$AV)</f>
        <v>0</v>
      </c>
      <c r="L30" s="128">
        <f>SUMIF('计算过程-数据汇总'!$A:$A,'维护-日期'!J2,'计算过程-数据汇总'!$AV:$AV)</f>
        <v>0</v>
      </c>
      <c r="M30" s="128">
        <f>SUMIF('计算过程-数据汇总'!$A:$A,'维护-日期'!K2,'计算过程-数据汇总'!$AV:$AV)</f>
        <v>0</v>
      </c>
      <c r="N30" s="128">
        <f>SUMIF('计算过程-数据汇总'!$A:$A,'维护-日期'!L2,'计算过程-数据汇总'!$AV:$AV)</f>
        <v>0</v>
      </c>
      <c r="O30" s="128">
        <f>SUMIF('计算过程-数据汇总'!$A:$A,'维护-日期'!M2,'计算过程-数据汇总'!$AV:$AV)</f>
        <v>0</v>
      </c>
      <c r="P30" s="128">
        <f>SUMIF('计算过程-数据汇总'!$A:$A,'维护-日期'!N2,'计算过程-数据汇总'!$AV:$AV)</f>
        <v>0</v>
      </c>
      <c r="Q30" s="128">
        <f>SUMIF('计算过程-数据汇总'!$A:$A,'维护-日期'!O2,'计算过程-数据汇总'!$AV:$AV)</f>
        <v>0</v>
      </c>
      <c r="R30" s="128">
        <f>SUMIF('计算过程-数据汇总'!$A:$A,'维护-日期'!P2,'计算过程-数据汇总'!$AV:$AV)</f>
        <v>0</v>
      </c>
      <c r="S30" s="128">
        <f>SUMIF('计算过程-数据汇总'!$A:$A,'维护-日期'!Q2,'计算过程-数据汇总'!$AV:$AV)</f>
        <v>0</v>
      </c>
      <c r="T30" s="128">
        <f>SUMIF('计算过程-数据汇总'!$A:$A,'维护-日期'!R2,'计算过程-数据汇总'!$AV:$AV)</f>
        <v>0</v>
      </c>
      <c r="U30" s="128">
        <f>SUMIF('计算过程-数据汇总'!$A:$A,'维护-日期'!S2,'计算过程-数据汇总'!$AV:$AV)</f>
        <v>0</v>
      </c>
      <c r="V30" s="128">
        <f>SUMIF('计算过程-数据汇总'!$A:$A,'维护-日期'!T2,'计算过程-数据汇总'!$AV:$AV)</f>
        <v>0</v>
      </c>
      <c r="W30" s="128">
        <f>SUMIF('计算过程-数据汇总'!$A:$A,'维护-日期'!U2,'计算过程-数据汇总'!$AV:$AV)</f>
        <v>0</v>
      </c>
      <c r="X30" s="128">
        <f>SUMIF('计算过程-数据汇总'!$A:$A,'维护-日期'!V2,'计算过程-数据汇总'!$AV:$AV)</f>
        <v>0</v>
      </c>
      <c r="Y30" s="128">
        <f>SUMIF('计算过程-数据汇总'!$A:$A,'维护-日期'!W2,'计算过程-数据汇总'!$AV:$AV)</f>
        <v>0</v>
      </c>
      <c r="Z30" s="128">
        <f>SUMIF('计算过程-数据汇总'!$A:$A,'维护-日期'!X2,'计算过程-数据汇总'!$AV:$AV)</f>
        <v>0</v>
      </c>
      <c r="AA30" s="128">
        <f>SUMIF('计算过程-数据汇总'!$A:$A,'维护-日期'!Y2,'计算过程-数据汇总'!$AV:$AV)</f>
        <v>0</v>
      </c>
      <c r="AB30" s="128">
        <f>SUMIF('计算过程-数据汇总'!$A:$A,'维护-日期'!Z2,'计算过程-数据汇总'!$AV:$AV)</f>
        <v>0</v>
      </c>
      <c r="AC30" s="128">
        <f>SUMIF('计算过程-数据汇总'!$A:$A,'维护-日期'!AA2,'计算过程-数据汇总'!$AV:$AV)</f>
        <v>0</v>
      </c>
      <c r="AD30" s="128">
        <f>SUMIF('计算过程-数据汇总'!$A:$A,'维护-日期'!AB2,'计算过程-数据汇总'!$AV:$AV)</f>
        <v>0</v>
      </c>
      <c r="AE30" s="128">
        <f>SUMIF('计算过程-数据汇总'!$A:$A,'维护-日期'!AC2,'计算过程-数据汇总'!$AV:$AV)</f>
        <v>0</v>
      </c>
      <c r="AF30" s="128">
        <f>SUMIF('计算过程-数据汇总'!$A:$A,'维护-日期'!AD2,'计算过程-数据汇总'!$AV:$AV)</f>
        <v>0</v>
      </c>
      <c r="AG30" s="128">
        <f>SUMIF('计算过程-数据汇总'!$A:$A,'维护-日期'!AE2,'计算过程-数据汇总'!$AV:$AV)</f>
        <v>0</v>
      </c>
      <c r="AH30" s="128">
        <f>SUMIF('计算过程-数据汇总'!$A:$A,'维护-日期'!AF2,'计算过程-数据汇总'!$AV:$AV)</f>
        <v>0</v>
      </c>
    </row>
    <row r="31" spans="2:34">
      <c r="B31" s="105" t="str">
        <f>'计算过程-数据汇总'!AY1</f>
        <v>月度绿电集中策略电费变动（元）</v>
      </c>
      <c r="C31" s="127">
        <f t="shared" si="6"/>
        <v>0</v>
      </c>
      <c r="D31" s="128">
        <f>SUMIF('计算过程-数据汇总'!$A:$A,'维护-日期'!B2,'计算过程-数据汇总'!$AY:$AY)</f>
        <v>0</v>
      </c>
      <c r="E31" s="128">
        <f>SUMIF('计算过程-数据汇总'!$A:$A,'维护-日期'!C2,'计算过程-数据汇总'!$AY:$AY)</f>
        <v>0</v>
      </c>
      <c r="F31" s="128">
        <f>SUMIF('计算过程-数据汇总'!$A:$A,'维护-日期'!D2,'计算过程-数据汇总'!$AY:$AY)</f>
        <v>0</v>
      </c>
      <c r="G31" s="128">
        <f>SUMIF('计算过程-数据汇总'!$A:$A,'维护-日期'!E2,'计算过程-数据汇总'!$AY:$AY)</f>
        <v>0</v>
      </c>
      <c r="H31" s="128">
        <f>SUMIF('计算过程-数据汇总'!$A:$A,'维护-日期'!F2,'计算过程-数据汇总'!$AY:$AY)</f>
        <v>0</v>
      </c>
      <c r="I31" s="128">
        <f>SUMIF('计算过程-数据汇总'!$A:$A,'维护-日期'!G2,'计算过程-数据汇总'!$AY:$AY)</f>
        <v>0</v>
      </c>
      <c r="J31" s="128">
        <f>SUMIF('计算过程-数据汇总'!$A:$A,'维护-日期'!H2,'计算过程-数据汇总'!$AY:$AY)</f>
        <v>0</v>
      </c>
      <c r="K31" s="128">
        <f>SUMIF('计算过程-数据汇总'!$A:$A,'维护-日期'!I2,'计算过程-数据汇总'!$AY:$AY)</f>
        <v>0</v>
      </c>
      <c r="L31" s="128">
        <f>SUMIF('计算过程-数据汇总'!$A:$A,'维护-日期'!J2,'计算过程-数据汇总'!$AY:$AY)</f>
        <v>0</v>
      </c>
      <c r="M31" s="128">
        <f>SUMIF('计算过程-数据汇总'!$A:$A,'维护-日期'!K2,'计算过程-数据汇总'!$AY:$AY)</f>
        <v>0</v>
      </c>
      <c r="N31" s="128">
        <f>SUMIF('计算过程-数据汇总'!$A:$A,'维护-日期'!L2,'计算过程-数据汇总'!$AY:$AY)</f>
        <v>0</v>
      </c>
      <c r="O31" s="128">
        <f>SUMIF('计算过程-数据汇总'!$A:$A,'维护-日期'!M2,'计算过程-数据汇总'!$AY:$AY)</f>
        <v>0</v>
      </c>
      <c r="P31" s="128">
        <f>SUMIF('计算过程-数据汇总'!$A:$A,'维护-日期'!N2,'计算过程-数据汇总'!$AY:$AY)</f>
        <v>0</v>
      </c>
      <c r="Q31" s="128">
        <f>SUMIF('计算过程-数据汇总'!$A:$A,'维护-日期'!O2,'计算过程-数据汇总'!$AY:$AY)</f>
        <v>0</v>
      </c>
      <c r="R31" s="128">
        <f>SUMIF('计算过程-数据汇总'!$A:$A,'维护-日期'!P2,'计算过程-数据汇总'!$AY:$AY)</f>
        <v>0</v>
      </c>
      <c r="S31" s="128">
        <f>SUMIF('计算过程-数据汇总'!$A:$A,'维护-日期'!Q2,'计算过程-数据汇总'!$AY:$AY)</f>
        <v>0</v>
      </c>
      <c r="T31" s="128">
        <f>SUMIF('计算过程-数据汇总'!$A:$A,'维护-日期'!R2,'计算过程-数据汇总'!$AY:$AY)</f>
        <v>0</v>
      </c>
      <c r="U31" s="128">
        <f>SUMIF('计算过程-数据汇总'!$A:$A,'维护-日期'!S2,'计算过程-数据汇总'!$AY:$AY)</f>
        <v>0</v>
      </c>
      <c r="V31" s="128">
        <f>SUMIF('计算过程-数据汇总'!$A:$A,'维护-日期'!T2,'计算过程-数据汇总'!$AY:$AY)</f>
        <v>0</v>
      </c>
      <c r="W31" s="128">
        <f>SUMIF('计算过程-数据汇总'!$A:$A,'维护-日期'!U2,'计算过程-数据汇总'!$AY:$AY)</f>
        <v>0</v>
      </c>
      <c r="X31" s="128">
        <f>SUMIF('计算过程-数据汇总'!$A:$A,'维护-日期'!V2,'计算过程-数据汇总'!$AY:$AY)</f>
        <v>0</v>
      </c>
      <c r="Y31" s="128">
        <f>SUMIF('计算过程-数据汇总'!$A:$A,'维护-日期'!W2,'计算过程-数据汇总'!$AY:$AY)</f>
        <v>0</v>
      </c>
      <c r="Z31" s="128">
        <f>SUMIF('计算过程-数据汇总'!$A:$A,'维护-日期'!X2,'计算过程-数据汇总'!$AY:$AY)</f>
        <v>0</v>
      </c>
      <c r="AA31" s="128">
        <f>SUMIF('计算过程-数据汇总'!$A:$A,'维护-日期'!Y2,'计算过程-数据汇总'!$AY:$AY)</f>
        <v>0</v>
      </c>
      <c r="AB31" s="128">
        <f>SUMIF('计算过程-数据汇总'!$A:$A,'维护-日期'!Z2,'计算过程-数据汇总'!$AY:$AY)</f>
        <v>0</v>
      </c>
      <c r="AC31" s="128">
        <f>SUMIF('计算过程-数据汇总'!$A:$A,'维护-日期'!AA2,'计算过程-数据汇总'!$AY:$AY)</f>
        <v>0</v>
      </c>
      <c r="AD31" s="128">
        <f>SUMIF('计算过程-数据汇总'!$A:$A,'维护-日期'!AB2,'计算过程-数据汇总'!$AY:$AY)</f>
        <v>0</v>
      </c>
      <c r="AE31" s="128">
        <f>SUMIF('计算过程-数据汇总'!$A:$A,'维护-日期'!AC2,'计算过程-数据汇总'!$AY:$AY)</f>
        <v>0</v>
      </c>
      <c r="AF31" s="128">
        <f>SUMIF('计算过程-数据汇总'!$A:$A,'维护-日期'!AD2,'计算过程-数据汇总'!$AY:$AY)</f>
        <v>0</v>
      </c>
      <c r="AG31" s="128">
        <f>SUMIF('计算过程-数据汇总'!$A:$A,'维护-日期'!AE2,'计算过程-数据汇总'!$AY:$AY)</f>
        <v>0</v>
      </c>
      <c r="AH31" s="128">
        <f>SUMIF('计算过程-数据汇总'!$A:$A,'维护-日期'!AF2,'计算过程-数据汇总'!$AY:$AY)</f>
        <v>0</v>
      </c>
    </row>
    <row r="32" spans="2:34">
      <c r="B32" s="105" t="str">
        <f>'计算过程-数据汇总'!BB1</f>
        <v>月度集中（市场用户负荷曲线）策略电费变动（元）</v>
      </c>
      <c r="C32" s="127">
        <f t="shared" si="6"/>
        <v>0</v>
      </c>
      <c r="D32" s="128">
        <f>SUMIF('计算过程-数据汇总'!$A:$A,'维护-日期'!B2,'计算过程-数据汇总'!$BB:$BB)</f>
        <v>0</v>
      </c>
      <c r="E32" s="128">
        <f>SUMIF('计算过程-数据汇总'!$A:$A,'维护-日期'!C2,'计算过程-数据汇总'!$BB:$BB)</f>
        <v>0</v>
      </c>
      <c r="F32" s="128">
        <f>SUMIF('计算过程-数据汇总'!$A:$A,'维护-日期'!D2,'计算过程-数据汇总'!$BB:$BB)</f>
        <v>0</v>
      </c>
      <c r="G32" s="128">
        <f>SUMIF('计算过程-数据汇总'!$A:$A,'维护-日期'!E2,'计算过程-数据汇总'!$BB:$BB)</f>
        <v>0</v>
      </c>
      <c r="H32" s="128">
        <f>SUMIF('计算过程-数据汇总'!$A:$A,'维护-日期'!F2,'计算过程-数据汇总'!$BB:$BB)</f>
        <v>0</v>
      </c>
      <c r="I32" s="128">
        <f>SUMIF('计算过程-数据汇总'!$A:$A,'维护-日期'!G2,'计算过程-数据汇总'!$BB:$BB)</f>
        <v>0</v>
      </c>
      <c r="J32" s="128">
        <f>SUMIF('计算过程-数据汇总'!$A:$A,'维护-日期'!H2,'计算过程-数据汇总'!$BB:$BB)</f>
        <v>0</v>
      </c>
      <c r="K32" s="128">
        <f>SUMIF('计算过程-数据汇总'!$A:$A,'维护-日期'!I2,'计算过程-数据汇总'!$BB:$BB)</f>
        <v>0</v>
      </c>
      <c r="L32" s="128">
        <f>SUMIF('计算过程-数据汇总'!$A:$A,'维护-日期'!J2,'计算过程-数据汇总'!$BB:$BB)</f>
        <v>0</v>
      </c>
      <c r="M32" s="128">
        <f>SUMIF('计算过程-数据汇总'!$A:$A,'维护-日期'!K2,'计算过程-数据汇总'!$BB:$BB)</f>
        <v>0</v>
      </c>
      <c r="N32" s="128">
        <f>SUMIF('计算过程-数据汇总'!$A:$A,'维护-日期'!L2,'计算过程-数据汇总'!$BB:$BB)</f>
        <v>0</v>
      </c>
      <c r="O32" s="128">
        <f>SUMIF('计算过程-数据汇总'!$A:$A,'维护-日期'!M2,'计算过程-数据汇总'!$BB:$BB)</f>
        <v>0</v>
      </c>
      <c r="P32" s="128">
        <f>SUMIF('计算过程-数据汇总'!$A:$A,'维护-日期'!N2,'计算过程-数据汇总'!$BB:$BB)</f>
        <v>0</v>
      </c>
      <c r="Q32" s="128">
        <f>SUMIF('计算过程-数据汇总'!$A:$A,'维护-日期'!O2,'计算过程-数据汇总'!$BB:$BB)</f>
        <v>0</v>
      </c>
      <c r="R32" s="128">
        <f>SUMIF('计算过程-数据汇总'!$A:$A,'维护-日期'!P2,'计算过程-数据汇总'!$BB:$BB)</f>
        <v>0</v>
      </c>
      <c r="S32" s="128">
        <f>SUMIF('计算过程-数据汇总'!$A:$A,'维护-日期'!Q2,'计算过程-数据汇总'!$BB:$BB)</f>
        <v>0</v>
      </c>
      <c r="T32" s="128">
        <f>SUMIF('计算过程-数据汇总'!$A:$A,'维护-日期'!R2,'计算过程-数据汇总'!$BB:$BB)</f>
        <v>0</v>
      </c>
      <c r="U32" s="128">
        <f>SUMIF('计算过程-数据汇总'!$A:$A,'维护-日期'!S2,'计算过程-数据汇总'!$BB:$BB)</f>
        <v>0</v>
      </c>
      <c r="V32" s="128">
        <f>SUMIF('计算过程-数据汇总'!$A:$A,'维护-日期'!T2,'计算过程-数据汇总'!$BB:$BB)</f>
        <v>0</v>
      </c>
      <c r="W32" s="128">
        <f>SUMIF('计算过程-数据汇总'!$A:$A,'维护-日期'!U2,'计算过程-数据汇总'!$BB:$BB)</f>
        <v>0</v>
      </c>
      <c r="X32" s="128">
        <f>SUMIF('计算过程-数据汇总'!$A:$A,'维护-日期'!V2,'计算过程-数据汇总'!$BB:$BB)</f>
        <v>0</v>
      </c>
      <c r="Y32" s="128">
        <f>SUMIF('计算过程-数据汇总'!$A:$A,'维护-日期'!W2,'计算过程-数据汇总'!$BB:$BB)</f>
        <v>0</v>
      </c>
      <c r="Z32" s="128">
        <f>SUMIF('计算过程-数据汇总'!$A:$A,'维护-日期'!X2,'计算过程-数据汇总'!$BB:$BB)</f>
        <v>0</v>
      </c>
      <c r="AA32" s="128">
        <f>SUMIF('计算过程-数据汇总'!$A:$A,'维护-日期'!Y2,'计算过程-数据汇总'!$BB:$BB)</f>
        <v>0</v>
      </c>
      <c r="AB32" s="128">
        <f>SUMIF('计算过程-数据汇总'!$A:$A,'维护-日期'!Z2,'计算过程-数据汇总'!$BB:$BB)</f>
        <v>0</v>
      </c>
      <c r="AC32" s="128">
        <f>SUMIF('计算过程-数据汇总'!$A:$A,'维护-日期'!AA2,'计算过程-数据汇总'!$BB:$BB)</f>
        <v>0</v>
      </c>
      <c r="AD32" s="128">
        <f>SUMIF('计算过程-数据汇总'!$A:$A,'维护-日期'!AB2,'计算过程-数据汇总'!$BB:$BB)</f>
        <v>0</v>
      </c>
      <c r="AE32" s="128">
        <f>SUMIF('计算过程-数据汇总'!$A:$A,'维护-日期'!AC2,'计算过程-数据汇总'!$BB:$BB)</f>
        <v>0</v>
      </c>
      <c r="AF32" s="128">
        <f>SUMIF('计算过程-数据汇总'!$A:$A,'维护-日期'!AD2,'计算过程-数据汇总'!$BB:$BB)</f>
        <v>0</v>
      </c>
      <c r="AG32" s="128">
        <f>SUMIF('计算过程-数据汇总'!$A:$A,'维护-日期'!AE2,'计算过程-数据汇总'!$BB:$BB)</f>
        <v>0</v>
      </c>
      <c r="AH32" s="128">
        <f>SUMIF('计算过程-数据汇总'!$A:$A,'维护-日期'!AF2,'计算过程-数据汇总'!$BB:$BB)</f>
        <v>0</v>
      </c>
    </row>
    <row r="33" spans="2:34">
      <c r="B33" s="105" t="str">
        <f>'计算过程-数据汇总'!BE1</f>
        <v>月度分时集中策略电费变动（元）</v>
      </c>
      <c r="C33" s="127">
        <f t="shared" si="6"/>
        <v>0</v>
      </c>
      <c r="D33" s="128">
        <f>SUMIF('计算过程-数据汇总'!$A:$A,'维护-日期'!B2,'计算过程-数据汇总'!$BE:$BE)</f>
        <v>0</v>
      </c>
      <c r="E33" s="128">
        <f>SUMIF('计算过程-数据汇总'!$A:$A,'维护-日期'!C2,'计算过程-数据汇总'!$BE:$BE)</f>
        <v>0</v>
      </c>
      <c r="F33" s="128">
        <f>SUMIF('计算过程-数据汇总'!$A:$A,'维护-日期'!D2,'计算过程-数据汇总'!$BE:$BE)</f>
        <v>0</v>
      </c>
      <c r="G33" s="128">
        <f>SUMIF('计算过程-数据汇总'!$A:$A,'维护-日期'!E2,'计算过程-数据汇总'!$BE:$BE)</f>
        <v>0</v>
      </c>
      <c r="H33" s="128">
        <f>SUMIF('计算过程-数据汇总'!$A:$A,'维护-日期'!F2,'计算过程-数据汇总'!$BE:$BE)</f>
        <v>0</v>
      </c>
      <c r="I33" s="128">
        <f>SUMIF('计算过程-数据汇总'!$A:$A,'维护-日期'!G2,'计算过程-数据汇总'!$BE:$BE)</f>
        <v>0</v>
      </c>
      <c r="J33" s="128">
        <f>SUMIF('计算过程-数据汇总'!$A:$A,'维护-日期'!H2,'计算过程-数据汇总'!$BE:$BE)</f>
        <v>0</v>
      </c>
      <c r="K33" s="128">
        <f>SUMIF('计算过程-数据汇总'!$A:$A,'维护-日期'!I2,'计算过程-数据汇总'!$BE:$BE)</f>
        <v>0</v>
      </c>
      <c r="L33" s="128">
        <f>SUMIF('计算过程-数据汇总'!$A:$A,'维护-日期'!J2,'计算过程-数据汇总'!$BE:$BE)</f>
        <v>0</v>
      </c>
      <c r="M33" s="128">
        <f>SUMIF('计算过程-数据汇总'!$A:$A,'维护-日期'!K2,'计算过程-数据汇总'!$BE:$BE)</f>
        <v>0</v>
      </c>
      <c r="N33" s="128">
        <f>SUMIF('计算过程-数据汇总'!$A:$A,'维护-日期'!L2,'计算过程-数据汇总'!$BE:$BE)</f>
        <v>0</v>
      </c>
      <c r="O33" s="128">
        <f>SUMIF('计算过程-数据汇总'!$A:$A,'维护-日期'!M2,'计算过程-数据汇总'!$BE:$BE)</f>
        <v>0</v>
      </c>
      <c r="P33" s="128">
        <f>SUMIF('计算过程-数据汇总'!$A:$A,'维护-日期'!N2,'计算过程-数据汇总'!$BE:$BE)</f>
        <v>0</v>
      </c>
      <c r="Q33" s="128">
        <f>SUMIF('计算过程-数据汇总'!$A:$A,'维护-日期'!O2,'计算过程-数据汇总'!$BE:$BE)</f>
        <v>0</v>
      </c>
      <c r="R33" s="128">
        <f>SUMIF('计算过程-数据汇总'!$A:$A,'维护-日期'!P2,'计算过程-数据汇总'!$BE:$BE)</f>
        <v>0</v>
      </c>
      <c r="S33" s="128">
        <f>SUMIF('计算过程-数据汇总'!$A:$A,'维护-日期'!Q2,'计算过程-数据汇总'!$BE:$BE)</f>
        <v>0</v>
      </c>
      <c r="T33" s="128">
        <f>SUMIF('计算过程-数据汇总'!$A:$A,'维护-日期'!R2,'计算过程-数据汇总'!$BE:$BE)</f>
        <v>0</v>
      </c>
      <c r="U33" s="128">
        <f>SUMIF('计算过程-数据汇总'!$A:$A,'维护-日期'!S2,'计算过程-数据汇总'!$BE:$BE)</f>
        <v>0</v>
      </c>
      <c r="V33" s="128">
        <f>SUMIF('计算过程-数据汇总'!$A:$A,'维护-日期'!T2,'计算过程-数据汇总'!$BE:$BE)</f>
        <v>0</v>
      </c>
      <c r="W33" s="128">
        <f>SUMIF('计算过程-数据汇总'!$A:$A,'维护-日期'!U2,'计算过程-数据汇总'!$BE:$BE)</f>
        <v>0</v>
      </c>
      <c r="X33" s="128">
        <f>SUMIF('计算过程-数据汇总'!$A:$A,'维护-日期'!V2,'计算过程-数据汇总'!$BE:$BE)</f>
        <v>0</v>
      </c>
      <c r="Y33" s="128">
        <f>SUMIF('计算过程-数据汇总'!$A:$A,'维护-日期'!W2,'计算过程-数据汇总'!$BE:$BE)</f>
        <v>0</v>
      </c>
      <c r="Z33" s="128">
        <f>SUMIF('计算过程-数据汇总'!$A:$A,'维护-日期'!X2,'计算过程-数据汇总'!$BE:$BE)</f>
        <v>0</v>
      </c>
      <c r="AA33" s="128">
        <f>SUMIF('计算过程-数据汇总'!$A:$A,'维护-日期'!Y2,'计算过程-数据汇总'!$BE:$BE)</f>
        <v>0</v>
      </c>
      <c r="AB33" s="128">
        <f>SUMIF('计算过程-数据汇总'!$A:$A,'维护-日期'!Z2,'计算过程-数据汇总'!$BE:$BE)</f>
        <v>0</v>
      </c>
      <c r="AC33" s="128">
        <f>SUMIF('计算过程-数据汇总'!$A:$A,'维护-日期'!AA2,'计算过程-数据汇总'!$BE:$BE)</f>
        <v>0</v>
      </c>
      <c r="AD33" s="128">
        <f>SUMIF('计算过程-数据汇总'!$A:$A,'维护-日期'!AB2,'计算过程-数据汇总'!$BE:$BE)</f>
        <v>0</v>
      </c>
      <c r="AE33" s="128">
        <f>SUMIF('计算过程-数据汇总'!$A:$A,'维护-日期'!AC2,'计算过程-数据汇总'!$BE:$BE)</f>
        <v>0</v>
      </c>
      <c r="AF33" s="128">
        <f>SUMIF('计算过程-数据汇总'!$A:$A,'维护-日期'!AD2,'计算过程-数据汇总'!$BE:$BE)</f>
        <v>0</v>
      </c>
      <c r="AG33" s="128">
        <f>SUMIF('计算过程-数据汇总'!$A:$A,'维护-日期'!AE2,'计算过程-数据汇总'!$BE:$BE)</f>
        <v>0</v>
      </c>
      <c r="AH33" s="128">
        <f>SUMIF('计算过程-数据汇总'!$A:$A,'维护-日期'!AF2,'计算过程-数据汇总'!$BE:$BE)</f>
        <v>0</v>
      </c>
    </row>
    <row r="34" spans="2:34">
      <c r="B34" s="105" t="str">
        <f>'计算过程-数据汇总'!BH1</f>
        <v>月内第一次多日策略电费变动（元）</v>
      </c>
      <c r="C34" s="127">
        <f t="shared" si="6"/>
        <v>0</v>
      </c>
      <c r="D34" s="128">
        <f>SUMIF('计算过程-数据汇总'!$A:$A,'维护-日期'!B2,'计算过程-数据汇总'!$BH:$BH)</f>
        <v>0</v>
      </c>
      <c r="E34" s="128">
        <f>SUMIF('计算过程-数据汇总'!$A:$A,'维护-日期'!C2,'计算过程-数据汇总'!$BH:$BH)</f>
        <v>0</v>
      </c>
      <c r="F34" s="128">
        <f>SUMIF('计算过程-数据汇总'!$A:$A,'维护-日期'!D2,'计算过程-数据汇总'!$BH:$BH)</f>
        <v>0</v>
      </c>
      <c r="G34" s="128">
        <f>SUMIF('计算过程-数据汇总'!$A:$A,'维护-日期'!E2,'计算过程-数据汇总'!$BH:$BH)</f>
        <v>0</v>
      </c>
      <c r="H34" s="128">
        <f>SUMIF('计算过程-数据汇总'!$A:$A,'维护-日期'!F2,'计算过程-数据汇总'!$BH:$BH)</f>
        <v>0</v>
      </c>
      <c r="I34" s="128">
        <f>SUMIF('计算过程-数据汇总'!$A:$A,'维护-日期'!G2,'计算过程-数据汇总'!$BH:$BH)</f>
        <v>0</v>
      </c>
      <c r="J34" s="128">
        <f>SUMIF('计算过程-数据汇总'!$A:$A,'维护-日期'!H2,'计算过程-数据汇总'!$BH:$BH)</f>
        <v>0</v>
      </c>
      <c r="K34" s="128">
        <f>SUMIF('计算过程-数据汇总'!$A:$A,'维护-日期'!I2,'计算过程-数据汇总'!$BH:$BH)</f>
        <v>0</v>
      </c>
      <c r="L34" s="128">
        <f>SUMIF('计算过程-数据汇总'!$A:$A,'维护-日期'!J2,'计算过程-数据汇总'!$BH:$BH)</f>
        <v>0</v>
      </c>
      <c r="M34" s="128">
        <f>SUMIF('计算过程-数据汇总'!$A:$A,'维护-日期'!K2,'计算过程-数据汇总'!$BH:$BH)</f>
        <v>0</v>
      </c>
      <c r="N34" s="128">
        <f>SUMIF('计算过程-数据汇总'!$A:$A,'维护-日期'!L2,'计算过程-数据汇总'!$BH:$BH)</f>
        <v>0</v>
      </c>
      <c r="O34" s="128">
        <f>SUMIF('计算过程-数据汇总'!$A:$A,'维护-日期'!M2,'计算过程-数据汇总'!$BH:$BH)</f>
        <v>0</v>
      </c>
      <c r="P34" s="128">
        <f>SUMIF('计算过程-数据汇总'!$A:$A,'维护-日期'!N2,'计算过程-数据汇总'!$BH:$BH)</f>
        <v>0</v>
      </c>
      <c r="Q34" s="128">
        <f>SUMIF('计算过程-数据汇总'!$A:$A,'维护-日期'!O2,'计算过程-数据汇总'!$BH:$BH)</f>
        <v>0</v>
      </c>
      <c r="R34" s="128">
        <f>SUMIF('计算过程-数据汇总'!$A:$A,'维护-日期'!P2,'计算过程-数据汇总'!$BH:$BH)</f>
        <v>0</v>
      </c>
      <c r="S34" s="128">
        <f>SUMIF('计算过程-数据汇总'!$A:$A,'维护-日期'!Q2,'计算过程-数据汇总'!$BH:$BH)</f>
        <v>0</v>
      </c>
      <c r="T34" s="128">
        <f>SUMIF('计算过程-数据汇总'!$A:$A,'维护-日期'!R2,'计算过程-数据汇总'!$BH:$BH)</f>
        <v>0</v>
      </c>
      <c r="U34" s="128">
        <f>SUMIF('计算过程-数据汇总'!$A:$A,'维护-日期'!S2,'计算过程-数据汇总'!$BH:$BH)</f>
        <v>0</v>
      </c>
      <c r="V34" s="128">
        <f>SUMIF('计算过程-数据汇总'!$A:$A,'维护-日期'!T2,'计算过程-数据汇总'!$BH:$BH)</f>
        <v>0</v>
      </c>
      <c r="W34" s="128">
        <f>SUMIF('计算过程-数据汇总'!$A:$A,'维护-日期'!U2,'计算过程-数据汇总'!$BH:$BH)</f>
        <v>0</v>
      </c>
      <c r="X34" s="128">
        <f>SUMIF('计算过程-数据汇总'!$A:$A,'维护-日期'!V2,'计算过程-数据汇总'!$BH:$BH)</f>
        <v>0</v>
      </c>
      <c r="Y34" s="128">
        <f>SUMIF('计算过程-数据汇总'!$A:$A,'维护-日期'!W2,'计算过程-数据汇总'!$BH:$BH)</f>
        <v>0</v>
      </c>
      <c r="Z34" s="128">
        <f>SUMIF('计算过程-数据汇总'!$A:$A,'维护-日期'!X2,'计算过程-数据汇总'!$BH:$BH)</f>
        <v>0</v>
      </c>
      <c r="AA34" s="128">
        <f>SUMIF('计算过程-数据汇总'!$A:$A,'维护-日期'!Y2,'计算过程-数据汇总'!$BH:$BH)</f>
        <v>0</v>
      </c>
      <c r="AB34" s="128">
        <f>SUMIF('计算过程-数据汇总'!$A:$A,'维护-日期'!Z2,'计算过程-数据汇总'!$BH:$BH)</f>
        <v>0</v>
      </c>
      <c r="AC34" s="128">
        <f>SUMIF('计算过程-数据汇总'!$A:$A,'维护-日期'!AA2,'计算过程-数据汇总'!$BH:$BH)</f>
        <v>0</v>
      </c>
      <c r="AD34" s="128">
        <f>SUMIF('计算过程-数据汇总'!$A:$A,'维护-日期'!AB2,'计算过程-数据汇总'!$BH:$BH)</f>
        <v>0</v>
      </c>
      <c r="AE34" s="128">
        <f>SUMIF('计算过程-数据汇总'!$A:$A,'维护-日期'!AC2,'计算过程-数据汇总'!$BH:$BH)</f>
        <v>0</v>
      </c>
      <c r="AF34" s="128">
        <f>SUMIF('计算过程-数据汇总'!$A:$A,'维护-日期'!AD2,'计算过程-数据汇总'!$BH:$BH)</f>
        <v>0</v>
      </c>
      <c r="AG34" s="128">
        <f>SUMIF('计算过程-数据汇总'!$A:$A,'维护-日期'!AE2,'计算过程-数据汇总'!$BH:$BH)</f>
        <v>0</v>
      </c>
      <c r="AH34" s="128">
        <f>SUMIF('计算过程-数据汇总'!$A:$A,'维护-日期'!AF2,'计算过程-数据汇总'!$BH:$BH)</f>
        <v>0</v>
      </c>
    </row>
    <row r="35" spans="2:34">
      <c r="B35" s="105" t="str">
        <f>'计算过程-数据汇总'!BK1</f>
        <v>月内第二次多日策略电费变动（元）</v>
      </c>
      <c r="C35" s="127">
        <f t="shared" si="6"/>
        <v>0</v>
      </c>
      <c r="D35" s="128">
        <f>SUMIF('计算过程-数据汇总'!$A:$A,'维护-日期'!B2,'计算过程-数据汇总'!$BK:$BK)</f>
        <v>0</v>
      </c>
      <c r="E35" s="128">
        <f>SUMIF('计算过程-数据汇总'!$A:$A,'维护-日期'!C2,'计算过程-数据汇总'!$BK:$BK)</f>
        <v>0</v>
      </c>
      <c r="F35" s="128">
        <f>SUMIF('计算过程-数据汇总'!$A:$A,'维护-日期'!D2,'计算过程-数据汇总'!$BK:$BK)</f>
        <v>0</v>
      </c>
      <c r="G35" s="128">
        <f>SUMIF('计算过程-数据汇总'!$A:$A,'维护-日期'!E2,'计算过程-数据汇总'!$BK:$BK)</f>
        <v>0</v>
      </c>
      <c r="H35" s="128">
        <f>SUMIF('计算过程-数据汇总'!$A:$A,'维护-日期'!F2,'计算过程-数据汇总'!$BK:$BK)</f>
        <v>0</v>
      </c>
      <c r="I35" s="128">
        <f>SUMIF('计算过程-数据汇总'!$A:$A,'维护-日期'!G2,'计算过程-数据汇总'!$BK:$BK)</f>
        <v>0</v>
      </c>
      <c r="J35" s="128">
        <f>SUMIF('计算过程-数据汇总'!$A:$A,'维护-日期'!H2,'计算过程-数据汇总'!$BK:$BK)</f>
        <v>0</v>
      </c>
      <c r="K35" s="128">
        <f>SUMIF('计算过程-数据汇总'!$A:$A,'维护-日期'!I2,'计算过程-数据汇总'!$BK:$BK)</f>
        <v>0</v>
      </c>
      <c r="L35" s="128">
        <f>SUMIF('计算过程-数据汇总'!$A:$A,'维护-日期'!J2,'计算过程-数据汇总'!$BK:$BK)</f>
        <v>0</v>
      </c>
      <c r="M35" s="128">
        <f>SUMIF('计算过程-数据汇总'!$A:$A,'维护-日期'!K2,'计算过程-数据汇总'!$BK:$BK)</f>
        <v>0</v>
      </c>
      <c r="N35" s="128">
        <f>SUMIF('计算过程-数据汇总'!$A:$A,'维护-日期'!L2,'计算过程-数据汇总'!$BK:$BK)</f>
        <v>0</v>
      </c>
      <c r="O35" s="128">
        <f>SUMIF('计算过程-数据汇总'!$A:$A,'维护-日期'!M2,'计算过程-数据汇总'!$BK:$BK)</f>
        <v>0</v>
      </c>
      <c r="P35" s="128">
        <f>SUMIF('计算过程-数据汇总'!$A:$A,'维护-日期'!N2,'计算过程-数据汇总'!$BK:$BK)</f>
        <v>0</v>
      </c>
      <c r="Q35" s="128">
        <f>SUMIF('计算过程-数据汇总'!$A:$A,'维护-日期'!O2,'计算过程-数据汇总'!$BK:$BK)</f>
        <v>0</v>
      </c>
      <c r="R35" s="128">
        <f>SUMIF('计算过程-数据汇总'!$A:$A,'维护-日期'!P2,'计算过程-数据汇总'!$BK:$BK)</f>
        <v>0</v>
      </c>
      <c r="S35" s="128">
        <f>SUMIF('计算过程-数据汇总'!$A:$A,'维护-日期'!Q2,'计算过程-数据汇总'!$BK:$BK)</f>
        <v>0</v>
      </c>
      <c r="T35" s="128">
        <f>SUMIF('计算过程-数据汇总'!$A:$A,'维护-日期'!R2,'计算过程-数据汇总'!$BK:$BK)</f>
        <v>0</v>
      </c>
      <c r="U35" s="128">
        <f>SUMIF('计算过程-数据汇总'!$A:$A,'维护-日期'!S2,'计算过程-数据汇总'!$BK:$BK)</f>
        <v>0</v>
      </c>
      <c r="V35" s="128">
        <f>SUMIF('计算过程-数据汇总'!$A:$A,'维护-日期'!T2,'计算过程-数据汇总'!$BK:$BK)</f>
        <v>0</v>
      </c>
      <c r="W35" s="128">
        <f>SUMIF('计算过程-数据汇总'!$A:$A,'维护-日期'!U2,'计算过程-数据汇总'!$BK:$BK)</f>
        <v>0</v>
      </c>
      <c r="X35" s="128">
        <f>SUMIF('计算过程-数据汇总'!$A:$A,'维护-日期'!V2,'计算过程-数据汇总'!$BK:$BK)</f>
        <v>0</v>
      </c>
      <c r="Y35" s="128">
        <f>SUMIF('计算过程-数据汇总'!$A:$A,'维护-日期'!W2,'计算过程-数据汇总'!$BK:$BK)</f>
        <v>0</v>
      </c>
      <c r="Z35" s="128">
        <f>SUMIF('计算过程-数据汇总'!$A:$A,'维护-日期'!X2,'计算过程-数据汇总'!$BK:$BK)</f>
        <v>0</v>
      </c>
      <c r="AA35" s="128">
        <f>SUMIF('计算过程-数据汇总'!$A:$A,'维护-日期'!Y2,'计算过程-数据汇总'!$BK:$BK)</f>
        <v>0</v>
      </c>
      <c r="AB35" s="128">
        <f>SUMIF('计算过程-数据汇总'!$A:$A,'维护-日期'!Z2,'计算过程-数据汇总'!$BK:$BK)</f>
        <v>0</v>
      </c>
      <c r="AC35" s="128">
        <f>SUMIF('计算过程-数据汇总'!$A:$A,'维护-日期'!AA2,'计算过程-数据汇总'!$BK:$BK)</f>
        <v>0</v>
      </c>
      <c r="AD35" s="128">
        <f>SUMIF('计算过程-数据汇总'!$A:$A,'维护-日期'!AB2,'计算过程-数据汇总'!$BK:$BK)</f>
        <v>0</v>
      </c>
      <c r="AE35" s="128">
        <f>SUMIF('计算过程-数据汇总'!$A:$A,'维护-日期'!AC2,'计算过程-数据汇总'!$BK:$BK)</f>
        <v>0</v>
      </c>
      <c r="AF35" s="128">
        <f>SUMIF('计算过程-数据汇总'!$A:$A,'维护-日期'!AD2,'计算过程-数据汇总'!$BK:$BK)</f>
        <v>0</v>
      </c>
      <c r="AG35" s="128">
        <f>SUMIF('计算过程-数据汇总'!$A:$A,'维护-日期'!AE2,'计算过程-数据汇总'!$BK:$BK)</f>
        <v>0</v>
      </c>
      <c r="AH35" s="128">
        <f>SUMIF('计算过程-数据汇总'!$A:$A,'维护-日期'!AF2,'计算过程-数据汇总'!$BK:$BK)</f>
        <v>0</v>
      </c>
    </row>
    <row r="36" spans="2:34">
      <c r="B36" s="105" t="str">
        <f>'计算过程-数据汇总'!BN1</f>
        <v>月内合同转让策略电费变动（元）</v>
      </c>
      <c r="C36" s="127">
        <f t="shared" si="6"/>
        <v>0</v>
      </c>
      <c r="D36" s="128">
        <f>SUMIF('计算过程-数据汇总'!$A:$A,'维护-日期'!B2,'计算过程-数据汇总'!$BN:$BN)</f>
        <v>0</v>
      </c>
      <c r="E36" s="128">
        <f>SUMIF('计算过程-数据汇总'!$A:$A,'维护-日期'!C2,'计算过程-数据汇总'!$BN:$BN)</f>
        <v>0</v>
      </c>
      <c r="F36" s="128">
        <f>SUMIF('计算过程-数据汇总'!$A:$A,'维护-日期'!D2,'计算过程-数据汇总'!$BN:$BN)</f>
        <v>0</v>
      </c>
      <c r="G36" s="128">
        <f>SUMIF('计算过程-数据汇总'!$A:$A,'维护-日期'!E2,'计算过程-数据汇总'!$BN:$BN)</f>
        <v>0</v>
      </c>
      <c r="H36" s="128">
        <f>SUMIF('计算过程-数据汇总'!$A:$A,'维护-日期'!F2,'计算过程-数据汇总'!$BN:$BN)</f>
        <v>0</v>
      </c>
      <c r="I36" s="128">
        <f>SUMIF('计算过程-数据汇总'!$A:$A,'维护-日期'!G2,'计算过程-数据汇总'!$BN:$BN)</f>
        <v>0</v>
      </c>
      <c r="J36" s="128">
        <f>SUMIF('计算过程-数据汇总'!$A:$A,'维护-日期'!H2,'计算过程-数据汇总'!$BN:$BN)</f>
        <v>0</v>
      </c>
      <c r="K36" s="128">
        <f>SUMIF('计算过程-数据汇总'!$A:$A,'维护-日期'!I2,'计算过程-数据汇总'!$BN:$BN)</f>
        <v>0</v>
      </c>
      <c r="L36" s="128">
        <f>SUMIF('计算过程-数据汇总'!$A:$A,'维护-日期'!J2,'计算过程-数据汇总'!$BN:$BN)</f>
        <v>0</v>
      </c>
      <c r="M36" s="128">
        <f>SUMIF('计算过程-数据汇总'!$A:$A,'维护-日期'!K2,'计算过程-数据汇总'!$BN:$BN)</f>
        <v>0</v>
      </c>
      <c r="N36" s="128">
        <f>SUMIF('计算过程-数据汇总'!$A:$A,'维护-日期'!L2,'计算过程-数据汇总'!$BN:$BN)</f>
        <v>0</v>
      </c>
      <c r="O36" s="128">
        <f>SUMIF('计算过程-数据汇总'!$A:$A,'维护-日期'!M2,'计算过程-数据汇总'!$BN:$BN)</f>
        <v>0</v>
      </c>
      <c r="P36" s="128">
        <f>SUMIF('计算过程-数据汇总'!$A:$A,'维护-日期'!N2,'计算过程-数据汇总'!$BN:$BN)</f>
        <v>0</v>
      </c>
      <c r="Q36" s="128">
        <f>SUMIF('计算过程-数据汇总'!$A:$A,'维护-日期'!O2,'计算过程-数据汇总'!$BN:$BN)</f>
        <v>0</v>
      </c>
      <c r="R36" s="128">
        <f>SUMIF('计算过程-数据汇总'!$A:$A,'维护-日期'!P2,'计算过程-数据汇总'!$BN:$BN)</f>
        <v>0</v>
      </c>
      <c r="S36" s="128">
        <f>SUMIF('计算过程-数据汇总'!$A:$A,'维护-日期'!Q2,'计算过程-数据汇总'!$BN:$BN)</f>
        <v>0</v>
      </c>
      <c r="T36" s="128">
        <f>SUMIF('计算过程-数据汇总'!$A:$A,'维护-日期'!R2,'计算过程-数据汇总'!$BN:$BN)</f>
        <v>0</v>
      </c>
      <c r="U36" s="128">
        <f>SUMIF('计算过程-数据汇总'!$A:$A,'维护-日期'!S2,'计算过程-数据汇总'!$BN:$BN)</f>
        <v>0</v>
      </c>
      <c r="V36" s="128">
        <f>SUMIF('计算过程-数据汇总'!$A:$A,'维护-日期'!T2,'计算过程-数据汇总'!$BN:$BN)</f>
        <v>0</v>
      </c>
      <c r="W36" s="128">
        <f>SUMIF('计算过程-数据汇总'!$A:$A,'维护-日期'!U2,'计算过程-数据汇总'!$BN:$BN)</f>
        <v>0</v>
      </c>
      <c r="X36" s="128">
        <f>SUMIF('计算过程-数据汇总'!$A:$A,'维护-日期'!V2,'计算过程-数据汇总'!$BN:$BN)</f>
        <v>0</v>
      </c>
      <c r="Y36" s="128">
        <f>SUMIF('计算过程-数据汇总'!$A:$A,'维护-日期'!W2,'计算过程-数据汇总'!$BN:$BN)</f>
        <v>0</v>
      </c>
      <c r="Z36" s="128">
        <f>SUMIF('计算过程-数据汇总'!$A:$A,'维护-日期'!X2,'计算过程-数据汇总'!$BN:$BN)</f>
        <v>0</v>
      </c>
      <c r="AA36" s="128">
        <f>SUMIF('计算过程-数据汇总'!$A:$A,'维护-日期'!Y2,'计算过程-数据汇总'!$BN:$BN)</f>
        <v>0</v>
      </c>
      <c r="AB36" s="128">
        <f>SUMIF('计算过程-数据汇总'!$A:$A,'维护-日期'!Z2,'计算过程-数据汇总'!$BN:$BN)</f>
        <v>0</v>
      </c>
      <c r="AC36" s="128">
        <f>SUMIF('计算过程-数据汇总'!$A:$A,'维护-日期'!AA2,'计算过程-数据汇总'!$BN:$BN)</f>
        <v>0</v>
      </c>
      <c r="AD36" s="128">
        <f>SUMIF('计算过程-数据汇总'!$A:$A,'维护-日期'!AB2,'计算过程-数据汇总'!$BN:$BN)</f>
        <v>0</v>
      </c>
      <c r="AE36" s="128">
        <f>SUMIF('计算过程-数据汇总'!$A:$A,'维护-日期'!AC2,'计算过程-数据汇总'!$BN:$BN)</f>
        <v>0</v>
      </c>
      <c r="AF36" s="128">
        <f>SUMIF('计算过程-数据汇总'!$A:$A,'维护-日期'!AD2,'计算过程-数据汇总'!$BN:$BN)</f>
        <v>0</v>
      </c>
      <c r="AG36" s="128">
        <f>SUMIF('计算过程-数据汇总'!$A:$A,'维护-日期'!AE2,'计算过程-数据汇总'!$BN:$BN)</f>
        <v>0</v>
      </c>
      <c r="AH36" s="128">
        <f>SUMIF('计算过程-数据汇总'!$A:$A,'维护-日期'!AF2,'计算过程-数据汇总'!$BN:$BN)</f>
        <v>0</v>
      </c>
    </row>
    <row r="37" spans="2:34">
      <c r="B37" s="111" t="str">
        <f>'计算过程-数据汇总'!BQ1</f>
        <v>月内周双边策略电费变动（元）</v>
      </c>
      <c r="C37" s="131">
        <f t="shared" si="6"/>
        <v>0</v>
      </c>
      <c r="D37" s="132">
        <f>SUMIF('计算过程-数据汇总'!$A:$A,'维护-日期'!B2,'计算过程-数据汇总'!$BQ:$BQ)</f>
        <v>0</v>
      </c>
      <c r="E37" s="132">
        <f>SUMIF('计算过程-数据汇总'!$A:$A,'维护-日期'!C2,'计算过程-数据汇总'!$BQ:$BQ)</f>
        <v>0</v>
      </c>
      <c r="F37" s="132">
        <f>SUMIF('计算过程-数据汇总'!$A:$A,'维护-日期'!D2,'计算过程-数据汇总'!$BQ:$BQ)</f>
        <v>0</v>
      </c>
      <c r="G37" s="132">
        <f>SUMIF('计算过程-数据汇总'!$A:$A,'维护-日期'!E2,'计算过程-数据汇总'!$BQ:$BQ)</f>
        <v>0</v>
      </c>
      <c r="H37" s="132">
        <f>SUMIF('计算过程-数据汇总'!$A:$A,'维护-日期'!F2,'计算过程-数据汇总'!$BQ:$BQ)</f>
        <v>0</v>
      </c>
      <c r="I37" s="132">
        <f>SUMIF('计算过程-数据汇总'!$A:$A,'维护-日期'!G2,'计算过程-数据汇总'!$BQ:$BQ)</f>
        <v>0</v>
      </c>
      <c r="J37" s="132">
        <f>SUMIF('计算过程-数据汇总'!$A:$A,'维护-日期'!H2,'计算过程-数据汇总'!$BQ:$BQ)</f>
        <v>0</v>
      </c>
      <c r="K37" s="132">
        <f>SUMIF('计算过程-数据汇总'!$A:$A,'维护-日期'!I2,'计算过程-数据汇总'!$BQ:$BQ)</f>
        <v>0</v>
      </c>
      <c r="L37" s="132">
        <f>SUMIF('计算过程-数据汇总'!$A:$A,'维护-日期'!J2,'计算过程-数据汇总'!$BQ:$BQ)</f>
        <v>0</v>
      </c>
      <c r="M37" s="132">
        <f>SUMIF('计算过程-数据汇总'!$A:$A,'维护-日期'!K2,'计算过程-数据汇总'!$BQ:$BQ)</f>
        <v>0</v>
      </c>
      <c r="N37" s="132">
        <f>SUMIF('计算过程-数据汇总'!$A:$A,'维护-日期'!L2,'计算过程-数据汇总'!$BQ:$BQ)</f>
        <v>0</v>
      </c>
      <c r="O37" s="132">
        <f>SUMIF('计算过程-数据汇总'!$A:$A,'维护-日期'!M2,'计算过程-数据汇总'!$BQ:$BQ)</f>
        <v>0</v>
      </c>
      <c r="P37" s="132">
        <f>SUMIF('计算过程-数据汇总'!$A:$A,'维护-日期'!N2,'计算过程-数据汇总'!$BQ:$BQ)</f>
        <v>0</v>
      </c>
      <c r="Q37" s="132">
        <f>SUMIF('计算过程-数据汇总'!$A:$A,'维护-日期'!O2,'计算过程-数据汇总'!$BQ:$BQ)</f>
        <v>0</v>
      </c>
      <c r="R37" s="132">
        <f>SUMIF('计算过程-数据汇总'!$A:$A,'维护-日期'!P2,'计算过程-数据汇总'!$BQ:$BQ)</f>
        <v>0</v>
      </c>
      <c r="S37" s="132">
        <f>SUMIF('计算过程-数据汇总'!$A:$A,'维护-日期'!Q2,'计算过程-数据汇总'!$BQ:$BQ)</f>
        <v>0</v>
      </c>
      <c r="T37" s="132">
        <f>SUMIF('计算过程-数据汇总'!$A:$A,'维护-日期'!R2,'计算过程-数据汇总'!$BQ:$BQ)</f>
        <v>0</v>
      </c>
      <c r="U37" s="132">
        <f>SUMIF('计算过程-数据汇总'!$A:$A,'维护-日期'!S2,'计算过程-数据汇总'!$BQ:$BQ)</f>
        <v>0</v>
      </c>
      <c r="V37" s="132">
        <f>SUMIF('计算过程-数据汇总'!$A:$A,'维护-日期'!T2,'计算过程-数据汇总'!$BQ:$BQ)</f>
        <v>0</v>
      </c>
      <c r="W37" s="132">
        <f>SUMIF('计算过程-数据汇总'!$A:$A,'维护-日期'!U2,'计算过程-数据汇总'!$BQ:$BQ)</f>
        <v>0</v>
      </c>
      <c r="X37" s="132">
        <f>SUMIF('计算过程-数据汇总'!$A:$A,'维护-日期'!V2,'计算过程-数据汇总'!$BQ:$BQ)</f>
        <v>0</v>
      </c>
      <c r="Y37" s="132">
        <f>SUMIF('计算过程-数据汇总'!$A:$A,'维护-日期'!W2,'计算过程-数据汇总'!$BQ:$BQ)</f>
        <v>0</v>
      </c>
      <c r="Z37" s="132">
        <f>SUMIF('计算过程-数据汇总'!$A:$A,'维护-日期'!X2,'计算过程-数据汇总'!$BQ:$BQ)</f>
        <v>0</v>
      </c>
      <c r="AA37" s="132">
        <f>SUMIF('计算过程-数据汇总'!$A:$A,'维护-日期'!Y2,'计算过程-数据汇总'!$BQ:$BQ)</f>
        <v>0</v>
      </c>
      <c r="AB37" s="132">
        <f>SUMIF('计算过程-数据汇总'!$A:$A,'维护-日期'!Z2,'计算过程-数据汇总'!$BQ:$BQ)</f>
        <v>0</v>
      </c>
      <c r="AC37" s="132">
        <f>SUMIF('计算过程-数据汇总'!$A:$A,'维护-日期'!AA2,'计算过程-数据汇总'!$BQ:$BQ)</f>
        <v>0</v>
      </c>
      <c r="AD37" s="132">
        <f>SUMIF('计算过程-数据汇总'!$A:$A,'维护-日期'!AB2,'计算过程-数据汇总'!$BQ:$BQ)</f>
        <v>0</v>
      </c>
      <c r="AE37" s="132">
        <f>SUMIF('计算过程-数据汇总'!$A:$A,'维护-日期'!AC2,'计算过程-数据汇总'!$BQ:$BQ)</f>
        <v>0</v>
      </c>
      <c r="AF37" s="132">
        <f>SUMIF('计算过程-数据汇总'!$A:$A,'维护-日期'!AD2,'计算过程-数据汇总'!$BQ:$BQ)</f>
        <v>0</v>
      </c>
      <c r="AG37" s="132">
        <f>SUMIF('计算过程-数据汇总'!$A:$A,'维护-日期'!AE2,'计算过程-数据汇总'!$BQ:$BQ)</f>
        <v>0</v>
      </c>
      <c r="AH37" s="132">
        <f>SUMIF('计算过程-数据汇总'!$A:$A,'维护-日期'!AF2,'计算过程-数据汇总'!$BQ:$BQ)</f>
        <v>0</v>
      </c>
    </row>
    <row r="38" spans="2:34">
      <c r="B38" s="112" t="s">
        <v>101</v>
      </c>
      <c r="C38" s="133">
        <f>SUM(D38:AH38)</f>
        <v>5223119.5679999981</v>
      </c>
      <c r="D38" s="134">
        <f>SUMIF('计算过程-数据汇总'!$A:$A,'维护-日期'!B2,'计算过程-数据汇总'!$R:$R)</f>
        <v>170523.31200000001</v>
      </c>
      <c r="E38" s="134">
        <f>SUMIF('计算过程-数据汇总'!$A:$A,'维护-日期'!C2,'计算过程-数据汇总'!$R:$R)</f>
        <v>170523.31200000001</v>
      </c>
      <c r="F38" s="134">
        <f>SUMIF('计算过程-数据汇总'!$A:$A,'维护-日期'!D2,'计算过程-数据汇总'!$R:$R)</f>
        <v>170523.31200000001</v>
      </c>
      <c r="G38" s="134">
        <f>SUMIF('计算过程-数据汇总'!$A:$A,'维护-日期'!E2,'计算过程-数据汇总'!$R:$R)</f>
        <v>170523.31200000001</v>
      </c>
      <c r="H38" s="134">
        <f>SUMIF('计算过程-数据汇总'!$A:$A,'维护-日期'!F2,'计算过程-数据汇总'!$R:$R)</f>
        <v>162635.42399999997</v>
      </c>
      <c r="I38" s="134">
        <f>SUMIF('计算过程-数据汇总'!$A:$A,'维护-日期'!G2,'计算过程-数据汇总'!$R:$R)</f>
        <v>162635.42399999997</v>
      </c>
      <c r="J38" s="134">
        <f>SUMIF('计算过程-数据汇总'!$A:$A,'维护-日期'!H2,'计算过程-数据汇总'!$R:$R)</f>
        <v>170523.31200000001</v>
      </c>
      <c r="K38" s="134">
        <f>SUMIF('计算过程-数据汇总'!$A:$A,'维护-日期'!I2,'计算过程-数据汇总'!$R:$R)</f>
        <v>170523.31200000001</v>
      </c>
      <c r="L38" s="134">
        <f>SUMIF('计算过程-数据汇总'!$A:$A,'维护-日期'!J2,'计算过程-数据汇总'!$R:$R)</f>
        <v>170523.31200000001</v>
      </c>
      <c r="M38" s="134">
        <f>SUMIF('计算过程-数据汇总'!$A:$A,'维护-日期'!K2,'计算过程-数据汇总'!$R:$R)</f>
        <v>170523.31200000001</v>
      </c>
      <c r="N38" s="134">
        <f>SUMIF('计算过程-数据汇总'!$A:$A,'维护-日期'!L2,'计算过程-数据汇总'!$R:$R)</f>
        <v>170523.31200000001</v>
      </c>
      <c r="O38" s="134">
        <f>SUMIF('计算过程-数据汇总'!$A:$A,'维护-日期'!M2,'计算过程-数据汇总'!$R:$R)</f>
        <v>162635.42399999997</v>
      </c>
      <c r="P38" s="134">
        <f>SUMIF('计算过程-数据汇总'!$A:$A,'维护-日期'!N2,'计算过程-数据汇总'!$R:$R)</f>
        <v>162635.42399999997</v>
      </c>
      <c r="Q38" s="134">
        <f>SUMIF('计算过程-数据汇总'!$A:$A,'维护-日期'!O2,'计算过程-数据汇总'!$R:$R)</f>
        <v>170523.31200000001</v>
      </c>
      <c r="R38" s="134">
        <f>SUMIF('计算过程-数据汇总'!$A:$A,'维护-日期'!P2,'计算过程-数据汇总'!$R:$R)</f>
        <v>170523.31200000001</v>
      </c>
      <c r="S38" s="134">
        <f>SUMIF('计算过程-数据汇总'!$A:$A,'维护-日期'!Q2,'计算过程-数据汇总'!$R:$R)</f>
        <v>170523.31200000001</v>
      </c>
      <c r="T38" s="134">
        <f>SUMIF('计算过程-数据汇总'!$A:$A,'维护-日期'!R2,'计算过程-数据汇总'!$R:$R)</f>
        <v>170523.31200000001</v>
      </c>
      <c r="U38" s="134">
        <f>SUMIF('计算过程-数据汇总'!$A:$A,'维护-日期'!S2,'计算过程-数据汇总'!$R:$R)</f>
        <v>170523.31200000001</v>
      </c>
      <c r="V38" s="134">
        <f>SUMIF('计算过程-数据汇总'!$A:$A,'维护-日期'!T2,'计算过程-数据汇总'!$R:$R)</f>
        <v>170523.31200000001</v>
      </c>
      <c r="W38" s="134">
        <f>SUMIF('计算过程-数据汇总'!$A:$A,'维护-日期'!U2,'计算过程-数据汇总'!$R:$R)</f>
        <v>162635.42399999997</v>
      </c>
      <c r="X38" s="134">
        <f>SUMIF('计算过程-数据汇总'!$A:$A,'维护-日期'!V2,'计算过程-数据汇总'!$R:$R)</f>
        <v>162635.42399999997</v>
      </c>
      <c r="Y38" s="134">
        <f>SUMIF('计算过程-数据汇总'!$A:$A,'维护-日期'!W2,'计算过程-数据汇总'!$R:$R)</f>
        <v>170523.31200000001</v>
      </c>
      <c r="Z38" s="134">
        <f>SUMIF('计算过程-数据汇总'!$A:$A,'维护-日期'!X2,'计算过程-数据汇总'!$R:$R)</f>
        <v>170523.31200000001</v>
      </c>
      <c r="AA38" s="134">
        <f>SUMIF('计算过程-数据汇总'!$A:$A,'维护-日期'!Y2,'计算过程-数据汇总'!$R:$R)</f>
        <v>170523.31200000001</v>
      </c>
      <c r="AB38" s="134">
        <f>SUMIF('计算过程-数据汇总'!$A:$A,'维护-日期'!Z2,'计算过程-数据汇总'!$R:$R)</f>
        <v>170523.31200000001</v>
      </c>
      <c r="AC38" s="134">
        <f>SUMIF('计算过程-数据汇总'!$A:$A,'维护-日期'!AA2,'计算过程-数据汇总'!$R:$R)</f>
        <v>170523.31200000001</v>
      </c>
      <c r="AD38" s="134">
        <f>SUMIF('计算过程-数据汇总'!$A:$A,'维护-日期'!AB2,'计算过程-数据汇总'!$R:$R)</f>
        <v>162635.42399999997</v>
      </c>
      <c r="AE38" s="134">
        <f>SUMIF('计算过程-数据汇总'!$A:$A,'维护-日期'!AC2,'计算过程-数据汇总'!$R:$R)</f>
        <v>162635.42399999997</v>
      </c>
      <c r="AF38" s="134">
        <f>SUMIF('计算过程-数据汇总'!$A:$A,'维护-日期'!AD2,'计算过程-数据汇总'!$R:$R)</f>
        <v>170523.31200000001</v>
      </c>
      <c r="AG38" s="134">
        <f>SUMIF('计算过程-数据汇总'!$A:$A,'维护-日期'!AE2,'计算过程-数据汇总'!$R:$R)</f>
        <v>170523.31200000001</v>
      </c>
      <c r="AH38" s="134">
        <f>SUMIF('计算过程-数据汇总'!$A:$A,'维护-日期'!AF2,'计算过程-数据汇总'!$R:$R)</f>
        <v>170523.31200000001</v>
      </c>
    </row>
    <row r="39" spans="2:34">
      <c r="B39" s="113" t="s">
        <v>5</v>
      </c>
      <c r="C39" s="135">
        <f>SUM(D39:AH39)</f>
        <v>0</v>
      </c>
      <c r="D39" s="136">
        <f>D40+D41</f>
        <v>0</v>
      </c>
      <c r="E39" s="136">
        <f t="shared" ref="E39:AH39" si="10">E40+E41</f>
        <v>0</v>
      </c>
      <c r="F39" s="136">
        <f t="shared" si="10"/>
        <v>0</v>
      </c>
      <c r="G39" s="136">
        <f t="shared" si="10"/>
        <v>0</v>
      </c>
      <c r="H39" s="136">
        <f t="shared" si="10"/>
        <v>0</v>
      </c>
      <c r="I39" s="136">
        <f t="shared" si="10"/>
        <v>0</v>
      </c>
      <c r="J39" s="136">
        <f t="shared" si="10"/>
        <v>0</v>
      </c>
      <c r="K39" s="136">
        <f t="shared" si="10"/>
        <v>0</v>
      </c>
      <c r="L39" s="136">
        <f t="shared" si="10"/>
        <v>0</v>
      </c>
      <c r="M39" s="136">
        <f t="shared" si="10"/>
        <v>0</v>
      </c>
      <c r="N39" s="136">
        <f t="shared" si="10"/>
        <v>0</v>
      </c>
      <c r="O39" s="136">
        <f t="shared" si="10"/>
        <v>0</v>
      </c>
      <c r="P39" s="136">
        <f t="shared" si="10"/>
        <v>0</v>
      </c>
      <c r="Q39" s="136">
        <f t="shared" si="10"/>
        <v>0</v>
      </c>
      <c r="R39" s="136">
        <f t="shared" si="10"/>
        <v>0</v>
      </c>
      <c r="S39" s="136">
        <f t="shared" si="10"/>
        <v>0</v>
      </c>
      <c r="T39" s="136">
        <f t="shared" si="10"/>
        <v>0</v>
      </c>
      <c r="U39" s="136">
        <f t="shared" si="10"/>
        <v>0</v>
      </c>
      <c r="V39" s="136">
        <f t="shared" si="10"/>
        <v>0</v>
      </c>
      <c r="W39" s="136">
        <f t="shared" si="10"/>
        <v>0</v>
      </c>
      <c r="X39" s="136">
        <f t="shared" si="10"/>
        <v>0</v>
      </c>
      <c r="Y39" s="136">
        <f t="shared" si="10"/>
        <v>0</v>
      </c>
      <c r="Z39" s="136">
        <f t="shared" si="10"/>
        <v>0</v>
      </c>
      <c r="AA39" s="136">
        <f t="shared" si="10"/>
        <v>0</v>
      </c>
      <c r="AB39" s="136">
        <f t="shared" si="10"/>
        <v>0</v>
      </c>
      <c r="AC39" s="136">
        <f t="shared" si="10"/>
        <v>0</v>
      </c>
      <c r="AD39" s="136">
        <f t="shared" si="10"/>
        <v>0</v>
      </c>
      <c r="AE39" s="136">
        <f t="shared" si="10"/>
        <v>0</v>
      </c>
      <c r="AF39" s="136">
        <f t="shared" si="10"/>
        <v>0</v>
      </c>
      <c r="AG39" s="136">
        <f t="shared" si="10"/>
        <v>0</v>
      </c>
      <c r="AH39" s="136">
        <f t="shared" si="10"/>
        <v>0</v>
      </c>
    </row>
    <row r="40" spans="2:34">
      <c r="B40" s="105" t="s">
        <v>155</v>
      </c>
      <c r="C40" s="133">
        <f t="shared" ref="C40:C41" si="11">SUM(D40:AH40)</f>
        <v>0</v>
      </c>
      <c r="D40" s="134">
        <f>SUMIF('计算过程-数据汇总'!$A:$A,'维护-日期'!B2,'计算过程-数据汇总'!$U:$U)</f>
        <v>0</v>
      </c>
      <c r="E40" s="134">
        <f>SUMIF('计算过程-数据汇总'!$A:$A,'维护-日期'!C2,'计算过程-数据汇总'!$U:$U)</f>
        <v>0</v>
      </c>
      <c r="F40" s="134">
        <f>SUMIF('计算过程-数据汇总'!$A:$A,'维护-日期'!D2,'计算过程-数据汇总'!$U:$U)</f>
        <v>0</v>
      </c>
      <c r="G40" s="134">
        <f>SUMIF('计算过程-数据汇总'!$A:$A,'维护-日期'!E2,'计算过程-数据汇总'!$U:$U)</f>
        <v>0</v>
      </c>
      <c r="H40" s="134">
        <f>SUMIF('计算过程-数据汇总'!$A:$A,'维护-日期'!F2,'计算过程-数据汇总'!$U:$U)</f>
        <v>0</v>
      </c>
      <c r="I40" s="134">
        <f>SUMIF('计算过程-数据汇总'!$A:$A,'维护-日期'!G2,'计算过程-数据汇总'!$U:$U)</f>
        <v>0</v>
      </c>
      <c r="J40" s="134">
        <f>SUMIF('计算过程-数据汇总'!$A:$A,'维护-日期'!H2,'计算过程-数据汇总'!$U:$U)</f>
        <v>0</v>
      </c>
      <c r="K40" s="134">
        <f>SUMIF('计算过程-数据汇总'!$A:$A,'维护-日期'!I2,'计算过程-数据汇总'!$U:$U)</f>
        <v>0</v>
      </c>
      <c r="L40" s="134">
        <f>SUMIF('计算过程-数据汇总'!$A:$A,'维护-日期'!J2,'计算过程-数据汇总'!$U:$U)</f>
        <v>0</v>
      </c>
      <c r="M40" s="134">
        <f>SUMIF('计算过程-数据汇总'!$A:$A,'维护-日期'!K2,'计算过程-数据汇总'!$U:$U)</f>
        <v>0</v>
      </c>
      <c r="N40" s="134">
        <f>SUMIF('计算过程-数据汇总'!$A:$A,'维护-日期'!L2,'计算过程-数据汇总'!$U:$U)</f>
        <v>0</v>
      </c>
      <c r="O40" s="134">
        <f>SUMIF('计算过程-数据汇总'!$A:$A,'维护-日期'!M2,'计算过程-数据汇总'!$U:$U)</f>
        <v>0</v>
      </c>
      <c r="P40" s="134">
        <f>SUMIF('计算过程-数据汇总'!$A:$A,'维护-日期'!N2,'计算过程-数据汇总'!$U:$U)</f>
        <v>0</v>
      </c>
      <c r="Q40" s="134">
        <f>SUMIF('计算过程-数据汇总'!$A:$A,'维护-日期'!O2,'计算过程-数据汇总'!$U:$U)</f>
        <v>0</v>
      </c>
      <c r="R40" s="134">
        <f>SUMIF('计算过程-数据汇总'!$A:$A,'维护-日期'!P2,'计算过程-数据汇总'!$U:$U)</f>
        <v>0</v>
      </c>
      <c r="S40" s="134">
        <f>SUMIF('计算过程-数据汇总'!$A:$A,'维护-日期'!Q2,'计算过程-数据汇总'!$U:$U)</f>
        <v>0</v>
      </c>
      <c r="T40" s="134">
        <f>SUMIF('计算过程-数据汇总'!$A:$A,'维护-日期'!R2,'计算过程-数据汇总'!$U:$U)</f>
        <v>0</v>
      </c>
      <c r="U40" s="134">
        <f>SUMIF('计算过程-数据汇总'!$A:$A,'维护-日期'!S2,'计算过程-数据汇总'!$U:$U)</f>
        <v>0</v>
      </c>
      <c r="V40" s="134">
        <f>SUMIF('计算过程-数据汇总'!$A:$A,'维护-日期'!T2,'计算过程-数据汇总'!$U:$U)</f>
        <v>0</v>
      </c>
      <c r="W40" s="134">
        <f>SUMIF('计算过程-数据汇总'!$A:$A,'维护-日期'!U2,'计算过程-数据汇总'!$U:$U)</f>
        <v>0</v>
      </c>
      <c r="X40" s="134">
        <f>SUMIF('计算过程-数据汇总'!$A:$A,'维护-日期'!V2,'计算过程-数据汇总'!$U:$U)</f>
        <v>0</v>
      </c>
      <c r="Y40" s="134">
        <f>SUMIF('计算过程-数据汇总'!$A:$A,'维护-日期'!W2,'计算过程-数据汇总'!$U:$U)</f>
        <v>0</v>
      </c>
      <c r="Z40" s="134">
        <f>SUMIF('计算过程-数据汇总'!$A:$A,'维护-日期'!X2,'计算过程-数据汇总'!$U:$U)</f>
        <v>0</v>
      </c>
      <c r="AA40" s="134">
        <f>SUMIF('计算过程-数据汇总'!$A:$A,'维护-日期'!Y2,'计算过程-数据汇总'!$U:$U)</f>
        <v>0</v>
      </c>
      <c r="AB40" s="134">
        <f>SUMIF('计算过程-数据汇总'!$A:$A,'维护-日期'!Z2,'计算过程-数据汇总'!$U:$U)</f>
        <v>0</v>
      </c>
      <c r="AC40" s="134">
        <f>SUMIF('计算过程-数据汇总'!$A:$A,'维护-日期'!AA2,'计算过程-数据汇总'!$U:$U)</f>
        <v>0</v>
      </c>
      <c r="AD40" s="134">
        <f>SUMIF('计算过程-数据汇总'!$A:$A,'维护-日期'!AB2,'计算过程-数据汇总'!$U:$U)</f>
        <v>0</v>
      </c>
      <c r="AE40" s="134">
        <f>SUMIF('计算过程-数据汇总'!$A:$A,'维护-日期'!AC2,'计算过程-数据汇总'!$U:$U)</f>
        <v>0</v>
      </c>
      <c r="AF40" s="134">
        <f>SUMIF('计算过程-数据汇总'!$A:$A,'维护-日期'!AD2,'计算过程-数据汇总'!$U:$U)</f>
        <v>0</v>
      </c>
      <c r="AG40" s="134">
        <f>SUMIF('计算过程-数据汇总'!$A:$A,'维护-日期'!AE2,'计算过程-数据汇总'!$U:$U)</f>
        <v>0</v>
      </c>
      <c r="AH40" s="134">
        <f>SUMIF('计算过程-数据汇总'!$A:$A,'维护-日期'!AF2,'计算过程-数据汇总'!$U:$U)</f>
        <v>0</v>
      </c>
    </row>
    <row r="41" spans="2:34">
      <c r="B41" s="105" t="s">
        <v>154</v>
      </c>
      <c r="C41" s="133">
        <f t="shared" si="11"/>
        <v>0</v>
      </c>
      <c r="D41" s="134">
        <f>SUMIF('计算过程-数据汇总'!$A:$A,'维护-日期'!B2,'计算过程-数据汇总'!$V:$V)</f>
        <v>0</v>
      </c>
      <c r="E41" s="134">
        <f>SUMIF('计算过程-数据汇总'!$A:$A,'维护-日期'!C2,'计算过程-数据汇总'!$V:$V)</f>
        <v>0</v>
      </c>
      <c r="F41" s="134">
        <f>SUMIF('计算过程-数据汇总'!$A:$A,'维护-日期'!D2,'计算过程-数据汇总'!$V:$V)</f>
        <v>0</v>
      </c>
      <c r="G41" s="134">
        <f>SUMIF('计算过程-数据汇总'!$A:$A,'维护-日期'!E2,'计算过程-数据汇总'!$V:$V)</f>
        <v>0</v>
      </c>
      <c r="H41" s="134">
        <f>SUMIF('计算过程-数据汇总'!$A:$A,'维护-日期'!F2,'计算过程-数据汇总'!$V:$V)</f>
        <v>0</v>
      </c>
      <c r="I41" s="134">
        <f>SUMIF('计算过程-数据汇总'!$A:$A,'维护-日期'!G2,'计算过程-数据汇总'!$V:$V)</f>
        <v>0</v>
      </c>
      <c r="J41" s="134">
        <f>SUMIF('计算过程-数据汇总'!$A:$A,'维护-日期'!H2,'计算过程-数据汇总'!$V:$V)</f>
        <v>0</v>
      </c>
      <c r="K41" s="134">
        <f>SUMIF('计算过程-数据汇总'!$A:$A,'维护-日期'!I2,'计算过程-数据汇总'!$V:$V)</f>
        <v>0</v>
      </c>
      <c r="L41" s="134">
        <f>SUMIF('计算过程-数据汇总'!$A:$A,'维护-日期'!J2,'计算过程-数据汇总'!$V:$V)</f>
        <v>0</v>
      </c>
      <c r="M41" s="134">
        <f>SUMIF('计算过程-数据汇总'!$A:$A,'维护-日期'!K2,'计算过程-数据汇总'!$V:$V)</f>
        <v>0</v>
      </c>
      <c r="N41" s="134">
        <f>SUMIF('计算过程-数据汇总'!$A:$A,'维护-日期'!L2,'计算过程-数据汇总'!$V:$V)</f>
        <v>0</v>
      </c>
      <c r="O41" s="134">
        <f>SUMIF('计算过程-数据汇总'!$A:$A,'维护-日期'!M2,'计算过程-数据汇总'!$V:$V)</f>
        <v>0</v>
      </c>
      <c r="P41" s="134">
        <f>SUMIF('计算过程-数据汇总'!$A:$A,'维护-日期'!N2,'计算过程-数据汇总'!$V:$V)</f>
        <v>0</v>
      </c>
      <c r="Q41" s="134">
        <f>SUMIF('计算过程-数据汇总'!$A:$A,'维护-日期'!O2,'计算过程-数据汇总'!$V:$V)</f>
        <v>0</v>
      </c>
      <c r="R41" s="134">
        <f>SUMIF('计算过程-数据汇总'!$A:$A,'维护-日期'!P2,'计算过程-数据汇总'!$V:$V)</f>
        <v>0</v>
      </c>
      <c r="S41" s="134">
        <f>SUMIF('计算过程-数据汇总'!$A:$A,'维护-日期'!Q2,'计算过程-数据汇总'!$V:$V)</f>
        <v>0</v>
      </c>
      <c r="T41" s="134">
        <f>SUMIF('计算过程-数据汇总'!$A:$A,'维护-日期'!R2,'计算过程-数据汇总'!$V:$V)</f>
        <v>0</v>
      </c>
      <c r="U41" s="134">
        <f>SUMIF('计算过程-数据汇总'!$A:$A,'维护-日期'!S2,'计算过程-数据汇总'!$V:$V)</f>
        <v>0</v>
      </c>
      <c r="V41" s="134">
        <f>SUMIF('计算过程-数据汇总'!$A:$A,'维护-日期'!T2,'计算过程-数据汇总'!$V:$V)</f>
        <v>0</v>
      </c>
      <c r="W41" s="134">
        <f>SUMIF('计算过程-数据汇总'!$A:$A,'维护-日期'!U2,'计算过程-数据汇总'!$V:$V)</f>
        <v>0</v>
      </c>
      <c r="X41" s="134">
        <f>SUMIF('计算过程-数据汇总'!$A:$A,'维护-日期'!V2,'计算过程-数据汇总'!$V:$V)</f>
        <v>0</v>
      </c>
      <c r="Y41" s="134">
        <f>SUMIF('计算过程-数据汇总'!$A:$A,'维护-日期'!W2,'计算过程-数据汇总'!$V:$V)</f>
        <v>0</v>
      </c>
      <c r="Z41" s="134">
        <f>SUMIF('计算过程-数据汇总'!$A:$A,'维护-日期'!X2,'计算过程-数据汇总'!$V:$V)</f>
        <v>0</v>
      </c>
      <c r="AA41" s="134">
        <f>SUMIF('计算过程-数据汇总'!$A:$A,'维护-日期'!Y2,'计算过程-数据汇总'!$V:$V)</f>
        <v>0</v>
      </c>
      <c r="AB41" s="134">
        <f>SUMIF('计算过程-数据汇总'!$A:$A,'维护-日期'!Z2,'计算过程-数据汇总'!$V:$V)</f>
        <v>0</v>
      </c>
      <c r="AC41" s="134">
        <f>SUMIF('计算过程-数据汇总'!$A:$A,'维护-日期'!AA2,'计算过程-数据汇总'!$V:$V)</f>
        <v>0</v>
      </c>
      <c r="AD41" s="134">
        <f>SUMIF('计算过程-数据汇总'!$A:$A,'维护-日期'!AB2,'计算过程-数据汇总'!$V:$V)</f>
        <v>0</v>
      </c>
      <c r="AE41" s="134">
        <f>SUMIF('计算过程-数据汇总'!$A:$A,'维护-日期'!AC2,'计算过程-数据汇总'!$V:$V)</f>
        <v>0</v>
      </c>
      <c r="AF41" s="134">
        <f>SUMIF('计算过程-数据汇总'!$A:$A,'维护-日期'!AD2,'计算过程-数据汇总'!$V:$V)</f>
        <v>0</v>
      </c>
      <c r="AG41" s="134">
        <f>SUMIF('计算过程-数据汇总'!$A:$A,'维护-日期'!AE2,'计算过程-数据汇总'!$V:$V)</f>
        <v>0</v>
      </c>
      <c r="AH41" s="134">
        <f>SUMIF('计算过程-数据汇总'!$A:$A,'维护-日期'!AF2,'计算过程-数据汇总'!$V:$V)</f>
        <v>0</v>
      </c>
    </row>
    <row r="42" spans="2:34">
      <c r="B42" s="113" t="s">
        <v>4</v>
      </c>
      <c r="C42" s="135">
        <f>SUM(D42:AH42)</f>
        <v>-9.0853973233606663E-12</v>
      </c>
      <c r="D42" s="136">
        <f>D43+D44</f>
        <v>0</v>
      </c>
      <c r="E42" s="136">
        <f t="shared" ref="E42:AH42" si="12">E43+E44</f>
        <v>-1.7979573385673577E-13</v>
      </c>
      <c r="F42" s="136">
        <f t="shared" si="12"/>
        <v>-1.7979573385673577E-13</v>
      </c>
      <c r="G42" s="136">
        <f t="shared" si="12"/>
        <v>-1.7979573385673577E-13</v>
      </c>
      <c r="H42" s="136">
        <f t="shared" si="12"/>
        <v>-6.5477934185764763E-13</v>
      </c>
      <c r="I42" s="136">
        <f t="shared" si="12"/>
        <v>-6.5477934185764763E-13</v>
      </c>
      <c r="J42" s="136">
        <f t="shared" si="12"/>
        <v>-1.7979573385673577E-13</v>
      </c>
      <c r="K42" s="136">
        <f t="shared" si="12"/>
        <v>-1.7979573385673577E-13</v>
      </c>
      <c r="L42" s="136">
        <f t="shared" si="12"/>
        <v>-1.7979573385673577E-13</v>
      </c>
      <c r="M42" s="136">
        <f t="shared" si="12"/>
        <v>-1.7979573385673577E-13</v>
      </c>
      <c r="N42" s="136">
        <f t="shared" si="12"/>
        <v>-1.7979573385673577E-13</v>
      </c>
      <c r="O42" s="136">
        <f t="shared" si="12"/>
        <v>-6.5477934185764763E-13</v>
      </c>
      <c r="P42" s="136">
        <f t="shared" si="12"/>
        <v>-6.5477934185764763E-13</v>
      </c>
      <c r="Q42" s="136">
        <f t="shared" si="12"/>
        <v>-1.7979573385673577E-13</v>
      </c>
      <c r="R42" s="136">
        <f t="shared" si="12"/>
        <v>-1.7979573385673577E-13</v>
      </c>
      <c r="S42" s="136">
        <f t="shared" si="12"/>
        <v>-1.7979573385673577E-13</v>
      </c>
      <c r="T42" s="136">
        <f t="shared" si="12"/>
        <v>-1.7979573385673577E-13</v>
      </c>
      <c r="U42" s="136">
        <f t="shared" si="12"/>
        <v>-1.7979573385673577E-13</v>
      </c>
      <c r="V42" s="136">
        <f t="shared" si="12"/>
        <v>-6.634195415244901E-13</v>
      </c>
      <c r="W42" s="136">
        <f t="shared" si="12"/>
        <v>-6.5477934185764763E-13</v>
      </c>
      <c r="X42" s="136">
        <f t="shared" si="12"/>
        <v>-1.1698375601554288E-13</v>
      </c>
      <c r="Y42" s="136">
        <f t="shared" si="12"/>
        <v>-1.7979573385673577E-13</v>
      </c>
      <c r="Z42" s="136">
        <f t="shared" si="12"/>
        <v>-1.7979573385673577E-13</v>
      </c>
      <c r="AA42" s="136">
        <f t="shared" si="12"/>
        <v>-1.7979573385673577E-13</v>
      </c>
      <c r="AB42" s="136">
        <f t="shared" si="12"/>
        <v>-1.7979573385673577E-13</v>
      </c>
      <c r="AC42" s="136">
        <f t="shared" si="12"/>
        <v>-6.634195415244901E-13</v>
      </c>
      <c r="AD42" s="136">
        <f t="shared" si="12"/>
        <v>-6.5477934185764763E-13</v>
      </c>
      <c r="AE42" s="136">
        <f t="shared" si="12"/>
        <v>-1.1698375601554288E-13</v>
      </c>
      <c r="AF42" s="136">
        <f t="shared" si="12"/>
        <v>-1.7979573385673577E-13</v>
      </c>
      <c r="AG42" s="136">
        <f t="shared" si="12"/>
        <v>-1.7979573385673577E-13</v>
      </c>
      <c r="AH42" s="136">
        <f t="shared" si="12"/>
        <v>-1.7979573385673577E-13</v>
      </c>
    </row>
    <row r="43" spans="2:34">
      <c r="B43" s="105" t="s">
        <v>155</v>
      </c>
      <c r="C43" s="133">
        <f t="shared" ref="C43:C44" si="13">SUM(D43:AH43)</f>
        <v>0</v>
      </c>
      <c r="D43" s="134">
        <f>SUMIF('计算过程-数据汇总'!$A:$A,'维护-日期'!B2,'计算过程-数据汇总'!$S:$S)</f>
        <v>0</v>
      </c>
      <c r="E43" s="134">
        <f>SUMIF('计算过程-数据汇总'!$A:$A,'维护-日期'!C2,'计算过程-数据汇总'!$S:$S)</f>
        <v>0</v>
      </c>
      <c r="F43" s="134">
        <f>SUMIF('计算过程-数据汇总'!$A:$A,'维护-日期'!D2,'计算过程-数据汇总'!$S:$S)</f>
        <v>0</v>
      </c>
      <c r="G43" s="134">
        <f>SUMIF('计算过程-数据汇总'!$A:$A,'维护-日期'!E2,'计算过程-数据汇总'!$S:$S)</f>
        <v>0</v>
      </c>
      <c r="H43" s="134">
        <f>SUMIF('计算过程-数据汇总'!$A:$A,'维护-日期'!F2,'计算过程-数据汇总'!$S:$S)</f>
        <v>0</v>
      </c>
      <c r="I43" s="134">
        <f>SUMIF('计算过程-数据汇总'!$A:$A,'维护-日期'!G2,'计算过程-数据汇总'!$S:$S)</f>
        <v>0</v>
      </c>
      <c r="J43" s="134">
        <f>SUMIF('计算过程-数据汇总'!$A:$A,'维护-日期'!H2,'计算过程-数据汇总'!$S:$S)</f>
        <v>0</v>
      </c>
      <c r="K43" s="134">
        <f>SUMIF('计算过程-数据汇总'!$A:$A,'维护-日期'!I2,'计算过程-数据汇总'!$S:$S)</f>
        <v>0</v>
      </c>
      <c r="L43" s="134">
        <f>SUMIF('计算过程-数据汇总'!$A:$A,'维护-日期'!J2,'计算过程-数据汇总'!$S:$S)</f>
        <v>0</v>
      </c>
      <c r="M43" s="134">
        <f>SUMIF('计算过程-数据汇总'!$A:$A,'维护-日期'!K2,'计算过程-数据汇总'!$S:$S)</f>
        <v>0</v>
      </c>
      <c r="N43" s="134">
        <f>SUMIF('计算过程-数据汇总'!$A:$A,'维护-日期'!L2,'计算过程-数据汇总'!$S:$S)</f>
        <v>0</v>
      </c>
      <c r="O43" s="134">
        <f>SUMIF('计算过程-数据汇总'!$A:$A,'维护-日期'!M2,'计算过程-数据汇总'!$S:$S)</f>
        <v>0</v>
      </c>
      <c r="P43" s="134">
        <f>SUMIF('计算过程-数据汇总'!$A:$A,'维护-日期'!N2,'计算过程-数据汇总'!$S:$S)</f>
        <v>0</v>
      </c>
      <c r="Q43" s="134">
        <f>SUMIF('计算过程-数据汇总'!$A:$A,'维护-日期'!O2,'计算过程-数据汇总'!$S:$S)</f>
        <v>0</v>
      </c>
      <c r="R43" s="134">
        <f>SUMIF('计算过程-数据汇总'!$A:$A,'维护-日期'!P2,'计算过程-数据汇总'!$S:$S)</f>
        <v>0</v>
      </c>
      <c r="S43" s="134">
        <f>SUMIF('计算过程-数据汇总'!$A:$A,'维护-日期'!Q2,'计算过程-数据汇总'!$S:$S)</f>
        <v>0</v>
      </c>
      <c r="T43" s="134">
        <f>SUMIF('计算过程-数据汇总'!$A:$A,'维护-日期'!R2,'计算过程-数据汇总'!$S:$S)</f>
        <v>0</v>
      </c>
      <c r="U43" s="134">
        <f>SUMIF('计算过程-数据汇总'!$A:$A,'维护-日期'!S2,'计算过程-数据汇总'!$S:$S)</f>
        <v>0</v>
      </c>
      <c r="V43" s="134">
        <f>SUMIF('计算过程-数据汇总'!$A:$A,'维护-日期'!T2,'计算过程-数据汇总'!$S:$S)</f>
        <v>0</v>
      </c>
      <c r="W43" s="134">
        <f>SUMIF('计算过程-数据汇总'!$A:$A,'维护-日期'!U2,'计算过程-数据汇总'!$S:$S)</f>
        <v>0</v>
      </c>
      <c r="X43" s="134">
        <f>SUMIF('计算过程-数据汇总'!$A:$A,'维护-日期'!V2,'计算过程-数据汇总'!$S:$S)</f>
        <v>0</v>
      </c>
      <c r="Y43" s="134">
        <f>SUMIF('计算过程-数据汇总'!$A:$A,'维护-日期'!W2,'计算过程-数据汇总'!$S:$S)</f>
        <v>0</v>
      </c>
      <c r="Z43" s="134">
        <f>SUMIF('计算过程-数据汇总'!$A:$A,'维护-日期'!X2,'计算过程-数据汇总'!$S:$S)</f>
        <v>0</v>
      </c>
      <c r="AA43" s="134">
        <f>SUMIF('计算过程-数据汇总'!$A:$A,'维护-日期'!Y2,'计算过程-数据汇总'!$S:$S)</f>
        <v>0</v>
      </c>
      <c r="AB43" s="134">
        <f>SUMIF('计算过程-数据汇总'!$A:$A,'维护-日期'!Z2,'计算过程-数据汇总'!$S:$S)</f>
        <v>0</v>
      </c>
      <c r="AC43" s="134">
        <f>SUMIF('计算过程-数据汇总'!$A:$A,'维护-日期'!AA2,'计算过程-数据汇总'!$S:$S)</f>
        <v>0</v>
      </c>
      <c r="AD43" s="134">
        <f>SUMIF('计算过程-数据汇总'!$A:$A,'维护-日期'!AB2,'计算过程-数据汇总'!$S:$S)</f>
        <v>0</v>
      </c>
      <c r="AE43" s="134">
        <f>SUMIF('计算过程-数据汇总'!$A:$A,'维护-日期'!AC2,'计算过程-数据汇总'!$S:$S)</f>
        <v>0</v>
      </c>
      <c r="AF43" s="134">
        <f>SUMIF('计算过程-数据汇总'!$A:$A,'维护-日期'!AD2,'计算过程-数据汇总'!$S:$S)</f>
        <v>0</v>
      </c>
      <c r="AG43" s="134">
        <f>SUMIF('计算过程-数据汇总'!$A:$A,'维护-日期'!AE2,'计算过程-数据汇总'!$S:$S)</f>
        <v>0</v>
      </c>
      <c r="AH43" s="134">
        <f>SUMIF('计算过程-数据汇总'!$A:$A,'维护-日期'!AF2,'计算过程-数据汇总'!$S:$S)</f>
        <v>0</v>
      </c>
    </row>
    <row r="44" spans="2:34">
      <c r="B44" s="105" t="s">
        <v>154</v>
      </c>
      <c r="C44" s="133">
        <f t="shared" si="13"/>
        <v>-9.0853973233606663E-12</v>
      </c>
      <c r="D44" s="134">
        <f>SUMIF('计算过程-数据汇总'!$A:$A,'维护-日期'!B2,'计算过程-数据汇总'!$T:$T)</f>
        <v>0</v>
      </c>
      <c r="E44" s="134">
        <f>SUMIF('计算过程-数据汇总'!$A:$A,'维护-日期'!C2,'计算过程-数据汇总'!$T:$T)</f>
        <v>-1.7979573385673577E-13</v>
      </c>
      <c r="F44" s="134">
        <f>SUMIF('计算过程-数据汇总'!$A:$A,'维护-日期'!D2,'计算过程-数据汇总'!$T:$T)</f>
        <v>-1.7979573385673577E-13</v>
      </c>
      <c r="G44" s="134">
        <f>SUMIF('计算过程-数据汇总'!$A:$A,'维护-日期'!E2,'计算过程-数据汇总'!$T:$T)</f>
        <v>-1.7979573385673577E-13</v>
      </c>
      <c r="H44" s="134">
        <f>SUMIF('计算过程-数据汇总'!$A:$A,'维护-日期'!F2,'计算过程-数据汇总'!$T:$T)</f>
        <v>-6.5477934185764763E-13</v>
      </c>
      <c r="I44" s="134">
        <f>SUMIF('计算过程-数据汇总'!$A:$A,'维护-日期'!G2,'计算过程-数据汇总'!$T:$T)</f>
        <v>-6.5477934185764763E-13</v>
      </c>
      <c r="J44" s="134">
        <f>SUMIF('计算过程-数据汇总'!$A:$A,'维护-日期'!H2,'计算过程-数据汇总'!$T:$T)</f>
        <v>-1.7979573385673577E-13</v>
      </c>
      <c r="K44" s="134">
        <f>SUMIF('计算过程-数据汇总'!$A:$A,'维护-日期'!I2,'计算过程-数据汇总'!$T:$T)</f>
        <v>-1.7979573385673577E-13</v>
      </c>
      <c r="L44" s="134">
        <f>SUMIF('计算过程-数据汇总'!$A:$A,'维护-日期'!J2,'计算过程-数据汇总'!$T:$T)</f>
        <v>-1.7979573385673577E-13</v>
      </c>
      <c r="M44" s="134">
        <f>SUMIF('计算过程-数据汇总'!$A:$A,'维护-日期'!K2,'计算过程-数据汇总'!$T:$T)</f>
        <v>-1.7979573385673577E-13</v>
      </c>
      <c r="N44" s="134">
        <f>SUMIF('计算过程-数据汇总'!$A:$A,'维护-日期'!L2,'计算过程-数据汇总'!$T:$T)</f>
        <v>-1.7979573385673577E-13</v>
      </c>
      <c r="O44" s="134">
        <f>SUMIF('计算过程-数据汇总'!$A:$A,'维护-日期'!M2,'计算过程-数据汇总'!$T:$T)</f>
        <v>-6.5477934185764763E-13</v>
      </c>
      <c r="P44" s="134">
        <f>SUMIF('计算过程-数据汇总'!$A:$A,'维护-日期'!N2,'计算过程-数据汇总'!$T:$T)</f>
        <v>-6.5477934185764763E-13</v>
      </c>
      <c r="Q44" s="134">
        <f>SUMIF('计算过程-数据汇总'!$A:$A,'维护-日期'!O2,'计算过程-数据汇总'!$T:$T)</f>
        <v>-1.7979573385673577E-13</v>
      </c>
      <c r="R44" s="134">
        <f>SUMIF('计算过程-数据汇总'!$A:$A,'维护-日期'!P2,'计算过程-数据汇总'!$T:$T)</f>
        <v>-1.7979573385673577E-13</v>
      </c>
      <c r="S44" s="134">
        <f>SUMIF('计算过程-数据汇总'!$A:$A,'维护-日期'!Q2,'计算过程-数据汇总'!$T:$T)</f>
        <v>-1.7979573385673577E-13</v>
      </c>
      <c r="T44" s="134">
        <f>SUMIF('计算过程-数据汇总'!$A:$A,'维护-日期'!R2,'计算过程-数据汇总'!$T:$T)</f>
        <v>-1.7979573385673577E-13</v>
      </c>
      <c r="U44" s="134">
        <f>SUMIF('计算过程-数据汇总'!$A:$A,'维护-日期'!S2,'计算过程-数据汇总'!$T:$T)</f>
        <v>-1.7979573385673577E-13</v>
      </c>
      <c r="V44" s="134">
        <f>SUMIF('计算过程-数据汇总'!$A:$A,'维护-日期'!T2,'计算过程-数据汇总'!$T:$T)</f>
        <v>-6.634195415244901E-13</v>
      </c>
      <c r="W44" s="134">
        <f>SUMIF('计算过程-数据汇总'!$A:$A,'维护-日期'!U2,'计算过程-数据汇总'!$T:$T)</f>
        <v>-6.5477934185764763E-13</v>
      </c>
      <c r="X44" s="134">
        <f>SUMIF('计算过程-数据汇总'!$A:$A,'维护-日期'!V2,'计算过程-数据汇总'!$T:$T)</f>
        <v>-1.1698375601554288E-13</v>
      </c>
      <c r="Y44" s="134">
        <f>SUMIF('计算过程-数据汇总'!$A:$A,'维护-日期'!W2,'计算过程-数据汇总'!$T:$T)</f>
        <v>-1.7979573385673577E-13</v>
      </c>
      <c r="Z44" s="134">
        <f>SUMIF('计算过程-数据汇总'!$A:$A,'维护-日期'!X2,'计算过程-数据汇总'!$T:$T)</f>
        <v>-1.7979573385673577E-13</v>
      </c>
      <c r="AA44" s="134">
        <f>SUMIF('计算过程-数据汇总'!$A:$A,'维护-日期'!Y2,'计算过程-数据汇总'!$T:$T)</f>
        <v>-1.7979573385673577E-13</v>
      </c>
      <c r="AB44" s="134">
        <f>SUMIF('计算过程-数据汇总'!$A:$A,'维护-日期'!Z2,'计算过程-数据汇总'!$T:$T)</f>
        <v>-1.7979573385673577E-13</v>
      </c>
      <c r="AC44" s="134">
        <f>SUMIF('计算过程-数据汇总'!$A:$A,'维护-日期'!AA2,'计算过程-数据汇总'!$T:$T)</f>
        <v>-6.634195415244901E-13</v>
      </c>
      <c r="AD44" s="134">
        <f>SUMIF('计算过程-数据汇总'!$A:$A,'维护-日期'!AB2,'计算过程-数据汇总'!$T:$T)</f>
        <v>-6.5477934185764763E-13</v>
      </c>
      <c r="AE44" s="134">
        <f>SUMIF('计算过程-数据汇总'!$A:$A,'维护-日期'!AC2,'计算过程-数据汇总'!$T:$T)</f>
        <v>-1.1698375601554288E-13</v>
      </c>
      <c r="AF44" s="134">
        <f>SUMIF('计算过程-数据汇总'!$A:$A,'维护-日期'!AD2,'计算过程-数据汇总'!$T:$T)</f>
        <v>-1.7979573385673577E-13</v>
      </c>
      <c r="AG44" s="134">
        <f>SUMIF('计算过程-数据汇总'!$A:$A,'维护-日期'!AE2,'计算过程-数据汇总'!$T:$T)</f>
        <v>-1.7979573385673577E-13</v>
      </c>
      <c r="AH44" s="134">
        <f>SUMIF('计算过程-数据汇总'!$A:$A,'维护-日期'!AF2,'计算过程-数据汇总'!$T:$T)</f>
        <v>-1.7979573385673577E-13</v>
      </c>
    </row>
    <row r="45" spans="2:34">
      <c r="B45" s="2"/>
      <c r="C45" s="137"/>
      <c r="D45" s="137" t="b">
        <f>D17=D38+D39+D42</f>
        <v>1</v>
      </c>
      <c r="E45" s="137" t="b">
        <f>E17=E38+E39+E42</f>
        <v>1</v>
      </c>
      <c r="F45" s="137" t="b">
        <f t="shared" ref="F45:AH45" si="14">F17=F38+F39+F42</f>
        <v>1</v>
      </c>
      <c r="G45" s="137" t="b">
        <f t="shared" si="14"/>
        <v>1</v>
      </c>
      <c r="H45" s="137" t="b">
        <f t="shared" si="14"/>
        <v>1</v>
      </c>
      <c r="I45" s="137" t="b">
        <f t="shared" si="14"/>
        <v>1</v>
      </c>
      <c r="J45" s="137" t="b">
        <f t="shared" si="14"/>
        <v>1</v>
      </c>
      <c r="K45" s="137" t="b">
        <f t="shared" si="14"/>
        <v>1</v>
      </c>
      <c r="L45" s="137" t="b">
        <f t="shared" si="14"/>
        <v>1</v>
      </c>
      <c r="M45" s="137" t="b">
        <f>M17=M38+M39+M42</f>
        <v>1</v>
      </c>
      <c r="N45" s="137" t="b">
        <f t="shared" si="14"/>
        <v>1</v>
      </c>
      <c r="O45" s="137" t="b">
        <f t="shared" si="14"/>
        <v>1</v>
      </c>
      <c r="P45" s="137" t="b">
        <f t="shared" si="14"/>
        <v>1</v>
      </c>
      <c r="Q45" s="137" t="b">
        <f t="shared" si="14"/>
        <v>1</v>
      </c>
      <c r="R45" s="137" t="b">
        <f t="shared" si="14"/>
        <v>1</v>
      </c>
      <c r="S45" s="137" t="b">
        <f t="shared" si="14"/>
        <v>1</v>
      </c>
      <c r="T45" s="137" t="b">
        <f t="shared" si="14"/>
        <v>1</v>
      </c>
      <c r="U45" s="137" t="b">
        <f t="shared" si="14"/>
        <v>1</v>
      </c>
      <c r="V45" s="137" t="b">
        <f t="shared" si="14"/>
        <v>1</v>
      </c>
      <c r="W45" s="137" t="b">
        <f t="shared" si="14"/>
        <v>1</v>
      </c>
      <c r="X45" s="137" t="b">
        <f t="shared" si="14"/>
        <v>1</v>
      </c>
      <c r="Y45" s="137" t="b">
        <f t="shared" si="14"/>
        <v>1</v>
      </c>
      <c r="Z45" s="137" t="b">
        <f t="shared" si="14"/>
        <v>1</v>
      </c>
      <c r="AA45" s="137" t="b">
        <f t="shared" si="14"/>
        <v>1</v>
      </c>
      <c r="AB45" s="137" t="b">
        <f t="shared" si="14"/>
        <v>1</v>
      </c>
      <c r="AC45" s="137" t="b">
        <f t="shared" si="14"/>
        <v>1</v>
      </c>
      <c r="AD45" s="137" t="b">
        <f t="shared" si="14"/>
        <v>1</v>
      </c>
      <c r="AE45" s="137" t="b">
        <f t="shared" si="14"/>
        <v>1</v>
      </c>
      <c r="AF45" s="137" t="b">
        <f t="shared" si="14"/>
        <v>1</v>
      </c>
      <c r="AG45" s="137" t="b">
        <f t="shared" si="14"/>
        <v>1</v>
      </c>
      <c r="AH45" s="137" t="b">
        <f t="shared" si="14"/>
        <v>1</v>
      </c>
    </row>
    <row r="46" spans="2:34">
      <c r="B46" s="2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</row>
    <row r="47" spans="2:34" s="58" customFormat="1">
      <c r="B47" s="104" t="s">
        <v>82</v>
      </c>
      <c r="C47" s="129">
        <f t="shared" ref="C47:AH47" si="15">C19/$C$2</f>
        <v>0</v>
      </c>
      <c r="D47" s="130">
        <f t="shared" si="15"/>
        <v>0</v>
      </c>
      <c r="E47" s="130">
        <f t="shared" si="15"/>
        <v>0</v>
      </c>
      <c r="F47" s="130">
        <f t="shared" si="15"/>
        <v>0</v>
      </c>
      <c r="G47" s="130">
        <f t="shared" si="15"/>
        <v>0</v>
      </c>
      <c r="H47" s="130">
        <f t="shared" si="15"/>
        <v>0</v>
      </c>
      <c r="I47" s="130">
        <f t="shared" si="15"/>
        <v>0</v>
      </c>
      <c r="J47" s="130">
        <f t="shared" si="15"/>
        <v>0</v>
      </c>
      <c r="K47" s="130">
        <f t="shared" si="15"/>
        <v>0</v>
      </c>
      <c r="L47" s="130">
        <f t="shared" si="15"/>
        <v>0</v>
      </c>
      <c r="M47" s="130">
        <f t="shared" si="15"/>
        <v>0</v>
      </c>
      <c r="N47" s="130">
        <f t="shared" si="15"/>
        <v>0</v>
      </c>
      <c r="O47" s="130">
        <f t="shared" si="15"/>
        <v>0</v>
      </c>
      <c r="P47" s="130">
        <f t="shared" si="15"/>
        <v>0</v>
      </c>
      <c r="Q47" s="130">
        <f t="shared" si="15"/>
        <v>0</v>
      </c>
      <c r="R47" s="130">
        <f t="shared" si="15"/>
        <v>0</v>
      </c>
      <c r="S47" s="130">
        <f t="shared" si="15"/>
        <v>0</v>
      </c>
      <c r="T47" s="130">
        <f t="shared" si="15"/>
        <v>0</v>
      </c>
      <c r="U47" s="130">
        <f t="shared" si="15"/>
        <v>0</v>
      </c>
      <c r="V47" s="130">
        <f t="shared" si="15"/>
        <v>0</v>
      </c>
      <c r="W47" s="130">
        <f t="shared" si="15"/>
        <v>0</v>
      </c>
      <c r="X47" s="130">
        <f t="shared" si="15"/>
        <v>0</v>
      </c>
      <c r="Y47" s="130">
        <f t="shared" si="15"/>
        <v>0</v>
      </c>
      <c r="Z47" s="130">
        <f t="shared" si="15"/>
        <v>0</v>
      </c>
      <c r="AA47" s="130">
        <f t="shared" si="15"/>
        <v>0</v>
      </c>
      <c r="AB47" s="130">
        <f t="shared" si="15"/>
        <v>0</v>
      </c>
      <c r="AC47" s="130">
        <f t="shared" si="15"/>
        <v>0</v>
      </c>
      <c r="AD47" s="130">
        <f t="shared" si="15"/>
        <v>0</v>
      </c>
      <c r="AE47" s="130">
        <f t="shared" si="15"/>
        <v>0</v>
      </c>
      <c r="AF47" s="130">
        <f t="shared" si="15"/>
        <v>0</v>
      </c>
      <c r="AG47" s="130">
        <f t="shared" si="15"/>
        <v>0</v>
      </c>
      <c r="AH47" s="130">
        <f t="shared" si="15"/>
        <v>0</v>
      </c>
    </row>
    <row r="48" spans="2:34">
      <c r="B48" s="105" t="s">
        <v>81</v>
      </c>
      <c r="C48" s="127">
        <f t="shared" ref="C48:AH48" si="16">C20/$C$2</f>
        <v>0</v>
      </c>
      <c r="D48" s="128">
        <f t="shared" si="16"/>
        <v>0</v>
      </c>
      <c r="E48" s="128">
        <f t="shared" si="16"/>
        <v>0</v>
      </c>
      <c r="F48" s="128">
        <f t="shared" si="16"/>
        <v>0</v>
      </c>
      <c r="G48" s="128">
        <f t="shared" si="16"/>
        <v>0</v>
      </c>
      <c r="H48" s="128">
        <f t="shared" si="16"/>
        <v>0</v>
      </c>
      <c r="I48" s="128">
        <f t="shared" si="16"/>
        <v>0</v>
      </c>
      <c r="J48" s="128">
        <f t="shared" si="16"/>
        <v>0</v>
      </c>
      <c r="K48" s="128">
        <f t="shared" si="16"/>
        <v>0</v>
      </c>
      <c r="L48" s="128">
        <f t="shared" si="16"/>
        <v>0</v>
      </c>
      <c r="M48" s="128">
        <f t="shared" si="16"/>
        <v>0</v>
      </c>
      <c r="N48" s="128">
        <f t="shared" si="16"/>
        <v>0</v>
      </c>
      <c r="O48" s="128">
        <f t="shared" si="16"/>
        <v>0</v>
      </c>
      <c r="P48" s="128">
        <f t="shared" si="16"/>
        <v>0</v>
      </c>
      <c r="Q48" s="128">
        <f t="shared" si="16"/>
        <v>0</v>
      </c>
      <c r="R48" s="128">
        <f t="shared" si="16"/>
        <v>0</v>
      </c>
      <c r="S48" s="128">
        <f t="shared" si="16"/>
        <v>0</v>
      </c>
      <c r="T48" s="128">
        <f t="shared" si="16"/>
        <v>0</v>
      </c>
      <c r="U48" s="128">
        <f t="shared" si="16"/>
        <v>0</v>
      </c>
      <c r="V48" s="128">
        <f t="shared" si="16"/>
        <v>0</v>
      </c>
      <c r="W48" s="128">
        <f t="shared" si="16"/>
        <v>0</v>
      </c>
      <c r="X48" s="128">
        <f t="shared" si="16"/>
        <v>0</v>
      </c>
      <c r="Y48" s="128">
        <f t="shared" si="16"/>
        <v>0</v>
      </c>
      <c r="Z48" s="128">
        <f t="shared" si="16"/>
        <v>0</v>
      </c>
      <c r="AA48" s="128">
        <f t="shared" si="16"/>
        <v>0</v>
      </c>
      <c r="AB48" s="128">
        <f t="shared" si="16"/>
        <v>0</v>
      </c>
      <c r="AC48" s="128">
        <f t="shared" si="16"/>
        <v>0</v>
      </c>
      <c r="AD48" s="128">
        <f t="shared" si="16"/>
        <v>0</v>
      </c>
      <c r="AE48" s="128">
        <f t="shared" si="16"/>
        <v>0</v>
      </c>
      <c r="AF48" s="128">
        <f t="shared" si="16"/>
        <v>0</v>
      </c>
      <c r="AG48" s="128">
        <f t="shared" si="16"/>
        <v>0</v>
      </c>
      <c r="AH48" s="128">
        <f t="shared" si="16"/>
        <v>0</v>
      </c>
    </row>
    <row r="49" spans="2:34">
      <c r="B49" s="105" t="s">
        <v>80</v>
      </c>
      <c r="C49" s="127">
        <f t="shared" ref="C49:AH49" si="17">C21/$C$2</f>
        <v>0</v>
      </c>
      <c r="D49" s="128">
        <f t="shared" si="17"/>
        <v>0</v>
      </c>
      <c r="E49" s="128">
        <f t="shared" si="17"/>
        <v>0</v>
      </c>
      <c r="F49" s="128">
        <f t="shared" si="17"/>
        <v>0</v>
      </c>
      <c r="G49" s="128">
        <f t="shared" si="17"/>
        <v>0</v>
      </c>
      <c r="H49" s="128">
        <f t="shared" si="17"/>
        <v>0</v>
      </c>
      <c r="I49" s="128">
        <f t="shared" si="17"/>
        <v>0</v>
      </c>
      <c r="J49" s="128">
        <f t="shared" si="17"/>
        <v>0</v>
      </c>
      <c r="K49" s="128">
        <f t="shared" si="17"/>
        <v>0</v>
      </c>
      <c r="L49" s="128">
        <f t="shared" si="17"/>
        <v>0</v>
      </c>
      <c r="M49" s="128">
        <f t="shared" si="17"/>
        <v>0</v>
      </c>
      <c r="N49" s="128">
        <f t="shared" si="17"/>
        <v>0</v>
      </c>
      <c r="O49" s="128">
        <f t="shared" si="17"/>
        <v>0</v>
      </c>
      <c r="P49" s="128">
        <f t="shared" si="17"/>
        <v>0</v>
      </c>
      <c r="Q49" s="128">
        <f t="shared" si="17"/>
        <v>0</v>
      </c>
      <c r="R49" s="128">
        <f t="shared" si="17"/>
        <v>0</v>
      </c>
      <c r="S49" s="128">
        <f t="shared" si="17"/>
        <v>0</v>
      </c>
      <c r="T49" s="128">
        <f t="shared" si="17"/>
        <v>0</v>
      </c>
      <c r="U49" s="128">
        <f t="shared" si="17"/>
        <v>0</v>
      </c>
      <c r="V49" s="128">
        <f t="shared" si="17"/>
        <v>0</v>
      </c>
      <c r="W49" s="128">
        <f t="shared" si="17"/>
        <v>0</v>
      </c>
      <c r="X49" s="128">
        <f t="shared" si="17"/>
        <v>0</v>
      </c>
      <c r="Y49" s="128">
        <f t="shared" si="17"/>
        <v>0</v>
      </c>
      <c r="Z49" s="128">
        <f t="shared" si="17"/>
        <v>0</v>
      </c>
      <c r="AA49" s="128">
        <f t="shared" si="17"/>
        <v>0</v>
      </c>
      <c r="AB49" s="128">
        <f t="shared" si="17"/>
        <v>0</v>
      </c>
      <c r="AC49" s="128">
        <f t="shared" si="17"/>
        <v>0</v>
      </c>
      <c r="AD49" s="128">
        <f t="shared" si="17"/>
        <v>0</v>
      </c>
      <c r="AE49" s="128">
        <f t="shared" si="17"/>
        <v>0</v>
      </c>
      <c r="AF49" s="128">
        <f t="shared" si="17"/>
        <v>0</v>
      </c>
      <c r="AG49" s="128">
        <f t="shared" si="17"/>
        <v>0</v>
      </c>
      <c r="AH49" s="128">
        <f t="shared" si="17"/>
        <v>0</v>
      </c>
    </row>
    <row r="50" spans="2:34" s="57" customFormat="1">
      <c r="B50" s="126" t="s">
        <v>79</v>
      </c>
      <c r="C50" s="138">
        <f t="shared" ref="C50:AH50" si="18">C22/$C$2</f>
        <v>0</v>
      </c>
      <c r="D50" s="139">
        <f t="shared" si="18"/>
        <v>0</v>
      </c>
      <c r="E50" s="139">
        <f t="shared" si="18"/>
        <v>0</v>
      </c>
      <c r="F50" s="139">
        <f t="shared" si="18"/>
        <v>0</v>
      </c>
      <c r="G50" s="139">
        <f t="shared" si="18"/>
        <v>0</v>
      </c>
      <c r="H50" s="139">
        <f t="shared" si="18"/>
        <v>0</v>
      </c>
      <c r="I50" s="139">
        <f t="shared" si="18"/>
        <v>0</v>
      </c>
      <c r="J50" s="139">
        <f t="shared" si="18"/>
        <v>0</v>
      </c>
      <c r="K50" s="139">
        <f t="shared" si="18"/>
        <v>0</v>
      </c>
      <c r="L50" s="139">
        <f t="shared" si="18"/>
        <v>0</v>
      </c>
      <c r="M50" s="139">
        <f t="shared" si="18"/>
        <v>0</v>
      </c>
      <c r="N50" s="139">
        <f t="shared" si="18"/>
        <v>0</v>
      </c>
      <c r="O50" s="139">
        <f t="shared" si="18"/>
        <v>0</v>
      </c>
      <c r="P50" s="139">
        <f t="shared" si="18"/>
        <v>0</v>
      </c>
      <c r="Q50" s="139">
        <f t="shared" si="18"/>
        <v>0</v>
      </c>
      <c r="R50" s="139">
        <f t="shared" si="18"/>
        <v>0</v>
      </c>
      <c r="S50" s="139">
        <f t="shared" si="18"/>
        <v>0</v>
      </c>
      <c r="T50" s="139">
        <f t="shared" si="18"/>
        <v>0</v>
      </c>
      <c r="U50" s="139">
        <f t="shared" si="18"/>
        <v>0</v>
      </c>
      <c r="V50" s="139">
        <f t="shared" si="18"/>
        <v>0</v>
      </c>
      <c r="W50" s="139">
        <f t="shared" si="18"/>
        <v>0</v>
      </c>
      <c r="X50" s="139">
        <f t="shared" si="18"/>
        <v>0</v>
      </c>
      <c r="Y50" s="139">
        <f t="shared" si="18"/>
        <v>0</v>
      </c>
      <c r="Z50" s="139">
        <f t="shared" si="18"/>
        <v>0</v>
      </c>
      <c r="AA50" s="139">
        <f t="shared" si="18"/>
        <v>0</v>
      </c>
      <c r="AB50" s="139">
        <f t="shared" si="18"/>
        <v>0</v>
      </c>
      <c r="AC50" s="139">
        <f t="shared" si="18"/>
        <v>0</v>
      </c>
      <c r="AD50" s="139">
        <f t="shared" si="18"/>
        <v>0</v>
      </c>
      <c r="AE50" s="139">
        <f t="shared" si="18"/>
        <v>0</v>
      </c>
      <c r="AF50" s="139">
        <f t="shared" si="18"/>
        <v>0</v>
      </c>
      <c r="AG50" s="139">
        <f t="shared" si="18"/>
        <v>0</v>
      </c>
      <c r="AH50" s="139">
        <f t="shared" si="18"/>
        <v>0</v>
      </c>
    </row>
    <row r="51" spans="2:34">
      <c r="B51" s="105" t="str">
        <f>LEFT(B23,FIND("电费",B23)-1)&amp;"影响电价"</f>
        <v>年度双边策略影响电价</v>
      </c>
      <c r="C51" s="127">
        <f t="shared" ref="C51:AH51" si="19">C23/$C$2</f>
        <v>0</v>
      </c>
      <c r="D51" s="128">
        <f t="shared" si="19"/>
        <v>0</v>
      </c>
      <c r="E51" s="128">
        <f t="shared" si="19"/>
        <v>0</v>
      </c>
      <c r="F51" s="128">
        <f t="shared" si="19"/>
        <v>0</v>
      </c>
      <c r="G51" s="128">
        <f t="shared" si="19"/>
        <v>0</v>
      </c>
      <c r="H51" s="128">
        <f t="shared" si="19"/>
        <v>0</v>
      </c>
      <c r="I51" s="128">
        <f t="shared" si="19"/>
        <v>0</v>
      </c>
      <c r="J51" s="128">
        <f t="shared" si="19"/>
        <v>0</v>
      </c>
      <c r="K51" s="128">
        <f t="shared" si="19"/>
        <v>0</v>
      </c>
      <c r="L51" s="128">
        <f t="shared" si="19"/>
        <v>0</v>
      </c>
      <c r="M51" s="128">
        <f t="shared" si="19"/>
        <v>0</v>
      </c>
      <c r="N51" s="128">
        <f t="shared" si="19"/>
        <v>0</v>
      </c>
      <c r="O51" s="128">
        <f t="shared" si="19"/>
        <v>0</v>
      </c>
      <c r="P51" s="128">
        <f t="shared" si="19"/>
        <v>0</v>
      </c>
      <c r="Q51" s="128">
        <f t="shared" si="19"/>
        <v>0</v>
      </c>
      <c r="R51" s="128">
        <f t="shared" si="19"/>
        <v>0</v>
      </c>
      <c r="S51" s="128">
        <f t="shared" si="19"/>
        <v>0</v>
      </c>
      <c r="T51" s="128">
        <f t="shared" si="19"/>
        <v>0</v>
      </c>
      <c r="U51" s="128">
        <f t="shared" si="19"/>
        <v>0</v>
      </c>
      <c r="V51" s="128">
        <f t="shared" si="19"/>
        <v>0</v>
      </c>
      <c r="W51" s="128">
        <f t="shared" si="19"/>
        <v>0</v>
      </c>
      <c r="X51" s="128">
        <f t="shared" si="19"/>
        <v>0</v>
      </c>
      <c r="Y51" s="128">
        <f t="shared" si="19"/>
        <v>0</v>
      </c>
      <c r="Z51" s="128">
        <f t="shared" si="19"/>
        <v>0</v>
      </c>
      <c r="AA51" s="128">
        <f t="shared" si="19"/>
        <v>0</v>
      </c>
      <c r="AB51" s="128">
        <f t="shared" si="19"/>
        <v>0</v>
      </c>
      <c r="AC51" s="128">
        <f t="shared" si="19"/>
        <v>0</v>
      </c>
      <c r="AD51" s="128">
        <f t="shared" si="19"/>
        <v>0</v>
      </c>
      <c r="AE51" s="128">
        <f t="shared" si="19"/>
        <v>0</v>
      </c>
      <c r="AF51" s="128">
        <f t="shared" si="19"/>
        <v>0</v>
      </c>
      <c r="AG51" s="128">
        <f t="shared" si="19"/>
        <v>0</v>
      </c>
      <c r="AH51" s="128">
        <f t="shared" si="19"/>
        <v>0</v>
      </c>
    </row>
    <row r="52" spans="2:34">
      <c r="B52" s="105" t="str">
        <f t="shared" ref="B52:B65" si="20">LEFT(B24,FIND("电费",B24)-1)&amp;"影响电价"</f>
        <v>年度挂牌策略影响电价</v>
      </c>
      <c r="C52" s="127">
        <f t="shared" ref="C52:AH52" si="21">C24/$C$2</f>
        <v>0</v>
      </c>
      <c r="D52" s="128">
        <f t="shared" si="21"/>
        <v>0</v>
      </c>
      <c r="E52" s="128">
        <f t="shared" si="21"/>
        <v>0</v>
      </c>
      <c r="F52" s="128">
        <f t="shared" si="21"/>
        <v>0</v>
      </c>
      <c r="G52" s="128">
        <f t="shared" si="21"/>
        <v>0</v>
      </c>
      <c r="H52" s="128">
        <f t="shared" si="21"/>
        <v>0</v>
      </c>
      <c r="I52" s="128">
        <f t="shared" si="21"/>
        <v>0</v>
      </c>
      <c r="J52" s="128">
        <f t="shared" si="21"/>
        <v>0</v>
      </c>
      <c r="K52" s="128">
        <f t="shared" si="21"/>
        <v>0</v>
      </c>
      <c r="L52" s="128">
        <f t="shared" si="21"/>
        <v>0</v>
      </c>
      <c r="M52" s="128">
        <f t="shared" si="21"/>
        <v>0</v>
      </c>
      <c r="N52" s="128">
        <f t="shared" si="21"/>
        <v>0</v>
      </c>
      <c r="O52" s="128">
        <f t="shared" si="21"/>
        <v>0</v>
      </c>
      <c r="P52" s="128">
        <f t="shared" si="21"/>
        <v>0</v>
      </c>
      <c r="Q52" s="128">
        <f t="shared" si="21"/>
        <v>0</v>
      </c>
      <c r="R52" s="128">
        <f t="shared" si="21"/>
        <v>0</v>
      </c>
      <c r="S52" s="128">
        <f t="shared" si="21"/>
        <v>0</v>
      </c>
      <c r="T52" s="128">
        <f t="shared" si="21"/>
        <v>0</v>
      </c>
      <c r="U52" s="128">
        <f t="shared" si="21"/>
        <v>0</v>
      </c>
      <c r="V52" s="128">
        <f t="shared" si="21"/>
        <v>0</v>
      </c>
      <c r="W52" s="128">
        <f t="shared" si="21"/>
        <v>0</v>
      </c>
      <c r="X52" s="128">
        <f t="shared" si="21"/>
        <v>0</v>
      </c>
      <c r="Y52" s="128">
        <f t="shared" si="21"/>
        <v>0</v>
      </c>
      <c r="Z52" s="128">
        <f t="shared" si="21"/>
        <v>0</v>
      </c>
      <c r="AA52" s="128">
        <f t="shared" si="21"/>
        <v>0</v>
      </c>
      <c r="AB52" s="128">
        <f t="shared" si="21"/>
        <v>0</v>
      </c>
      <c r="AC52" s="128">
        <f t="shared" si="21"/>
        <v>0</v>
      </c>
      <c r="AD52" s="128">
        <f t="shared" si="21"/>
        <v>0</v>
      </c>
      <c r="AE52" s="128">
        <f t="shared" si="21"/>
        <v>0</v>
      </c>
      <c r="AF52" s="128">
        <f t="shared" si="21"/>
        <v>0</v>
      </c>
      <c r="AG52" s="128">
        <f t="shared" si="21"/>
        <v>0</v>
      </c>
      <c r="AH52" s="128">
        <f t="shared" si="21"/>
        <v>0</v>
      </c>
    </row>
    <row r="53" spans="2:34">
      <c r="B53" s="105" t="str">
        <f t="shared" si="20"/>
        <v>年度集中竞争策略影响电价</v>
      </c>
      <c r="C53" s="127">
        <f t="shared" ref="C53:AH53" si="22">C25/$C$2</f>
        <v>0</v>
      </c>
      <c r="D53" s="128">
        <f t="shared" si="22"/>
        <v>0</v>
      </c>
      <c r="E53" s="128">
        <f t="shared" si="22"/>
        <v>0</v>
      </c>
      <c r="F53" s="128">
        <f t="shared" si="22"/>
        <v>0</v>
      </c>
      <c r="G53" s="128">
        <f t="shared" si="22"/>
        <v>0</v>
      </c>
      <c r="H53" s="128">
        <f t="shared" si="22"/>
        <v>0</v>
      </c>
      <c r="I53" s="128">
        <f t="shared" si="22"/>
        <v>0</v>
      </c>
      <c r="J53" s="128">
        <f t="shared" si="22"/>
        <v>0</v>
      </c>
      <c r="K53" s="128">
        <f t="shared" si="22"/>
        <v>0</v>
      </c>
      <c r="L53" s="128">
        <f t="shared" si="22"/>
        <v>0</v>
      </c>
      <c r="M53" s="128">
        <f t="shared" si="22"/>
        <v>0</v>
      </c>
      <c r="N53" s="128">
        <f t="shared" si="22"/>
        <v>0</v>
      </c>
      <c r="O53" s="128">
        <f t="shared" si="22"/>
        <v>0</v>
      </c>
      <c r="P53" s="128">
        <f t="shared" si="22"/>
        <v>0</v>
      </c>
      <c r="Q53" s="128">
        <f t="shared" si="22"/>
        <v>0</v>
      </c>
      <c r="R53" s="128">
        <f t="shared" si="22"/>
        <v>0</v>
      </c>
      <c r="S53" s="128">
        <f t="shared" si="22"/>
        <v>0</v>
      </c>
      <c r="T53" s="128">
        <f t="shared" si="22"/>
        <v>0</v>
      </c>
      <c r="U53" s="128">
        <f t="shared" si="22"/>
        <v>0</v>
      </c>
      <c r="V53" s="128">
        <f t="shared" si="22"/>
        <v>0</v>
      </c>
      <c r="W53" s="128">
        <f t="shared" si="22"/>
        <v>0</v>
      </c>
      <c r="X53" s="128">
        <f t="shared" si="22"/>
        <v>0</v>
      </c>
      <c r="Y53" s="128">
        <f t="shared" si="22"/>
        <v>0</v>
      </c>
      <c r="Z53" s="128">
        <f t="shared" si="22"/>
        <v>0</v>
      </c>
      <c r="AA53" s="128">
        <f t="shared" si="22"/>
        <v>0</v>
      </c>
      <c r="AB53" s="128">
        <f t="shared" si="22"/>
        <v>0</v>
      </c>
      <c r="AC53" s="128">
        <f t="shared" si="22"/>
        <v>0</v>
      </c>
      <c r="AD53" s="128">
        <f t="shared" si="22"/>
        <v>0</v>
      </c>
      <c r="AE53" s="128">
        <f t="shared" si="22"/>
        <v>0</v>
      </c>
      <c r="AF53" s="128">
        <f t="shared" si="22"/>
        <v>0</v>
      </c>
      <c r="AG53" s="128">
        <f t="shared" si="22"/>
        <v>0</v>
      </c>
      <c r="AH53" s="128">
        <f t="shared" si="22"/>
        <v>0</v>
      </c>
    </row>
    <row r="54" spans="2:34">
      <c r="B54" s="105" t="str">
        <f t="shared" si="20"/>
        <v>年度绿电双边策略影响电价</v>
      </c>
      <c r="C54" s="127">
        <f t="shared" ref="C54:AH54" si="23">C26/$C$2</f>
        <v>0</v>
      </c>
      <c r="D54" s="128">
        <f t="shared" si="23"/>
        <v>0</v>
      </c>
      <c r="E54" s="128">
        <f t="shared" si="23"/>
        <v>0</v>
      </c>
      <c r="F54" s="128">
        <f t="shared" si="23"/>
        <v>0</v>
      </c>
      <c r="G54" s="128">
        <f t="shared" si="23"/>
        <v>0</v>
      </c>
      <c r="H54" s="128">
        <f t="shared" si="23"/>
        <v>0</v>
      </c>
      <c r="I54" s="128">
        <f t="shared" si="23"/>
        <v>0</v>
      </c>
      <c r="J54" s="128">
        <f t="shared" si="23"/>
        <v>0</v>
      </c>
      <c r="K54" s="128">
        <f t="shared" si="23"/>
        <v>0</v>
      </c>
      <c r="L54" s="128">
        <f t="shared" si="23"/>
        <v>0</v>
      </c>
      <c r="M54" s="128">
        <f t="shared" si="23"/>
        <v>0</v>
      </c>
      <c r="N54" s="128">
        <f t="shared" si="23"/>
        <v>0</v>
      </c>
      <c r="O54" s="128">
        <f t="shared" si="23"/>
        <v>0</v>
      </c>
      <c r="P54" s="128">
        <f t="shared" si="23"/>
        <v>0</v>
      </c>
      <c r="Q54" s="128">
        <f t="shared" si="23"/>
        <v>0</v>
      </c>
      <c r="R54" s="128">
        <f t="shared" si="23"/>
        <v>0</v>
      </c>
      <c r="S54" s="128">
        <f t="shared" si="23"/>
        <v>0</v>
      </c>
      <c r="T54" s="128">
        <f t="shared" si="23"/>
        <v>0</v>
      </c>
      <c r="U54" s="128">
        <f t="shared" si="23"/>
        <v>0</v>
      </c>
      <c r="V54" s="128">
        <f t="shared" si="23"/>
        <v>0</v>
      </c>
      <c r="W54" s="128">
        <f t="shared" si="23"/>
        <v>0</v>
      </c>
      <c r="X54" s="128">
        <f t="shared" si="23"/>
        <v>0</v>
      </c>
      <c r="Y54" s="128">
        <f t="shared" si="23"/>
        <v>0</v>
      </c>
      <c r="Z54" s="128">
        <f t="shared" si="23"/>
        <v>0</v>
      </c>
      <c r="AA54" s="128">
        <f t="shared" si="23"/>
        <v>0</v>
      </c>
      <c r="AB54" s="128">
        <f t="shared" si="23"/>
        <v>0</v>
      </c>
      <c r="AC54" s="128">
        <f t="shared" si="23"/>
        <v>0</v>
      </c>
      <c r="AD54" s="128">
        <f t="shared" si="23"/>
        <v>0</v>
      </c>
      <c r="AE54" s="128">
        <f t="shared" si="23"/>
        <v>0</v>
      </c>
      <c r="AF54" s="128">
        <f t="shared" si="23"/>
        <v>0</v>
      </c>
      <c r="AG54" s="128">
        <f t="shared" si="23"/>
        <v>0</v>
      </c>
      <c r="AH54" s="128">
        <f t="shared" si="23"/>
        <v>0</v>
      </c>
    </row>
    <row r="55" spans="2:34">
      <c r="B55" s="105" t="str">
        <f t="shared" si="20"/>
        <v>多月连续集中策略影响电价</v>
      </c>
      <c r="C55" s="127">
        <f t="shared" ref="C55:AH55" si="24">C27/$C$2</f>
        <v>0</v>
      </c>
      <c r="D55" s="128">
        <f t="shared" si="24"/>
        <v>0</v>
      </c>
      <c r="E55" s="128">
        <f t="shared" si="24"/>
        <v>0</v>
      </c>
      <c r="F55" s="128">
        <f t="shared" si="24"/>
        <v>0</v>
      </c>
      <c r="G55" s="128">
        <f t="shared" si="24"/>
        <v>0</v>
      </c>
      <c r="H55" s="128">
        <f t="shared" si="24"/>
        <v>0</v>
      </c>
      <c r="I55" s="128">
        <f t="shared" si="24"/>
        <v>0</v>
      </c>
      <c r="J55" s="128">
        <f t="shared" si="24"/>
        <v>0</v>
      </c>
      <c r="K55" s="128">
        <f t="shared" si="24"/>
        <v>0</v>
      </c>
      <c r="L55" s="128">
        <f t="shared" si="24"/>
        <v>0</v>
      </c>
      <c r="M55" s="128">
        <f t="shared" si="24"/>
        <v>0</v>
      </c>
      <c r="N55" s="128">
        <f t="shared" si="24"/>
        <v>0</v>
      </c>
      <c r="O55" s="128">
        <f t="shared" si="24"/>
        <v>0</v>
      </c>
      <c r="P55" s="128">
        <f t="shared" si="24"/>
        <v>0</v>
      </c>
      <c r="Q55" s="128">
        <f t="shared" si="24"/>
        <v>0</v>
      </c>
      <c r="R55" s="128">
        <f t="shared" si="24"/>
        <v>0</v>
      </c>
      <c r="S55" s="128">
        <f t="shared" si="24"/>
        <v>0</v>
      </c>
      <c r="T55" s="128">
        <f t="shared" si="24"/>
        <v>0</v>
      </c>
      <c r="U55" s="128">
        <f t="shared" si="24"/>
        <v>0</v>
      </c>
      <c r="V55" s="128">
        <f t="shared" si="24"/>
        <v>0</v>
      </c>
      <c r="W55" s="128">
        <f t="shared" si="24"/>
        <v>0</v>
      </c>
      <c r="X55" s="128">
        <f t="shared" si="24"/>
        <v>0</v>
      </c>
      <c r="Y55" s="128">
        <f t="shared" si="24"/>
        <v>0</v>
      </c>
      <c r="Z55" s="128">
        <f t="shared" si="24"/>
        <v>0</v>
      </c>
      <c r="AA55" s="128">
        <f t="shared" si="24"/>
        <v>0</v>
      </c>
      <c r="AB55" s="128">
        <f t="shared" si="24"/>
        <v>0</v>
      </c>
      <c r="AC55" s="128">
        <f t="shared" si="24"/>
        <v>0</v>
      </c>
      <c r="AD55" s="128">
        <f t="shared" si="24"/>
        <v>0</v>
      </c>
      <c r="AE55" s="128">
        <f t="shared" si="24"/>
        <v>0</v>
      </c>
      <c r="AF55" s="128">
        <f t="shared" si="24"/>
        <v>0</v>
      </c>
      <c r="AG55" s="128">
        <f t="shared" si="24"/>
        <v>0</v>
      </c>
      <c r="AH55" s="128">
        <f t="shared" si="24"/>
        <v>0</v>
      </c>
    </row>
    <row r="56" spans="2:34">
      <c r="B56" s="105" t="str">
        <f t="shared" si="20"/>
        <v>月度跨省外送策略影响电价</v>
      </c>
      <c r="C56" s="127">
        <f t="shared" ref="C56:AH56" si="25">C28/$C$2</f>
        <v>0</v>
      </c>
      <c r="D56" s="128">
        <f t="shared" si="25"/>
        <v>0</v>
      </c>
      <c r="E56" s="128">
        <f t="shared" si="25"/>
        <v>0</v>
      </c>
      <c r="F56" s="128">
        <f t="shared" si="25"/>
        <v>0</v>
      </c>
      <c r="G56" s="128">
        <f t="shared" si="25"/>
        <v>0</v>
      </c>
      <c r="H56" s="128">
        <f t="shared" si="25"/>
        <v>0</v>
      </c>
      <c r="I56" s="128">
        <f t="shared" si="25"/>
        <v>0</v>
      </c>
      <c r="J56" s="128">
        <f t="shared" si="25"/>
        <v>0</v>
      </c>
      <c r="K56" s="128">
        <f t="shared" si="25"/>
        <v>0</v>
      </c>
      <c r="L56" s="128">
        <f t="shared" si="25"/>
        <v>0</v>
      </c>
      <c r="M56" s="128">
        <f t="shared" si="25"/>
        <v>0</v>
      </c>
      <c r="N56" s="128">
        <f t="shared" si="25"/>
        <v>0</v>
      </c>
      <c r="O56" s="128">
        <f t="shared" si="25"/>
        <v>0</v>
      </c>
      <c r="P56" s="128">
        <f t="shared" si="25"/>
        <v>0</v>
      </c>
      <c r="Q56" s="128">
        <f t="shared" si="25"/>
        <v>0</v>
      </c>
      <c r="R56" s="128">
        <f t="shared" si="25"/>
        <v>0</v>
      </c>
      <c r="S56" s="128">
        <f t="shared" si="25"/>
        <v>0</v>
      </c>
      <c r="T56" s="128">
        <f t="shared" si="25"/>
        <v>0</v>
      </c>
      <c r="U56" s="128">
        <f t="shared" si="25"/>
        <v>0</v>
      </c>
      <c r="V56" s="128">
        <f t="shared" si="25"/>
        <v>0</v>
      </c>
      <c r="W56" s="128">
        <f t="shared" si="25"/>
        <v>0</v>
      </c>
      <c r="X56" s="128">
        <f t="shared" si="25"/>
        <v>0</v>
      </c>
      <c r="Y56" s="128">
        <f t="shared" si="25"/>
        <v>0</v>
      </c>
      <c r="Z56" s="128">
        <f t="shared" si="25"/>
        <v>0</v>
      </c>
      <c r="AA56" s="128">
        <f t="shared" si="25"/>
        <v>0</v>
      </c>
      <c r="AB56" s="128">
        <f t="shared" si="25"/>
        <v>0</v>
      </c>
      <c r="AC56" s="128">
        <f t="shared" si="25"/>
        <v>0</v>
      </c>
      <c r="AD56" s="128">
        <f t="shared" si="25"/>
        <v>0</v>
      </c>
      <c r="AE56" s="128">
        <f t="shared" si="25"/>
        <v>0</v>
      </c>
      <c r="AF56" s="128">
        <f t="shared" si="25"/>
        <v>0</v>
      </c>
      <c r="AG56" s="128">
        <f t="shared" si="25"/>
        <v>0</v>
      </c>
      <c r="AH56" s="128">
        <f t="shared" si="25"/>
        <v>0</v>
      </c>
    </row>
    <row r="57" spans="2:34">
      <c r="B57" s="105" t="str">
        <f t="shared" si="20"/>
        <v>月度双边策略影响电价</v>
      </c>
      <c r="C57" s="127">
        <f t="shared" ref="C57:AH57" si="26">C29/$C$2</f>
        <v>0</v>
      </c>
      <c r="D57" s="128">
        <f t="shared" si="26"/>
        <v>0</v>
      </c>
      <c r="E57" s="128">
        <f t="shared" si="26"/>
        <v>0</v>
      </c>
      <c r="F57" s="128">
        <f t="shared" si="26"/>
        <v>0</v>
      </c>
      <c r="G57" s="128">
        <f t="shared" si="26"/>
        <v>0</v>
      </c>
      <c r="H57" s="128">
        <f t="shared" si="26"/>
        <v>0</v>
      </c>
      <c r="I57" s="128">
        <f t="shared" si="26"/>
        <v>0</v>
      </c>
      <c r="J57" s="128">
        <f t="shared" si="26"/>
        <v>0</v>
      </c>
      <c r="K57" s="128">
        <f t="shared" si="26"/>
        <v>0</v>
      </c>
      <c r="L57" s="128">
        <f t="shared" si="26"/>
        <v>0</v>
      </c>
      <c r="M57" s="128">
        <f t="shared" si="26"/>
        <v>0</v>
      </c>
      <c r="N57" s="128">
        <f t="shared" si="26"/>
        <v>0</v>
      </c>
      <c r="O57" s="128">
        <f t="shared" si="26"/>
        <v>0</v>
      </c>
      <c r="P57" s="128">
        <f t="shared" si="26"/>
        <v>0</v>
      </c>
      <c r="Q57" s="128">
        <f t="shared" si="26"/>
        <v>0</v>
      </c>
      <c r="R57" s="128">
        <f t="shared" si="26"/>
        <v>0</v>
      </c>
      <c r="S57" s="128">
        <f t="shared" si="26"/>
        <v>0</v>
      </c>
      <c r="T57" s="128">
        <f t="shared" si="26"/>
        <v>0</v>
      </c>
      <c r="U57" s="128">
        <f t="shared" si="26"/>
        <v>0</v>
      </c>
      <c r="V57" s="128">
        <f t="shared" si="26"/>
        <v>0</v>
      </c>
      <c r="W57" s="128">
        <f t="shared" si="26"/>
        <v>0</v>
      </c>
      <c r="X57" s="128">
        <f t="shared" si="26"/>
        <v>0</v>
      </c>
      <c r="Y57" s="128">
        <f t="shared" si="26"/>
        <v>0</v>
      </c>
      <c r="Z57" s="128">
        <f t="shared" si="26"/>
        <v>0</v>
      </c>
      <c r="AA57" s="128">
        <f t="shared" si="26"/>
        <v>0</v>
      </c>
      <c r="AB57" s="128">
        <f t="shared" si="26"/>
        <v>0</v>
      </c>
      <c r="AC57" s="128">
        <f t="shared" si="26"/>
        <v>0</v>
      </c>
      <c r="AD57" s="128">
        <f t="shared" si="26"/>
        <v>0</v>
      </c>
      <c r="AE57" s="128">
        <f t="shared" si="26"/>
        <v>0</v>
      </c>
      <c r="AF57" s="128">
        <f t="shared" si="26"/>
        <v>0</v>
      </c>
      <c r="AG57" s="128">
        <f t="shared" si="26"/>
        <v>0</v>
      </c>
      <c r="AH57" s="128">
        <f t="shared" si="26"/>
        <v>0</v>
      </c>
    </row>
    <row r="58" spans="2:34">
      <c r="B58" s="105" t="str">
        <f t="shared" si="20"/>
        <v>月度绿电挂牌策略影响电价</v>
      </c>
      <c r="C58" s="127">
        <f t="shared" ref="C58:R58" si="27">C30/$C$2</f>
        <v>0</v>
      </c>
      <c r="D58" s="128">
        <f t="shared" si="27"/>
        <v>0</v>
      </c>
      <c r="E58" s="128">
        <f t="shared" si="27"/>
        <v>0</v>
      </c>
      <c r="F58" s="128">
        <f t="shared" si="27"/>
        <v>0</v>
      </c>
      <c r="G58" s="128">
        <f t="shared" si="27"/>
        <v>0</v>
      </c>
      <c r="H58" s="128">
        <f t="shared" si="27"/>
        <v>0</v>
      </c>
      <c r="I58" s="128">
        <f t="shared" si="27"/>
        <v>0</v>
      </c>
      <c r="J58" s="128">
        <f t="shared" si="27"/>
        <v>0</v>
      </c>
      <c r="K58" s="128">
        <f t="shared" si="27"/>
        <v>0</v>
      </c>
      <c r="L58" s="128">
        <f t="shared" si="27"/>
        <v>0</v>
      </c>
      <c r="M58" s="128">
        <f t="shared" si="27"/>
        <v>0</v>
      </c>
      <c r="N58" s="128">
        <f t="shared" si="27"/>
        <v>0</v>
      </c>
      <c r="O58" s="128">
        <f t="shared" si="27"/>
        <v>0</v>
      </c>
      <c r="P58" s="128">
        <f t="shared" si="27"/>
        <v>0</v>
      </c>
      <c r="Q58" s="128">
        <f t="shared" si="27"/>
        <v>0</v>
      </c>
      <c r="R58" s="128">
        <f t="shared" si="27"/>
        <v>0</v>
      </c>
      <c r="S58" s="128">
        <f t="shared" ref="S58:AH58" si="28">S30/$C$2</f>
        <v>0</v>
      </c>
      <c r="T58" s="128">
        <f t="shared" si="28"/>
        <v>0</v>
      </c>
      <c r="U58" s="128">
        <f t="shared" si="28"/>
        <v>0</v>
      </c>
      <c r="V58" s="128">
        <f t="shared" si="28"/>
        <v>0</v>
      </c>
      <c r="W58" s="128">
        <f t="shared" si="28"/>
        <v>0</v>
      </c>
      <c r="X58" s="128">
        <f t="shared" si="28"/>
        <v>0</v>
      </c>
      <c r="Y58" s="128">
        <f t="shared" si="28"/>
        <v>0</v>
      </c>
      <c r="Z58" s="128">
        <f t="shared" si="28"/>
        <v>0</v>
      </c>
      <c r="AA58" s="128">
        <f t="shared" si="28"/>
        <v>0</v>
      </c>
      <c r="AB58" s="128">
        <f t="shared" si="28"/>
        <v>0</v>
      </c>
      <c r="AC58" s="128">
        <f t="shared" si="28"/>
        <v>0</v>
      </c>
      <c r="AD58" s="128">
        <f t="shared" si="28"/>
        <v>0</v>
      </c>
      <c r="AE58" s="128">
        <f t="shared" si="28"/>
        <v>0</v>
      </c>
      <c r="AF58" s="128">
        <f t="shared" si="28"/>
        <v>0</v>
      </c>
      <c r="AG58" s="128">
        <f t="shared" si="28"/>
        <v>0</v>
      </c>
      <c r="AH58" s="128">
        <f t="shared" si="28"/>
        <v>0</v>
      </c>
    </row>
    <row r="59" spans="2:34">
      <c r="B59" s="105" t="str">
        <f t="shared" si="20"/>
        <v>月度绿电集中策略影响电价</v>
      </c>
      <c r="C59" s="127">
        <f t="shared" ref="C59:R59" si="29">C31/$C$2</f>
        <v>0</v>
      </c>
      <c r="D59" s="128">
        <f t="shared" si="29"/>
        <v>0</v>
      </c>
      <c r="E59" s="128">
        <f t="shared" si="29"/>
        <v>0</v>
      </c>
      <c r="F59" s="128">
        <f t="shared" si="29"/>
        <v>0</v>
      </c>
      <c r="G59" s="128">
        <f t="shared" si="29"/>
        <v>0</v>
      </c>
      <c r="H59" s="128">
        <f t="shared" si="29"/>
        <v>0</v>
      </c>
      <c r="I59" s="128">
        <f t="shared" si="29"/>
        <v>0</v>
      </c>
      <c r="J59" s="128">
        <f t="shared" si="29"/>
        <v>0</v>
      </c>
      <c r="K59" s="128">
        <f t="shared" si="29"/>
        <v>0</v>
      </c>
      <c r="L59" s="128">
        <f t="shared" si="29"/>
        <v>0</v>
      </c>
      <c r="M59" s="128">
        <f t="shared" si="29"/>
        <v>0</v>
      </c>
      <c r="N59" s="128">
        <f t="shared" si="29"/>
        <v>0</v>
      </c>
      <c r="O59" s="128">
        <f t="shared" si="29"/>
        <v>0</v>
      </c>
      <c r="P59" s="128">
        <f t="shared" si="29"/>
        <v>0</v>
      </c>
      <c r="Q59" s="128">
        <f t="shared" si="29"/>
        <v>0</v>
      </c>
      <c r="R59" s="128">
        <f t="shared" si="29"/>
        <v>0</v>
      </c>
      <c r="S59" s="128">
        <f t="shared" ref="S59:AH59" si="30">S31/$C$2</f>
        <v>0</v>
      </c>
      <c r="T59" s="128">
        <f t="shared" si="30"/>
        <v>0</v>
      </c>
      <c r="U59" s="128">
        <f t="shared" si="30"/>
        <v>0</v>
      </c>
      <c r="V59" s="128">
        <f t="shared" si="30"/>
        <v>0</v>
      </c>
      <c r="W59" s="128">
        <f t="shared" si="30"/>
        <v>0</v>
      </c>
      <c r="X59" s="128">
        <f t="shared" si="30"/>
        <v>0</v>
      </c>
      <c r="Y59" s="128">
        <f t="shared" si="30"/>
        <v>0</v>
      </c>
      <c r="Z59" s="128">
        <f t="shared" si="30"/>
        <v>0</v>
      </c>
      <c r="AA59" s="128">
        <f t="shared" si="30"/>
        <v>0</v>
      </c>
      <c r="AB59" s="128">
        <f t="shared" si="30"/>
        <v>0</v>
      </c>
      <c r="AC59" s="128">
        <f t="shared" si="30"/>
        <v>0</v>
      </c>
      <c r="AD59" s="128">
        <f t="shared" si="30"/>
        <v>0</v>
      </c>
      <c r="AE59" s="128">
        <f t="shared" si="30"/>
        <v>0</v>
      </c>
      <c r="AF59" s="128">
        <f t="shared" si="30"/>
        <v>0</v>
      </c>
      <c r="AG59" s="128">
        <f t="shared" si="30"/>
        <v>0</v>
      </c>
      <c r="AH59" s="128">
        <f t="shared" si="30"/>
        <v>0</v>
      </c>
    </row>
    <row r="60" spans="2:34">
      <c r="B60" s="105" t="str">
        <f t="shared" si="20"/>
        <v>月度集中（市场用户负荷曲线）策略影响电价</v>
      </c>
      <c r="C60" s="127">
        <f t="shared" ref="C60:R60" si="31">C32/$C$2</f>
        <v>0</v>
      </c>
      <c r="D60" s="128">
        <f t="shared" si="31"/>
        <v>0</v>
      </c>
      <c r="E60" s="128">
        <f t="shared" si="31"/>
        <v>0</v>
      </c>
      <c r="F60" s="128">
        <f t="shared" si="31"/>
        <v>0</v>
      </c>
      <c r="G60" s="128">
        <f t="shared" si="31"/>
        <v>0</v>
      </c>
      <c r="H60" s="128">
        <f t="shared" si="31"/>
        <v>0</v>
      </c>
      <c r="I60" s="128">
        <f t="shared" si="31"/>
        <v>0</v>
      </c>
      <c r="J60" s="128">
        <f t="shared" si="31"/>
        <v>0</v>
      </c>
      <c r="K60" s="128">
        <f t="shared" si="31"/>
        <v>0</v>
      </c>
      <c r="L60" s="128">
        <f t="shared" si="31"/>
        <v>0</v>
      </c>
      <c r="M60" s="128">
        <f t="shared" si="31"/>
        <v>0</v>
      </c>
      <c r="N60" s="128">
        <f t="shared" si="31"/>
        <v>0</v>
      </c>
      <c r="O60" s="128">
        <f t="shared" si="31"/>
        <v>0</v>
      </c>
      <c r="P60" s="128">
        <f t="shared" si="31"/>
        <v>0</v>
      </c>
      <c r="Q60" s="128">
        <f t="shared" si="31"/>
        <v>0</v>
      </c>
      <c r="R60" s="128">
        <f t="shared" si="31"/>
        <v>0</v>
      </c>
      <c r="S60" s="128">
        <f t="shared" ref="S60:AH60" si="32">S32/$C$2</f>
        <v>0</v>
      </c>
      <c r="T60" s="128">
        <f t="shared" si="32"/>
        <v>0</v>
      </c>
      <c r="U60" s="128">
        <f t="shared" si="32"/>
        <v>0</v>
      </c>
      <c r="V60" s="128">
        <f t="shared" si="32"/>
        <v>0</v>
      </c>
      <c r="W60" s="128">
        <f t="shared" si="32"/>
        <v>0</v>
      </c>
      <c r="X60" s="128">
        <f t="shared" si="32"/>
        <v>0</v>
      </c>
      <c r="Y60" s="128">
        <f t="shared" si="32"/>
        <v>0</v>
      </c>
      <c r="Z60" s="128">
        <f t="shared" si="32"/>
        <v>0</v>
      </c>
      <c r="AA60" s="128">
        <f t="shared" si="32"/>
        <v>0</v>
      </c>
      <c r="AB60" s="128">
        <f t="shared" si="32"/>
        <v>0</v>
      </c>
      <c r="AC60" s="128">
        <f t="shared" si="32"/>
        <v>0</v>
      </c>
      <c r="AD60" s="128">
        <f t="shared" si="32"/>
        <v>0</v>
      </c>
      <c r="AE60" s="128">
        <f t="shared" si="32"/>
        <v>0</v>
      </c>
      <c r="AF60" s="128">
        <f t="shared" si="32"/>
        <v>0</v>
      </c>
      <c r="AG60" s="128">
        <f t="shared" si="32"/>
        <v>0</v>
      </c>
      <c r="AH60" s="128">
        <f t="shared" si="32"/>
        <v>0</v>
      </c>
    </row>
    <row r="61" spans="2:34">
      <c r="B61" s="105" t="str">
        <f t="shared" si="20"/>
        <v>月度分时集中策略影响电价</v>
      </c>
      <c r="C61" s="127">
        <f t="shared" ref="C61:R61" si="33">C33/$C$2</f>
        <v>0</v>
      </c>
      <c r="D61" s="128">
        <f t="shared" si="33"/>
        <v>0</v>
      </c>
      <c r="E61" s="128">
        <f t="shared" si="33"/>
        <v>0</v>
      </c>
      <c r="F61" s="128">
        <f t="shared" si="33"/>
        <v>0</v>
      </c>
      <c r="G61" s="128">
        <f t="shared" si="33"/>
        <v>0</v>
      </c>
      <c r="H61" s="128">
        <f t="shared" si="33"/>
        <v>0</v>
      </c>
      <c r="I61" s="128">
        <f t="shared" si="33"/>
        <v>0</v>
      </c>
      <c r="J61" s="128">
        <f t="shared" si="33"/>
        <v>0</v>
      </c>
      <c r="K61" s="128">
        <f t="shared" si="33"/>
        <v>0</v>
      </c>
      <c r="L61" s="128">
        <f t="shared" si="33"/>
        <v>0</v>
      </c>
      <c r="M61" s="128">
        <f t="shared" si="33"/>
        <v>0</v>
      </c>
      <c r="N61" s="128">
        <f t="shared" si="33"/>
        <v>0</v>
      </c>
      <c r="O61" s="128">
        <f t="shared" si="33"/>
        <v>0</v>
      </c>
      <c r="P61" s="128">
        <f t="shared" si="33"/>
        <v>0</v>
      </c>
      <c r="Q61" s="128">
        <f t="shared" si="33"/>
        <v>0</v>
      </c>
      <c r="R61" s="128">
        <f t="shared" si="33"/>
        <v>0</v>
      </c>
      <c r="S61" s="128">
        <f t="shared" ref="S61:AH61" si="34">S33/$C$2</f>
        <v>0</v>
      </c>
      <c r="T61" s="128">
        <f t="shared" si="34"/>
        <v>0</v>
      </c>
      <c r="U61" s="128">
        <f t="shared" si="34"/>
        <v>0</v>
      </c>
      <c r="V61" s="128">
        <f t="shared" si="34"/>
        <v>0</v>
      </c>
      <c r="W61" s="128">
        <f t="shared" si="34"/>
        <v>0</v>
      </c>
      <c r="X61" s="128">
        <f t="shared" si="34"/>
        <v>0</v>
      </c>
      <c r="Y61" s="128">
        <f t="shared" si="34"/>
        <v>0</v>
      </c>
      <c r="Z61" s="128">
        <f t="shared" si="34"/>
        <v>0</v>
      </c>
      <c r="AA61" s="128">
        <f t="shared" si="34"/>
        <v>0</v>
      </c>
      <c r="AB61" s="128">
        <f t="shared" si="34"/>
        <v>0</v>
      </c>
      <c r="AC61" s="128">
        <f t="shared" si="34"/>
        <v>0</v>
      </c>
      <c r="AD61" s="128">
        <f t="shared" si="34"/>
        <v>0</v>
      </c>
      <c r="AE61" s="128">
        <f t="shared" si="34"/>
        <v>0</v>
      </c>
      <c r="AF61" s="128">
        <f t="shared" si="34"/>
        <v>0</v>
      </c>
      <c r="AG61" s="128">
        <f t="shared" si="34"/>
        <v>0</v>
      </c>
      <c r="AH61" s="128">
        <f t="shared" si="34"/>
        <v>0</v>
      </c>
    </row>
    <row r="62" spans="2:34">
      <c r="B62" s="105" t="str">
        <f t="shared" si="20"/>
        <v>月内第一次多日策略影响电价</v>
      </c>
      <c r="C62" s="127">
        <f t="shared" ref="C62:R62" si="35">C34/$C$2</f>
        <v>0</v>
      </c>
      <c r="D62" s="128">
        <f t="shared" si="35"/>
        <v>0</v>
      </c>
      <c r="E62" s="128">
        <f t="shared" si="35"/>
        <v>0</v>
      </c>
      <c r="F62" s="128">
        <f t="shared" si="35"/>
        <v>0</v>
      </c>
      <c r="G62" s="128">
        <f t="shared" si="35"/>
        <v>0</v>
      </c>
      <c r="H62" s="128">
        <f t="shared" si="35"/>
        <v>0</v>
      </c>
      <c r="I62" s="128">
        <f t="shared" si="35"/>
        <v>0</v>
      </c>
      <c r="J62" s="128">
        <f t="shared" si="35"/>
        <v>0</v>
      </c>
      <c r="K62" s="128">
        <f t="shared" si="35"/>
        <v>0</v>
      </c>
      <c r="L62" s="128">
        <f t="shared" si="35"/>
        <v>0</v>
      </c>
      <c r="M62" s="128">
        <f t="shared" si="35"/>
        <v>0</v>
      </c>
      <c r="N62" s="128">
        <f t="shared" si="35"/>
        <v>0</v>
      </c>
      <c r="O62" s="128">
        <f t="shared" si="35"/>
        <v>0</v>
      </c>
      <c r="P62" s="128">
        <f t="shared" si="35"/>
        <v>0</v>
      </c>
      <c r="Q62" s="128">
        <f t="shared" si="35"/>
        <v>0</v>
      </c>
      <c r="R62" s="128">
        <f t="shared" si="35"/>
        <v>0</v>
      </c>
      <c r="S62" s="128">
        <f t="shared" ref="S62:AH62" si="36">S34/$C$2</f>
        <v>0</v>
      </c>
      <c r="T62" s="128">
        <f t="shared" si="36"/>
        <v>0</v>
      </c>
      <c r="U62" s="128">
        <f t="shared" si="36"/>
        <v>0</v>
      </c>
      <c r="V62" s="128">
        <f t="shared" si="36"/>
        <v>0</v>
      </c>
      <c r="W62" s="128">
        <f t="shared" si="36"/>
        <v>0</v>
      </c>
      <c r="X62" s="128">
        <f t="shared" si="36"/>
        <v>0</v>
      </c>
      <c r="Y62" s="128">
        <f t="shared" si="36"/>
        <v>0</v>
      </c>
      <c r="Z62" s="128">
        <f t="shared" si="36"/>
        <v>0</v>
      </c>
      <c r="AA62" s="128">
        <f t="shared" si="36"/>
        <v>0</v>
      </c>
      <c r="AB62" s="128">
        <f t="shared" si="36"/>
        <v>0</v>
      </c>
      <c r="AC62" s="128">
        <f t="shared" si="36"/>
        <v>0</v>
      </c>
      <c r="AD62" s="128">
        <f t="shared" si="36"/>
        <v>0</v>
      </c>
      <c r="AE62" s="128">
        <f t="shared" si="36"/>
        <v>0</v>
      </c>
      <c r="AF62" s="128">
        <f t="shared" si="36"/>
        <v>0</v>
      </c>
      <c r="AG62" s="128">
        <f t="shared" si="36"/>
        <v>0</v>
      </c>
      <c r="AH62" s="128">
        <f t="shared" si="36"/>
        <v>0</v>
      </c>
    </row>
    <row r="63" spans="2:34">
      <c r="B63" s="105" t="str">
        <f t="shared" si="20"/>
        <v>月内第二次多日策略影响电价</v>
      </c>
      <c r="C63" s="127">
        <f t="shared" ref="C63:R63" si="37">C35/$C$2</f>
        <v>0</v>
      </c>
      <c r="D63" s="128">
        <f t="shared" si="37"/>
        <v>0</v>
      </c>
      <c r="E63" s="128">
        <f t="shared" si="37"/>
        <v>0</v>
      </c>
      <c r="F63" s="128">
        <f t="shared" si="37"/>
        <v>0</v>
      </c>
      <c r="G63" s="128">
        <f t="shared" si="37"/>
        <v>0</v>
      </c>
      <c r="H63" s="128">
        <f t="shared" si="37"/>
        <v>0</v>
      </c>
      <c r="I63" s="128">
        <f t="shared" si="37"/>
        <v>0</v>
      </c>
      <c r="J63" s="128">
        <f t="shared" si="37"/>
        <v>0</v>
      </c>
      <c r="K63" s="128">
        <f t="shared" si="37"/>
        <v>0</v>
      </c>
      <c r="L63" s="128">
        <f t="shared" si="37"/>
        <v>0</v>
      </c>
      <c r="M63" s="128">
        <f t="shared" si="37"/>
        <v>0</v>
      </c>
      <c r="N63" s="128">
        <f t="shared" si="37"/>
        <v>0</v>
      </c>
      <c r="O63" s="128">
        <f t="shared" si="37"/>
        <v>0</v>
      </c>
      <c r="P63" s="128">
        <f t="shared" si="37"/>
        <v>0</v>
      </c>
      <c r="Q63" s="128">
        <f t="shared" si="37"/>
        <v>0</v>
      </c>
      <c r="R63" s="128">
        <f t="shared" si="37"/>
        <v>0</v>
      </c>
      <c r="S63" s="128">
        <f t="shared" ref="S63:AH63" si="38">S35/$C$2</f>
        <v>0</v>
      </c>
      <c r="T63" s="128">
        <f t="shared" si="38"/>
        <v>0</v>
      </c>
      <c r="U63" s="128">
        <f t="shared" si="38"/>
        <v>0</v>
      </c>
      <c r="V63" s="128">
        <f t="shared" si="38"/>
        <v>0</v>
      </c>
      <c r="W63" s="128">
        <f t="shared" si="38"/>
        <v>0</v>
      </c>
      <c r="X63" s="128">
        <f t="shared" si="38"/>
        <v>0</v>
      </c>
      <c r="Y63" s="128">
        <f t="shared" si="38"/>
        <v>0</v>
      </c>
      <c r="Z63" s="128">
        <f t="shared" si="38"/>
        <v>0</v>
      </c>
      <c r="AA63" s="128">
        <f t="shared" si="38"/>
        <v>0</v>
      </c>
      <c r="AB63" s="128">
        <f t="shared" si="38"/>
        <v>0</v>
      </c>
      <c r="AC63" s="128">
        <f t="shared" si="38"/>
        <v>0</v>
      </c>
      <c r="AD63" s="128">
        <f t="shared" si="38"/>
        <v>0</v>
      </c>
      <c r="AE63" s="128">
        <f t="shared" si="38"/>
        <v>0</v>
      </c>
      <c r="AF63" s="128">
        <f t="shared" si="38"/>
        <v>0</v>
      </c>
      <c r="AG63" s="128">
        <f t="shared" si="38"/>
        <v>0</v>
      </c>
      <c r="AH63" s="128">
        <f t="shared" si="38"/>
        <v>0</v>
      </c>
    </row>
    <row r="64" spans="2:34">
      <c r="B64" s="105" t="str">
        <f t="shared" si="20"/>
        <v>月内合同转让策略影响电价</v>
      </c>
      <c r="C64" s="127">
        <f t="shared" ref="C64:R64" si="39">C36/$C$2</f>
        <v>0</v>
      </c>
      <c r="D64" s="128">
        <f t="shared" si="39"/>
        <v>0</v>
      </c>
      <c r="E64" s="128">
        <f t="shared" si="39"/>
        <v>0</v>
      </c>
      <c r="F64" s="128">
        <f t="shared" si="39"/>
        <v>0</v>
      </c>
      <c r="G64" s="128">
        <f t="shared" si="39"/>
        <v>0</v>
      </c>
      <c r="H64" s="128">
        <f t="shared" si="39"/>
        <v>0</v>
      </c>
      <c r="I64" s="128">
        <f t="shared" si="39"/>
        <v>0</v>
      </c>
      <c r="J64" s="128">
        <f t="shared" si="39"/>
        <v>0</v>
      </c>
      <c r="K64" s="128">
        <f t="shared" si="39"/>
        <v>0</v>
      </c>
      <c r="L64" s="128">
        <f t="shared" si="39"/>
        <v>0</v>
      </c>
      <c r="M64" s="128">
        <f t="shared" si="39"/>
        <v>0</v>
      </c>
      <c r="N64" s="128">
        <f t="shared" si="39"/>
        <v>0</v>
      </c>
      <c r="O64" s="128">
        <f t="shared" si="39"/>
        <v>0</v>
      </c>
      <c r="P64" s="128">
        <f t="shared" si="39"/>
        <v>0</v>
      </c>
      <c r="Q64" s="128">
        <f t="shared" si="39"/>
        <v>0</v>
      </c>
      <c r="R64" s="128">
        <f t="shared" si="39"/>
        <v>0</v>
      </c>
      <c r="S64" s="128">
        <f t="shared" ref="S64:AH64" si="40">S36/$C$2</f>
        <v>0</v>
      </c>
      <c r="T64" s="128">
        <f t="shared" si="40"/>
        <v>0</v>
      </c>
      <c r="U64" s="128">
        <f t="shared" si="40"/>
        <v>0</v>
      </c>
      <c r="V64" s="128">
        <f t="shared" si="40"/>
        <v>0</v>
      </c>
      <c r="W64" s="128">
        <f t="shared" si="40"/>
        <v>0</v>
      </c>
      <c r="X64" s="128">
        <f t="shared" si="40"/>
        <v>0</v>
      </c>
      <c r="Y64" s="128">
        <f t="shared" si="40"/>
        <v>0</v>
      </c>
      <c r="Z64" s="128">
        <f t="shared" si="40"/>
        <v>0</v>
      </c>
      <c r="AA64" s="128">
        <f t="shared" si="40"/>
        <v>0</v>
      </c>
      <c r="AB64" s="128">
        <f t="shared" si="40"/>
        <v>0</v>
      </c>
      <c r="AC64" s="128">
        <f t="shared" si="40"/>
        <v>0</v>
      </c>
      <c r="AD64" s="128">
        <f t="shared" si="40"/>
        <v>0</v>
      </c>
      <c r="AE64" s="128">
        <f t="shared" si="40"/>
        <v>0</v>
      </c>
      <c r="AF64" s="128">
        <f t="shared" si="40"/>
        <v>0</v>
      </c>
      <c r="AG64" s="128">
        <f t="shared" si="40"/>
        <v>0</v>
      </c>
      <c r="AH64" s="128">
        <f t="shared" si="40"/>
        <v>0</v>
      </c>
    </row>
    <row r="65" spans="2:34">
      <c r="B65" s="105" t="str">
        <f t="shared" si="20"/>
        <v>月内周双边策略影响电价</v>
      </c>
      <c r="C65" s="127">
        <f t="shared" ref="C65:R65" si="41">C37/$C$2</f>
        <v>0</v>
      </c>
      <c r="D65" s="128">
        <f t="shared" si="41"/>
        <v>0</v>
      </c>
      <c r="E65" s="128">
        <f t="shared" si="41"/>
        <v>0</v>
      </c>
      <c r="F65" s="128">
        <f t="shared" si="41"/>
        <v>0</v>
      </c>
      <c r="G65" s="128">
        <f t="shared" si="41"/>
        <v>0</v>
      </c>
      <c r="H65" s="128">
        <f t="shared" si="41"/>
        <v>0</v>
      </c>
      <c r="I65" s="128">
        <f t="shared" si="41"/>
        <v>0</v>
      </c>
      <c r="J65" s="128">
        <f t="shared" si="41"/>
        <v>0</v>
      </c>
      <c r="K65" s="128">
        <f t="shared" si="41"/>
        <v>0</v>
      </c>
      <c r="L65" s="128">
        <f t="shared" si="41"/>
        <v>0</v>
      </c>
      <c r="M65" s="128">
        <f t="shared" si="41"/>
        <v>0</v>
      </c>
      <c r="N65" s="128">
        <f t="shared" si="41"/>
        <v>0</v>
      </c>
      <c r="O65" s="128">
        <f t="shared" si="41"/>
        <v>0</v>
      </c>
      <c r="P65" s="128">
        <f t="shared" si="41"/>
        <v>0</v>
      </c>
      <c r="Q65" s="128">
        <f t="shared" si="41"/>
        <v>0</v>
      </c>
      <c r="R65" s="128">
        <f t="shared" si="41"/>
        <v>0</v>
      </c>
      <c r="S65" s="128">
        <f t="shared" ref="S65:AH65" si="42">S37/$C$2</f>
        <v>0</v>
      </c>
      <c r="T65" s="128">
        <f t="shared" si="42"/>
        <v>0</v>
      </c>
      <c r="U65" s="128">
        <f t="shared" si="42"/>
        <v>0</v>
      </c>
      <c r="V65" s="128">
        <f t="shared" si="42"/>
        <v>0</v>
      </c>
      <c r="W65" s="128">
        <f t="shared" si="42"/>
        <v>0</v>
      </c>
      <c r="X65" s="128">
        <f t="shared" si="42"/>
        <v>0</v>
      </c>
      <c r="Y65" s="128">
        <f t="shared" si="42"/>
        <v>0</v>
      </c>
      <c r="Z65" s="128">
        <f t="shared" si="42"/>
        <v>0</v>
      </c>
      <c r="AA65" s="128">
        <f t="shared" si="42"/>
        <v>0</v>
      </c>
      <c r="AB65" s="128">
        <f t="shared" si="42"/>
        <v>0</v>
      </c>
      <c r="AC65" s="128">
        <f t="shared" si="42"/>
        <v>0</v>
      </c>
      <c r="AD65" s="128">
        <f t="shared" si="42"/>
        <v>0</v>
      </c>
      <c r="AE65" s="128">
        <f t="shared" si="42"/>
        <v>0</v>
      </c>
      <c r="AF65" s="128">
        <f t="shared" si="42"/>
        <v>0</v>
      </c>
      <c r="AG65" s="128">
        <f t="shared" si="42"/>
        <v>0</v>
      </c>
      <c r="AH65" s="128">
        <f t="shared" si="42"/>
        <v>0</v>
      </c>
    </row>
  </sheetData>
  <phoneticPr fontId="2" type="noConversion"/>
  <conditionalFormatting sqref="C19:AH37 C39:AH44 C47:AH65">
    <cfRule type="cellIs" dxfId="8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AF33"/>
  <sheetViews>
    <sheetView workbookViewId="0">
      <selection activeCell="D32" sqref="D32"/>
    </sheetView>
  </sheetViews>
  <sheetFormatPr defaultRowHeight="14.25"/>
  <cols>
    <col min="1" max="1" width="10" bestFit="1" customWidth="1"/>
    <col min="2" max="10" width="9.125" bestFit="1" customWidth="1"/>
    <col min="11" max="32" width="10.125" bestFit="1" customWidth="1"/>
  </cols>
  <sheetData>
    <row r="2" spans="1:32">
      <c r="A2" s="24" t="s">
        <v>67</v>
      </c>
      <c r="B2" s="23" cm="1">
        <f t="array" ref="B2:AF2">TRANSPOSE(A3:A33)</f>
        <v>46266</v>
      </c>
      <c r="C2" s="23">
        <v>46267</v>
      </c>
      <c r="D2" s="23">
        <v>46268</v>
      </c>
      <c r="E2" s="23">
        <v>46269</v>
      </c>
      <c r="F2" s="23">
        <v>46270</v>
      </c>
      <c r="G2" s="23">
        <v>46271</v>
      </c>
      <c r="H2" s="23">
        <v>46272</v>
      </c>
      <c r="I2" s="23">
        <v>46273</v>
      </c>
      <c r="J2" s="23">
        <v>46274</v>
      </c>
      <c r="K2" s="23">
        <v>46275</v>
      </c>
      <c r="L2" s="23">
        <v>46276</v>
      </c>
      <c r="M2" s="23">
        <v>46277</v>
      </c>
      <c r="N2" s="23">
        <v>46278</v>
      </c>
      <c r="O2" s="23">
        <v>46279</v>
      </c>
      <c r="P2" s="23">
        <v>46280</v>
      </c>
      <c r="Q2" s="23">
        <v>46281</v>
      </c>
      <c r="R2" s="23">
        <v>46282</v>
      </c>
      <c r="S2" s="23">
        <v>46283</v>
      </c>
      <c r="T2" s="23">
        <v>46284</v>
      </c>
      <c r="U2" s="23">
        <v>46285</v>
      </c>
      <c r="V2" s="23">
        <v>46286</v>
      </c>
      <c r="W2" s="23">
        <v>46287</v>
      </c>
      <c r="X2" s="23">
        <v>46288</v>
      </c>
      <c r="Y2" s="23">
        <v>46289</v>
      </c>
      <c r="Z2" s="23">
        <v>46290</v>
      </c>
      <c r="AA2" s="23">
        <v>46291</v>
      </c>
      <c r="AB2" s="23">
        <v>46292</v>
      </c>
      <c r="AC2" s="23">
        <v>46293</v>
      </c>
      <c r="AD2" s="23">
        <v>46294</v>
      </c>
      <c r="AE2" s="23">
        <v>46295</v>
      </c>
      <c r="AF2" s="23">
        <v>0</v>
      </c>
    </row>
    <row r="3" spans="1:32" ht="15">
      <c r="A3" s="52">
        <v>46266</v>
      </c>
    </row>
    <row r="4" spans="1:32" ht="15">
      <c r="A4" s="52">
        <v>46267</v>
      </c>
    </row>
    <row r="5" spans="1:32" ht="15">
      <c r="A5" s="52">
        <v>46268</v>
      </c>
    </row>
    <row r="6" spans="1:32" ht="15">
      <c r="A6" s="52">
        <v>46269</v>
      </c>
    </row>
    <row r="7" spans="1:32" ht="15">
      <c r="A7" s="52">
        <v>46270</v>
      </c>
    </row>
    <row r="8" spans="1:32" ht="15">
      <c r="A8" s="52">
        <v>46271</v>
      </c>
    </row>
    <row r="9" spans="1:32" ht="15">
      <c r="A9" s="52">
        <v>46272</v>
      </c>
    </row>
    <row r="10" spans="1:32" ht="15">
      <c r="A10" s="52">
        <v>46273</v>
      </c>
    </row>
    <row r="11" spans="1:32" ht="15">
      <c r="A11" s="52">
        <v>46274</v>
      </c>
    </row>
    <row r="12" spans="1:32" ht="15">
      <c r="A12" s="52">
        <v>46275</v>
      </c>
    </row>
    <row r="13" spans="1:32" ht="15">
      <c r="A13" s="52">
        <v>46276</v>
      </c>
    </row>
    <row r="14" spans="1:32" ht="15">
      <c r="A14" s="52">
        <v>46277</v>
      </c>
    </row>
    <row r="15" spans="1:32" ht="15">
      <c r="A15" s="52">
        <v>46278</v>
      </c>
    </row>
    <row r="16" spans="1:32" ht="15">
      <c r="A16" s="52">
        <v>46279</v>
      </c>
    </row>
    <row r="17" spans="1:1" ht="15">
      <c r="A17" s="52">
        <v>46280</v>
      </c>
    </row>
    <row r="18" spans="1:1" ht="15">
      <c r="A18" s="52">
        <v>46281</v>
      </c>
    </row>
    <row r="19" spans="1:1" ht="15">
      <c r="A19" s="52">
        <v>46282</v>
      </c>
    </row>
    <row r="20" spans="1:1" ht="15">
      <c r="A20" s="52">
        <v>46283</v>
      </c>
    </row>
    <row r="21" spans="1:1" ht="15">
      <c r="A21" s="52">
        <v>46284</v>
      </c>
    </row>
    <row r="22" spans="1:1" ht="15">
      <c r="A22" s="52">
        <v>46285</v>
      </c>
    </row>
    <row r="23" spans="1:1" ht="15">
      <c r="A23" s="52">
        <v>46286</v>
      </c>
    </row>
    <row r="24" spans="1:1" ht="15">
      <c r="A24" s="52">
        <v>46287</v>
      </c>
    </row>
    <row r="25" spans="1:1" ht="15">
      <c r="A25" s="52">
        <v>46288</v>
      </c>
    </row>
    <row r="26" spans="1:1" ht="15">
      <c r="A26" s="52">
        <v>46289</v>
      </c>
    </row>
    <row r="27" spans="1:1" ht="15">
      <c r="A27" s="52">
        <v>46290</v>
      </c>
    </row>
    <row r="28" spans="1:1" ht="15">
      <c r="A28" s="52">
        <v>46291</v>
      </c>
    </row>
    <row r="29" spans="1:1" ht="15">
      <c r="A29" s="52">
        <v>46292</v>
      </c>
    </row>
    <row r="30" spans="1:1" ht="15">
      <c r="A30" s="52">
        <v>46293</v>
      </c>
    </row>
    <row r="31" spans="1:1" ht="15">
      <c r="A31" s="52">
        <v>46294</v>
      </c>
    </row>
    <row r="32" spans="1:1" ht="15">
      <c r="A32" s="52">
        <v>46295</v>
      </c>
    </row>
    <row r="33" spans="1:1" ht="15">
      <c r="A33" s="5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Q74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8" sqref="G8"/>
    </sheetView>
  </sheetViews>
  <sheetFormatPr defaultRowHeight="14.25"/>
  <cols>
    <col min="1" max="1" width="12.75" customWidth="1"/>
    <col min="2" max="2" width="11.25" bestFit="1" customWidth="1"/>
    <col min="3" max="3" width="13.875" customWidth="1"/>
    <col min="4" max="4" width="13.875" bestFit="1" customWidth="1"/>
    <col min="5" max="5" width="13.875" style="51" bestFit="1" customWidth="1"/>
    <col min="6" max="6" width="11.5" customWidth="1"/>
    <col min="7" max="8" width="20.5" style="51" bestFit="1" customWidth="1"/>
    <col min="9" max="10" width="20.5" hidden="1" customWidth="1"/>
    <col min="11" max="11" width="11.5" customWidth="1"/>
    <col min="12" max="12" width="11.5" hidden="1" customWidth="1"/>
    <col min="13" max="23" width="11.5" customWidth="1"/>
    <col min="24" max="24" width="11.5" hidden="1" customWidth="1"/>
    <col min="25" max="69" width="11.5" customWidth="1"/>
  </cols>
  <sheetData>
    <row r="1" spans="1:69" ht="45.75" customHeight="1">
      <c r="A1" s="99" t="s">
        <v>152</v>
      </c>
      <c r="B1" s="99" t="s">
        <v>153</v>
      </c>
      <c r="C1" s="99" t="s">
        <v>165</v>
      </c>
      <c r="D1" s="99" t="str">
        <f>持仓数据!B1</f>
        <v>预估用电量</v>
      </c>
      <c r="E1" s="99" t="s">
        <v>96</v>
      </c>
      <c r="F1" s="99" t="str">
        <f>持仓数据!B70</f>
        <v>中长期合约电量(MWh)</v>
      </c>
      <c r="G1" s="99" t="s">
        <v>98</v>
      </c>
      <c r="H1" s="99" t="s">
        <v>99</v>
      </c>
      <c r="I1" s="99" t="s">
        <v>76</v>
      </c>
      <c r="J1" s="99" t="s">
        <v>77</v>
      </c>
      <c r="K1" s="99" t="str">
        <f>持仓数据!B103</f>
        <v>中长期合约加权电价(元/MWh)</v>
      </c>
      <c r="L1" s="29" t="s">
        <v>85</v>
      </c>
      <c r="M1" s="99" t="s">
        <v>69</v>
      </c>
      <c r="N1" s="99" t="s">
        <v>156</v>
      </c>
      <c r="O1" s="99" t="s">
        <v>157</v>
      </c>
      <c r="P1" s="99" t="s">
        <v>158</v>
      </c>
      <c r="Q1" s="99" t="s">
        <v>103</v>
      </c>
      <c r="R1" s="99" t="s">
        <v>100</v>
      </c>
      <c r="S1" s="99" t="s">
        <v>159</v>
      </c>
      <c r="T1" s="99" t="s">
        <v>160</v>
      </c>
      <c r="U1" s="99" t="s">
        <v>161</v>
      </c>
      <c r="V1" s="99" t="s">
        <v>162</v>
      </c>
      <c r="W1" s="117"/>
      <c r="X1" s="29" t="s">
        <v>169</v>
      </c>
      <c r="Y1" s="119" t="str">
        <f>交易记录!C3</f>
        <v>年度双边交易电量(MWh)</v>
      </c>
      <c r="Z1" s="119" t="str">
        <f>交易记录!C34</f>
        <v>年度双边交易电价(元/MWh)</v>
      </c>
      <c r="AA1" s="29" t="str">
        <f>LEFT(Z1,FIND("交易",Z1)-1)&amp;"策略电费变动（元）"</f>
        <v>年度双边策略电费变动（元）</v>
      </c>
      <c r="AB1" s="122" t="str">
        <f>交易记录!C67</f>
        <v>年度挂牌交易电量(MWh)</v>
      </c>
      <c r="AC1" s="122" t="str">
        <f>交易记录!C98</f>
        <v>年度挂牌交易电价(元/MWh)</v>
      </c>
      <c r="AD1" s="29" t="str">
        <f>LEFT(AC1,FIND("交易",AC1)-1)&amp;"策略电费变动（元）"</f>
        <v>年度挂牌策略电费变动（元）</v>
      </c>
      <c r="AE1" s="119" t="str">
        <f>交易记录!C131</f>
        <v>年度集中竞争交易电量(MWh)</v>
      </c>
      <c r="AF1" s="119" t="str">
        <f>交易记录!C162</f>
        <v>年度集中竞争交易电价(元/MWh)</v>
      </c>
      <c r="AG1" s="29" t="str">
        <f>LEFT(AF1,FIND("交易",AF1)-1)&amp;"策略电费变动（元）"</f>
        <v>年度集中竞争策略电费变动（元）</v>
      </c>
      <c r="AH1" s="122" t="str">
        <f>交易记录!C195</f>
        <v>年度绿电双边交易电量(MWh)</v>
      </c>
      <c r="AI1" s="122" t="str">
        <f>交易记录!C226</f>
        <v>年度绿电双边交易电价(元/MWh)</v>
      </c>
      <c r="AJ1" s="29" t="str">
        <f>LEFT(AI1,FIND("交易",AI1)-1)&amp;"策略电费变动（元）"</f>
        <v>年度绿电双边策略电费变动（元）</v>
      </c>
      <c r="AK1" s="119" t="str">
        <f>交易记录!C259</f>
        <v>多月连续集中交易电量(MWh)</v>
      </c>
      <c r="AL1" s="119" t="str">
        <f>交易记录!C290</f>
        <v>多月连续集中交易电价(元/MWh)</v>
      </c>
      <c r="AM1" s="29" t="str">
        <f>LEFT(AL1,FIND("交易",AL1)-1)&amp;"策略电费变动（元）"</f>
        <v>多月连续集中策略电费变动（元）</v>
      </c>
      <c r="AN1" s="122" t="str">
        <f>交易记录!C323</f>
        <v>月度跨省外送交易电量(MWh)</v>
      </c>
      <c r="AO1" s="122" t="str">
        <f>交易记录!C354</f>
        <v>月度跨省外送交易电价(元/MWh)</v>
      </c>
      <c r="AP1" s="29" t="str">
        <f>LEFT(AO1,FIND("交易",AO1)-1)&amp;"策略电费变动（元）"</f>
        <v>月度跨省外送策略电费变动（元）</v>
      </c>
      <c r="AQ1" s="119" t="str">
        <f>交易记录!C387</f>
        <v>月度双边交易电量(MWh)</v>
      </c>
      <c r="AR1" s="119" t="str">
        <f>交易记录!C418</f>
        <v>月度双边交易电价(元/MWh)</v>
      </c>
      <c r="AS1" s="29" t="str">
        <f>LEFT(AR1,FIND("交易",AR1)-1)&amp;"策略电费变动（元）"</f>
        <v>月度双边策略电费变动（元）</v>
      </c>
      <c r="AT1" s="122" t="str">
        <f>交易记录!C451</f>
        <v>月度绿电挂牌交易电量(MWh)</v>
      </c>
      <c r="AU1" s="122" t="str">
        <f>交易记录!C482</f>
        <v>月度绿电挂牌交易电价(元/MWh)</v>
      </c>
      <c r="AV1" s="29" t="str">
        <f>LEFT(AU1,FIND("交易",AU1)-1)&amp;"策略电费变动（元）"</f>
        <v>月度绿电挂牌策略电费变动（元）</v>
      </c>
      <c r="AW1" s="119" t="str">
        <f>交易记录!C515</f>
        <v>月度绿电集中交易电量(MWh)</v>
      </c>
      <c r="AX1" s="119" t="str">
        <f>交易记录!C546</f>
        <v>月度绿电集中交易电价(元/MWh)</v>
      </c>
      <c r="AY1" s="29" t="str">
        <f>LEFT(AX1,FIND("交易",AX1)-1)&amp;"策略电费变动（元）"</f>
        <v>月度绿电集中策略电费变动（元）</v>
      </c>
      <c r="AZ1" s="122" t="str">
        <f>交易记录!C579</f>
        <v>月度集中（市场用户负荷曲线）交易电量(MWh)</v>
      </c>
      <c r="BA1" s="122" t="str">
        <f>交易记录!C610</f>
        <v>月度集中（市场用户负荷曲线）交易电价(元/MWh)</v>
      </c>
      <c r="BB1" s="29" t="str">
        <f>LEFT(BA1,FIND("交易",BA1)-1)&amp;"策略电费变动（元）"</f>
        <v>月度集中（市场用户负荷曲线）策略电费变动（元）</v>
      </c>
      <c r="BC1" s="119" t="str">
        <f>交易记录!C643</f>
        <v>月度分时集中交易电量(MWh)</v>
      </c>
      <c r="BD1" s="119" t="str">
        <f>交易记录!C674</f>
        <v>月度分时集中交易电价(元/MWh)</v>
      </c>
      <c r="BE1" s="29" t="str">
        <f>LEFT(BD1,FIND("交易",BD1)-1)&amp;"策略电费变动（元）"</f>
        <v>月度分时集中策略电费变动（元）</v>
      </c>
      <c r="BF1" s="122" t="str">
        <f>交易记录!C707</f>
        <v>月内第一次多日交易电量(MWh)</v>
      </c>
      <c r="BG1" s="122" t="str">
        <f>交易记录!C738</f>
        <v>月内第一次多日交易电价(元/MWh)</v>
      </c>
      <c r="BH1" s="29" t="str">
        <f>LEFT(BG1,FIND("交易",BG1)-1)&amp;"策略电费变动（元）"</f>
        <v>月内第一次多日策略电费变动（元）</v>
      </c>
      <c r="BI1" s="119" t="str">
        <f>交易记录!C771</f>
        <v>月内第二次多日交易电量(MWh)</v>
      </c>
      <c r="BJ1" s="119" t="str">
        <f>交易记录!C802</f>
        <v>月内第二次多日交易电价(元/MWh)</v>
      </c>
      <c r="BK1" s="29" t="str">
        <f>LEFT(BJ1,FIND("交易",BJ1)-1)&amp;"策略电费变动（元）"</f>
        <v>月内第二次多日策略电费变动（元）</v>
      </c>
      <c r="BL1" s="122" t="str">
        <f>交易记录!C835</f>
        <v>月内合同转让交易电量(MWh)</v>
      </c>
      <c r="BM1" s="122" t="str">
        <f>交易记录!C866</f>
        <v>月内合同转让交易电价(元/MWh)</v>
      </c>
      <c r="BN1" s="29" t="str">
        <f>LEFT(BM1,FIND("交易",BM1)-1)&amp;"策略电费变动（元）"</f>
        <v>月内合同转让策略电费变动（元）</v>
      </c>
      <c r="BO1" s="119" t="str">
        <f>交易记录!C899</f>
        <v>月内周双边交易电量(MWh)</v>
      </c>
      <c r="BP1" s="119" t="str">
        <f>交易记录!C930</f>
        <v>月内周双边交易电价(元/MWh)</v>
      </c>
      <c r="BQ1" s="29" t="str">
        <f>LEFT(BP1,FIND("交易",BP1)-1)&amp;"策略电费变动（元）"</f>
        <v>月内周双边策略电费变动（元）</v>
      </c>
    </row>
    <row r="2" spans="1:69" ht="15">
      <c r="A2" s="125">
        <f>'维护-日期'!A$3</f>
        <v>46266</v>
      </c>
      <c r="B2" s="7" t="s">
        <v>6</v>
      </c>
      <c r="C2" s="144">
        <f>D2</f>
        <v>16.655999999999999</v>
      </c>
      <c r="D2" s="144">
        <f>ROUND(INDEX(持仓数据!$C$3:$AG$26,MATCH('计算过程-数据汇总'!B2,持仓数据!$B$3:$B$26,0),MATCH('计算过程-数据汇总'!A2,'维护-日期'!$B$2:$AF$2,0)),3)</f>
        <v>16.655999999999999</v>
      </c>
      <c r="E2" s="98">
        <f t="shared" ref="E2:E66" si="0">D2*1</f>
        <v>16.655999999999999</v>
      </c>
      <c r="F2" s="22">
        <f>持仓数据!C72</f>
        <v>0.36699999999999999</v>
      </c>
      <c r="G2" s="97">
        <v>372</v>
      </c>
      <c r="H2" s="97">
        <v>372</v>
      </c>
      <c r="I2" s="64">
        <v>0</v>
      </c>
      <c r="J2" s="64">
        <v>0</v>
      </c>
      <c r="K2" s="21">
        <f>IF(持仓数据!C105="",0,持仓数据!C105)</f>
        <v>372</v>
      </c>
      <c r="L2" s="21">
        <f>I2*J2</f>
        <v>0</v>
      </c>
      <c r="M2" s="28">
        <f t="shared" ref="M2:M65" si="1">IFERROR(C2*G2,0)</f>
        <v>6196.0319999999992</v>
      </c>
      <c r="N2" s="28">
        <f>IFERROR((D2-C2)*(G2-H2),0)</f>
        <v>0</v>
      </c>
      <c r="O2" s="28">
        <f>IFERROR((E2-D2)*(G2-H2),0)</f>
        <v>0</v>
      </c>
      <c r="P2" s="28">
        <f>IFERROR(F2*(K2-G2),0)</f>
        <v>0</v>
      </c>
      <c r="Q2" s="28">
        <f>IFERROR(IF(ABS((E2-C2)/C2)&gt;0.2,IF(SUM(N2:O2)&lt;0,ABS(G2-H2)*(ABS(C2-E2)-C2*0.2),0),0),IF(SUM(N2:O2)&lt;0,ABS(G2-H2)*(ABS(C2-E2)-C2*0.2),0))</f>
        <v>0</v>
      </c>
      <c r="R2" s="28">
        <f>IFERROR(K2*C2,0)</f>
        <v>6196.0319999999992</v>
      </c>
      <c r="S2" s="28">
        <f>IFERROR((D2-E2)*(K2-G2),0)</f>
        <v>0</v>
      </c>
      <c r="T2" s="28">
        <f>IFERROR((F2-D2)*(K2-G2),0)</f>
        <v>0</v>
      </c>
      <c r="U2" s="28">
        <f>IFERROR((D2-C2)*(K2-H2),0)</f>
        <v>0</v>
      </c>
      <c r="V2" s="28">
        <f>IFERROR((E2-D2)*(K2-H2),0)</f>
        <v>0</v>
      </c>
      <c r="W2" s="118"/>
      <c r="X2" s="143">
        <f>ROUND(D2*1.2-SUM(Y2,AB2,AE2,AH2,AK2,AN2,AQ2,AT2,AW2,AZ2,BC2,BF2,BI2,BL2,BO2),3)</f>
        <v>19.62</v>
      </c>
      <c r="Y2" s="120">
        <f>交易记录!D5</f>
        <v>0.36699999999999999</v>
      </c>
      <c r="Z2" s="120">
        <f>交易记录!D36</f>
        <v>372</v>
      </c>
      <c r="AA2" s="30">
        <f>IFERROR((Z2-G2)*Y2,0)</f>
        <v>0</v>
      </c>
      <c r="AB2" s="123">
        <f>交易记录!D69</f>
        <v>0</v>
      </c>
      <c r="AC2" s="123">
        <f>交易记录!D100</f>
        <v>0</v>
      </c>
      <c r="AD2" s="30">
        <f t="shared" ref="AD2:AD15" si="2">IFERROR((AC2-$G2)*AB2,0)</f>
        <v>0</v>
      </c>
      <c r="AE2" s="120">
        <f>交易记录!D133</f>
        <v>0</v>
      </c>
      <c r="AF2" s="120">
        <f>交易记录!D164</f>
        <v>0</v>
      </c>
      <c r="AG2" s="30">
        <f t="shared" ref="AG2:AG6" si="3">IFERROR((AF2-$G2)*AE2,0)</f>
        <v>0</v>
      </c>
      <c r="AH2" s="123">
        <f>交易记录!D197</f>
        <v>0</v>
      </c>
      <c r="AI2" s="123">
        <f>交易记录!D228</f>
        <v>0</v>
      </c>
      <c r="AJ2" s="30">
        <f t="shared" ref="AJ2:AJ13" si="4">IFERROR((AI2-$G2)*AH2,0)</f>
        <v>0</v>
      </c>
      <c r="AK2" s="120">
        <f>交易记录!D261</f>
        <v>0</v>
      </c>
      <c r="AL2" s="120">
        <f>交易记录!D292</f>
        <v>0</v>
      </c>
      <c r="AM2" s="30">
        <f t="shared" ref="AM2:AM9" si="5">IFERROR((AL2-$G2)*AK2,0)</f>
        <v>0</v>
      </c>
      <c r="AN2" s="123">
        <f>交易记录!D325</f>
        <v>0</v>
      </c>
      <c r="AO2" s="123">
        <f>交易记录!D356</f>
        <v>0</v>
      </c>
      <c r="AP2" s="30">
        <f t="shared" ref="AP2:AP5" si="6">IFERROR((AO2-$G2)*AN2,0)</f>
        <v>0</v>
      </c>
      <c r="AQ2" s="120">
        <f>交易记录!D389</f>
        <v>0</v>
      </c>
      <c r="AR2" s="120">
        <f>交易记录!D420</f>
        <v>0</v>
      </c>
      <c r="AS2" s="30">
        <f t="shared" ref="AS2:AS7" si="7">IFERROR((AR2-$G2)*AQ2,0)</f>
        <v>0</v>
      </c>
      <c r="AT2" s="123">
        <f>交易记录!D453</f>
        <v>0</v>
      </c>
      <c r="AU2" s="123">
        <f>交易记录!D484</f>
        <v>0</v>
      </c>
      <c r="AV2" s="30">
        <f t="shared" ref="AV2:AV65" si="8">IFERROR((AU2-$G2)*AT2,0)</f>
        <v>0</v>
      </c>
      <c r="AW2" s="120">
        <f>交易记录!D517</f>
        <v>0</v>
      </c>
      <c r="AX2" s="120">
        <f>交易记录!D548</f>
        <v>0</v>
      </c>
      <c r="AY2" s="30">
        <f t="shared" ref="AY2:AY65" si="9">IFERROR((AX2-$G2)*AW2,0)</f>
        <v>0</v>
      </c>
      <c r="AZ2" s="123">
        <f>交易记录!D581</f>
        <v>0</v>
      </c>
      <c r="BA2" s="123">
        <f>交易记录!D612</f>
        <v>0</v>
      </c>
      <c r="BB2" s="30">
        <f t="shared" ref="BB2:BB65" si="10">IFERROR((BA2-$G2)*AZ2,0)</f>
        <v>0</v>
      </c>
      <c r="BC2" s="120">
        <f>交易记录!D645</f>
        <v>0</v>
      </c>
      <c r="BD2" s="120">
        <f>交易记录!D676</f>
        <v>0</v>
      </c>
      <c r="BE2" s="30">
        <f t="shared" ref="BE2:BE65" si="11">IFERROR((BD2-$G2)*BC2,0)</f>
        <v>0</v>
      </c>
      <c r="BF2" s="123">
        <f>交易记录!D709</f>
        <v>0</v>
      </c>
      <c r="BG2" s="123">
        <f>交易记录!D740</f>
        <v>0</v>
      </c>
      <c r="BH2" s="30">
        <f>IFERROR((BG2-$G2)*BF2,0)</f>
        <v>0</v>
      </c>
      <c r="BI2" s="120">
        <f>交易记录!D773</f>
        <v>0</v>
      </c>
      <c r="BJ2" s="120">
        <f>交易记录!D804</f>
        <v>0</v>
      </c>
      <c r="BK2" s="30">
        <f t="shared" ref="BK2:BK65" si="12">IFERROR((BJ2-$G2)*BI2,0)</f>
        <v>0</v>
      </c>
      <c r="BL2" s="123">
        <f>交易记录!D837</f>
        <v>0</v>
      </c>
      <c r="BM2" s="123">
        <f>交易记录!D868</f>
        <v>0</v>
      </c>
      <c r="BN2" s="30">
        <f t="shared" ref="BN2:BN65" si="13">IFERROR((BM2-$G2)*BL2,0)</f>
        <v>0</v>
      </c>
      <c r="BO2" s="120">
        <f>交易记录!D901</f>
        <v>0</v>
      </c>
      <c r="BP2" s="120">
        <f>交易记录!D932</f>
        <v>0</v>
      </c>
      <c r="BQ2" s="30">
        <f t="shared" ref="BQ2:BQ65" si="14">IFERROR((BP2-$G2)*BO2,0)</f>
        <v>0</v>
      </c>
    </row>
    <row r="3" spans="1:69" ht="15">
      <c r="A3" s="125">
        <f>'维护-日期'!A$3</f>
        <v>46266</v>
      </c>
      <c r="B3" s="7" t="s">
        <v>7</v>
      </c>
      <c r="C3" s="144">
        <f t="shared" ref="C3:C66" si="15">D3</f>
        <v>15.792</v>
      </c>
      <c r="D3" s="144">
        <f>ROUND(INDEX(持仓数据!$C$3:$AG$26,MATCH('计算过程-数据汇总'!B3,持仓数据!$B$3:$B$26,0),MATCH('计算过程-数据汇总'!A3,'维护-日期'!$B$2:$AF$2,0)),3)</f>
        <v>15.792</v>
      </c>
      <c r="E3" s="98">
        <f t="shared" si="0"/>
        <v>15.792</v>
      </c>
      <c r="F3" s="22">
        <f>持仓数据!C73</f>
        <v>0.33099999999999996</v>
      </c>
      <c r="G3" s="97">
        <v>372</v>
      </c>
      <c r="H3" s="97">
        <v>372</v>
      </c>
      <c r="I3" s="64">
        <v>0</v>
      </c>
      <c r="J3" s="64">
        <v>0</v>
      </c>
      <c r="K3" s="21">
        <f>IF(持仓数据!C106="",0,持仓数据!C106)</f>
        <v>372</v>
      </c>
      <c r="L3" s="21">
        <f t="shared" ref="L3:L66" si="16">I3*J3</f>
        <v>0</v>
      </c>
      <c r="M3" s="28">
        <f t="shared" si="1"/>
        <v>5874.6239999999998</v>
      </c>
      <c r="N3" s="28">
        <f t="shared" ref="N3:N65" si="17">IFERROR((D3-C3)*(G3-H3),0)</f>
        <v>0</v>
      </c>
      <c r="O3" s="28">
        <f t="shared" ref="O3:O65" si="18">IFERROR((E3-D3)*(G3-H3),0)</f>
        <v>0</v>
      </c>
      <c r="P3" s="28">
        <f t="shared" ref="P3:P65" si="19">IFERROR(F3*(K3-G3),0)</f>
        <v>0</v>
      </c>
      <c r="Q3" s="28">
        <f t="shared" ref="Q3:Q5" si="20">IFERROR(IF(ABS((E3-C3)/C3)&gt;0.2,IF(SUM(N3:O3)&lt;0,ABS(G3-H3)*(ABS(C3-E3)-C3*0.2),0),0),IF(SUM(N3:O3)&lt;0,ABS(G3-H3)*(ABS(C3-E3)-C3*0.2),0))</f>
        <v>0</v>
      </c>
      <c r="R3" s="28">
        <f t="shared" ref="R3:R65" si="21">IFERROR(K3*C3,0)</f>
        <v>5874.6239999999998</v>
      </c>
      <c r="S3" s="28">
        <f t="shared" ref="S3:S66" si="22">IFERROR((D3-E3)*(K3-G3),0)</f>
        <v>0</v>
      </c>
      <c r="T3" s="28">
        <f t="shared" ref="T3:T66" si="23">IFERROR((F3-D3)*(K3-G3),0)</f>
        <v>0</v>
      </c>
      <c r="U3" s="28">
        <f t="shared" ref="U3:U33" si="24">IFERROR((D3-C3)*(K3-H3),0)</f>
        <v>0</v>
      </c>
      <c r="V3" s="28">
        <f t="shared" ref="V3:V33" si="25">IFERROR((E3-D3)*(K3-H3),0)</f>
        <v>0</v>
      </c>
      <c r="W3" s="118"/>
      <c r="X3" s="143">
        <f t="shared" ref="X3:X66" si="26">ROUND(D3*1.2-SUM(Y3,AB3,AE3,AH3,AK3,AN3,AQ3,AT3,AW3,AZ3,BC3,BF3,BI3,BL3,BO3),3)</f>
        <v>18.619</v>
      </c>
      <c r="Y3" s="120">
        <f>交易记录!D6</f>
        <v>0.33099999999999996</v>
      </c>
      <c r="Z3" s="120">
        <f>交易记录!D37</f>
        <v>372</v>
      </c>
      <c r="AA3" s="30">
        <f t="shared" ref="AA3:AA65" si="27">IFERROR((Z3-G3)*Y3,0)</f>
        <v>0</v>
      </c>
      <c r="AB3" s="123">
        <f>交易记录!D70</f>
        <v>0</v>
      </c>
      <c r="AC3" s="123">
        <f>交易记录!D101</f>
        <v>0</v>
      </c>
      <c r="AD3" s="30">
        <f t="shared" si="2"/>
        <v>0</v>
      </c>
      <c r="AE3" s="120">
        <f>交易记录!D134</f>
        <v>0</v>
      </c>
      <c r="AF3" s="120">
        <f>交易记录!D165</f>
        <v>0</v>
      </c>
      <c r="AG3" s="30">
        <f t="shared" si="3"/>
        <v>0</v>
      </c>
      <c r="AH3" s="123">
        <f>交易记录!D198</f>
        <v>0</v>
      </c>
      <c r="AI3" s="123">
        <f>交易记录!D229</f>
        <v>0</v>
      </c>
      <c r="AJ3" s="30">
        <f t="shared" si="4"/>
        <v>0</v>
      </c>
      <c r="AK3" s="120">
        <f>交易记录!D262</f>
        <v>0</v>
      </c>
      <c r="AL3" s="120">
        <f>交易记录!D293</f>
        <v>0</v>
      </c>
      <c r="AM3" s="30">
        <f t="shared" si="5"/>
        <v>0</v>
      </c>
      <c r="AN3" s="123">
        <f>交易记录!D326</f>
        <v>0</v>
      </c>
      <c r="AO3" s="123">
        <f>交易记录!D357</f>
        <v>0</v>
      </c>
      <c r="AP3" s="30">
        <f t="shared" si="6"/>
        <v>0</v>
      </c>
      <c r="AQ3" s="120">
        <f>交易记录!D390</f>
        <v>0</v>
      </c>
      <c r="AR3" s="120">
        <f>交易记录!D421</f>
        <v>0</v>
      </c>
      <c r="AS3" s="30">
        <f t="shared" si="7"/>
        <v>0</v>
      </c>
      <c r="AT3" s="123">
        <f>交易记录!D454</f>
        <v>0</v>
      </c>
      <c r="AU3" s="123">
        <f>交易记录!D485</f>
        <v>0</v>
      </c>
      <c r="AV3" s="30">
        <f t="shared" si="8"/>
        <v>0</v>
      </c>
      <c r="AW3" s="120">
        <f>交易记录!D518</f>
        <v>0</v>
      </c>
      <c r="AX3" s="120">
        <f>交易记录!D549</f>
        <v>0</v>
      </c>
      <c r="AY3" s="30">
        <f t="shared" si="9"/>
        <v>0</v>
      </c>
      <c r="AZ3" s="123">
        <f>交易记录!D582</f>
        <v>0</v>
      </c>
      <c r="BA3" s="123">
        <f>交易记录!D613</f>
        <v>0</v>
      </c>
      <c r="BB3" s="30">
        <f t="shared" si="10"/>
        <v>0</v>
      </c>
      <c r="BC3" s="120">
        <f>交易记录!D646</f>
        <v>0</v>
      </c>
      <c r="BD3" s="120">
        <f>交易记录!D677</f>
        <v>0</v>
      </c>
      <c r="BE3" s="30">
        <f t="shared" si="11"/>
        <v>0</v>
      </c>
      <c r="BF3" s="123">
        <f>交易记录!D710</f>
        <v>0</v>
      </c>
      <c r="BG3" s="123">
        <f>交易记录!D741</f>
        <v>0</v>
      </c>
      <c r="BH3" s="30">
        <f t="shared" ref="BH3:BH65" si="28">IFERROR((BG3-$G3)*BF3,0)</f>
        <v>0</v>
      </c>
      <c r="BI3" s="120">
        <f>交易记录!D774</f>
        <v>0</v>
      </c>
      <c r="BJ3" s="120">
        <f>交易记录!D805</f>
        <v>0</v>
      </c>
      <c r="BK3" s="30">
        <f t="shared" si="12"/>
        <v>0</v>
      </c>
      <c r="BL3" s="123">
        <f>交易记录!D838</f>
        <v>0</v>
      </c>
      <c r="BM3" s="123">
        <f>交易记录!D869</f>
        <v>0</v>
      </c>
      <c r="BN3" s="30">
        <f t="shared" si="13"/>
        <v>0</v>
      </c>
      <c r="BO3" s="120">
        <f>交易记录!D902</f>
        <v>0</v>
      </c>
      <c r="BP3" s="120">
        <f>交易记录!D933</f>
        <v>0</v>
      </c>
      <c r="BQ3" s="30">
        <f t="shared" si="14"/>
        <v>0</v>
      </c>
    </row>
    <row r="4" spans="1:69" ht="15">
      <c r="A4" s="125">
        <f>'维护-日期'!A$3</f>
        <v>46266</v>
      </c>
      <c r="B4" s="7" t="s">
        <v>8</v>
      </c>
      <c r="C4" s="144">
        <f t="shared" si="15"/>
        <v>14.821999999999999</v>
      </c>
      <c r="D4" s="144">
        <f>ROUND(INDEX(持仓数据!$C$3:$AG$26,MATCH('计算过程-数据汇总'!B4,持仓数据!$B$3:$B$26,0),MATCH('计算过程-数据汇总'!A4,'维护-日期'!$B$2:$AF$2,0)),3)</f>
        <v>14.821999999999999</v>
      </c>
      <c r="E4" s="98">
        <f t="shared" si="0"/>
        <v>14.821999999999999</v>
      </c>
      <c r="F4" s="22">
        <f>持仓数据!C74</f>
        <v>0.23799999999999999</v>
      </c>
      <c r="G4" s="97">
        <v>372</v>
      </c>
      <c r="H4" s="97">
        <v>372</v>
      </c>
      <c r="I4" s="64">
        <v>0</v>
      </c>
      <c r="J4" s="64">
        <v>0</v>
      </c>
      <c r="K4" s="21">
        <f>IF(持仓数据!C107="",0,持仓数据!C107)</f>
        <v>372</v>
      </c>
      <c r="L4" s="21">
        <f t="shared" si="16"/>
        <v>0</v>
      </c>
      <c r="M4" s="28">
        <f t="shared" si="1"/>
        <v>5513.7839999999997</v>
      </c>
      <c r="N4" s="28">
        <f t="shared" si="17"/>
        <v>0</v>
      </c>
      <c r="O4" s="28">
        <f t="shared" si="18"/>
        <v>0</v>
      </c>
      <c r="P4" s="28">
        <f t="shared" si="19"/>
        <v>0</v>
      </c>
      <c r="Q4" s="28">
        <f t="shared" si="20"/>
        <v>0</v>
      </c>
      <c r="R4" s="28">
        <f t="shared" si="21"/>
        <v>5513.7839999999997</v>
      </c>
      <c r="S4" s="28">
        <f t="shared" si="22"/>
        <v>0</v>
      </c>
      <c r="T4" s="28">
        <f t="shared" si="23"/>
        <v>0</v>
      </c>
      <c r="U4" s="28">
        <f t="shared" si="24"/>
        <v>0</v>
      </c>
      <c r="V4" s="28">
        <f t="shared" si="25"/>
        <v>0</v>
      </c>
      <c r="W4" s="118"/>
      <c r="X4" s="143">
        <f t="shared" si="26"/>
        <v>17.547999999999998</v>
      </c>
      <c r="Y4" s="120">
        <f>交易记录!D7</f>
        <v>0.23799999999999999</v>
      </c>
      <c r="Z4" s="120">
        <f>交易记录!D38</f>
        <v>372</v>
      </c>
      <c r="AA4" s="30">
        <f t="shared" si="27"/>
        <v>0</v>
      </c>
      <c r="AB4" s="123">
        <f>交易记录!D71</f>
        <v>0</v>
      </c>
      <c r="AC4" s="123">
        <f>交易记录!D102</f>
        <v>0</v>
      </c>
      <c r="AD4" s="30">
        <f t="shared" si="2"/>
        <v>0</v>
      </c>
      <c r="AE4" s="120">
        <f>交易记录!D135</f>
        <v>0</v>
      </c>
      <c r="AF4" s="120">
        <f>交易记录!D166</f>
        <v>0</v>
      </c>
      <c r="AG4" s="30">
        <f t="shared" si="3"/>
        <v>0</v>
      </c>
      <c r="AH4" s="123">
        <f>交易记录!D199</f>
        <v>0</v>
      </c>
      <c r="AI4" s="123">
        <f>交易记录!D230</f>
        <v>0</v>
      </c>
      <c r="AJ4" s="30">
        <f t="shared" si="4"/>
        <v>0</v>
      </c>
      <c r="AK4" s="120">
        <f>交易记录!D263</f>
        <v>0</v>
      </c>
      <c r="AL4" s="120">
        <f>交易记录!D294</f>
        <v>0</v>
      </c>
      <c r="AM4" s="30">
        <f t="shared" si="5"/>
        <v>0</v>
      </c>
      <c r="AN4" s="123">
        <f>交易记录!D327</f>
        <v>0</v>
      </c>
      <c r="AO4" s="123">
        <f>交易记录!D358</f>
        <v>0</v>
      </c>
      <c r="AP4" s="30">
        <f t="shared" si="6"/>
        <v>0</v>
      </c>
      <c r="AQ4" s="120">
        <f>交易记录!D391</f>
        <v>0</v>
      </c>
      <c r="AR4" s="120">
        <f>交易记录!D422</f>
        <v>0</v>
      </c>
      <c r="AS4" s="30">
        <f t="shared" si="7"/>
        <v>0</v>
      </c>
      <c r="AT4" s="123">
        <f>交易记录!D455</f>
        <v>0</v>
      </c>
      <c r="AU4" s="123">
        <f>交易记录!D486</f>
        <v>0</v>
      </c>
      <c r="AV4" s="30">
        <f t="shared" si="8"/>
        <v>0</v>
      </c>
      <c r="AW4" s="120">
        <f>交易记录!D519</f>
        <v>0</v>
      </c>
      <c r="AX4" s="120">
        <f>交易记录!D550</f>
        <v>0</v>
      </c>
      <c r="AY4" s="30">
        <f t="shared" si="9"/>
        <v>0</v>
      </c>
      <c r="AZ4" s="123">
        <f>交易记录!D583</f>
        <v>0</v>
      </c>
      <c r="BA4" s="123">
        <f>交易记录!D614</f>
        <v>0</v>
      </c>
      <c r="BB4" s="30">
        <f t="shared" si="10"/>
        <v>0</v>
      </c>
      <c r="BC4" s="120">
        <f>交易记录!D647</f>
        <v>0</v>
      </c>
      <c r="BD4" s="120">
        <f>交易记录!D678</f>
        <v>0</v>
      </c>
      <c r="BE4" s="30">
        <f t="shared" si="11"/>
        <v>0</v>
      </c>
      <c r="BF4" s="123">
        <f>交易记录!D711</f>
        <v>0</v>
      </c>
      <c r="BG4" s="123">
        <f>交易记录!D742</f>
        <v>0</v>
      </c>
      <c r="BH4" s="30">
        <f t="shared" si="28"/>
        <v>0</v>
      </c>
      <c r="BI4" s="120">
        <f>交易记录!D775</f>
        <v>0</v>
      </c>
      <c r="BJ4" s="120">
        <f>交易记录!D806</f>
        <v>0</v>
      </c>
      <c r="BK4" s="30">
        <f t="shared" si="12"/>
        <v>0</v>
      </c>
      <c r="BL4" s="123">
        <f>交易记录!D839</f>
        <v>0</v>
      </c>
      <c r="BM4" s="123">
        <f>交易记录!D870</f>
        <v>0</v>
      </c>
      <c r="BN4" s="30">
        <f t="shared" si="13"/>
        <v>0</v>
      </c>
      <c r="BO4" s="120">
        <f>交易记录!D903</f>
        <v>0</v>
      </c>
      <c r="BP4" s="120">
        <f>交易记录!D934</f>
        <v>0</v>
      </c>
      <c r="BQ4" s="30">
        <f t="shared" si="14"/>
        <v>0</v>
      </c>
    </row>
    <row r="5" spans="1:69" ht="15">
      <c r="A5" s="125">
        <f>'维护-日期'!A$3</f>
        <v>46266</v>
      </c>
      <c r="B5" s="7" t="s">
        <v>9</v>
      </c>
      <c r="C5" s="144">
        <f t="shared" si="15"/>
        <v>13.817</v>
      </c>
      <c r="D5" s="144">
        <f>ROUND(INDEX(持仓数据!$C$3:$AG$26,MATCH('计算过程-数据汇总'!B5,持仓数据!$B$3:$B$26,0),MATCH('计算过程-数据汇总'!A5,'维护-日期'!$B$2:$AF$2,0)),3)</f>
        <v>13.817</v>
      </c>
      <c r="E5" s="98">
        <f t="shared" si="0"/>
        <v>13.817</v>
      </c>
      <c r="F5" s="22">
        <f>持仓数据!C75</f>
        <v>0.17100000000000001</v>
      </c>
      <c r="G5" s="97">
        <v>372</v>
      </c>
      <c r="H5" s="97">
        <v>372</v>
      </c>
      <c r="I5" s="64">
        <v>0</v>
      </c>
      <c r="J5" s="64">
        <v>0</v>
      </c>
      <c r="K5" s="21">
        <f>IF(持仓数据!C108="",0,持仓数据!C108)</f>
        <v>372</v>
      </c>
      <c r="L5" s="21">
        <f t="shared" si="16"/>
        <v>0</v>
      </c>
      <c r="M5" s="28">
        <f t="shared" si="1"/>
        <v>5139.924</v>
      </c>
      <c r="N5" s="28">
        <f t="shared" si="17"/>
        <v>0</v>
      </c>
      <c r="O5" s="28">
        <f t="shared" si="18"/>
        <v>0</v>
      </c>
      <c r="P5" s="28">
        <f t="shared" si="19"/>
        <v>0</v>
      </c>
      <c r="Q5" s="28">
        <f t="shared" si="20"/>
        <v>0</v>
      </c>
      <c r="R5" s="28">
        <f t="shared" si="21"/>
        <v>5139.924</v>
      </c>
      <c r="S5" s="28">
        <f t="shared" si="22"/>
        <v>0</v>
      </c>
      <c r="T5" s="28">
        <f t="shared" si="23"/>
        <v>0</v>
      </c>
      <c r="U5" s="28">
        <f t="shared" si="24"/>
        <v>0</v>
      </c>
      <c r="V5" s="28">
        <f t="shared" si="25"/>
        <v>0</v>
      </c>
      <c r="W5" s="118"/>
      <c r="X5" s="143">
        <f t="shared" si="26"/>
        <v>16.408999999999999</v>
      </c>
      <c r="Y5" s="120">
        <f>交易记录!D8</f>
        <v>0.17100000000000001</v>
      </c>
      <c r="Z5" s="120">
        <f>交易记录!D39</f>
        <v>372</v>
      </c>
      <c r="AA5" s="30">
        <f t="shared" si="27"/>
        <v>0</v>
      </c>
      <c r="AB5" s="123">
        <f>交易记录!D72</f>
        <v>0</v>
      </c>
      <c r="AC5" s="123">
        <f>交易记录!D103</f>
        <v>0</v>
      </c>
      <c r="AD5" s="30">
        <f t="shared" si="2"/>
        <v>0</v>
      </c>
      <c r="AE5" s="120">
        <f>交易记录!D136</f>
        <v>0</v>
      </c>
      <c r="AF5" s="120">
        <f>交易记录!D167</f>
        <v>0</v>
      </c>
      <c r="AG5" s="30">
        <f t="shared" si="3"/>
        <v>0</v>
      </c>
      <c r="AH5" s="123">
        <f>交易记录!D200</f>
        <v>0</v>
      </c>
      <c r="AI5" s="123">
        <f>交易记录!D231</f>
        <v>0</v>
      </c>
      <c r="AJ5" s="30">
        <f t="shared" si="4"/>
        <v>0</v>
      </c>
      <c r="AK5" s="120">
        <f>交易记录!D264</f>
        <v>0</v>
      </c>
      <c r="AL5" s="120">
        <f>交易记录!D295</f>
        <v>0</v>
      </c>
      <c r="AM5" s="30">
        <f t="shared" si="5"/>
        <v>0</v>
      </c>
      <c r="AN5" s="123">
        <f>交易记录!D328</f>
        <v>0</v>
      </c>
      <c r="AO5" s="123">
        <f>交易记录!D359</f>
        <v>0</v>
      </c>
      <c r="AP5" s="30">
        <f t="shared" si="6"/>
        <v>0</v>
      </c>
      <c r="AQ5" s="120">
        <f>交易记录!D392</f>
        <v>0</v>
      </c>
      <c r="AR5" s="120">
        <f>交易记录!D423</f>
        <v>0</v>
      </c>
      <c r="AS5" s="30">
        <f t="shared" si="7"/>
        <v>0</v>
      </c>
      <c r="AT5" s="123">
        <f>交易记录!D456</f>
        <v>0</v>
      </c>
      <c r="AU5" s="123">
        <f>交易记录!D487</f>
        <v>0</v>
      </c>
      <c r="AV5" s="30">
        <f t="shared" si="8"/>
        <v>0</v>
      </c>
      <c r="AW5" s="120">
        <f>交易记录!D520</f>
        <v>0</v>
      </c>
      <c r="AX5" s="120">
        <f>交易记录!D551</f>
        <v>0</v>
      </c>
      <c r="AY5" s="30">
        <f t="shared" si="9"/>
        <v>0</v>
      </c>
      <c r="AZ5" s="123">
        <f>交易记录!D584</f>
        <v>0</v>
      </c>
      <c r="BA5" s="123">
        <f>交易记录!D615</f>
        <v>0</v>
      </c>
      <c r="BB5" s="30">
        <f t="shared" si="10"/>
        <v>0</v>
      </c>
      <c r="BC5" s="120">
        <f>交易记录!D648</f>
        <v>0</v>
      </c>
      <c r="BD5" s="120">
        <f>交易记录!D679</f>
        <v>0</v>
      </c>
      <c r="BE5" s="30">
        <f t="shared" si="11"/>
        <v>0</v>
      </c>
      <c r="BF5" s="123">
        <f>交易记录!D712</f>
        <v>0</v>
      </c>
      <c r="BG5" s="123">
        <f>交易记录!D743</f>
        <v>0</v>
      </c>
      <c r="BH5" s="30">
        <f t="shared" si="28"/>
        <v>0</v>
      </c>
      <c r="BI5" s="120">
        <f>交易记录!D776</f>
        <v>0</v>
      </c>
      <c r="BJ5" s="120">
        <f>交易记录!D807</f>
        <v>0</v>
      </c>
      <c r="BK5" s="30">
        <f t="shared" si="12"/>
        <v>0</v>
      </c>
      <c r="BL5" s="123">
        <f>交易记录!D840</f>
        <v>0</v>
      </c>
      <c r="BM5" s="123">
        <f>交易记录!D871</f>
        <v>0</v>
      </c>
      <c r="BN5" s="30">
        <f t="shared" si="13"/>
        <v>0</v>
      </c>
      <c r="BO5" s="120">
        <f>交易记录!D904</f>
        <v>0</v>
      </c>
      <c r="BP5" s="120">
        <f>交易记录!D935</f>
        <v>0</v>
      </c>
      <c r="BQ5" s="30">
        <f t="shared" si="14"/>
        <v>0</v>
      </c>
    </row>
    <row r="6" spans="1:69" ht="15">
      <c r="A6" s="125">
        <f>'维护-日期'!A$3</f>
        <v>46266</v>
      </c>
      <c r="B6" s="7" t="s">
        <v>10</v>
      </c>
      <c r="C6" s="144">
        <f t="shared" si="15"/>
        <v>13.388</v>
      </c>
      <c r="D6" s="144">
        <f>ROUND(INDEX(持仓数据!$C$3:$AG$26,MATCH('计算过程-数据汇总'!B6,持仓数据!$B$3:$B$26,0),MATCH('计算过程-数据汇总'!A6,'维护-日期'!$B$2:$AF$2,0)),3)</f>
        <v>13.388</v>
      </c>
      <c r="E6" s="98">
        <f t="shared" si="0"/>
        <v>13.388</v>
      </c>
      <c r="F6" s="22">
        <f>持仓数据!C76</f>
        <v>7.3999999999999996E-2</v>
      </c>
      <c r="G6" s="97">
        <v>372</v>
      </c>
      <c r="H6" s="97">
        <v>372</v>
      </c>
      <c r="I6" s="64">
        <v>0</v>
      </c>
      <c r="J6" s="64">
        <v>0</v>
      </c>
      <c r="K6" s="21">
        <f>IF(持仓数据!C109="",0,持仓数据!C109)</f>
        <v>372</v>
      </c>
      <c r="L6" s="21">
        <f t="shared" si="16"/>
        <v>0</v>
      </c>
      <c r="M6" s="28">
        <f t="shared" si="1"/>
        <v>4980.3360000000002</v>
      </c>
      <c r="N6" s="28">
        <f t="shared" si="17"/>
        <v>0</v>
      </c>
      <c r="O6" s="28">
        <f t="shared" si="18"/>
        <v>0</v>
      </c>
      <c r="P6" s="28">
        <f t="shared" si="19"/>
        <v>0</v>
      </c>
      <c r="Q6" s="28">
        <f t="shared" ref="Q6:Q66" si="29">IFERROR(IF(ABS((E6-C6)/C6)&gt;0.2,IF(SUM(N6:O6)&lt;0,ABS(G6-H6)*(ABS(C6-E6)-C6*0.2),0),0),IF(SUM(N6:O6)&lt;0,ABS(G6-H6)*(ABS(C6-E6)-C6*0.2),0))</f>
        <v>0</v>
      </c>
      <c r="R6" s="28">
        <f t="shared" si="21"/>
        <v>4980.3360000000002</v>
      </c>
      <c r="S6" s="28">
        <f t="shared" si="22"/>
        <v>0</v>
      </c>
      <c r="T6" s="28">
        <f t="shared" si="23"/>
        <v>0</v>
      </c>
      <c r="U6" s="28">
        <f t="shared" si="24"/>
        <v>0</v>
      </c>
      <c r="V6" s="28">
        <f t="shared" si="25"/>
        <v>0</v>
      </c>
      <c r="W6" s="118"/>
      <c r="X6" s="143">
        <f t="shared" si="26"/>
        <v>15.992000000000001</v>
      </c>
      <c r="Y6" s="120">
        <f>交易记录!D9</f>
        <v>7.3999999999999996E-2</v>
      </c>
      <c r="Z6" s="120">
        <f>交易记录!D40</f>
        <v>372</v>
      </c>
      <c r="AA6" s="30">
        <f t="shared" si="27"/>
        <v>0</v>
      </c>
      <c r="AB6" s="123">
        <f>交易记录!D73</f>
        <v>0</v>
      </c>
      <c r="AC6" s="123">
        <f>交易记录!D104</f>
        <v>0</v>
      </c>
      <c r="AD6" s="30">
        <f t="shared" si="2"/>
        <v>0</v>
      </c>
      <c r="AE6" s="120">
        <f>交易记录!D137</f>
        <v>0</v>
      </c>
      <c r="AF6" s="120">
        <f>交易记录!D168</f>
        <v>0</v>
      </c>
      <c r="AG6" s="30">
        <f t="shared" si="3"/>
        <v>0</v>
      </c>
      <c r="AH6" s="123">
        <f>交易记录!D201</f>
        <v>0</v>
      </c>
      <c r="AI6" s="123">
        <f>交易记录!D232</f>
        <v>0</v>
      </c>
      <c r="AJ6" s="30">
        <f t="shared" si="4"/>
        <v>0</v>
      </c>
      <c r="AK6" s="120">
        <f>交易记录!D265</f>
        <v>0</v>
      </c>
      <c r="AL6" s="120">
        <f>交易记录!D296</f>
        <v>0</v>
      </c>
      <c r="AM6" s="30">
        <f t="shared" si="5"/>
        <v>0</v>
      </c>
      <c r="AN6" s="123">
        <f>交易记录!D329</f>
        <v>0</v>
      </c>
      <c r="AO6" s="123">
        <f>交易记录!D360</f>
        <v>0</v>
      </c>
      <c r="AP6" s="30">
        <f t="shared" ref="AP6:AP69" si="30">IFERROR((AO6-$G6)*AN6,0)</f>
        <v>0</v>
      </c>
      <c r="AQ6" s="120">
        <f>交易记录!D393</f>
        <v>0</v>
      </c>
      <c r="AR6" s="120">
        <f>交易记录!D424</f>
        <v>0</v>
      </c>
      <c r="AS6" s="30">
        <f t="shared" si="7"/>
        <v>0</v>
      </c>
      <c r="AT6" s="123">
        <f>交易记录!D457</f>
        <v>0</v>
      </c>
      <c r="AU6" s="123">
        <f>交易记录!D488</f>
        <v>0</v>
      </c>
      <c r="AV6" s="30">
        <f t="shared" si="8"/>
        <v>0</v>
      </c>
      <c r="AW6" s="120">
        <f>交易记录!D521</f>
        <v>0</v>
      </c>
      <c r="AX6" s="120">
        <f>交易记录!D552</f>
        <v>0</v>
      </c>
      <c r="AY6" s="30">
        <f t="shared" si="9"/>
        <v>0</v>
      </c>
      <c r="AZ6" s="123">
        <f>交易记录!D585</f>
        <v>0</v>
      </c>
      <c r="BA6" s="123">
        <f>交易记录!D616</f>
        <v>0</v>
      </c>
      <c r="BB6" s="30">
        <f t="shared" si="10"/>
        <v>0</v>
      </c>
      <c r="BC6" s="120">
        <f>交易记录!D649</f>
        <v>0</v>
      </c>
      <c r="BD6" s="120">
        <f>交易记录!D680</f>
        <v>0</v>
      </c>
      <c r="BE6" s="30">
        <f t="shared" si="11"/>
        <v>0</v>
      </c>
      <c r="BF6" s="123">
        <f>交易记录!D713</f>
        <v>0</v>
      </c>
      <c r="BG6" s="123">
        <f>交易记录!D744</f>
        <v>0</v>
      </c>
      <c r="BH6" s="30">
        <f t="shared" si="28"/>
        <v>0</v>
      </c>
      <c r="BI6" s="120">
        <f>交易记录!D777</f>
        <v>0</v>
      </c>
      <c r="BJ6" s="120">
        <f>交易记录!D808</f>
        <v>0</v>
      </c>
      <c r="BK6" s="30">
        <f t="shared" si="12"/>
        <v>0</v>
      </c>
      <c r="BL6" s="123">
        <f>交易记录!D841</f>
        <v>0</v>
      </c>
      <c r="BM6" s="123">
        <f>交易记录!D872</f>
        <v>0</v>
      </c>
      <c r="BN6" s="30">
        <f t="shared" si="13"/>
        <v>0</v>
      </c>
      <c r="BO6" s="120">
        <f>交易记录!D905</f>
        <v>0</v>
      </c>
      <c r="BP6" s="120">
        <f>交易记录!D936</f>
        <v>0</v>
      </c>
      <c r="BQ6" s="30">
        <f t="shared" si="14"/>
        <v>0</v>
      </c>
    </row>
    <row r="7" spans="1:69" ht="15">
      <c r="A7" s="125">
        <f>'维护-日期'!A$3</f>
        <v>46266</v>
      </c>
      <c r="B7" s="7" t="s">
        <v>11</v>
      </c>
      <c r="C7" s="144">
        <f t="shared" si="15"/>
        <v>13.087</v>
      </c>
      <c r="D7" s="144">
        <f>ROUND(INDEX(持仓数据!$C$3:$AG$26,MATCH('计算过程-数据汇总'!B7,持仓数据!$B$3:$B$26,0),MATCH('计算过程-数据汇总'!A7,'维护-日期'!$B$2:$AF$2,0)),3)</f>
        <v>13.087</v>
      </c>
      <c r="E7" s="98">
        <f t="shared" si="0"/>
        <v>13.087</v>
      </c>
      <c r="F7" s="22">
        <f>持仓数据!C77</f>
        <v>7.1999999999999995E-2</v>
      </c>
      <c r="G7" s="97">
        <v>372</v>
      </c>
      <c r="H7" s="97">
        <v>372</v>
      </c>
      <c r="I7" s="64">
        <v>0</v>
      </c>
      <c r="J7" s="64">
        <v>0</v>
      </c>
      <c r="K7" s="21">
        <f>IF(持仓数据!C110="",0,持仓数据!C110)</f>
        <v>372</v>
      </c>
      <c r="L7" s="21">
        <f t="shared" si="16"/>
        <v>0</v>
      </c>
      <c r="M7" s="28">
        <f t="shared" si="1"/>
        <v>4868.3639999999996</v>
      </c>
      <c r="N7" s="28">
        <f t="shared" si="17"/>
        <v>0</v>
      </c>
      <c r="O7" s="28">
        <f t="shared" si="18"/>
        <v>0</v>
      </c>
      <c r="P7" s="28">
        <f t="shared" si="19"/>
        <v>0</v>
      </c>
      <c r="Q7" s="28">
        <f t="shared" si="29"/>
        <v>0</v>
      </c>
      <c r="R7" s="28">
        <f t="shared" si="21"/>
        <v>4868.3639999999996</v>
      </c>
      <c r="S7" s="28">
        <f t="shared" si="22"/>
        <v>0</v>
      </c>
      <c r="T7" s="28">
        <f t="shared" si="23"/>
        <v>0</v>
      </c>
      <c r="U7" s="28">
        <f t="shared" si="24"/>
        <v>0</v>
      </c>
      <c r="V7" s="28">
        <f t="shared" si="25"/>
        <v>0</v>
      </c>
      <c r="W7" s="118"/>
      <c r="X7" s="143">
        <f t="shared" si="26"/>
        <v>15.632</v>
      </c>
      <c r="Y7" s="120">
        <f>交易记录!D10</f>
        <v>7.1999999999999995E-2</v>
      </c>
      <c r="Z7" s="120">
        <f>交易记录!D41</f>
        <v>372</v>
      </c>
      <c r="AA7" s="30">
        <f t="shared" si="27"/>
        <v>0</v>
      </c>
      <c r="AB7" s="123">
        <f>交易记录!D74</f>
        <v>0</v>
      </c>
      <c r="AC7" s="123">
        <f>交易记录!D105</f>
        <v>0</v>
      </c>
      <c r="AD7" s="30">
        <f t="shared" si="2"/>
        <v>0</v>
      </c>
      <c r="AE7" s="120">
        <f>交易记录!D138</f>
        <v>0</v>
      </c>
      <c r="AF7" s="120">
        <f>交易记录!D169</f>
        <v>0</v>
      </c>
      <c r="AG7" s="30">
        <f t="shared" ref="AG7:AG70" si="31">IFERROR((AF7-$G7)*AE7,0)</f>
        <v>0</v>
      </c>
      <c r="AH7" s="123">
        <f>交易记录!D202</f>
        <v>0</v>
      </c>
      <c r="AI7" s="123">
        <f>交易记录!D233</f>
        <v>0</v>
      </c>
      <c r="AJ7" s="30">
        <f t="shared" si="4"/>
        <v>0</v>
      </c>
      <c r="AK7" s="120">
        <f>交易记录!D266</f>
        <v>0</v>
      </c>
      <c r="AL7" s="120">
        <f>交易记录!D297</f>
        <v>0</v>
      </c>
      <c r="AM7" s="30">
        <f t="shared" si="5"/>
        <v>0</v>
      </c>
      <c r="AN7" s="123">
        <f>交易记录!D330</f>
        <v>0</v>
      </c>
      <c r="AO7" s="123">
        <f>交易记录!D361</f>
        <v>0</v>
      </c>
      <c r="AP7" s="30">
        <f t="shared" si="30"/>
        <v>0</v>
      </c>
      <c r="AQ7" s="120">
        <f>交易记录!D394</f>
        <v>0</v>
      </c>
      <c r="AR7" s="120">
        <f>交易记录!D425</f>
        <v>0</v>
      </c>
      <c r="AS7" s="30">
        <f t="shared" si="7"/>
        <v>0</v>
      </c>
      <c r="AT7" s="123">
        <f>交易记录!D458</f>
        <v>0</v>
      </c>
      <c r="AU7" s="123">
        <f>交易记录!D489</f>
        <v>0</v>
      </c>
      <c r="AV7" s="30">
        <f t="shared" si="8"/>
        <v>0</v>
      </c>
      <c r="AW7" s="120">
        <f>交易记录!D522</f>
        <v>0</v>
      </c>
      <c r="AX7" s="120">
        <f>交易记录!D553</f>
        <v>0</v>
      </c>
      <c r="AY7" s="30">
        <f t="shared" si="9"/>
        <v>0</v>
      </c>
      <c r="AZ7" s="123">
        <f>交易记录!D586</f>
        <v>0</v>
      </c>
      <c r="BA7" s="123">
        <f>交易记录!D617</f>
        <v>0</v>
      </c>
      <c r="BB7" s="30">
        <f t="shared" si="10"/>
        <v>0</v>
      </c>
      <c r="BC7" s="120">
        <f>交易记录!D650</f>
        <v>0</v>
      </c>
      <c r="BD7" s="120">
        <f>交易记录!D681</f>
        <v>0</v>
      </c>
      <c r="BE7" s="30">
        <f t="shared" si="11"/>
        <v>0</v>
      </c>
      <c r="BF7" s="123">
        <f>交易记录!D714</f>
        <v>0</v>
      </c>
      <c r="BG7" s="123">
        <f>交易记录!D745</f>
        <v>0</v>
      </c>
      <c r="BH7" s="30">
        <f t="shared" si="28"/>
        <v>0</v>
      </c>
      <c r="BI7" s="120">
        <f>交易记录!D778</f>
        <v>0</v>
      </c>
      <c r="BJ7" s="120">
        <f>交易记录!D809</f>
        <v>0</v>
      </c>
      <c r="BK7" s="30">
        <f t="shared" si="12"/>
        <v>0</v>
      </c>
      <c r="BL7" s="123">
        <f>交易记录!D842</f>
        <v>0</v>
      </c>
      <c r="BM7" s="123">
        <f>交易记录!D873</f>
        <v>0</v>
      </c>
      <c r="BN7" s="30">
        <f t="shared" si="13"/>
        <v>0</v>
      </c>
      <c r="BO7" s="120">
        <f>交易记录!D906</f>
        <v>0</v>
      </c>
      <c r="BP7" s="120">
        <f>交易记录!D937</f>
        <v>0</v>
      </c>
      <c r="BQ7" s="30">
        <f t="shared" si="14"/>
        <v>0</v>
      </c>
    </row>
    <row r="8" spans="1:69" ht="15">
      <c r="A8" s="125">
        <f>'维护-日期'!A$3</f>
        <v>46266</v>
      </c>
      <c r="B8" s="7" t="s">
        <v>12</v>
      </c>
      <c r="C8" s="144">
        <f t="shared" si="15"/>
        <v>12.95</v>
      </c>
      <c r="D8" s="144">
        <f>ROUND(INDEX(持仓数据!$C$3:$AG$26,MATCH('计算过程-数据汇总'!B8,持仓数据!$B$3:$B$26,0),MATCH('计算过程-数据汇总'!A8,'维护-日期'!$B$2:$AF$2,0)),3)</f>
        <v>12.95</v>
      </c>
      <c r="E8" s="98">
        <f t="shared" si="0"/>
        <v>12.95</v>
      </c>
      <c r="F8" s="22">
        <f>持仓数据!C78</f>
        <v>0.11800000000000001</v>
      </c>
      <c r="G8" s="97">
        <v>372</v>
      </c>
      <c r="H8" s="97">
        <v>372</v>
      </c>
      <c r="I8" s="64">
        <v>0</v>
      </c>
      <c r="J8" s="64">
        <v>0</v>
      </c>
      <c r="K8" s="21">
        <f>IF(持仓数据!C111="",0,持仓数据!C111)</f>
        <v>372</v>
      </c>
      <c r="L8" s="21">
        <f t="shared" si="16"/>
        <v>0</v>
      </c>
      <c r="M8" s="28">
        <f t="shared" si="1"/>
        <v>4817.3999999999996</v>
      </c>
      <c r="N8" s="28">
        <f t="shared" si="17"/>
        <v>0</v>
      </c>
      <c r="O8" s="28">
        <f t="shared" si="18"/>
        <v>0</v>
      </c>
      <c r="P8" s="28">
        <f t="shared" si="19"/>
        <v>0</v>
      </c>
      <c r="Q8" s="28">
        <f t="shared" si="29"/>
        <v>0</v>
      </c>
      <c r="R8" s="28">
        <f t="shared" si="21"/>
        <v>4817.3999999999996</v>
      </c>
      <c r="S8" s="28">
        <f t="shared" si="22"/>
        <v>0</v>
      </c>
      <c r="T8" s="28">
        <f t="shared" si="23"/>
        <v>0</v>
      </c>
      <c r="U8" s="28">
        <f t="shared" si="24"/>
        <v>0</v>
      </c>
      <c r="V8" s="28">
        <f t="shared" si="25"/>
        <v>0</v>
      </c>
      <c r="W8" s="118"/>
      <c r="X8" s="143">
        <f t="shared" si="26"/>
        <v>15.422000000000001</v>
      </c>
      <c r="Y8" s="120">
        <f>交易记录!D11</f>
        <v>0.11800000000000001</v>
      </c>
      <c r="Z8" s="120">
        <f>交易记录!D42</f>
        <v>372</v>
      </c>
      <c r="AA8" s="30">
        <f t="shared" si="27"/>
        <v>0</v>
      </c>
      <c r="AB8" s="123">
        <f>交易记录!D75</f>
        <v>0</v>
      </c>
      <c r="AC8" s="123">
        <f>交易记录!D106</f>
        <v>0</v>
      </c>
      <c r="AD8" s="30">
        <f t="shared" si="2"/>
        <v>0</v>
      </c>
      <c r="AE8" s="120">
        <f>交易记录!D139</f>
        <v>0</v>
      </c>
      <c r="AF8" s="120">
        <f>交易记录!D170</f>
        <v>0</v>
      </c>
      <c r="AG8" s="30">
        <f t="shared" si="31"/>
        <v>0</v>
      </c>
      <c r="AH8" s="123">
        <f>交易记录!D203</f>
        <v>0</v>
      </c>
      <c r="AI8" s="123">
        <f>交易记录!D234</f>
        <v>0</v>
      </c>
      <c r="AJ8" s="30">
        <f t="shared" si="4"/>
        <v>0</v>
      </c>
      <c r="AK8" s="120">
        <f>交易记录!D267</f>
        <v>0</v>
      </c>
      <c r="AL8" s="120">
        <f>交易记录!D298</f>
        <v>0</v>
      </c>
      <c r="AM8" s="30">
        <f t="shared" si="5"/>
        <v>0</v>
      </c>
      <c r="AN8" s="123">
        <f>交易记录!D331</f>
        <v>0</v>
      </c>
      <c r="AO8" s="123">
        <f>交易记录!D362</f>
        <v>0</v>
      </c>
      <c r="AP8" s="30">
        <f t="shared" si="30"/>
        <v>0</v>
      </c>
      <c r="AQ8" s="120">
        <f>交易记录!D395</f>
        <v>0</v>
      </c>
      <c r="AR8" s="120">
        <f>交易记录!D426</f>
        <v>0</v>
      </c>
      <c r="AS8" s="30">
        <f t="shared" ref="AS8:AS71" si="32">IFERROR((AR8-$G8)*AQ8,0)</f>
        <v>0</v>
      </c>
      <c r="AT8" s="123">
        <f>交易记录!D459</f>
        <v>0</v>
      </c>
      <c r="AU8" s="123">
        <f>交易记录!D490</f>
        <v>0</v>
      </c>
      <c r="AV8" s="30">
        <f t="shared" si="8"/>
        <v>0</v>
      </c>
      <c r="AW8" s="120">
        <f>交易记录!D523</f>
        <v>0</v>
      </c>
      <c r="AX8" s="120">
        <f>交易记录!D554</f>
        <v>0</v>
      </c>
      <c r="AY8" s="30">
        <f t="shared" si="9"/>
        <v>0</v>
      </c>
      <c r="AZ8" s="123">
        <f>交易记录!D587</f>
        <v>0</v>
      </c>
      <c r="BA8" s="123">
        <f>交易记录!D618</f>
        <v>0</v>
      </c>
      <c r="BB8" s="30">
        <f t="shared" si="10"/>
        <v>0</v>
      </c>
      <c r="BC8" s="120">
        <f>交易记录!D651</f>
        <v>0</v>
      </c>
      <c r="BD8" s="120">
        <f>交易记录!D682</f>
        <v>0</v>
      </c>
      <c r="BE8" s="30">
        <f t="shared" si="11"/>
        <v>0</v>
      </c>
      <c r="BF8" s="123">
        <f>交易记录!D715</f>
        <v>0</v>
      </c>
      <c r="BG8" s="123">
        <f>交易记录!D746</f>
        <v>0</v>
      </c>
      <c r="BH8" s="30">
        <f t="shared" si="28"/>
        <v>0</v>
      </c>
      <c r="BI8" s="120">
        <f>交易记录!D779</f>
        <v>0</v>
      </c>
      <c r="BJ8" s="120">
        <f>交易记录!D810</f>
        <v>0</v>
      </c>
      <c r="BK8" s="30">
        <f t="shared" si="12"/>
        <v>0</v>
      </c>
      <c r="BL8" s="123">
        <f>交易记录!D843</f>
        <v>0</v>
      </c>
      <c r="BM8" s="123">
        <f>交易记录!D874</f>
        <v>0</v>
      </c>
      <c r="BN8" s="30">
        <f t="shared" si="13"/>
        <v>0</v>
      </c>
      <c r="BO8" s="120">
        <f>交易记录!D907</f>
        <v>0</v>
      </c>
      <c r="BP8" s="120">
        <f>交易记录!D938</f>
        <v>0</v>
      </c>
      <c r="BQ8" s="30">
        <f t="shared" si="14"/>
        <v>0</v>
      </c>
    </row>
    <row r="9" spans="1:69" ht="15">
      <c r="A9" s="125">
        <f>'维护-日期'!A$3</f>
        <v>46266</v>
      </c>
      <c r="B9" s="7" t="s">
        <v>13</v>
      </c>
      <c r="C9" s="144">
        <f t="shared" si="15"/>
        <v>13.266999999999999</v>
      </c>
      <c r="D9" s="144">
        <f>ROUND(INDEX(持仓数据!$C$3:$AG$26,MATCH('计算过程-数据汇总'!B9,持仓数据!$B$3:$B$26,0),MATCH('计算过程-数据汇总'!A9,'维护-日期'!$B$2:$AF$2,0)),3)</f>
        <v>13.266999999999999</v>
      </c>
      <c r="E9" s="98">
        <f t="shared" si="0"/>
        <v>13.266999999999999</v>
      </c>
      <c r="F9" s="22">
        <f>持仓数据!C79</f>
        <v>0.13500000000000001</v>
      </c>
      <c r="G9" s="97">
        <v>372</v>
      </c>
      <c r="H9" s="97">
        <v>372</v>
      </c>
      <c r="I9" s="64">
        <v>0</v>
      </c>
      <c r="J9" s="64">
        <v>0</v>
      </c>
      <c r="K9" s="21">
        <f>IF(持仓数据!C112="",0,持仓数据!C112)</f>
        <v>372</v>
      </c>
      <c r="L9" s="21">
        <f t="shared" si="16"/>
        <v>0</v>
      </c>
      <c r="M9" s="28">
        <f t="shared" si="1"/>
        <v>4935.3239999999996</v>
      </c>
      <c r="N9" s="28">
        <f t="shared" si="17"/>
        <v>0</v>
      </c>
      <c r="O9" s="28">
        <f t="shared" si="18"/>
        <v>0</v>
      </c>
      <c r="P9" s="28">
        <f t="shared" si="19"/>
        <v>0</v>
      </c>
      <c r="Q9" s="28">
        <f t="shared" si="29"/>
        <v>0</v>
      </c>
      <c r="R9" s="28">
        <f t="shared" si="21"/>
        <v>4935.3239999999996</v>
      </c>
      <c r="S9" s="28">
        <f t="shared" si="22"/>
        <v>0</v>
      </c>
      <c r="T9" s="28">
        <f t="shared" si="23"/>
        <v>0</v>
      </c>
      <c r="U9" s="28">
        <f t="shared" si="24"/>
        <v>0</v>
      </c>
      <c r="V9" s="28">
        <f t="shared" si="25"/>
        <v>0</v>
      </c>
      <c r="W9" s="118"/>
      <c r="X9" s="143">
        <f t="shared" si="26"/>
        <v>15.785</v>
      </c>
      <c r="Y9" s="120">
        <f>交易记录!D12</f>
        <v>0.13500000000000001</v>
      </c>
      <c r="Z9" s="120">
        <f>交易记录!D43</f>
        <v>372</v>
      </c>
      <c r="AA9" s="30">
        <f t="shared" si="27"/>
        <v>0</v>
      </c>
      <c r="AB9" s="123">
        <f>交易记录!D76</f>
        <v>0</v>
      </c>
      <c r="AC9" s="123">
        <f>交易记录!D107</f>
        <v>0</v>
      </c>
      <c r="AD9" s="30">
        <f t="shared" si="2"/>
        <v>0</v>
      </c>
      <c r="AE9" s="120">
        <f>交易记录!D140</f>
        <v>0</v>
      </c>
      <c r="AF9" s="120">
        <f>交易记录!D171</f>
        <v>0</v>
      </c>
      <c r="AG9" s="30">
        <f t="shared" si="31"/>
        <v>0</v>
      </c>
      <c r="AH9" s="123">
        <f>交易记录!D204</f>
        <v>0</v>
      </c>
      <c r="AI9" s="123">
        <f>交易记录!D235</f>
        <v>0</v>
      </c>
      <c r="AJ9" s="30">
        <f t="shared" si="4"/>
        <v>0</v>
      </c>
      <c r="AK9" s="120">
        <f>交易记录!D268</f>
        <v>0</v>
      </c>
      <c r="AL9" s="120">
        <f>交易记录!D299</f>
        <v>0</v>
      </c>
      <c r="AM9" s="30">
        <f t="shared" si="5"/>
        <v>0</v>
      </c>
      <c r="AN9" s="123">
        <f>交易记录!D332</f>
        <v>0</v>
      </c>
      <c r="AO9" s="123">
        <f>交易记录!D363</f>
        <v>0</v>
      </c>
      <c r="AP9" s="30">
        <f t="shared" si="30"/>
        <v>0</v>
      </c>
      <c r="AQ9" s="120">
        <f>交易记录!D396</f>
        <v>0</v>
      </c>
      <c r="AR9" s="120">
        <f>交易记录!D427</f>
        <v>0</v>
      </c>
      <c r="AS9" s="30">
        <f t="shared" si="32"/>
        <v>0</v>
      </c>
      <c r="AT9" s="123">
        <f>交易记录!D460</f>
        <v>0</v>
      </c>
      <c r="AU9" s="123">
        <f>交易记录!D491</f>
        <v>0</v>
      </c>
      <c r="AV9" s="30">
        <f t="shared" si="8"/>
        <v>0</v>
      </c>
      <c r="AW9" s="120">
        <f>交易记录!D524</f>
        <v>0</v>
      </c>
      <c r="AX9" s="120">
        <f>交易记录!D555</f>
        <v>0</v>
      </c>
      <c r="AY9" s="30">
        <f t="shared" si="9"/>
        <v>0</v>
      </c>
      <c r="AZ9" s="123">
        <f>交易记录!D588</f>
        <v>0</v>
      </c>
      <c r="BA9" s="123">
        <f>交易记录!D619</f>
        <v>0</v>
      </c>
      <c r="BB9" s="30">
        <f t="shared" si="10"/>
        <v>0</v>
      </c>
      <c r="BC9" s="120">
        <f>交易记录!D652</f>
        <v>0</v>
      </c>
      <c r="BD9" s="120">
        <f>交易记录!D683</f>
        <v>0</v>
      </c>
      <c r="BE9" s="30">
        <f t="shared" si="11"/>
        <v>0</v>
      </c>
      <c r="BF9" s="123">
        <f>交易记录!D716</f>
        <v>0</v>
      </c>
      <c r="BG9" s="123">
        <f>交易记录!D747</f>
        <v>0</v>
      </c>
      <c r="BH9" s="30">
        <f t="shared" si="28"/>
        <v>0</v>
      </c>
      <c r="BI9" s="120">
        <f>交易记录!D780</f>
        <v>0</v>
      </c>
      <c r="BJ9" s="120">
        <f>交易记录!D811</f>
        <v>0</v>
      </c>
      <c r="BK9" s="30">
        <f t="shared" si="12"/>
        <v>0</v>
      </c>
      <c r="BL9" s="123">
        <f>交易记录!D844</f>
        <v>0</v>
      </c>
      <c r="BM9" s="123">
        <f>交易记录!D875</f>
        <v>0</v>
      </c>
      <c r="BN9" s="30">
        <f t="shared" si="13"/>
        <v>0</v>
      </c>
      <c r="BO9" s="120">
        <f>交易记录!D908</f>
        <v>0</v>
      </c>
      <c r="BP9" s="120">
        <f>交易记录!D939</f>
        <v>0</v>
      </c>
      <c r="BQ9" s="30">
        <f t="shared" si="14"/>
        <v>0</v>
      </c>
    </row>
    <row r="10" spans="1:69" ht="15">
      <c r="A10" s="125">
        <f>'维护-日期'!A$3</f>
        <v>46266</v>
      </c>
      <c r="B10" s="7" t="s">
        <v>14</v>
      </c>
      <c r="C10" s="144">
        <f t="shared" si="15"/>
        <v>15.795999999999999</v>
      </c>
      <c r="D10" s="144">
        <f>ROUND(INDEX(持仓数据!$C$3:$AG$26,MATCH('计算过程-数据汇总'!B10,持仓数据!$B$3:$B$26,0),MATCH('计算过程-数据汇总'!A10,'维护-日期'!$B$2:$AF$2,0)),3)</f>
        <v>15.795999999999999</v>
      </c>
      <c r="E10" s="98">
        <f t="shared" si="0"/>
        <v>15.795999999999999</v>
      </c>
      <c r="F10" s="22">
        <f>持仓数据!C80</f>
        <v>0.26100000000000001</v>
      </c>
      <c r="G10" s="97">
        <v>372</v>
      </c>
      <c r="H10" s="97">
        <v>372</v>
      </c>
      <c r="I10" s="64">
        <v>0</v>
      </c>
      <c r="J10" s="64">
        <v>0</v>
      </c>
      <c r="K10" s="21">
        <f>IF(持仓数据!C113="",0,持仓数据!C113)</f>
        <v>372</v>
      </c>
      <c r="L10" s="21">
        <f t="shared" si="16"/>
        <v>0</v>
      </c>
      <c r="M10" s="28">
        <f t="shared" si="1"/>
        <v>5876.1120000000001</v>
      </c>
      <c r="N10" s="28">
        <f t="shared" si="17"/>
        <v>0</v>
      </c>
      <c r="O10" s="28">
        <f t="shared" si="18"/>
        <v>0</v>
      </c>
      <c r="P10" s="28">
        <f t="shared" si="19"/>
        <v>0</v>
      </c>
      <c r="Q10" s="28">
        <f t="shared" si="29"/>
        <v>0</v>
      </c>
      <c r="R10" s="28">
        <f t="shared" si="21"/>
        <v>5876.1120000000001</v>
      </c>
      <c r="S10" s="28">
        <f t="shared" si="22"/>
        <v>0</v>
      </c>
      <c r="T10" s="28">
        <f t="shared" si="23"/>
        <v>0</v>
      </c>
      <c r="U10" s="28">
        <f t="shared" si="24"/>
        <v>0</v>
      </c>
      <c r="V10" s="28">
        <f t="shared" si="25"/>
        <v>0</v>
      </c>
      <c r="W10" s="118"/>
      <c r="X10" s="143">
        <f t="shared" si="26"/>
        <v>18.693999999999999</v>
      </c>
      <c r="Y10" s="120">
        <f>交易记录!D13</f>
        <v>0.26100000000000001</v>
      </c>
      <c r="Z10" s="120">
        <f>交易记录!D44</f>
        <v>372</v>
      </c>
      <c r="AA10" s="30">
        <f t="shared" si="27"/>
        <v>0</v>
      </c>
      <c r="AB10" s="123">
        <f>交易记录!D77</f>
        <v>0</v>
      </c>
      <c r="AC10" s="123">
        <f>交易记录!D108</f>
        <v>0</v>
      </c>
      <c r="AD10" s="30">
        <f t="shared" si="2"/>
        <v>0</v>
      </c>
      <c r="AE10" s="120">
        <f>交易记录!D141</f>
        <v>0</v>
      </c>
      <c r="AF10" s="120">
        <f>交易记录!D172</f>
        <v>0</v>
      </c>
      <c r="AG10" s="30">
        <f t="shared" si="31"/>
        <v>0</v>
      </c>
      <c r="AH10" s="123">
        <f>交易记录!D205</f>
        <v>0</v>
      </c>
      <c r="AI10" s="123">
        <f>交易记录!D236</f>
        <v>0</v>
      </c>
      <c r="AJ10" s="30">
        <f t="shared" si="4"/>
        <v>0</v>
      </c>
      <c r="AK10" s="120">
        <f>交易记录!D269</f>
        <v>0</v>
      </c>
      <c r="AL10" s="120">
        <f>交易记录!D300</f>
        <v>0</v>
      </c>
      <c r="AM10" s="30">
        <f t="shared" ref="AM10:AM73" si="33">IFERROR((AL10-$G10)*AK10,0)</f>
        <v>0</v>
      </c>
      <c r="AN10" s="123">
        <f>交易记录!D333</f>
        <v>0</v>
      </c>
      <c r="AO10" s="123">
        <f>交易记录!D364</f>
        <v>0</v>
      </c>
      <c r="AP10" s="30">
        <f t="shared" si="30"/>
        <v>0</v>
      </c>
      <c r="AQ10" s="120">
        <f>交易记录!D397</f>
        <v>0</v>
      </c>
      <c r="AR10" s="120">
        <f>交易记录!D428</f>
        <v>0</v>
      </c>
      <c r="AS10" s="30">
        <f t="shared" si="32"/>
        <v>0</v>
      </c>
      <c r="AT10" s="123">
        <f>交易记录!D461</f>
        <v>0</v>
      </c>
      <c r="AU10" s="123">
        <f>交易记录!D492</f>
        <v>0</v>
      </c>
      <c r="AV10" s="30">
        <f t="shared" si="8"/>
        <v>0</v>
      </c>
      <c r="AW10" s="120">
        <f>交易记录!D525</f>
        <v>0</v>
      </c>
      <c r="AX10" s="120">
        <f>交易记录!D556</f>
        <v>0</v>
      </c>
      <c r="AY10" s="30">
        <f t="shared" si="9"/>
        <v>0</v>
      </c>
      <c r="AZ10" s="123">
        <f>交易记录!D589</f>
        <v>0</v>
      </c>
      <c r="BA10" s="123">
        <f>交易记录!D620</f>
        <v>0</v>
      </c>
      <c r="BB10" s="30">
        <f t="shared" si="10"/>
        <v>0</v>
      </c>
      <c r="BC10" s="120">
        <f>交易记录!D653</f>
        <v>0</v>
      </c>
      <c r="BD10" s="120">
        <f>交易记录!D684</f>
        <v>0</v>
      </c>
      <c r="BE10" s="30">
        <f t="shared" si="11"/>
        <v>0</v>
      </c>
      <c r="BF10" s="123">
        <f>交易记录!D717</f>
        <v>0</v>
      </c>
      <c r="BG10" s="123">
        <f>交易记录!D748</f>
        <v>0</v>
      </c>
      <c r="BH10" s="30">
        <f t="shared" si="28"/>
        <v>0</v>
      </c>
      <c r="BI10" s="120">
        <f>交易记录!D781</f>
        <v>0</v>
      </c>
      <c r="BJ10" s="120">
        <f>交易记录!D812</f>
        <v>0</v>
      </c>
      <c r="BK10" s="30">
        <f t="shared" si="12"/>
        <v>0</v>
      </c>
      <c r="BL10" s="123">
        <f>交易记录!D845</f>
        <v>0</v>
      </c>
      <c r="BM10" s="123">
        <f>交易记录!D876</f>
        <v>0</v>
      </c>
      <c r="BN10" s="30">
        <f t="shared" si="13"/>
        <v>0</v>
      </c>
      <c r="BO10" s="120">
        <f>交易记录!D909</f>
        <v>0</v>
      </c>
      <c r="BP10" s="120">
        <f>交易记录!D940</f>
        <v>0</v>
      </c>
      <c r="BQ10" s="30">
        <f t="shared" si="14"/>
        <v>0</v>
      </c>
    </row>
    <row r="11" spans="1:69" ht="15">
      <c r="A11" s="125">
        <f>'维护-日期'!A$3</f>
        <v>46266</v>
      </c>
      <c r="B11" s="7" t="s">
        <v>15</v>
      </c>
      <c r="C11" s="144">
        <f t="shared" si="15"/>
        <v>19.308</v>
      </c>
      <c r="D11" s="144">
        <f>ROUND(INDEX(持仓数据!$C$3:$AG$26,MATCH('计算过程-数据汇总'!B11,持仓数据!$B$3:$B$26,0),MATCH('计算过程-数据汇总'!A11,'维护-日期'!$B$2:$AF$2,0)),3)</f>
        <v>19.308</v>
      </c>
      <c r="E11" s="98">
        <f t="shared" si="0"/>
        <v>19.308</v>
      </c>
      <c r="F11" s="22">
        <f>持仓数据!C81</f>
        <v>0.28000000000000003</v>
      </c>
      <c r="G11" s="97">
        <v>372</v>
      </c>
      <c r="H11" s="97">
        <v>372</v>
      </c>
      <c r="I11" s="64">
        <v>0</v>
      </c>
      <c r="J11" s="64">
        <v>0</v>
      </c>
      <c r="K11" s="21">
        <f>IF(持仓数据!C114="",0,持仓数据!C114)</f>
        <v>372</v>
      </c>
      <c r="L11" s="21">
        <f t="shared" si="16"/>
        <v>0</v>
      </c>
      <c r="M11" s="28">
        <f t="shared" si="1"/>
        <v>7182.576</v>
      </c>
      <c r="N11" s="28">
        <f t="shared" si="17"/>
        <v>0</v>
      </c>
      <c r="O11" s="28">
        <f t="shared" si="18"/>
        <v>0</v>
      </c>
      <c r="P11" s="28">
        <f t="shared" si="19"/>
        <v>0</v>
      </c>
      <c r="Q11" s="28">
        <f t="shared" si="29"/>
        <v>0</v>
      </c>
      <c r="R11" s="28">
        <f t="shared" si="21"/>
        <v>7182.576</v>
      </c>
      <c r="S11" s="28">
        <f t="shared" si="22"/>
        <v>0</v>
      </c>
      <c r="T11" s="28">
        <f t="shared" si="23"/>
        <v>0</v>
      </c>
      <c r="U11" s="28">
        <f t="shared" si="24"/>
        <v>0</v>
      </c>
      <c r="V11" s="28">
        <f t="shared" si="25"/>
        <v>0</v>
      </c>
      <c r="W11" s="118"/>
      <c r="X11" s="143">
        <f t="shared" si="26"/>
        <v>22.89</v>
      </c>
      <c r="Y11" s="120">
        <f>交易记录!D14</f>
        <v>0.28000000000000003</v>
      </c>
      <c r="Z11" s="120">
        <f>交易记录!D45</f>
        <v>372</v>
      </c>
      <c r="AA11" s="30">
        <f t="shared" si="27"/>
        <v>0</v>
      </c>
      <c r="AB11" s="123">
        <f>交易记录!D78</f>
        <v>0</v>
      </c>
      <c r="AC11" s="123">
        <f>交易记录!D109</f>
        <v>0</v>
      </c>
      <c r="AD11" s="30">
        <f t="shared" si="2"/>
        <v>0</v>
      </c>
      <c r="AE11" s="120">
        <f>交易记录!D142</f>
        <v>0</v>
      </c>
      <c r="AF11" s="120">
        <f>交易记录!D173</f>
        <v>0</v>
      </c>
      <c r="AG11" s="30">
        <f t="shared" si="31"/>
        <v>0</v>
      </c>
      <c r="AH11" s="123">
        <f>交易记录!D206</f>
        <v>0</v>
      </c>
      <c r="AI11" s="123">
        <f>交易记录!D237</f>
        <v>0</v>
      </c>
      <c r="AJ11" s="30">
        <f t="shared" si="4"/>
        <v>0</v>
      </c>
      <c r="AK11" s="120">
        <f>交易记录!D270</f>
        <v>0</v>
      </c>
      <c r="AL11" s="120">
        <f>交易记录!D301</f>
        <v>0</v>
      </c>
      <c r="AM11" s="30">
        <f t="shared" si="33"/>
        <v>0</v>
      </c>
      <c r="AN11" s="123">
        <f>交易记录!D334</f>
        <v>0</v>
      </c>
      <c r="AO11" s="123">
        <f>交易记录!D365</f>
        <v>0</v>
      </c>
      <c r="AP11" s="30">
        <f t="shared" si="30"/>
        <v>0</v>
      </c>
      <c r="AQ11" s="120">
        <f>交易记录!D398</f>
        <v>0</v>
      </c>
      <c r="AR11" s="120">
        <f>交易记录!D429</f>
        <v>0</v>
      </c>
      <c r="AS11" s="30">
        <f t="shared" si="32"/>
        <v>0</v>
      </c>
      <c r="AT11" s="123">
        <f>交易记录!D462</f>
        <v>0</v>
      </c>
      <c r="AU11" s="123">
        <f>交易记录!D493</f>
        <v>0</v>
      </c>
      <c r="AV11" s="30">
        <f t="shared" si="8"/>
        <v>0</v>
      </c>
      <c r="AW11" s="120">
        <f>交易记录!D526</f>
        <v>0</v>
      </c>
      <c r="AX11" s="120">
        <f>交易记录!D557</f>
        <v>0</v>
      </c>
      <c r="AY11" s="30">
        <f t="shared" si="9"/>
        <v>0</v>
      </c>
      <c r="AZ11" s="123">
        <f>交易记录!D590</f>
        <v>0</v>
      </c>
      <c r="BA11" s="123">
        <f>交易记录!D621</f>
        <v>0</v>
      </c>
      <c r="BB11" s="30">
        <f t="shared" si="10"/>
        <v>0</v>
      </c>
      <c r="BC11" s="120">
        <f>交易记录!D654</f>
        <v>0</v>
      </c>
      <c r="BD11" s="120">
        <f>交易记录!D685</f>
        <v>0</v>
      </c>
      <c r="BE11" s="30">
        <f t="shared" si="11"/>
        <v>0</v>
      </c>
      <c r="BF11" s="123">
        <f>交易记录!D718</f>
        <v>0</v>
      </c>
      <c r="BG11" s="123">
        <f>交易记录!D749</f>
        <v>0</v>
      </c>
      <c r="BH11" s="30">
        <f t="shared" si="28"/>
        <v>0</v>
      </c>
      <c r="BI11" s="120">
        <f>交易记录!D782</f>
        <v>0</v>
      </c>
      <c r="BJ11" s="120">
        <f>交易记录!D813</f>
        <v>0</v>
      </c>
      <c r="BK11" s="30">
        <f t="shared" si="12"/>
        <v>0</v>
      </c>
      <c r="BL11" s="123">
        <f>交易记录!D846</f>
        <v>0</v>
      </c>
      <c r="BM11" s="123">
        <f>交易记录!D877</f>
        <v>0</v>
      </c>
      <c r="BN11" s="30">
        <f t="shared" si="13"/>
        <v>0</v>
      </c>
      <c r="BO11" s="120">
        <f>交易记录!D910</f>
        <v>0</v>
      </c>
      <c r="BP11" s="120">
        <f>交易记录!D941</f>
        <v>0</v>
      </c>
      <c r="BQ11" s="30">
        <f t="shared" si="14"/>
        <v>0</v>
      </c>
    </row>
    <row r="12" spans="1:69" ht="15">
      <c r="A12" s="125">
        <f>'维护-日期'!A$3</f>
        <v>46266</v>
      </c>
      <c r="B12" s="7" t="s">
        <v>16</v>
      </c>
      <c r="C12" s="144">
        <f t="shared" si="15"/>
        <v>21.01</v>
      </c>
      <c r="D12" s="144">
        <f>ROUND(INDEX(持仓数据!$C$3:$AG$26,MATCH('计算过程-数据汇总'!B12,持仓数据!$B$3:$B$26,0),MATCH('计算过程-数据汇总'!A12,'维护-日期'!$B$2:$AF$2,0)),3)</f>
        <v>21.01</v>
      </c>
      <c r="E12" s="98">
        <f t="shared" si="0"/>
        <v>21.01</v>
      </c>
      <c r="F12" s="22">
        <f>持仓数据!C82</f>
        <v>0.28400000000000003</v>
      </c>
      <c r="G12" s="97">
        <v>372</v>
      </c>
      <c r="H12" s="97">
        <v>372</v>
      </c>
      <c r="I12" s="64">
        <v>0</v>
      </c>
      <c r="J12" s="64">
        <v>0</v>
      </c>
      <c r="K12" s="21">
        <f>IF(持仓数据!C115="",0,持仓数据!C115)</f>
        <v>372</v>
      </c>
      <c r="L12" s="21">
        <f t="shared" si="16"/>
        <v>0</v>
      </c>
      <c r="M12" s="28">
        <f t="shared" si="1"/>
        <v>7815.72</v>
      </c>
      <c r="N12" s="28">
        <f t="shared" si="17"/>
        <v>0</v>
      </c>
      <c r="O12" s="28">
        <f t="shared" si="18"/>
        <v>0</v>
      </c>
      <c r="P12" s="28">
        <f t="shared" si="19"/>
        <v>0</v>
      </c>
      <c r="Q12" s="28">
        <f t="shared" si="29"/>
        <v>0</v>
      </c>
      <c r="R12" s="28">
        <f t="shared" si="21"/>
        <v>7815.72</v>
      </c>
      <c r="S12" s="28">
        <f t="shared" si="22"/>
        <v>0</v>
      </c>
      <c r="T12" s="28">
        <f t="shared" si="23"/>
        <v>0</v>
      </c>
      <c r="U12" s="28">
        <f t="shared" si="24"/>
        <v>0</v>
      </c>
      <c r="V12" s="28">
        <f t="shared" si="25"/>
        <v>0</v>
      </c>
      <c r="W12" s="118"/>
      <c r="X12" s="143">
        <f t="shared" si="26"/>
        <v>24.928000000000001</v>
      </c>
      <c r="Y12" s="120">
        <f>交易记录!D15</f>
        <v>0.28400000000000003</v>
      </c>
      <c r="Z12" s="120">
        <f>交易记录!D46</f>
        <v>372</v>
      </c>
      <c r="AA12" s="30">
        <f t="shared" si="27"/>
        <v>0</v>
      </c>
      <c r="AB12" s="123">
        <f>交易记录!D79</f>
        <v>0</v>
      </c>
      <c r="AC12" s="123">
        <f>交易记录!D110</f>
        <v>0</v>
      </c>
      <c r="AD12" s="30">
        <f t="shared" si="2"/>
        <v>0</v>
      </c>
      <c r="AE12" s="120">
        <f>交易记录!D143</f>
        <v>0</v>
      </c>
      <c r="AF12" s="120">
        <f>交易记录!D174</f>
        <v>0</v>
      </c>
      <c r="AG12" s="30">
        <f t="shared" si="31"/>
        <v>0</v>
      </c>
      <c r="AH12" s="123">
        <f>交易记录!D207</f>
        <v>0</v>
      </c>
      <c r="AI12" s="123">
        <f>交易记录!D238</f>
        <v>0</v>
      </c>
      <c r="AJ12" s="30">
        <f t="shared" si="4"/>
        <v>0</v>
      </c>
      <c r="AK12" s="120">
        <f>交易记录!D271</f>
        <v>0</v>
      </c>
      <c r="AL12" s="120">
        <f>交易记录!D302</f>
        <v>0</v>
      </c>
      <c r="AM12" s="30">
        <f t="shared" si="33"/>
        <v>0</v>
      </c>
      <c r="AN12" s="123">
        <f>交易记录!D335</f>
        <v>0</v>
      </c>
      <c r="AO12" s="123">
        <f>交易记录!D366</f>
        <v>0</v>
      </c>
      <c r="AP12" s="30">
        <f t="shared" si="30"/>
        <v>0</v>
      </c>
      <c r="AQ12" s="120">
        <f>交易记录!D399</f>
        <v>0</v>
      </c>
      <c r="AR12" s="120">
        <f>交易记录!D430</f>
        <v>0</v>
      </c>
      <c r="AS12" s="30">
        <f t="shared" si="32"/>
        <v>0</v>
      </c>
      <c r="AT12" s="123">
        <f>交易记录!D463</f>
        <v>0</v>
      </c>
      <c r="AU12" s="123">
        <f>交易记录!D494</f>
        <v>0</v>
      </c>
      <c r="AV12" s="30">
        <f t="shared" si="8"/>
        <v>0</v>
      </c>
      <c r="AW12" s="120">
        <f>交易记录!D527</f>
        <v>0</v>
      </c>
      <c r="AX12" s="120">
        <f>交易记录!D558</f>
        <v>0</v>
      </c>
      <c r="AY12" s="30">
        <f t="shared" si="9"/>
        <v>0</v>
      </c>
      <c r="AZ12" s="123">
        <f>交易记录!D591</f>
        <v>0</v>
      </c>
      <c r="BA12" s="123">
        <f>交易记录!D622</f>
        <v>0</v>
      </c>
      <c r="BB12" s="30">
        <f t="shared" si="10"/>
        <v>0</v>
      </c>
      <c r="BC12" s="120">
        <f>交易记录!D655</f>
        <v>0</v>
      </c>
      <c r="BD12" s="120">
        <f>交易记录!D686</f>
        <v>0</v>
      </c>
      <c r="BE12" s="30">
        <f t="shared" si="11"/>
        <v>0</v>
      </c>
      <c r="BF12" s="123">
        <f>交易记录!D719</f>
        <v>0</v>
      </c>
      <c r="BG12" s="123">
        <f>交易记录!D750</f>
        <v>0</v>
      </c>
      <c r="BH12" s="30">
        <f t="shared" si="28"/>
        <v>0</v>
      </c>
      <c r="BI12" s="120">
        <f>交易记录!D783</f>
        <v>0</v>
      </c>
      <c r="BJ12" s="120">
        <f>交易记录!D814</f>
        <v>0</v>
      </c>
      <c r="BK12" s="30">
        <f t="shared" si="12"/>
        <v>0</v>
      </c>
      <c r="BL12" s="123">
        <f>交易记录!D847</f>
        <v>0</v>
      </c>
      <c r="BM12" s="123">
        <f>交易记录!D878</f>
        <v>0</v>
      </c>
      <c r="BN12" s="30">
        <f t="shared" si="13"/>
        <v>0</v>
      </c>
      <c r="BO12" s="120">
        <f>交易记录!D911</f>
        <v>0</v>
      </c>
      <c r="BP12" s="120">
        <f>交易记录!D942</f>
        <v>0</v>
      </c>
      <c r="BQ12" s="30">
        <f t="shared" si="14"/>
        <v>0</v>
      </c>
    </row>
    <row r="13" spans="1:69" ht="15">
      <c r="A13" s="125">
        <f>'维护-日期'!A$3</f>
        <v>46266</v>
      </c>
      <c r="B13" s="7" t="s">
        <v>17</v>
      </c>
      <c r="C13" s="144">
        <f t="shared" si="15"/>
        <v>21.329000000000001</v>
      </c>
      <c r="D13" s="144">
        <f>ROUND(INDEX(持仓数据!$C$3:$AG$26,MATCH('计算过程-数据汇总'!B13,持仓数据!$B$3:$B$26,0),MATCH('计算过程-数据汇总'!A13,'维护-日期'!$B$2:$AF$2,0)),3)</f>
        <v>21.329000000000001</v>
      </c>
      <c r="E13" s="98">
        <f t="shared" si="0"/>
        <v>21.329000000000001</v>
      </c>
      <c r="F13" s="22">
        <f>持仓数据!C83</f>
        <v>0.28400000000000003</v>
      </c>
      <c r="G13" s="97">
        <v>372</v>
      </c>
      <c r="H13" s="97">
        <v>372</v>
      </c>
      <c r="I13" s="64">
        <v>0</v>
      </c>
      <c r="J13" s="64">
        <v>0</v>
      </c>
      <c r="K13" s="21">
        <f>IF(持仓数据!C116="",0,持仓数据!C116)</f>
        <v>372</v>
      </c>
      <c r="L13" s="21">
        <f t="shared" si="16"/>
        <v>0</v>
      </c>
      <c r="M13" s="28">
        <f t="shared" si="1"/>
        <v>7934.3879999999999</v>
      </c>
      <c r="N13" s="28">
        <f t="shared" si="17"/>
        <v>0</v>
      </c>
      <c r="O13" s="28">
        <f t="shared" si="18"/>
        <v>0</v>
      </c>
      <c r="P13" s="28">
        <f t="shared" si="19"/>
        <v>0</v>
      </c>
      <c r="Q13" s="28">
        <f t="shared" si="29"/>
        <v>0</v>
      </c>
      <c r="R13" s="28">
        <f t="shared" si="21"/>
        <v>7934.3879999999999</v>
      </c>
      <c r="S13" s="28">
        <f t="shared" si="22"/>
        <v>0</v>
      </c>
      <c r="T13" s="28">
        <f t="shared" si="23"/>
        <v>0</v>
      </c>
      <c r="U13" s="28">
        <f t="shared" si="24"/>
        <v>0</v>
      </c>
      <c r="V13" s="28">
        <f t="shared" si="25"/>
        <v>0</v>
      </c>
      <c r="W13" s="118"/>
      <c r="X13" s="143">
        <f t="shared" si="26"/>
        <v>25.311</v>
      </c>
      <c r="Y13" s="120">
        <f>交易记录!D16</f>
        <v>0.28400000000000003</v>
      </c>
      <c r="Z13" s="120">
        <f>交易记录!D47</f>
        <v>372</v>
      </c>
      <c r="AA13" s="30">
        <f t="shared" si="27"/>
        <v>0</v>
      </c>
      <c r="AB13" s="123">
        <f>交易记录!D80</f>
        <v>0</v>
      </c>
      <c r="AC13" s="123">
        <f>交易记录!D111</f>
        <v>0</v>
      </c>
      <c r="AD13" s="30">
        <f t="shared" si="2"/>
        <v>0</v>
      </c>
      <c r="AE13" s="120">
        <f>交易记录!D144</f>
        <v>0</v>
      </c>
      <c r="AF13" s="120">
        <f>交易记录!D175</f>
        <v>0</v>
      </c>
      <c r="AG13" s="30">
        <f t="shared" si="31"/>
        <v>0</v>
      </c>
      <c r="AH13" s="123">
        <f>交易记录!D208</f>
        <v>0</v>
      </c>
      <c r="AI13" s="123">
        <f>交易记录!D239</f>
        <v>0</v>
      </c>
      <c r="AJ13" s="30">
        <f t="shared" si="4"/>
        <v>0</v>
      </c>
      <c r="AK13" s="120">
        <f>交易记录!D272</f>
        <v>0</v>
      </c>
      <c r="AL13" s="120">
        <f>交易记录!D303</f>
        <v>0</v>
      </c>
      <c r="AM13" s="30">
        <f t="shared" si="33"/>
        <v>0</v>
      </c>
      <c r="AN13" s="123">
        <f>交易记录!D336</f>
        <v>0</v>
      </c>
      <c r="AO13" s="123">
        <f>交易记录!D367</f>
        <v>0</v>
      </c>
      <c r="AP13" s="30">
        <f t="shared" si="30"/>
        <v>0</v>
      </c>
      <c r="AQ13" s="120">
        <f>交易记录!D400</f>
        <v>0</v>
      </c>
      <c r="AR13" s="120">
        <f>交易记录!D431</f>
        <v>0</v>
      </c>
      <c r="AS13" s="30">
        <f t="shared" si="32"/>
        <v>0</v>
      </c>
      <c r="AT13" s="123">
        <f>交易记录!D464</f>
        <v>0</v>
      </c>
      <c r="AU13" s="123">
        <f>交易记录!D495</f>
        <v>0</v>
      </c>
      <c r="AV13" s="30">
        <f t="shared" si="8"/>
        <v>0</v>
      </c>
      <c r="AW13" s="120">
        <f>交易记录!D528</f>
        <v>0</v>
      </c>
      <c r="AX13" s="120">
        <f>交易记录!D559</f>
        <v>0</v>
      </c>
      <c r="AY13" s="30">
        <f t="shared" si="9"/>
        <v>0</v>
      </c>
      <c r="AZ13" s="123">
        <f>交易记录!D592</f>
        <v>0</v>
      </c>
      <c r="BA13" s="123">
        <f>交易记录!D623</f>
        <v>0</v>
      </c>
      <c r="BB13" s="30">
        <f t="shared" si="10"/>
        <v>0</v>
      </c>
      <c r="BC13" s="120">
        <f>交易记录!D656</f>
        <v>0</v>
      </c>
      <c r="BD13" s="120">
        <f>交易记录!D687</f>
        <v>0</v>
      </c>
      <c r="BE13" s="30">
        <f t="shared" si="11"/>
        <v>0</v>
      </c>
      <c r="BF13" s="123">
        <f>交易记录!D720</f>
        <v>0</v>
      </c>
      <c r="BG13" s="123">
        <f>交易记录!D751</f>
        <v>0</v>
      </c>
      <c r="BH13" s="30">
        <f t="shared" si="28"/>
        <v>0</v>
      </c>
      <c r="BI13" s="120">
        <f>交易记录!D784</f>
        <v>0</v>
      </c>
      <c r="BJ13" s="120">
        <f>交易记录!D815</f>
        <v>0</v>
      </c>
      <c r="BK13" s="30">
        <f t="shared" si="12"/>
        <v>0</v>
      </c>
      <c r="BL13" s="123">
        <f>交易记录!D848</f>
        <v>0</v>
      </c>
      <c r="BM13" s="123">
        <f>交易记录!D879</f>
        <v>0</v>
      </c>
      <c r="BN13" s="30">
        <f t="shared" si="13"/>
        <v>0</v>
      </c>
      <c r="BO13" s="120">
        <f>交易记录!D912</f>
        <v>0</v>
      </c>
      <c r="BP13" s="120">
        <f>交易记录!D943</f>
        <v>0</v>
      </c>
      <c r="BQ13" s="30">
        <f t="shared" si="14"/>
        <v>0</v>
      </c>
    </row>
    <row r="14" spans="1:69" ht="15">
      <c r="A14" s="125">
        <f>'维护-日期'!A$3</f>
        <v>46266</v>
      </c>
      <c r="B14" s="7" t="s">
        <v>18</v>
      </c>
      <c r="C14" s="144">
        <f t="shared" si="15"/>
        <v>22.643999999999998</v>
      </c>
      <c r="D14" s="144">
        <f>ROUND(INDEX(持仓数据!$C$3:$AG$26,MATCH('计算过程-数据汇总'!B14,持仓数据!$B$3:$B$26,0),MATCH('计算过程-数据汇总'!A14,'维护-日期'!$B$2:$AF$2,0)),3)</f>
        <v>22.643999999999998</v>
      </c>
      <c r="E14" s="98">
        <f t="shared" si="0"/>
        <v>22.643999999999998</v>
      </c>
      <c r="F14" s="22">
        <f>持仓数据!C84</f>
        <v>4.1000000000000002E-2</v>
      </c>
      <c r="G14" s="97">
        <v>372</v>
      </c>
      <c r="H14" s="97">
        <v>372</v>
      </c>
      <c r="I14" s="64">
        <v>0</v>
      </c>
      <c r="J14" s="64">
        <v>0</v>
      </c>
      <c r="K14" s="21">
        <f>IF(持仓数据!C117="",0,持仓数据!C117)</f>
        <v>372</v>
      </c>
      <c r="L14" s="21">
        <f t="shared" si="16"/>
        <v>0</v>
      </c>
      <c r="M14" s="28">
        <f t="shared" si="1"/>
        <v>8423.5679999999993</v>
      </c>
      <c r="N14" s="28">
        <f t="shared" si="17"/>
        <v>0</v>
      </c>
      <c r="O14" s="28">
        <f t="shared" si="18"/>
        <v>0</v>
      </c>
      <c r="P14" s="28">
        <f t="shared" si="19"/>
        <v>0</v>
      </c>
      <c r="Q14" s="28">
        <f t="shared" si="29"/>
        <v>0</v>
      </c>
      <c r="R14" s="28">
        <f t="shared" si="21"/>
        <v>8423.5679999999993</v>
      </c>
      <c r="S14" s="28">
        <f t="shared" si="22"/>
        <v>0</v>
      </c>
      <c r="T14" s="28">
        <f t="shared" si="23"/>
        <v>0</v>
      </c>
      <c r="U14" s="28">
        <f t="shared" si="24"/>
        <v>0</v>
      </c>
      <c r="V14" s="28">
        <f t="shared" si="25"/>
        <v>0</v>
      </c>
      <c r="W14" s="118"/>
      <c r="X14" s="143">
        <f t="shared" si="26"/>
        <v>27.132000000000001</v>
      </c>
      <c r="Y14" s="120">
        <f>交易记录!D17</f>
        <v>4.1000000000000002E-2</v>
      </c>
      <c r="Z14" s="120">
        <f>交易记录!D48</f>
        <v>372</v>
      </c>
      <c r="AA14" s="30">
        <f t="shared" si="27"/>
        <v>0</v>
      </c>
      <c r="AB14" s="123">
        <f>交易记录!D81</f>
        <v>0</v>
      </c>
      <c r="AC14" s="123">
        <f>交易记录!D112</f>
        <v>0</v>
      </c>
      <c r="AD14" s="30">
        <f t="shared" si="2"/>
        <v>0</v>
      </c>
      <c r="AE14" s="120">
        <f>交易记录!D145</f>
        <v>0</v>
      </c>
      <c r="AF14" s="120">
        <f>交易记录!D176</f>
        <v>0</v>
      </c>
      <c r="AG14" s="30">
        <f t="shared" si="31"/>
        <v>0</v>
      </c>
      <c r="AH14" s="123">
        <f>交易记录!D209</f>
        <v>0</v>
      </c>
      <c r="AI14" s="123">
        <f>交易记录!D240</f>
        <v>0</v>
      </c>
      <c r="AJ14" s="30">
        <f t="shared" ref="AJ14:AJ77" si="34">IFERROR((AI14-$G14)*AH14,0)</f>
        <v>0</v>
      </c>
      <c r="AK14" s="120">
        <f>交易记录!D273</f>
        <v>0</v>
      </c>
      <c r="AL14" s="120">
        <f>交易记录!D304</f>
        <v>0</v>
      </c>
      <c r="AM14" s="30">
        <f t="shared" si="33"/>
        <v>0</v>
      </c>
      <c r="AN14" s="123">
        <f>交易记录!D337</f>
        <v>0</v>
      </c>
      <c r="AO14" s="123">
        <f>交易记录!D368</f>
        <v>0</v>
      </c>
      <c r="AP14" s="30">
        <f t="shared" si="30"/>
        <v>0</v>
      </c>
      <c r="AQ14" s="120">
        <f>交易记录!D401</f>
        <v>0</v>
      </c>
      <c r="AR14" s="120">
        <f>交易记录!D432</f>
        <v>0</v>
      </c>
      <c r="AS14" s="30">
        <f t="shared" si="32"/>
        <v>0</v>
      </c>
      <c r="AT14" s="123">
        <f>交易记录!D465</f>
        <v>0</v>
      </c>
      <c r="AU14" s="123">
        <f>交易记录!D496</f>
        <v>0</v>
      </c>
      <c r="AV14" s="30">
        <f t="shared" si="8"/>
        <v>0</v>
      </c>
      <c r="AW14" s="120">
        <f>交易记录!D529</f>
        <v>0</v>
      </c>
      <c r="AX14" s="120">
        <f>交易记录!D560</f>
        <v>0</v>
      </c>
      <c r="AY14" s="30">
        <f t="shared" si="9"/>
        <v>0</v>
      </c>
      <c r="AZ14" s="123">
        <f>交易记录!D593</f>
        <v>0</v>
      </c>
      <c r="BA14" s="123">
        <f>交易记录!D624</f>
        <v>0</v>
      </c>
      <c r="BB14" s="30">
        <f t="shared" si="10"/>
        <v>0</v>
      </c>
      <c r="BC14" s="120">
        <f>交易记录!D657</f>
        <v>0</v>
      </c>
      <c r="BD14" s="120">
        <f>交易记录!D688</f>
        <v>0</v>
      </c>
      <c r="BE14" s="30">
        <f t="shared" si="11"/>
        <v>0</v>
      </c>
      <c r="BF14" s="123">
        <f>交易记录!D721</f>
        <v>0</v>
      </c>
      <c r="BG14" s="123">
        <f>交易记录!D752</f>
        <v>0</v>
      </c>
      <c r="BH14" s="30">
        <f t="shared" si="28"/>
        <v>0</v>
      </c>
      <c r="BI14" s="120">
        <f>交易记录!D785</f>
        <v>0</v>
      </c>
      <c r="BJ14" s="120">
        <f>交易记录!D816</f>
        <v>0</v>
      </c>
      <c r="BK14" s="30">
        <f t="shared" si="12"/>
        <v>0</v>
      </c>
      <c r="BL14" s="123">
        <f>交易记录!D849</f>
        <v>0</v>
      </c>
      <c r="BM14" s="123">
        <f>交易记录!D880</f>
        <v>0</v>
      </c>
      <c r="BN14" s="30">
        <f t="shared" si="13"/>
        <v>0</v>
      </c>
      <c r="BO14" s="120">
        <f>交易记录!D913</f>
        <v>0</v>
      </c>
      <c r="BP14" s="120">
        <f>交易记录!D944</f>
        <v>0</v>
      </c>
      <c r="BQ14" s="30">
        <f t="shared" si="14"/>
        <v>0</v>
      </c>
    </row>
    <row r="15" spans="1:69" ht="15">
      <c r="A15" s="125">
        <f>'维护-日期'!A$3</f>
        <v>46266</v>
      </c>
      <c r="B15" s="7" t="s">
        <v>19</v>
      </c>
      <c r="C15" s="144">
        <f t="shared" si="15"/>
        <v>22.904</v>
      </c>
      <c r="D15" s="144">
        <f>ROUND(INDEX(持仓数据!$C$3:$AG$26,MATCH('计算过程-数据汇总'!B15,持仓数据!$B$3:$B$26,0),MATCH('计算过程-数据汇总'!A15,'维护-日期'!$B$2:$AF$2,0)),3)</f>
        <v>22.904</v>
      </c>
      <c r="E15" s="98">
        <f t="shared" si="0"/>
        <v>22.904</v>
      </c>
      <c r="F15" s="22">
        <f>持仓数据!C85</f>
        <v>6.9000000000000006E-2</v>
      </c>
      <c r="G15" s="97">
        <v>372</v>
      </c>
      <c r="H15" s="97">
        <v>372</v>
      </c>
      <c r="I15" s="64">
        <v>0</v>
      </c>
      <c r="J15" s="64">
        <v>0</v>
      </c>
      <c r="K15" s="21">
        <f>IF(持仓数据!C118="",0,持仓数据!C118)</f>
        <v>372</v>
      </c>
      <c r="L15" s="21">
        <f t="shared" si="16"/>
        <v>0</v>
      </c>
      <c r="M15" s="28">
        <f t="shared" si="1"/>
        <v>8520.2880000000005</v>
      </c>
      <c r="N15" s="28">
        <f t="shared" si="17"/>
        <v>0</v>
      </c>
      <c r="O15" s="28">
        <f t="shared" si="18"/>
        <v>0</v>
      </c>
      <c r="P15" s="28">
        <f t="shared" si="19"/>
        <v>0</v>
      </c>
      <c r="Q15" s="28">
        <f t="shared" si="29"/>
        <v>0</v>
      </c>
      <c r="R15" s="28">
        <f t="shared" si="21"/>
        <v>8520.2880000000005</v>
      </c>
      <c r="S15" s="28">
        <f t="shared" si="22"/>
        <v>0</v>
      </c>
      <c r="T15" s="28">
        <f t="shared" si="23"/>
        <v>0</v>
      </c>
      <c r="U15" s="28">
        <f t="shared" si="24"/>
        <v>0</v>
      </c>
      <c r="V15" s="28">
        <f t="shared" si="25"/>
        <v>0</v>
      </c>
      <c r="W15" s="118"/>
      <c r="X15" s="143">
        <f t="shared" si="26"/>
        <v>27.416</v>
      </c>
      <c r="Y15" s="120">
        <f>交易记录!D18</f>
        <v>6.9000000000000006E-2</v>
      </c>
      <c r="Z15" s="120">
        <f>交易记录!D49</f>
        <v>372</v>
      </c>
      <c r="AA15" s="30">
        <f t="shared" si="27"/>
        <v>0</v>
      </c>
      <c r="AB15" s="123">
        <f>交易记录!D82</f>
        <v>0</v>
      </c>
      <c r="AC15" s="123">
        <f>交易记录!D113</f>
        <v>0</v>
      </c>
      <c r="AD15" s="30">
        <f t="shared" si="2"/>
        <v>0</v>
      </c>
      <c r="AE15" s="120">
        <f>交易记录!D146</f>
        <v>0</v>
      </c>
      <c r="AF15" s="120">
        <f>交易记录!D177</f>
        <v>0</v>
      </c>
      <c r="AG15" s="30">
        <f t="shared" si="31"/>
        <v>0</v>
      </c>
      <c r="AH15" s="123">
        <f>交易记录!D210</f>
        <v>0</v>
      </c>
      <c r="AI15" s="123">
        <f>交易记录!D241</f>
        <v>0</v>
      </c>
      <c r="AJ15" s="30">
        <f t="shared" si="34"/>
        <v>0</v>
      </c>
      <c r="AK15" s="120">
        <f>交易记录!D274</f>
        <v>0</v>
      </c>
      <c r="AL15" s="120">
        <f>交易记录!D305</f>
        <v>0</v>
      </c>
      <c r="AM15" s="30">
        <f t="shared" si="33"/>
        <v>0</v>
      </c>
      <c r="AN15" s="123">
        <f>交易记录!D338</f>
        <v>0</v>
      </c>
      <c r="AO15" s="123">
        <f>交易记录!D369</f>
        <v>0</v>
      </c>
      <c r="AP15" s="30">
        <f t="shared" si="30"/>
        <v>0</v>
      </c>
      <c r="AQ15" s="120">
        <f>交易记录!D402</f>
        <v>0</v>
      </c>
      <c r="AR15" s="120">
        <f>交易记录!D433</f>
        <v>0</v>
      </c>
      <c r="AS15" s="30">
        <f t="shared" si="32"/>
        <v>0</v>
      </c>
      <c r="AT15" s="123">
        <f>交易记录!D466</f>
        <v>0</v>
      </c>
      <c r="AU15" s="123">
        <f>交易记录!D497</f>
        <v>0</v>
      </c>
      <c r="AV15" s="30">
        <f t="shared" si="8"/>
        <v>0</v>
      </c>
      <c r="AW15" s="120">
        <f>交易记录!D530</f>
        <v>0</v>
      </c>
      <c r="AX15" s="120">
        <f>交易记录!D561</f>
        <v>0</v>
      </c>
      <c r="AY15" s="30">
        <f t="shared" si="9"/>
        <v>0</v>
      </c>
      <c r="AZ15" s="123">
        <f>交易记录!D594</f>
        <v>0</v>
      </c>
      <c r="BA15" s="123">
        <f>交易记录!D625</f>
        <v>0</v>
      </c>
      <c r="BB15" s="30">
        <f t="shared" si="10"/>
        <v>0</v>
      </c>
      <c r="BC15" s="120">
        <f>交易记录!D658</f>
        <v>0</v>
      </c>
      <c r="BD15" s="120">
        <f>交易记录!D689</f>
        <v>0</v>
      </c>
      <c r="BE15" s="30">
        <f t="shared" si="11"/>
        <v>0</v>
      </c>
      <c r="BF15" s="123">
        <f>交易记录!D722</f>
        <v>0</v>
      </c>
      <c r="BG15" s="123">
        <f>交易记录!D753</f>
        <v>0</v>
      </c>
      <c r="BH15" s="30">
        <f t="shared" si="28"/>
        <v>0</v>
      </c>
      <c r="BI15" s="120">
        <f>交易记录!D786</f>
        <v>0</v>
      </c>
      <c r="BJ15" s="120">
        <f>交易记录!D817</f>
        <v>0</v>
      </c>
      <c r="BK15" s="30">
        <f t="shared" si="12"/>
        <v>0</v>
      </c>
      <c r="BL15" s="123">
        <f>交易记录!D850</f>
        <v>0</v>
      </c>
      <c r="BM15" s="123">
        <f>交易记录!D881</f>
        <v>0</v>
      </c>
      <c r="BN15" s="30">
        <f t="shared" si="13"/>
        <v>0</v>
      </c>
      <c r="BO15" s="120">
        <f>交易记录!D914</f>
        <v>0</v>
      </c>
      <c r="BP15" s="120">
        <f>交易记录!D945</f>
        <v>0</v>
      </c>
      <c r="BQ15" s="30">
        <f t="shared" si="14"/>
        <v>0</v>
      </c>
    </row>
    <row r="16" spans="1:69" ht="15">
      <c r="A16" s="125">
        <f>'维护-日期'!A$3</f>
        <v>46266</v>
      </c>
      <c r="B16" s="7" t="s">
        <v>20</v>
      </c>
      <c r="C16" s="144">
        <f t="shared" si="15"/>
        <v>22.071000000000002</v>
      </c>
      <c r="D16" s="144">
        <f>ROUND(INDEX(持仓数据!$C$3:$AG$26,MATCH('计算过程-数据汇总'!B16,持仓数据!$B$3:$B$26,0),MATCH('计算过程-数据汇总'!A16,'维护-日期'!$B$2:$AF$2,0)),3)</f>
        <v>22.071000000000002</v>
      </c>
      <c r="E16" s="98">
        <f t="shared" si="0"/>
        <v>22.071000000000002</v>
      </c>
      <c r="F16" s="22">
        <f>持仓数据!C86</f>
        <v>0.23599999999999999</v>
      </c>
      <c r="G16" s="97">
        <v>372</v>
      </c>
      <c r="H16" s="97">
        <v>372</v>
      </c>
      <c r="I16" s="64">
        <v>0</v>
      </c>
      <c r="J16" s="64">
        <v>0</v>
      </c>
      <c r="K16" s="21">
        <f>IF(持仓数据!C119="",0,持仓数据!C119)</f>
        <v>372</v>
      </c>
      <c r="L16" s="21">
        <f t="shared" si="16"/>
        <v>0</v>
      </c>
      <c r="M16" s="28">
        <f t="shared" si="1"/>
        <v>8210.4120000000003</v>
      </c>
      <c r="N16" s="28">
        <f t="shared" si="17"/>
        <v>0</v>
      </c>
      <c r="O16" s="28">
        <f t="shared" si="18"/>
        <v>0</v>
      </c>
      <c r="P16" s="28">
        <f t="shared" si="19"/>
        <v>0</v>
      </c>
      <c r="Q16" s="28">
        <f t="shared" si="29"/>
        <v>0</v>
      </c>
      <c r="R16" s="28">
        <f t="shared" si="21"/>
        <v>8210.4120000000003</v>
      </c>
      <c r="S16" s="28">
        <f t="shared" si="22"/>
        <v>0</v>
      </c>
      <c r="T16" s="28">
        <f t="shared" si="23"/>
        <v>0</v>
      </c>
      <c r="U16" s="28">
        <f t="shared" si="24"/>
        <v>0</v>
      </c>
      <c r="V16" s="28">
        <f t="shared" si="25"/>
        <v>0</v>
      </c>
      <c r="W16" s="118"/>
      <c r="X16" s="143">
        <f t="shared" si="26"/>
        <v>26.248999999999999</v>
      </c>
      <c r="Y16" s="120">
        <f>交易记录!D19</f>
        <v>0.23599999999999999</v>
      </c>
      <c r="Z16" s="120">
        <f>交易记录!D50</f>
        <v>372</v>
      </c>
      <c r="AA16" s="30">
        <f t="shared" si="27"/>
        <v>0</v>
      </c>
      <c r="AB16" s="123">
        <f>交易记录!D83</f>
        <v>0</v>
      </c>
      <c r="AC16" s="123">
        <f>交易记录!D114</f>
        <v>0</v>
      </c>
      <c r="AD16" s="30">
        <f t="shared" ref="AD16:AD79" si="35">IFERROR((AC16-$G16)*AB16,0)</f>
        <v>0</v>
      </c>
      <c r="AE16" s="120">
        <f>交易记录!D147</f>
        <v>0</v>
      </c>
      <c r="AF16" s="120">
        <f>交易记录!D178</f>
        <v>0</v>
      </c>
      <c r="AG16" s="30">
        <f t="shared" si="31"/>
        <v>0</v>
      </c>
      <c r="AH16" s="123">
        <f>交易记录!D211</f>
        <v>0</v>
      </c>
      <c r="AI16" s="123">
        <f>交易记录!D242</f>
        <v>0</v>
      </c>
      <c r="AJ16" s="30">
        <f t="shared" si="34"/>
        <v>0</v>
      </c>
      <c r="AK16" s="120">
        <f>交易记录!D275</f>
        <v>0</v>
      </c>
      <c r="AL16" s="120">
        <f>交易记录!D306</f>
        <v>0</v>
      </c>
      <c r="AM16" s="30">
        <f t="shared" si="33"/>
        <v>0</v>
      </c>
      <c r="AN16" s="123">
        <f>交易记录!D339</f>
        <v>0</v>
      </c>
      <c r="AO16" s="123">
        <f>交易记录!D370</f>
        <v>0</v>
      </c>
      <c r="AP16" s="30">
        <f t="shared" si="30"/>
        <v>0</v>
      </c>
      <c r="AQ16" s="120">
        <f>交易记录!D403</f>
        <v>0</v>
      </c>
      <c r="AR16" s="120">
        <f>交易记录!D434</f>
        <v>0</v>
      </c>
      <c r="AS16" s="30">
        <f t="shared" si="32"/>
        <v>0</v>
      </c>
      <c r="AT16" s="123">
        <f>交易记录!D467</f>
        <v>0</v>
      </c>
      <c r="AU16" s="123">
        <f>交易记录!D498</f>
        <v>0</v>
      </c>
      <c r="AV16" s="30">
        <f t="shared" si="8"/>
        <v>0</v>
      </c>
      <c r="AW16" s="120">
        <f>交易记录!D531</f>
        <v>0</v>
      </c>
      <c r="AX16" s="120">
        <f>交易记录!D562</f>
        <v>0</v>
      </c>
      <c r="AY16" s="30">
        <f t="shared" si="9"/>
        <v>0</v>
      </c>
      <c r="AZ16" s="123">
        <f>交易记录!D595</f>
        <v>0</v>
      </c>
      <c r="BA16" s="123">
        <f>交易记录!D626</f>
        <v>0</v>
      </c>
      <c r="BB16" s="30">
        <f t="shared" si="10"/>
        <v>0</v>
      </c>
      <c r="BC16" s="120">
        <f>交易记录!D659</f>
        <v>0</v>
      </c>
      <c r="BD16" s="120">
        <f>交易记录!D690</f>
        <v>0</v>
      </c>
      <c r="BE16" s="30">
        <f t="shared" si="11"/>
        <v>0</v>
      </c>
      <c r="BF16" s="123">
        <f>交易记录!D723</f>
        <v>0</v>
      </c>
      <c r="BG16" s="123">
        <f>交易记录!D754</f>
        <v>0</v>
      </c>
      <c r="BH16" s="30">
        <f t="shared" si="28"/>
        <v>0</v>
      </c>
      <c r="BI16" s="120">
        <f>交易记录!D787</f>
        <v>0</v>
      </c>
      <c r="BJ16" s="120">
        <f>交易记录!D818</f>
        <v>0</v>
      </c>
      <c r="BK16" s="30">
        <f t="shared" si="12"/>
        <v>0</v>
      </c>
      <c r="BL16" s="123">
        <f>交易记录!D851</f>
        <v>0</v>
      </c>
      <c r="BM16" s="123">
        <f>交易记录!D882</f>
        <v>0</v>
      </c>
      <c r="BN16" s="30">
        <f t="shared" si="13"/>
        <v>0</v>
      </c>
      <c r="BO16" s="120">
        <f>交易记录!D915</f>
        <v>0</v>
      </c>
      <c r="BP16" s="120">
        <f>交易记录!D946</f>
        <v>0</v>
      </c>
      <c r="BQ16" s="30">
        <f t="shared" si="14"/>
        <v>0</v>
      </c>
    </row>
    <row r="17" spans="1:69" ht="15">
      <c r="A17" s="125">
        <f>'维护-日期'!A$3</f>
        <v>46266</v>
      </c>
      <c r="B17" s="7" t="s">
        <v>21</v>
      </c>
      <c r="C17" s="144">
        <f t="shared" si="15"/>
        <v>22.087</v>
      </c>
      <c r="D17" s="144">
        <f>ROUND(INDEX(持仓数据!$C$3:$AG$26,MATCH('计算过程-数据汇总'!B17,持仓数据!$B$3:$B$26,0),MATCH('计算过程-数据汇总'!A17,'维护-日期'!$B$2:$AF$2,0)),3)</f>
        <v>22.087</v>
      </c>
      <c r="E17" s="98">
        <f t="shared" si="0"/>
        <v>22.087</v>
      </c>
      <c r="F17" s="22">
        <f>持仓数据!C87</f>
        <v>0.28400000000000003</v>
      </c>
      <c r="G17" s="97">
        <v>372</v>
      </c>
      <c r="H17" s="97">
        <v>372</v>
      </c>
      <c r="I17" s="64">
        <v>0</v>
      </c>
      <c r="J17" s="64">
        <v>0</v>
      </c>
      <c r="K17" s="21">
        <f>IF(持仓数据!C120="",0,持仓数据!C120)</f>
        <v>372</v>
      </c>
      <c r="L17" s="21">
        <f t="shared" si="16"/>
        <v>0</v>
      </c>
      <c r="M17" s="28">
        <f t="shared" si="1"/>
        <v>8216.3639999999996</v>
      </c>
      <c r="N17" s="28">
        <f t="shared" si="17"/>
        <v>0</v>
      </c>
      <c r="O17" s="28">
        <f t="shared" si="18"/>
        <v>0</v>
      </c>
      <c r="P17" s="28">
        <f t="shared" si="19"/>
        <v>0</v>
      </c>
      <c r="Q17" s="28">
        <f t="shared" si="29"/>
        <v>0</v>
      </c>
      <c r="R17" s="28">
        <f t="shared" si="21"/>
        <v>8216.3639999999996</v>
      </c>
      <c r="S17" s="28">
        <f t="shared" si="22"/>
        <v>0</v>
      </c>
      <c r="T17" s="28">
        <f t="shared" si="23"/>
        <v>0</v>
      </c>
      <c r="U17" s="28">
        <f t="shared" si="24"/>
        <v>0</v>
      </c>
      <c r="V17" s="28">
        <f t="shared" si="25"/>
        <v>0</v>
      </c>
      <c r="W17" s="118"/>
      <c r="X17" s="143">
        <f t="shared" si="26"/>
        <v>26.22</v>
      </c>
      <c r="Y17" s="120">
        <f>交易记录!D20</f>
        <v>0.28400000000000003</v>
      </c>
      <c r="Z17" s="120">
        <f>交易记录!D51</f>
        <v>372</v>
      </c>
      <c r="AA17" s="30">
        <f t="shared" si="27"/>
        <v>0</v>
      </c>
      <c r="AB17" s="123">
        <f>交易记录!D84</f>
        <v>0</v>
      </c>
      <c r="AC17" s="123">
        <f>交易记录!D115</f>
        <v>0</v>
      </c>
      <c r="AD17" s="30">
        <f t="shared" si="35"/>
        <v>0</v>
      </c>
      <c r="AE17" s="120">
        <f>交易记录!D148</f>
        <v>0</v>
      </c>
      <c r="AF17" s="120">
        <f>交易记录!D179</f>
        <v>0</v>
      </c>
      <c r="AG17" s="30">
        <f t="shared" si="31"/>
        <v>0</v>
      </c>
      <c r="AH17" s="123">
        <f>交易记录!D212</f>
        <v>0</v>
      </c>
      <c r="AI17" s="123">
        <f>交易记录!D243</f>
        <v>0</v>
      </c>
      <c r="AJ17" s="30">
        <f t="shared" si="34"/>
        <v>0</v>
      </c>
      <c r="AK17" s="120">
        <f>交易记录!D276</f>
        <v>0</v>
      </c>
      <c r="AL17" s="120">
        <f>交易记录!D307</f>
        <v>0</v>
      </c>
      <c r="AM17" s="30">
        <f t="shared" si="33"/>
        <v>0</v>
      </c>
      <c r="AN17" s="123">
        <f>交易记录!D340</f>
        <v>0</v>
      </c>
      <c r="AO17" s="123">
        <f>交易记录!D371</f>
        <v>0</v>
      </c>
      <c r="AP17" s="30">
        <f t="shared" si="30"/>
        <v>0</v>
      </c>
      <c r="AQ17" s="120">
        <f>交易记录!D404</f>
        <v>0</v>
      </c>
      <c r="AR17" s="120">
        <f>交易记录!D435</f>
        <v>0</v>
      </c>
      <c r="AS17" s="30">
        <f t="shared" si="32"/>
        <v>0</v>
      </c>
      <c r="AT17" s="123">
        <f>交易记录!D468</f>
        <v>0</v>
      </c>
      <c r="AU17" s="123">
        <f>交易记录!D499</f>
        <v>0</v>
      </c>
      <c r="AV17" s="30">
        <f t="shared" si="8"/>
        <v>0</v>
      </c>
      <c r="AW17" s="120">
        <f>交易记录!D532</f>
        <v>0</v>
      </c>
      <c r="AX17" s="120">
        <f>交易记录!D563</f>
        <v>0</v>
      </c>
      <c r="AY17" s="30">
        <f t="shared" si="9"/>
        <v>0</v>
      </c>
      <c r="AZ17" s="123">
        <f>交易记录!D596</f>
        <v>0</v>
      </c>
      <c r="BA17" s="123">
        <f>交易记录!D627</f>
        <v>0</v>
      </c>
      <c r="BB17" s="30">
        <f t="shared" si="10"/>
        <v>0</v>
      </c>
      <c r="BC17" s="120">
        <f>交易记录!D660</f>
        <v>0</v>
      </c>
      <c r="BD17" s="120">
        <f>交易记录!D691</f>
        <v>0</v>
      </c>
      <c r="BE17" s="30">
        <f t="shared" si="11"/>
        <v>0</v>
      </c>
      <c r="BF17" s="123">
        <f>交易记录!D724</f>
        <v>0</v>
      </c>
      <c r="BG17" s="123">
        <f>交易记录!D755</f>
        <v>0</v>
      </c>
      <c r="BH17" s="30">
        <f t="shared" si="28"/>
        <v>0</v>
      </c>
      <c r="BI17" s="120">
        <f>交易记录!D788</f>
        <v>0</v>
      </c>
      <c r="BJ17" s="120">
        <f>交易记录!D819</f>
        <v>0</v>
      </c>
      <c r="BK17" s="30">
        <f t="shared" si="12"/>
        <v>0</v>
      </c>
      <c r="BL17" s="123">
        <f>交易记录!D852</f>
        <v>0</v>
      </c>
      <c r="BM17" s="123">
        <f>交易记录!D883</f>
        <v>0</v>
      </c>
      <c r="BN17" s="30">
        <f t="shared" si="13"/>
        <v>0</v>
      </c>
      <c r="BO17" s="120">
        <f>交易记录!D916</f>
        <v>0</v>
      </c>
      <c r="BP17" s="120">
        <f>交易记录!D947</f>
        <v>0</v>
      </c>
      <c r="BQ17" s="30">
        <f t="shared" si="14"/>
        <v>0</v>
      </c>
    </row>
    <row r="18" spans="1:69" ht="15">
      <c r="A18" s="125">
        <f>'维护-日期'!A$3</f>
        <v>46266</v>
      </c>
      <c r="B18" s="7" t="s">
        <v>22</v>
      </c>
      <c r="C18" s="144">
        <f t="shared" si="15"/>
        <v>23.077999999999999</v>
      </c>
      <c r="D18" s="144">
        <f>ROUND(INDEX(持仓数据!$C$3:$AG$26,MATCH('计算过程-数据汇总'!B18,持仓数据!$B$3:$B$26,0),MATCH('计算过程-数据汇总'!A18,'维护-日期'!$B$2:$AF$2,0)),3)</f>
        <v>23.077999999999999</v>
      </c>
      <c r="E18" s="98">
        <f t="shared" si="0"/>
        <v>23.077999999999999</v>
      </c>
      <c r="F18" s="22">
        <f>持仓数据!C88</f>
        <v>0.33799999999999997</v>
      </c>
      <c r="G18" s="97">
        <v>372</v>
      </c>
      <c r="H18" s="97">
        <v>372</v>
      </c>
      <c r="I18" s="64">
        <v>0</v>
      </c>
      <c r="J18" s="64">
        <v>0</v>
      </c>
      <c r="K18" s="21">
        <f>IF(持仓数据!C121="",0,持仓数据!C121)</f>
        <v>372</v>
      </c>
      <c r="L18" s="21">
        <f t="shared" si="16"/>
        <v>0</v>
      </c>
      <c r="M18" s="28">
        <f t="shared" si="1"/>
        <v>8585.0159999999996</v>
      </c>
      <c r="N18" s="28">
        <f t="shared" si="17"/>
        <v>0</v>
      </c>
      <c r="O18" s="28">
        <f t="shared" si="18"/>
        <v>0</v>
      </c>
      <c r="P18" s="28">
        <f t="shared" si="19"/>
        <v>0</v>
      </c>
      <c r="Q18" s="28">
        <f t="shared" si="29"/>
        <v>0</v>
      </c>
      <c r="R18" s="28">
        <f t="shared" si="21"/>
        <v>8585.0159999999996</v>
      </c>
      <c r="S18" s="28">
        <f t="shared" si="22"/>
        <v>0</v>
      </c>
      <c r="T18" s="28">
        <f t="shared" si="23"/>
        <v>0</v>
      </c>
      <c r="U18" s="28">
        <f t="shared" si="24"/>
        <v>0</v>
      </c>
      <c r="V18" s="28">
        <f t="shared" si="25"/>
        <v>0</v>
      </c>
      <c r="W18" s="118"/>
      <c r="X18" s="143">
        <f t="shared" si="26"/>
        <v>27.356000000000002</v>
      </c>
      <c r="Y18" s="120">
        <f>交易记录!D21</f>
        <v>0.33799999999999997</v>
      </c>
      <c r="Z18" s="120">
        <f>交易记录!D52</f>
        <v>372</v>
      </c>
      <c r="AA18" s="30">
        <f t="shared" si="27"/>
        <v>0</v>
      </c>
      <c r="AB18" s="123">
        <f>交易记录!D85</f>
        <v>0</v>
      </c>
      <c r="AC18" s="123">
        <f>交易记录!D116</f>
        <v>0</v>
      </c>
      <c r="AD18" s="30">
        <f t="shared" si="35"/>
        <v>0</v>
      </c>
      <c r="AE18" s="120">
        <f>交易记录!D149</f>
        <v>0</v>
      </c>
      <c r="AF18" s="120">
        <f>交易记录!D180</f>
        <v>0</v>
      </c>
      <c r="AG18" s="30">
        <f t="shared" si="31"/>
        <v>0</v>
      </c>
      <c r="AH18" s="123">
        <f>交易记录!D213</f>
        <v>0</v>
      </c>
      <c r="AI18" s="123">
        <f>交易记录!D244</f>
        <v>0</v>
      </c>
      <c r="AJ18" s="30">
        <f t="shared" si="34"/>
        <v>0</v>
      </c>
      <c r="AK18" s="120">
        <f>交易记录!D277</f>
        <v>0</v>
      </c>
      <c r="AL18" s="120">
        <f>交易记录!D308</f>
        <v>0</v>
      </c>
      <c r="AM18" s="30">
        <f t="shared" si="33"/>
        <v>0</v>
      </c>
      <c r="AN18" s="123">
        <f>交易记录!D341</f>
        <v>0</v>
      </c>
      <c r="AO18" s="123">
        <f>交易记录!D372</f>
        <v>0</v>
      </c>
      <c r="AP18" s="30">
        <f t="shared" si="30"/>
        <v>0</v>
      </c>
      <c r="AQ18" s="120">
        <f>交易记录!D405</f>
        <v>0</v>
      </c>
      <c r="AR18" s="120">
        <f>交易记录!D436</f>
        <v>0</v>
      </c>
      <c r="AS18" s="30">
        <f t="shared" si="32"/>
        <v>0</v>
      </c>
      <c r="AT18" s="123">
        <f>交易记录!D469</f>
        <v>0</v>
      </c>
      <c r="AU18" s="123">
        <f>交易记录!D500</f>
        <v>0</v>
      </c>
      <c r="AV18" s="30">
        <f t="shared" si="8"/>
        <v>0</v>
      </c>
      <c r="AW18" s="120">
        <f>交易记录!D533</f>
        <v>0</v>
      </c>
      <c r="AX18" s="120">
        <f>交易记录!D564</f>
        <v>0</v>
      </c>
      <c r="AY18" s="30">
        <f t="shared" si="9"/>
        <v>0</v>
      </c>
      <c r="AZ18" s="123">
        <f>交易记录!D597</f>
        <v>0</v>
      </c>
      <c r="BA18" s="123">
        <f>交易记录!D628</f>
        <v>0</v>
      </c>
      <c r="BB18" s="30">
        <f t="shared" si="10"/>
        <v>0</v>
      </c>
      <c r="BC18" s="120">
        <f>交易记录!D661</f>
        <v>0</v>
      </c>
      <c r="BD18" s="120">
        <f>交易记录!D692</f>
        <v>0</v>
      </c>
      <c r="BE18" s="30">
        <f t="shared" si="11"/>
        <v>0</v>
      </c>
      <c r="BF18" s="123">
        <f>交易记录!D725</f>
        <v>0</v>
      </c>
      <c r="BG18" s="123">
        <f>交易记录!D756</f>
        <v>0</v>
      </c>
      <c r="BH18" s="30">
        <f t="shared" si="28"/>
        <v>0</v>
      </c>
      <c r="BI18" s="120">
        <f>交易记录!D789</f>
        <v>0</v>
      </c>
      <c r="BJ18" s="120">
        <f>交易记录!D820</f>
        <v>0</v>
      </c>
      <c r="BK18" s="30">
        <f t="shared" si="12"/>
        <v>0</v>
      </c>
      <c r="BL18" s="123">
        <f>交易记录!D853</f>
        <v>0</v>
      </c>
      <c r="BM18" s="123">
        <f>交易记录!D884</f>
        <v>0</v>
      </c>
      <c r="BN18" s="30">
        <f t="shared" si="13"/>
        <v>0</v>
      </c>
      <c r="BO18" s="120">
        <f>交易记录!D917</f>
        <v>0</v>
      </c>
      <c r="BP18" s="120">
        <f>交易记录!D948</f>
        <v>0</v>
      </c>
      <c r="BQ18" s="30">
        <f t="shared" si="14"/>
        <v>0</v>
      </c>
    </row>
    <row r="19" spans="1:69" ht="15">
      <c r="A19" s="125">
        <f>'维护-日期'!A$3</f>
        <v>46266</v>
      </c>
      <c r="B19" s="7" t="s">
        <v>23</v>
      </c>
      <c r="C19" s="144">
        <f t="shared" si="15"/>
        <v>23.443000000000001</v>
      </c>
      <c r="D19" s="144">
        <f>ROUND(INDEX(持仓数据!$C$3:$AG$26,MATCH('计算过程-数据汇总'!B19,持仓数据!$B$3:$B$26,0),MATCH('计算过程-数据汇总'!A19,'维护-日期'!$B$2:$AF$2,0)),3)</f>
        <v>23.443000000000001</v>
      </c>
      <c r="E19" s="98">
        <f t="shared" si="0"/>
        <v>23.443000000000001</v>
      </c>
      <c r="F19" s="22">
        <f>持仓数据!C89</f>
        <v>0.54099999999999993</v>
      </c>
      <c r="G19" s="97">
        <v>372</v>
      </c>
      <c r="H19" s="97">
        <v>372</v>
      </c>
      <c r="I19" s="64">
        <v>0</v>
      </c>
      <c r="J19" s="64">
        <v>0</v>
      </c>
      <c r="K19" s="21">
        <f>IF(持仓数据!C122="",0,持仓数据!C122)</f>
        <v>372</v>
      </c>
      <c r="L19" s="21">
        <f t="shared" si="16"/>
        <v>0</v>
      </c>
      <c r="M19" s="28">
        <f t="shared" si="1"/>
        <v>8720.7960000000003</v>
      </c>
      <c r="N19" s="28">
        <f t="shared" si="17"/>
        <v>0</v>
      </c>
      <c r="O19" s="28">
        <f t="shared" si="18"/>
        <v>0</v>
      </c>
      <c r="P19" s="28">
        <f t="shared" si="19"/>
        <v>0</v>
      </c>
      <c r="Q19" s="28">
        <f t="shared" si="29"/>
        <v>0</v>
      </c>
      <c r="R19" s="28">
        <f t="shared" si="21"/>
        <v>8720.7960000000003</v>
      </c>
      <c r="S19" s="28">
        <f t="shared" si="22"/>
        <v>0</v>
      </c>
      <c r="T19" s="28">
        <f t="shared" si="23"/>
        <v>0</v>
      </c>
      <c r="U19" s="28">
        <f t="shared" si="24"/>
        <v>0</v>
      </c>
      <c r="V19" s="28">
        <f t="shared" si="25"/>
        <v>0</v>
      </c>
      <c r="W19" s="118"/>
      <c r="X19" s="143">
        <f t="shared" si="26"/>
        <v>27.591000000000001</v>
      </c>
      <c r="Y19" s="120">
        <f>交易记录!D22</f>
        <v>0.54099999999999993</v>
      </c>
      <c r="Z19" s="120">
        <f>交易记录!D53</f>
        <v>372</v>
      </c>
      <c r="AA19" s="30">
        <f t="shared" si="27"/>
        <v>0</v>
      </c>
      <c r="AB19" s="123">
        <f>交易记录!D86</f>
        <v>0</v>
      </c>
      <c r="AC19" s="123">
        <f>交易记录!D117</f>
        <v>0</v>
      </c>
      <c r="AD19" s="30">
        <f t="shared" si="35"/>
        <v>0</v>
      </c>
      <c r="AE19" s="120">
        <f>交易记录!D150</f>
        <v>0</v>
      </c>
      <c r="AF19" s="120">
        <f>交易记录!D181</f>
        <v>0</v>
      </c>
      <c r="AG19" s="30">
        <f t="shared" si="31"/>
        <v>0</v>
      </c>
      <c r="AH19" s="123">
        <f>交易记录!D214</f>
        <v>0</v>
      </c>
      <c r="AI19" s="123">
        <f>交易记录!D245</f>
        <v>0</v>
      </c>
      <c r="AJ19" s="30">
        <f t="shared" si="34"/>
        <v>0</v>
      </c>
      <c r="AK19" s="120">
        <f>交易记录!D278</f>
        <v>0</v>
      </c>
      <c r="AL19" s="120">
        <f>交易记录!D309</f>
        <v>0</v>
      </c>
      <c r="AM19" s="30">
        <f t="shared" si="33"/>
        <v>0</v>
      </c>
      <c r="AN19" s="123">
        <f>交易记录!D342</f>
        <v>0</v>
      </c>
      <c r="AO19" s="123">
        <f>交易记录!D373</f>
        <v>0</v>
      </c>
      <c r="AP19" s="30">
        <f t="shared" si="30"/>
        <v>0</v>
      </c>
      <c r="AQ19" s="120">
        <f>交易记录!D406</f>
        <v>0</v>
      </c>
      <c r="AR19" s="120">
        <f>交易记录!D437</f>
        <v>0</v>
      </c>
      <c r="AS19" s="30">
        <f t="shared" si="32"/>
        <v>0</v>
      </c>
      <c r="AT19" s="123">
        <f>交易记录!D470</f>
        <v>0</v>
      </c>
      <c r="AU19" s="123">
        <f>交易记录!D501</f>
        <v>0</v>
      </c>
      <c r="AV19" s="30">
        <f t="shared" si="8"/>
        <v>0</v>
      </c>
      <c r="AW19" s="120">
        <f>交易记录!D534</f>
        <v>0</v>
      </c>
      <c r="AX19" s="120">
        <f>交易记录!D565</f>
        <v>0</v>
      </c>
      <c r="AY19" s="30">
        <f t="shared" si="9"/>
        <v>0</v>
      </c>
      <c r="AZ19" s="123">
        <f>交易记录!D598</f>
        <v>0</v>
      </c>
      <c r="BA19" s="123">
        <f>交易记录!D629</f>
        <v>0</v>
      </c>
      <c r="BB19" s="30">
        <f t="shared" si="10"/>
        <v>0</v>
      </c>
      <c r="BC19" s="120">
        <f>交易记录!D662</f>
        <v>0</v>
      </c>
      <c r="BD19" s="120">
        <f>交易记录!D693</f>
        <v>0</v>
      </c>
      <c r="BE19" s="30">
        <f t="shared" si="11"/>
        <v>0</v>
      </c>
      <c r="BF19" s="123">
        <f>交易记录!D726</f>
        <v>0</v>
      </c>
      <c r="BG19" s="123">
        <f>交易记录!D757</f>
        <v>0</v>
      </c>
      <c r="BH19" s="30">
        <f t="shared" si="28"/>
        <v>0</v>
      </c>
      <c r="BI19" s="120">
        <f>交易记录!D790</f>
        <v>0</v>
      </c>
      <c r="BJ19" s="120">
        <f>交易记录!D821</f>
        <v>0</v>
      </c>
      <c r="BK19" s="30">
        <f t="shared" si="12"/>
        <v>0</v>
      </c>
      <c r="BL19" s="123">
        <f>交易记录!D854</f>
        <v>0</v>
      </c>
      <c r="BM19" s="123">
        <f>交易记录!D885</f>
        <v>0</v>
      </c>
      <c r="BN19" s="30">
        <f t="shared" si="13"/>
        <v>0</v>
      </c>
      <c r="BO19" s="120">
        <f>交易记录!D918</f>
        <v>0</v>
      </c>
      <c r="BP19" s="120">
        <f>交易记录!D949</f>
        <v>0</v>
      </c>
      <c r="BQ19" s="30">
        <f t="shared" si="14"/>
        <v>0</v>
      </c>
    </row>
    <row r="20" spans="1:69" ht="15">
      <c r="A20" s="125">
        <f>'维护-日期'!A$3</f>
        <v>46266</v>
      </c>
      <c r="B20" s="7" t="s">
        <v>24</v>
      </c>
      <c r="C20" s="144">
        <f t="shared" si="15"/>
        <v>23.85</v>
      </c>
      <c r="D20" s="144">
        <f>ROUND(INDEX(持仓数据!$C$3:$AG$26,MATCH('计算过程-数据汇总'!B20,持仓数据!$B$3:$B$26,0),MATCH('计算过程-数据汇总'!A20,'维护-日期'!$B$2:$AF$2,0)),3)</f>
        <v>23.85</v>
      </c>
      <c r="E20" s="98">
        <f t="shared" si="0"/>
        <v>23.85</v>
      </c>
      <c r="F20" s="22">
        <f>持仓数据!C90</f>
        <v>0.46600000000000003</v>
      </c>
      <c r="G20" s="97">
        <v>372</v>
      </c>
      <c r="H20" s="97">
        <v>372</v>
      </c>
      <c r="I20" s="64">
        <v>0</v>
      </c>
      <c r="J20" s="64">
        <v>0</v>
      </c>
      <c r="K20" s="21">
        <f>IF(持仓数据!C123="",0,持仓数据!C123)</f>
        <v>372</v>
      </c>
      <c r="L20" s="21">
        <f t="shared" si="16"/>
        <v>0</v>
      </c>
      <c r="M20" s="28">
        <f t="shared" si="1"/>
        <v>8872.2000000000007</v>
      </c>
      <c r="N20" s="28">
        <f t="shared" si="17"/>
        <v>0</v>
      </c>
      <c r="O20" s="28">
        <f t="shared" si="18"/>
        <v>0</v>
      </c>
      <c r="P20" s="28">
        <f t="shared" si="19"/>
        <v>0</v>
      </c>
      <c r="Q20" s="28">
        <f t="shared" si="29"/>
        <v>0</v>
      </c>
      <c r="R20" s="28">
        <f t="shared" si="21"/>
        <v>8872.2000000000007</v>
      </c>
      <c r="S20" s="28">
        <f t="shared" si="22"/>
        <v>0</v>
      </c>
      <c r="T20" s="28">
        <f t="shared" si="23"/>
        <v>0</v>
      </c>
      <c r="U20" s="28">
        <f t="shared" si="24"/>
        <v>0</v>
      </c>
      <c r="V20" s="28">
        <f t="shared" si="25"/>
        <v>0</v>
      </c>
      <c r="W20" s="118"/>
      <c r="X20" s="143">
        <f t="shared" si="26"/>
        <v>28.154</v>
      </c>
      <c r="Y20" s="120">
        <f>交易记录!D23</f>
        <v>0.46600000000000003</v>
      </c>
      <c r="Z20" s="120">
        <f>交易记录!D54</f>
        <v>372</v>
      </c>
      <c r="AA20" s="30">
        <f t="shared" si="27"/>
        <v>0</v>
      </c>
      <c r="AB20" s="123">
        <f>交易记录!D87</f>
        <v>0</v>
      </c>
      <c r="AC20" s="123">
        <f>交易记录!D118</f>
        <v>0</v>
      </c>
      <c r="AD20" s="30">
        <f t="shared" si="35"/>
        <v>0</v>
      </c>
      <c r="AE20" s="120">
        <f>交易记录!D151</f>
        <v>0</v>
      </c>
      <c r="AF20" s="120">
        <f>交易记录!D182</f>
        <v>0</v>
      </c>
      <c r="AG20" s="30">
        <f t="shared" si="31"/>
        <v>0</v>
      </c>
      <c r="AH20" s="123">
        <f>交易记录!D215</f>
        <v>0</v>
      </c>
      <c r="AI20" s="123">
        <f>交易记录!D246</f>
        <v>0</v>
      </c>
      <c r="AJ20" s="30">
        <f t="shared" si="34"/>
        <v>0</v>
      </c>
      <c r="AK20" s="120">
        <f>交易记录!D279</f>
        <v>0</v>
      </c>
      <c r="AL20" s="120">
        <f>交易记录!D310</f>
        <v>0</v>
      </c>
      <c r="AM20" s="30">
        <f t="shared" si="33"/>
        <v>0</v>
      </c>
      <c r="AN20" s="123">
        <f>交易记录!D343</f>
        <v>0</v>
      </c>
      <c r="AO20" s="123">
        <f>交易记录!D374</f>
        <v>0</v>
      </c>
      <c r="AP20" s="30">
        <f t="shared" si="30"/>
        <v>0</v>
      </c>
      <c r="AQ20" s="120">
        <f>交易记录!D407</f>
        <v>0</v>
      </c>
      <c r="AR20" s="120">
        <f>交易记录!D438</f>
        <v>0</v>
      </c>
      <c r="AS20" s="30">
        <f t="shared" si="32"/>
        <v>0</v>
      </c>
      <c r="AT20" s="123">
        <f>交易记录!D471</f>
        <v>0</v>
      </c>
      <c r="AU20" s="123">
        <f>交易记录!D502</f>
        <v>0</v>
      </c>
      <c r="AV20" s="30">
        <f t="shared" si="8"/>
        <v>0</v>
      </c>
      <c r="AW20" s="120">
        <f>交易记录!D535</f>
        <v>0</v>
      </c>
      <c r="AX20" s="120">
        <f>交易记录!D566</f>
        <v>0</v>
      </c>
      <c r="AY20" s="30">
        <f t="shared" si="9"/>
        <v>0</v>
      </c>
      <c r="AZ20" s="123">
        <f>交易记录!D599</f>
        <v>0</v>
      </c>
      <c r="BA20" s="123">
        <f>交易记录!D630</f>
        <v>0</v>
      </c>
      <c r="BB20" s="30">
        <f t="shared" si="10"/>
        <v>0</v>
      </c>
      <c r="BC20" s="120">
        <f>交易记录!D663</f>
        <v>0</v>
      </c>
      <c r="BD20" s="120">
        <f>交易记录!D694</f>
        <v>0</v>
      </c>
      <c r="BE20" s="30">
        <f t="shared" si="11"/>
        <v>0</v>
      </c>
      <c r="BF20" s="123">
        <f>交易记录!D727</f>
        <v>0</v>
      </c>
      <c r="BG20" s="123">
        <f>交易记录!D758</f>
        <v>0</v>
      </c>
      <c r="BH20" s="30">
        <f t="shared" si="28"/>
        <v>0</v>
      </c>
      <c r="BI20" s="120">
        <f>交易记录!D791</f>
        <v>0</v>
      </c>
      <c r="BJ20" s="120">
        <f>交易记录!D822</f>
        <v>0</v>
      </c>
      <c r="BK20" s="30">
        <f t="shared" si="12"/>
        <v>0</v>
      </c>
      <c r="BL20" s="123">
        <f>交易记录!D855</f>
        <v>0</v>
      </c>
      <c r="BM20" s="123">
        <f>交易记录!D886</f>
        <v>0</v>
      </c>
      <c r="BN20" s="30">
        <f t="shared" si="13"/>
        <v>0</v>
      </c>
      <c r="BO20" s="120">
        <f>交易记录!D919</f>
        <v>0</v>
      </c>
      <c r="BP20" s="120">
        <f>交易记录!D950</f>
        <v>0</v>
      </c>
      <c r="BQ20" s="30">
        <f t="shared" si="14"/>
        <v>0</v>
      </c>
    </row>
    <row r="21" spans="1:69" ht="15">
      <c r="A21" s="125">
        <f>'维护-日期'!A$3</f>
        <v>46266</v>
      </c>
      <c r="B21" s="7" t="s">
        <v>25</v>
      </c>
      <c r="C21" s="144">
        <f t="shared" si="15"/>
        <v>24.105</v>
      </c>
      <c r="D21" s="144">
        <f>ROUND(INDEX(持仓数据!$C$3:$AG$26,MATCH('计算过程-数据汇总'!B21,持仓数据!$B$3:$B$26,0),MATCH('计算过程-数据汇总'!A21,'维护-日期'!$B$2:$AF$2,0)),3)</f>
        <v>24.105</v>
      </c>
      <c r="E21" s="98">
        <f t="shared" si="0"/>
        <v>24.105</v>
      </c>
      <c r="F21" s="22">
        <f>持仓数据!C91</f>
        <v>1.028</v>
      </c>
      <c r="G21" s="97">
        <v>372</v>
      </c>
      <c r="H21" s="97">
        <v>372</v>
      </c>
      <c r="I21" s="64">
        <v>0</v>
      </c>
      <c r="J21" s="64">
        <v>0</v>
      </c>
      <c r="K21" s="21">
        <f>IF(持仓数据!C124="",0,持仓数据!C124)</f>
        <v>372</v>
      </c>
      <c r="L21" s="21">
        <f t="shared" si="16"/>
        <v>0</v>
      </c>
      <c r="M21" s="28">
        <f t="shared" si="1"/>
        <v>8967.06</v>
      </c>
      <c r="N21" s="28">
        <f t="shared" si="17"/>
        <v>0</v>
      </c>
      <c r="O21" s="28">
        <f t="shared" si="18"/>
        <v>0</v>
      </c>
      <c r="P21" s="28">
        <f t="shared" si="19"/>
        <v>0</v>
      </c>
      <c r="Q21" s="28">
        <f t="shared" si="29"/>
        <v>0</v>
      </c>
      <c r="R21" s="28">
        <f t="shared" si="21"/>
        <v>8967.06</v>
      </c>
      <c r="S21" s="28">
        <f t="shared" si="22"/>
        <v>0</v>
      </c>
      <c r="T21" s="28">
        <f t="shared" si="23"/>
        <v>0</v>
      </c>
      <c r="U21" s="28">
        <f t="shared" si="24"/>
        <v>0</v>
      </c>
      <c r="V21" s="28">
        <f t="shared" si="25"/>
        <v>0</v>
      </c>
      <c r="W21" s="118"/>
      <c r="X21" s="143">
        <f t="shared" si="26"/>
        <v>27.898</v>
      </c>
      <c r="Y21" s="120">
        <f>交易记录!D24</f>
        <v>1.028</v>
      </c>
      <c r="Z21" s="120">
        <f>交易记录!D55</f>
        <v>372</v>
      </c>
      <c r="AA21" s="30">
        <f t="shared" si="27"/>
        <v>0</v>
      </c>
      <c r="AB21" s="123">
        <f>交易记录!D88</f>
        <v>0</v>
      </c>
      <c r="AC21" s="123">
        <f>交易记录!D119</f>
        <v>0</v>
      </c>
      <c r="AD21" s="30">
        <f t="shared" si="35"/>
        <v>0</v>
      </c>
      <c r="AE21" s="120">
        <f>交易记录!D152</f>
        <v>0</v>
      </c>
      <c r="AF21" s="120">
        <f>交易记录!D183</f>
        <v>0</v>
      </c>
      <c r="AG21" s="30">
        <f t="shared" si="31"/>
        <v>0</v>
      </c>
      <c r="AH21" s="123">
        <f>交易记录!D216</f>
        <v>0</v>
      </c>
      <c r="AI21" s="123">
        <f>交易记录!D247</f>
        <v>0</v>
      </c>
      <c r="AJ21" s="30">
        <f t="shared" si="34"/>
        <v>0</v>
      </c>
      <c r="AK21" s="120">
        <f>交易记录!D280</f>
        <v>0</v>
      </c>
      <c r="AL21" s="120">
        <f>交易记录!D311</f>
        <v>0</v>
      </c>
      <c r="AM21" s="30">
        <f t="shared" si="33"/>
        <v>0</v>
      </c>
      <c r="AN21" s="123">
        <f>交易记录!D344</f>
        <v>0</v>
      </c>
      <c r="AO21" s="123">
        <f>交易记录!D375</f>
        <v>0</v>
      </c>
      <c r="AP21" s="30">
        <f t="shared" si="30"/>
        <v>0</v>
      </c>
      <c r="AQ21" s="120">
        <f>交易记录!D408</f>
        <v>0</v>
      </c>
      <c r="AR21" s="120">
        <f>交易记录!D439</f>
        <v>0</v>
      </c>
      <c r="AS21" s="30">
        <f t="shared" si="32"/>
        <v>0</v>
      </c>
      <c r="AT21" s="123">
        <f>交易记录!D472</f>
        <v>0</v>
      </c>
      <c r="AU21" s="123">
        <f>交易记录!D503</f>
        <v>0</v>
      </c>
      <c r="AV21" s="30">
        <f t="shared" si="8"/>
        <v>0</v>
      </c>
      <c r="AW21" s="120">
        <f>交易记录!D536</f>
        <v>0</v>
      </c>
      <c r="AX21" s="120">
        <f>交易记录!D567</f>
        <v>0</v>
      </c>
      <c r="AY21" s="30">
        <f t="shared" si="9"/>
        <v>0</v>
      </c>
      <c r="AZ21" s="123">
        <f>交易记录!D600</f>
        <v>0</v>
      </c>
      <c r="BA21" s="123">
        <f>交易记录!D631</f>
        <v>0</v>
      </c>
      <c r="BB21" s="30">
        <f t="shared" si="10"/>
        <v>0</v>
      </c>
      <c r="BC21" s="120">
        <f>交易记录!D664</f>
        <v>0</v>
      </c>
      <c r="BD21" s="120">
        <f>交易记录!D695</f>
        <v>0</v>
      </c>
      <c r="BE21" s="30">
        <f t="shared" si="11"/>
        <v>0</v>
      </c>
      <c r="BF21" s="123">
        <f>交易记录!D728</f>
        <v>0</v>
      </c>
      <c r="BG21" s="123">
        <f>交易记录!D759</f>
        <v>0</v>
      </c>
      <c r="BH21" s="30">
        <f t="shared" si="28"/>
        <v>0</v>
      </c>
      <c r="BI21" s="120">
        <f>交易记录!D792</f>
        <v>0</v>
      </c>
      <c r="BJ21" s="120">
        <f>交易记录!D823</f>
        <v>0</v>
      </c>
      <c r="BK21" s="30">
        <f t="shared" si="12"/>
        <v>0</v>
      </c>
      <c r="BL21" s="123">
        <f>交易记录!D856</f>
        <v>0</v>
      </c>
      <c r="BM21" s="123">
        <f>交易记录!D887</f>
        <v>0</v>
      </c>
      <c r="BN21" s="30">
        <f t="shared" si="13"/>
        <v>0</v>
      </c>
      <c r="BO21" s="120">
        <f>交易记录!D920</f>
        <v>0</v>
      </c>
      <c r="BP21" s="120">
        <f>交易记录!D951</f>
        <v>0</v>
      </c>
      <c r="BQ21" s="30">
        <f t="shared" si="14"/>
        <v>0</v>
      </c>
    </row>
    <row r="22" spans="1:69" ht="15">
      <c r="A22" s="125">
        <f>'维护-日期'!A$3</f>
        <v>46266</v>
      </c>
      <c r="B22" s="7" t="s">
        <v>26</v>
      </c>
      <c r="C22" s="144">
        <f t="shared" si="15"/>
        <v>24.047999999999998</v>
      </c>
      <c r="D22" s="144">
        <f>ROUND(INDEX(持仓数据!$C$3:$AG$26,MATCH('计算过程-数据汇总'!B22,持仓数据!$B$3:$B$26,0),MATCH('计算过程-数据汇总'!A22,'维护-日期'!$B$2:$AF$2,0)),3)</f>
        <v>24.047999999999998</v>
      </c>
      <c r="E22" s="98">
        <f t="shared" si="0"/>
        <v>24.047999999999998</v>
      </c>
      <c r="F22" s="22">
        <f>持仓数据!C92</f>
        <v>0.89100000000000001</v>
      </c>
      <c r="G22" s="97">
        <v>372</v>
      </c>
      <c r="H22" s="97">
        <v>372</v>
      </c>
      <c r="I22" s="64">
        <v>0</v>
      </c>
      <c r="J22" s="64">
        <v>0</v>
      </c>
      <c r="K22" s="21">
        <f>IF(持仓数据!C125="",0,持仓数据!C125)</f>
        <v>372</v>
      </c>
      <c r="L22" s="21">
        <f t="shared" si="16"/>
        <v>0</v>
      </c>
      <c r="M22" s="28">
        <f t="shared" si="1"/>
        <v>8945.8559999999998</v>
      </c>
      <c r="N22" s="28">
        <f t="shared" si="17"/>
        <v>0</v>
      </c>
      <c r="O22" s="28">
        <f t="shared" si="18"/>
        <v>0</v>
      </c>
      <c r="P22" s="28">
        <f t="shared" si="19"/>
        <v>0</v>
      </c>
      <c r="Q22" s="28">
        <f t="shared" si="29"/>
        <v>0</v>
      </c>
      <c r="R22" s="28">
        <f t="shared" si="21"/>
        <v>8945.8559999999998</v>
      </c>
      <c r="S22" s="28">
        <f t="shared" si="22"/>
        <v>0</v>
      </c>
      <c r="T22" s="28">
        <f t="shared" si="23"/>
        <v>0</v>
      </c>
      <c r="U22" s="28">
        <f t="shared" si="24"/>
        <v>0</v>
      </c>
      <c r="V22" s="28">
        <f t="shared" si="25"/>
        <v>0</v>
      </c>
      <c r="W22" s="118"/>
      <c r="X22" s="143">
        <f t="shared" si="26"/>
        <v>27.966999999999999</v>
      </c>
      <c r="Y22" s="120">
        <f>交易记录!D25</f>
        <v>0.89100000000000001</v>
      </c>
      <c r="Z22" s="120">
        <f>交易记录!D56</f>
        <v>372</v>
      </c>
      <c r="AA22" s="30">
        <f t="shared" si="27"/>
        <v>0</v>
      </c>
      <c r="AB22" s="123">
        <f>交易记录!D89</f>
        <v>0</v>
      </c>
      <c r="AC22" s="123">
        <f>交易记录!D120</f>
        <v>0</v>
      </c>
      <c r="AD22" s="30">
        <f t="shared" si="35"/>
        <v>0</v>
      </c>
      <c r="AE22" s="120">
        <f>交易记录!D153</f>
        <v>0</v>
      </c>
      <c r="AF22" s="120">
        <f>交易记录!D184</f>
        <v>0</v>
      </c>
      <c r="AG22" s="30">
        <f t="shared" si="31"/>
        <v>0</v>
      </c>
      <c r="AH22" s="123">
        <f>交易记录!D217</f>
        <v>0</v>
      </c>
      <c r="AI22" s="123">
        <f>交易记录!D248</f>
        <v>0</v>
      </c>
      <c r="AJ22" s="30">
        <f t="shared" si="34"/>
        <v>0</v>
      </c>
      <c r="AK22" s="120">
        <f>交易记录!D281</f>
        <v>0</v>
      </c>
      <c r="AL22" s="120">
        <f>交易记录!D312</f>
        <v>0</v>
      </c>
      <c r="AM22" s="30">
        <f t="shared" si="33"/>
        <v>0</v>
      </c>
      <c r="AN22" s="123">
        <f>交易记录!D345</f>
        <v>0</v>
      </c>
      <c r="AO22" s="123">
        <f>交易记录!D376</f>
        <v>0</v>
      </c>
      <c r="AP22" s="30">
        <f t="shared" si="30"/>
        <v>0</v>
      </c>
      <c r="AQ22" s="120">
        <f>交易记录!D409</f>
        <v>0</v>
      </c>
      <c r="AR22" s="120">
        <f>交易记录!D440</f>
        <v>0</v>
      </c>
      <c r="AS22" s="30">
        <f t="shared" si="32"/>
        <v>0</v>
      </c>
      <c r="AT22" s="123">
        <f>交易记录!D473</f>
        <v>0</v>
      </c>
      <c r="AU22" s="123">
        <f>交易记录!D504</f>
        <v>0</v>
      </c>
      <c r="AV22" s="30">
        <f t="shared" si="8"/>
        <v>0</v>
      </c>
      <c r="AW22" s="120">
        <f>交易记录!D537</f>
        <v>0</v>
      </c>
      <c r="AX22" s="120">
        <f>交易记录!D568</f>
        <v>0</v>
      </c>
      <c r="AY22" s="30">
        <f t="shared" si="9"/>
        <v>0</v>
      </c>
      <c r="AZ22" s="123">
        <f>交易记录!D601</f>
        <v>0</v>
      </c>
      <c r="BA22" s="123">
        <f>交易记录!D632</f>
        <v>0</v>
      </c>
      <c r="BB22" s="30">
        <f t="shared" si="10"/>
        <v>0</v>
      </c>
      <c r="BC22" s="120">
        <f>交易记录!D665</f>
        <v>0</v>
      </c>
      <c r="BD22" s="120">
        <f>交易记录!D696</f>
        <v>0</v>
      </c>
      <c r="BE22" s="30">
        <f t="shared" si="11"/>
        <v>0</v>
      </c>
      <c r="BF22" s="123">
        <f>交易记录!D729</f>
        <v>0</v>
      </c>
      <c r="BG22" s="123">
        <f>交易记录!D760</f>
        <v>0</v>
      </c>
      <c r="BH22" s="30">
        <f t="shared" si="28"/>
        <v>0</v>
      </c>
      <c r="BI22" s="120">
        <f>交易记录!D793</f>
        <v>0</v>
      </c>
      <c r="BJ22" s="120">
        <f>交易记录!D824</f>
        <v>0</v>
      </c>
      <c r="BK22" s="30">
        <f t="shared" si="12"/>
        <v>0</v>
      </c>
      <c r="BL22" s="123">
        <f>交易记录!D857</f>
        <v>0</v>
      </c>
      <c r="BM22" s="123">
        <f>交易记录!D888</f>
        <v>0</v>
      </c>
      <c r="BN22" s="30">
        <f t="shared" si="13"/>
        <v>0</v>
      </c>
      <c r="BO22" s="120">
        <f>交易记录!D921</f>
        <v>0</v>
      </c>
      <c r="BP22" s="120">
        <f>交易记录!D952</f>
        <v>0</v>
      </c>
      <c r="BQ22" s="30">
        <f t="shared" si="14"/>
        <v>0</v>
      </c>
    </row>
    <row r="23" spans="1:69" ht="15">
      <c r="A23" s="125">
        <f>'维护-日期'!A$3</f>
        <v>46266</v>
      </c>
      <c r="B23" s="7" t="s">
        <v>27</v>
      </c>
      <c r="C23" s="144">
        <f t="shared" si="15"/>
        <v>22.594000000000001</v>
      </c>
      <c r="D23" s="144">
        <f>ROUND(INDEX(持仓数据!$C$3:$AG$26,MATCH('计算过程-数据汇总'!B23,持仓数据!$B$3:$B$26,0),MATCH('计算过程-数据汇总'!A23,'维护-日期'!$B$2:$AF$2,0)),3)</f>
        <v>22.594000000000001</v>
      </c>
      <c r="E23" s="98">
        <f t="shared" si="0"/>
        <v>22.594000000000001</v>
      </c>
      <c r="F23" s="22">
        <f>持仓数据!C93</f>
        <v>0.85499999999999998</v>
      </c>
      <c r="G23" s="97">
        <v>372</v>
      </c>
      <c r="H23" s="97">
        <v>372</v>
      </c>
      <c r="I23" s="64">
        <v>0</v>
      </c>
      <c r="J23" s="64">
        <v>0</v>
      </c>
      <c r="K23" s="21">
        <f>IF(持仓数据!C126="",0,持仓数据!C126)</f>
        <v>372</v>
      </c>
      <c r="L23" s="21">
        <f t="shared" si="16"/>
        <v>0</v>
      </c>
      <c r="M23" s="28">
        <f t="shared" si="1"/>
        <v>8404.9680000000008</v>
      </c>
      <c r="N23" s="28">
        <f t="shared" si="17"/>
        <v>0</v>
      </c>
      <c r="O23" s="28">
        <f t="shared" si="18"/>
        <v>0</v>
      </c>
      <c r="P23" s="28">
        <f t="shared" si="19"/>
        <v>0</v>
      </c>
      <c r="Q23" s="28">
        <f t="shared" si="29"/>
        <v>0</v>
      </c>
      <c r="R23" s="28">
        <f t="shared" si="21"/>
        <v>8404.9680000000008</v>
      </c>
      <c r="S23" s="28">
        <f t="shared" si="22"/>
        <v>0</v>
      </c>
      <c r="T23" s="28">
        <f t="shared" si="23"/>
        <v>0</v>
      </c>
      <c r="U23" s="28">
        <f t="shared" si="24"/>
        <v>0</v>
      </c>
      <c r="V23" s="28">
        <f t="shared" si="25"/>
        <v>0</v>
      </c>
      <c r="W23" s="118"/>
      <c r="X23" s="143">
        <f t="shared" si="26"/>
        <v>26.257999999999999</v>
      </c>
      <c r="Y23" s="120">
        <f>交易记录!D26</f>
        <v>0.85499999999999998</v>
      </c>
      <c r="Z23" s="120">
        <f>交易记录!D57</f>
        <v>372</v>
      </c>
      <c r="AA23" s="30">
        <f t="shared" si="27"/>
        <v>0</v>
      </c>
      <c r="AB23" s="123">
        <f>交易记录!D90</f>
        <v>0</v>
      </c>
      <c r="AC23" s="123">
        <f>交易记录!D121</f>
        <v>0</v>
      </c>
      <c r="AD23" s="30">
        <f t="shared" si="35"/>
        <v>0</v>
      </c>
      <c r="AE23" s="120">
        <f>交易记录!D154</f>
        <v>0</v>
      </c>
      <c r="AF23" s="120">
        <f>交易记录!D185</f>
        <v>0</v>
      </c>
      <c r="AG23" s="30">
        <f t="shared" si="31"/>
        <v>0</v>
      </c>
      <c r="AH23" s="123">
        <f>交易记录!D218</f>
        <v>0</v>
      </c>
      <c r="AI23" s="123">
        <f>交易记录!D249</f>
        <v>0</v>
      </c>
      <c r="AJ23" s="30">
        <f t="shared" si="34"/>
        <v>0</v>
      </c>
      <c r="AK23" s="120">
        <f>交易记录!D282</f>
        <v>0</v>
      </c>
      <c r="AL23" s="120">
        <f>交易记录!D313</f>
        <v>0</v>
      </c>
      <c r="AM23" s="30">
        <f t="shared" si="33"/>
        <v>0</v>
      </c>
      <c r="AN23" s="123">
        <f>交易记录!D346</f>
        <v>0</v>
      </c>
      <c r="AO23" s="123">
        <f>交易记录!D377</f>
        <v>0</v>
      </c>
      <c r="AP23" s="30">
        <f t="shared" si="30"/>
        <v>0</v>
      </c>
      <c r="AQ23" s="120">
        <f>交易记录!D410</f>
        <v>0</v>
      </c>
      <c r="AR23" s="120">
        <f>交易记录!D441</f>
        <v>0</v>
      </c>
      <c r="AS23" s="30">
        <f t="shared" si="32"/>
        <v>0</v>
      </c>
      <c r="AT23" s="123">
        <f>交易记录!D474</f>
        <v>0</v>
      </c>
      <c r="AU23" s="123">
        <f>交易记录!D505</f>
        <v>0</v>
      </c>
      <c r="AV23" s="30">
        <f t="shared" si="8"/>
        <v>0</v>
      </c>
      <c r="AW23" s="120">
        <f>交易记录!D538</f>
        <v>0</v>
      </c>
      <c r="AX23" s="120">
        <f>交易记录!D569</f>
        <v>0</v>
      </c>
      <c r="AY23" s="30">
        <f t="shared" si="9"/>
        <v>0</v>
      </c>
      <c r="AZ23" s="123">
        <f>交易记录!D602</f>
        <v>0</v>
      </c>
      <c r="BA23" s="123">
        <f>交易记录!D633</f>
        <v>0</v>
      </c>
      <c r="BB23" s="30">
        <f t="shared" si="10"/>
        <v>0</v>
      </c>
      <c r="BC23" s="120">
        <f>交易记录!D666</f>
        <v>0</v>
      </c>
      <c r="BD23" s="120">
        <f>交易记录!D697</f>
        <v>0</v>
      </c>
      <c r="BE23" s="30">
        <f t="shared" si="11"/>
        <v>0</v>
      </c>
      <c r="BF23" s="123">
        <f>交易记录!D730</f>
        <v>0</v>
      </c>
      <c r="BG23" s="123">
        <f>交易记录!D761</f>
        <v>0</v>
      </c>
      <c r="BH23" s="30">
        <f t="shared" si="28"/>
        <v>0</v>
      </c>
      <c r="BI23" s="120">
        <f>交易记录!D794</f>
        <v>0</v>
      </c>
      <c r="BJ23" s="120">
        <f>交易记录!D825</f>
        <v>0</v>
      </c>
      <c r="BK23" s="30">
        <f t="shared" si="12"/>
        <v>0</v>
      </c>
      <c r="BL23" s="123">
        <f>交易记录!D858</f>
        <v>0</v>
      </c>
      <c r="BM23" s="123">
        <f>交易记录!D889</f>
        <v>0</v>
      </c>
      <c r="BN23" s="30">
        <f t="shared" si="13"/>
        <v>0</v>
      </c>
      <c r="BO23" s="120">
        <f>交易记录!D922</f>
        <v>0</v>
      </c>
      <c r="BP23" s="120">
        <f>交易记录!D953</f>
        <v>0</v>
      </c>
      <c r="BQ23" s="30">
        <f t="shared" si="14"/>
        <v>0</v>
      </c>
    </row>
    <row r="24" spans="1:69" ht="15">
      <c r="A24" s="125">
        <f>'维护-日期'!A$3</f>
        <v>46266</v>
      </c>
      <c r="B24" s="7" t="s">
        <v>28</v>
      </c>
      <c r="C24" s="144">
        <f t="shared" si="15"/>
        <v>19.387</v>
      </c>
      <c r="D24" s="144">
        <f>ROUND(INDEX(持仓数据!$C$3:$AG$26,MATCH('计算过程-数据汇总'!B24,持仓数据!$B$3:$B$26,0),MATCH('计算过程-数据汇总'!A24,'维护-日期'!$B$2:$AF$2,0)),3)</f>
        <v>19.387</v>
      </c>
      <c r="E24" s="98">
        <f t="shared" si="0"/>
        <v>19.387</v>
      </c>
      <c r="F24" s="22">
        <f>持仓数据!C94</f>
        <v>0.77200000000000002</v>
      </c>
      <c r="G24" s="97">
        <v>372</v>
      </c>
      <c r="H24" s="97">
        <v>372</v>
      </c>
      <c r="I24" s="64">
        <v>0</v>
      </c>
      <c r="J24" s="64">
        <v>0</v>
      </c>
      <c r="K24" s="21">
        <f>IF(持仓数据!C127="",0,持仓数据!C127)</f>
        <v>372</v>
      </c>
      <c r="L24" s="21">
        <f t="shared" si="16"/>
        <v>0</v>
      </c>
      <c r="M24" s="28">
        <f t="shared" si="1"/>
        <v>7211.9639999999999</v>
      </c>
      <c r="N24" s="28">
        <f t="shared" si="17"/>
        <v>0</v>
      </c>
      <c r="O24" s="28">
        <f t="shared" si="18"/>
        <v>0</v>
      </c>
      <c r="P24" s="28">
        <f t="shared" si="19"/>
        <v>0</v>
      </c>
      <c r="Q24" s="28">
        <f t="shared" si="29"/>
        <v>0</v>
      </c>
      <c r="R24" s="28">
        <f t="shared" si="21"/>
        <v>7211.9639999999999</v>
      </c>
      <c r="S24" s="28">
        <f t="shared" si="22"/>
        <v>0</v>
      </c>
      <c r="T24" s="28">
        <f t="shared" si="23"/>
        <v>0</v>
      </c>
      <c r="U24" s="28">
        <f t="shared" si="24"/>
        <v>0</v>
      </c>
      <c r="V24" s="28">
        <f t="shared" si="25"/>
        <v>0</v>
      </c>
      <c r="W24" s="118"/>
      <c r="X24" s="143">
        <f t="shared" si="26"/>
        <v>22.492000000000001</v>
      </c>
      <c r="Y24" s="120">
        <f>交易记录!D27</f>
        <v>0.77200000000000002</v>
      </c>
      <c r="Z24" s="120">
        <f>交易记录!D58</f>
        <v>372</v>
      </c>
      <c r="AA24" s="30">
        <f t="shared" si="27"/>
        <v>0</v>
      </c>
      <c r="AB24" s="123">
        <f>交易记录!D91</f>
        <v>0</v>
      </c>
      <c r="AC24" s="123">
        <f>交易记录!D122</f>
        <v>0</v>
      </c>
      <c r="AD24" s="30">
        <f t="shared" si="35"/>
        <v>0</v>
      </c>
      <c r="AE24" s="120">
        <f>交易记录!D155</f>
        <v>0</v>
      </c>
      <c r="AF24" s="120">
        <f>交易记录!D186</f>
        <v>0</v>
      </c>
      <c r="AG24" s="30">
        <f t="shared" si="31"/>
        <v>0</v>
      </c>
      <c r="AH24" s="123">
        <f>交易记录!D219</f>
        <v>0</v>
      </c>
      <c r="AI24" s="123">
        <f>交易记录!D250</f>
        <v>0</v>
      </c>
      <c r="AJ24" s="30">
        <f t="shared" si="34"/>
        <v>0</v>
      </c>
      <c r="AK24" s="120">
        <f>交易记录!D283</f>
        <v>0</v>
      </c>
      <c r="AL24" s="120">
        <f>交易记录!D314</f>
        <v>0</v>
      </c>
      <c r="AM24" s="30">
        <f t="shared" si="33"/>
        <v>0</v>
      </c>
      <c r="AN24" s="123">
        <f>交易记录!D347</f>
        <v>0</v>
      </c>
      <c r="AO24" s="123">
        <f>交易记录!D378</f>
        <v>0</v>
      </c>
      <c r="AP24" s="30">
        <f t="shared" si="30"/>
        <v>0</v>
      </c>
      <c r="AQ24" s="120">
        <f>交易记录!D411</f>
        <v>0</v>
      </c>
      <c r="AR24" s="120">
        <f>交易记录!D442</f>
        <v>0</v>
      </c>
      <c r="AS24" s="30">
        <f t="shared" si="32"/>
        <v>0</v>
      </c>
      <c r="AT24" s="123">
        <f>交易记录!D475</f>
        <v>0</v>
      </c>
      <c r="AU24" s="123">
        <f>交易记录!D506</f>
        <v>0</v>
      </c>
      <c r="AV24" s="30">
        <f t="shared" si="8"/>
        <v>0</v>
      </c>
      <c r="AW24" s="120">
        <f>交易记录!D539</f>
        <v>0</v>
      </c>
      <c r="AX24" s="120">
        <f>交易记录!D570</f>
        <v>0</v>
      </c>
      <c r="AY24" s="30">
        <f t="shared" si="9"/>
        <v>0</v>
      </c>
      <c r="AZ24" s="123">
        <f>交易记录!D603</f>
        <v>0</v>
      </c>
      <c r="BA24" s="123">
        <f>交易记录!D634</f>
        <v>0</v>
      </c>
      <c r="BB24" s="30">
        <f t="shared" si="10"/>
        <v>0</v>
      </c>
      <c r="BC24" s="120">
        <f>交易记录!D667</f>
        <v>0</v>
      </c>
      <c r="BD24" s="120">
        <f>交易记录!D698</f>
        <v>0</v>
      </c>
      <c r="BE24" s="30">
        <f t="shared" si="11"/>
        <v>0</v>
      </c>
      <c r="BF24" s="123">
        <f>交易记录!D731</f>
        <v>0</v>
      </c>
      <c r="BG24" s="123">
        <f>交易记录!D762</f>
        <v>0</v>
      </c>
      <c r="BH24" s="30">
        <f t="shared" si="28"/>
        <v>0</v>
      </c>
      <c r="BI24" s="120">
        <f>交易记录!D795</f>
        <v>0</v>
      </c>
      <c r="BJ24" s="120">
        <f>交易记录!D826</f>
        <v>0</v>
      </c>
      <c r="BK24" s="30">
        <f t="shared" si="12"/>
        <v>0</v>
      </c>
      <c r="BL24" s="123">
        <f>交易记录!D859</f>
        <v>0</v>
      </c>
      <c r="BM24" s="123">
        <f>交易记录!D890</f>
        <v>0</v>
      </c>
      <c r="BN24" s="30">
        <f t="shared" si="13"/>
        <v>0</v>
      </c>
      <c r="BO24" s="120">
        <f>交易记录!D923</f>
        <v>0</v>
      </c>
      <c r="BP24" s="120">
        <f>交易记录!D954</f>
        <v>0</v>
      </c>
      <c r="BQ24" s="30">
        <f t="shared" si="14"/>
        <v>0</v>
      </c>
    </row>
    <row r="25" spans="1:69" ht="15">
      <c r="A25" s="125">
        <f>'维护-日期'!A$3</f>
        <v>46266</v>
      </c>
      <c r="B25" s="7" t="s">
        <v>29</v>
      </c>
      <c r="C25" s="144">
        <f t="shared" si="15"/>
        <v>16.963000000000001</v>
      </c>
      <c r="D25" s="144">
        <f>ROUND(INDEX(持仓数据!$C$3:$AG$26,MATCH('计算过程-数据汇总'!B25,持仓数据!$B$3:$B$26,0),MATCH('计算过程-数据汇总'!A25,'维护-日期'!$B$2:$AF$2,0)),3)</f>
        <v>16.963000000000001</v>
      </c>
      <c r="E25" s="98">
        <f t="shared" si="0"/>
        <v>16.963000000000001</v>
      </c>
      <c r="F25" s="22">
        <f>持仓数据!C95</f>
        <v>0.318</v>
      </c>
      <c r="G25" s="97">
        <v>372</v>
      </c>
      <c r="H25" s="97">
        <v>372</v>
      </c>
      <c r="I25" s="64">
        <v>0</v>
      </c>
      <c r="J25" s="64">
        <v>0</v>
      </c>
      <c r="K25" s="21">
        <f>IF(持仓数据!C128="",0,持仓数据!C128)</f>
        <v>372</v>
      </c>
      <c r="L25" s="21">
        <f t="shared" si="16"/>
        <v>0</v>
      </c>
      <c r="M25" s="28">
        <f t="shared" si="1"/>
        <v>6310.2360000000008</v>
      </c>
      <c r="N25" s="28">
        <f t="shared" si="17"/>
        <v>0</v>
      </c>
      <c r="O25" s="28">
        <f t="shared" si="18"/>
        <v>0</v>
      </c>
      <c r="P25" s="28">
        <f t="shared" si="19"/>
        <v>0</v>
      </c>
      <c r="Q25" s="28">
        <f t="shared" si="29"/>
        <v>0</v>
      </c>
      <c r="R25" s="28">
        <f t="shared" si="21"/>
        <v>6310.2360000000008</v>
      </c>
      <c r="S25" s="28">
        <f t="shared" si="22"/>
        <v>0</v>
      </c>
      <c r="T25" s="28">
        <f t="shared" si="23"/>
        <v>0</v>
      </c>
      <c r="U25" s="28">
        <f t="shared" si="24"/>
        <v>0</v>
      </c>
      <c r="V25" s="28">
        <f t="shared" si="25"/>
        <v>0</v>
      </c>
      <c r="W25" s="118"/>
      <c r="X25" s="143">
        <f t="shared" si="26"/>
        <v>20.038</v>
      </c>
      <c r="Y25" s="120">
        <f>交易记录!D28</f>
        <v>0.318</v>
      </c>
      <c r="Z25" s="120">
        <f>交易记录!D59</f>
        <v>372</v>
      </c>
      <c r="AA25" s="30">
        <f t="shared" si="27"/>
        <v>0</v>
      </c>
      <c r="AB25" s="123">
        <f>交易记录!D92</f>
        <v>0</v>
      </c>
      <c r="AC25" s="123">
        <f>交易记录!D123</f>
        <v>0</v>
      </c>
      <c r="AD25" s="30">
        <f t="shared" si="35"/>
        <v>0</v>
      </c>
      <c r="AE25" s="120">
        <f>交易记录!D156</f>
        <v>0</v>
      </c>
      <c r="AF25" s="120">
        <f>交易记录!D187</f>
        <v>0</v>
      </c>
      <c r="AG25" s="30">
        <f t="shared" si="31"/>
        <v>0</v>
      </c>
      <c r="AH25" s="123">
        <f>交易记录!D220</f>
        <v>0</v>
      </c>
      <c r="AI25" s="123">
        <f>交易记录!D251</f>
        <v>0</v>
      </c>
      <c r="AJ25" s="30">
        <f t="shared" si="34"/>
        <v>0</v>
      </c>
      <c r="AK25" s="120">
        <f>交易记录!D284</f>
        <v>0</v>
      </c>
      <c r="AL25" s="120">
        <f>交易记录!D315</f>
        <v>0</v>
      </c>
      <c r="AM25" s="30">
        <f t="shared" si="33"/>
        <v>0</v>
      </c>
      <c r="AN25" s="123">
        <f>交易记录!D348</f>
        <v>0</v>
      </c>
      <c r="AO25" s="123">
        <f>交易记录!D379</f>
        <v>0</v>
      </c>
      <c r="AP25" s="30">
        <f t="shared" si="30"/>
        <v>0</v>
      </c>
      <c r="AQ25" s="120">
        <f>交易记录!D412</f>
        <v>0</v>
      </c>
      <c r="AR25" s="120">
        <f>交易记录!D443</f>
        <v>0</v>
      </c>
      <c r="AS25" s="30">
        <f t="shared" si="32"/>
        <v>0</v>
      </c>
      <c r="AT25" s="123">
        <f>交易记录!D476</f>
        <v>0</v>
      </c>
      <c r="AU25" s="123">
        <f>交易记录!D507</f>
        <v>0</v>
      </c>
      <c r="AV25" s="30">
        <f t="shared" si="8"/>
        <v>0</v>
      </c>
      <c r="AW25" s="120">
        <f>交易记录!D540</f>
        <v>0</v>
      </c>
      <c r="AX25" s="120">
        <f>交易记录!D571</f>
        <v>0</v>
      </c>
      <c r="AY25" s="30">
        <f t="shared" si="9"/>
        <v>0</v>
      </c>
      <c r="AZ25" s="123">
        <f>交易记录!D604</f>
        <v>0</v>
      </c>
      <c r="BA25" s="123">
        <f>交易记录!D635</f>
        <v>0</v>
      </c>
      <c r="BB25" s="30">
        <f t="shared" si="10"/>
        <v>0</v>
      </c>
      <c r="BC25" s="120">
        <f>交易记录!D668</f>
        <v>0</v>
      </c>
      <c r="BD25" s="120">
        <f>交易记录!D699</f>
        <v>0</v>
      </c>
      <c r="BE25" s="30">
        <f t="shared" si="11"/>
        <v>0</v>
      </c>
      <c r="BF25" s="123">
        <f>交易记录!D732</f>
        <v>0</v>
      </c>
      <c r="BG25" s="123">
        <f>交易记录!D763</f>
        <v>0</v>
      </c>
      <c r="BH25" s="30">
        <f t="shared" si="28"/>
        <v>0</v>
      </c>
      <c r="BI25" s="120">
        <f>交易记录!D796</f>
        <v>0</v>
      </c>
      <c r="BJ25" s="120">
        <f>交易记录!D827</f>
        <v>0</v>
      </c>
      <c r="BK25" s="30">
        <f t="shared" si="12"/>
        <v>0</v>
      </c>
      <c r="BL25" s="123">
        <f>交易记录!D860</f>
        <v>0</v>
      </c>
      <c r="BM25" s="123">
        <f>交易记录!D891</f>
        <v>0</v>
      </c>
      <c r="BN25" s="30">
        <f t="shared" si="13"/>
        <v>0</v>
      </c>
      <c r="BO25" s="120">
        <f>交易记录!D924</f>
        <v>0</v>
      </c>
      <c r="BP25" s="120">
        <f>交易记录!D955</f>
        <v>0</v>
      </c>
      <c r="BQ25" s="30">
        <f t="shared" si="14"/>
        <v>0</v>
      </c>
    </row>
    <row r="26" spans="1:69" ht="15">
      <c r="A26" s="125">
        <f>'维护-日期'!A$4</f>
        <v>46267</v>
      </c>
      <c r="B26" s="7" t="s">
        <v>6</v>
      </c>
      <c r="C26" s="144">
        <f t="shared" si="15"/>
        <v>16.655999999999999</v>
      </c>
      <c r="D26" s="144">
        <f>ROUND(INDEX(持仓数据!$C$3:$AG$26,MATCH('计算过程-数据汇总'!B26,持仓数据!$B$3:$B$26,0),MATCH('计算过程-数据汇总'!A26,'维护-日期'!$B$2:$AF$2,0)),3)</f>
        <v>16.655999999999999</v>
      </c>
      <c r="E26" s="98">
        <f t="shared" si="0"/>
        <v>16.655999999999999</v>
      </c>
      <c r="F26" s="22">
        <f>持仓数据!D72</f>
        <v>0.39700000000000002</v>
      </c>
      <c r="G26" s="97">
        <v>372</v>
      </c>
      <c r="H26" s="97">
        <v>372</v>
      </c>
      <c r="I26" s="64">
        <v>0</v>
      </c>
      <c r="J26" s="64">
        <v>0</v>
      </c>
      <c r="K26" s="21">
        <f>IF(持仓数据!D105="",0,持仓数据!D105)</f>
        <v>372</v>
      </c>
      <c r="L26" s="21">
        <f t="shared" si="16"/>
        <v>0</v>
      </c>
      <c r="M26" s="28">
        <f t="shared" si="1"/>
        <v>6196.0319999999992</v>
      </c>
      <c r="N26" s="28">
        <f t="shared" si="17"/>
        <v>0</v>
      </c>
      <c r="O26" s="28">
        <f t="shared" si="18"/>
        <v>0</v>
      </c>
      <c r="P26" s="28">
        <f t="shared" si="19"/>
        <v>0</v>
      </c>
      <c r="Q26" s="28">
        <f t="shared" si="29"/>
        <v>0</v>
      </c>
      <c r="R26" s="28">
        <f t="shared" si="21"/>
        <v>6196.0319999999992</v>
      </c>
      <c r="S26" s="28">
        <f t="shared" si="22"/>
        <v>0</v>
      </c>
      <c r="T26" s="28">
        <f t="shared" si="23"/>
        <v>0</v>
      </c>
      <c r="U26" s="28">
        <f t="shared" si="24"/>
        <v>0</v>
      </c>
      <c r="V26" s="28">
        <f t="shared" si="25"/>
        <v>0</v>
      </c>
      <c r="W26" s="118"/>
      <c r="X26" s="143">
        <f t="shared" si="26"/>
        <v>19.59</v>
      </c>
      <c r="Y26" s="120">
        <f>交易记录!E5</f>
        <v>0.39700000000000002</v>
      </c>
      <c r="Z26" s="120">
        <f>交易记录!D36</f>
        <v>372</v>
      </c>
      <c r="AA26" s="30">
        <f t="shared" si="27"/>
        <v>0</v>
      </c>
      <c r="AB26" s="123">
        <f>交易记录!E69</f>
        <v>0</v>
      </c>
      <c r="AC26" s="123">
        <f>交易记录!E100</f>
        <v>0</v>
      </c>
      <c r="AD26" s="30">
        <f t="shared" si="35"/>
        <v>0</v>
      </c>
      <c r="AE26" s="120">
        <f>交易记录!E133</f>
        <v>0</v>
      </c>
      <c r="AF26" s="120">
        <f>交易记录!E164</f>
        <v>0</v>
      </c>
      <c r="AG26" s="30">
        <f t="shared" si="31"/>
        <v>0</v>
      </c>
      <c r="AH26" s="123">
        <f>交易记录!E197</f>
        <v>0</v>
      </c>
      <c r="AI26" s="123">
        <f>交易记录!E228</f>
        <v>0</v>
      </c>
      <c r="AJ26" s="30">
        <f t="shared" si="34"/>
        <v>0</v>
      </c>
      <c r="AK26" s="120">
        <f>交易记录!E261</f>
        <v>0</v>
      </c>
      <c r="AL26" s="120">
        <f>交易记录!E292</f>
        <v>0</v>
      </c>
      <c r="AM26" s="30">
        <f t="shared" si="33"/>
        <v>0</v>
      </c>
      <c r="AN26" s="123">
        <f>交易记录!E325</f>
        <v>0</v>
      </c>
      <c r="AO26" s="123">
        <f>交易记录!E356</f>
        <v>0</v>
      </c>
      <c r="AP26" s="30">
        <f t="shared" si="30"/>
        <v>0</v>
      </c>
      <c r="AQ26" s="120">
        <f>交易记录!E389</f>
        <v>0</v>
      </c>
      <c r="AR26" s="120">
        <f>交易记录!D420</f>
        <v>0</v>
      </c>
      <c r="AS26" s="30">
        <f t="shared" si="32"/>
        <v>0</v>
      </c>
      <c r="AT26" s="123">
        <f>交易记录!E453</f>
        <v>0</v>
      </c>
      <c r="AU26" s="123">
        <f>交易记录!D484</f>
        <v>0</v>
      </c>
      <c r="AV26" s="30">
        <f t="shared" si="8"/>
        <v>0</v>
      </c>
      <c r="AW26" s="120">
        <f>交易记录!E517</f>
        <v>0</v>
      </c>
      <c r="AX26" s="120">
        <f>交易记录!D548</f>
        <v>0</v>
      </c>
      <c r="AY26" s="30">
        <f t="shared" si="9"/>
        <v>0</v>
      </c>
      <c r="AZ26" s="123">
        <f>交易记录!E581</f>
        <v>0</v>
      </c>
      <c r="BA26" s="123">
        <f>交易记录!D612</f>
        <v>0</v>
      </c>
      <c r="BB26" s="30">
        <f t="shared" si="10"/>
        <v>0</v>
      </c>
      <c r="BC26" s="120">
        <f>交易记录!E645</f>
        <v>0</v>
      </c>
      <c r="BD26" s="120">
        <f>交易记录!D676</f>
        <v>0</v>
      </c>
      <c r="BE26" s="30">
        <f t="shared" si="11"/>
        <v>0</v>
      </c>
      <c r="BF26" s="123">
        <f>交易记录!E709</f>
        <v>0</v>
      </c>
      <c r="BG26" s="123">
        <f>交易记录!D740</f>
        <v>0</v>
      </c>
      <c r="BH26" s="30">
        <f t="shared" si="28"/>
        <v>0</v>
      </c>
      <c r="BI26" s="120">
        <f>交易记录!E773</f>
        <v>0</v>
      </c>
      <c r="BJ26" s="120">
        <f>交易记录!D804</f>
        <v>0</v>
      </c>
      <c r="BK26" s="30">
        <f t="shared" si="12"/>
        <v>0</v>
      </c>
      <c r="BL26" s="123">
        <f>交易记录!E837</f>
        <v>0</v>
      </c>
      <c r="BM26" s="123">
        <f>交易记录!D868</f>
        <v>0</v>
      </c>
      <c r="BN26" s="30">
        <f t="shared" si="13"/>
        <v>0</v>
      </c>
      <c r="BO26" s="120">
        <f>交易记录!E901</f>
        <v>0</v>
      </c>
      <c r="BP26" s="120">
        <f>交易记录!D932</f>
        <v>0</v>
      </c>
      <c r="BQ26" s="30">
        <f t="shared" si="14"/>
        <v>0</v>
      </c>
    </row>
    <row r="27" spans="1:69" ht="15">
      <c r="A27" s="125">
        <f>'维护-日期'!A$4</f>
        <v>46267</v>
      </c>
      <c r="B27" s="7" t="s">
        <v>7</v>
      </c>
      <c r="C27" s="144">
        <f t="shared" si="15"/>
        <v>15.792</v>
      </c>
      <c r="D27" s="144">
        <f>ROUND(INDEX(持仓数据!$C$3:$AG$26,MATCH('计算过程-数据汇总'!B27,持仓数据!$B$3:$B$26,0),MATCH('计算过程-数据汇总'!A27,'维护-日期'!$B$2:$AF$2,0)),3)</f>
        <v>15.792</v>
      </c>
      <c r="E27" s="98">
        <f t="shared" si="0"/>
        <v>15.792</v>
      </c>
      <c r="F27" s="22">
        <f>持仓数据!D73</f>
        <v>0.26500000000000001</v>
      </c>
      <c r="G27" s="97">
        <v>372</v>
      </c>
      <c r="H27" s="97">
        <v>372</v>
      </c>
      <c r="I27" s="64">
        <v>0</v>
      </c>
      <c r="J27" s="64">
        <v>0</v>
      </c>
      <c r="K27" s="21">
        <f>IF(持仓数据!D106="",0,持仓数据!D106)</f>
        <v>372</v>
      </c>
      <c r="L27" s="21">
        <f t="shared" si="16"/>
        <v>0</v>
      </c>
      <c r="M27" s="28">
        <f t="shared" si="1"/>
        <v>5874.6239999999998</v>
      </c>
      <c r="N27" s="28">
        <f t="shared" si="17"/>
        <v>0</v>
      </c>
      <c r="O27" s="28">
        <f t="shared" si="18"/>
        <v>0</v>
      </c>
      <c r="P27" s="28">
        <f t="shared" si="19"/>
        <v>0</v>
      </c>
      <c r="Q27" s="28">
        <f t="shared" si="29"/>
        <v>0</v>
      </c>
      <c r="R27" s="28">
        <f t="shared" si="21"/>
        <v>5874.6239999999998</v>
      </c>
      <c r="S27" s="28">
        <f t="shared" si="22"/>
        <v>0</v>
      </c>
      <c r="T27" s="28">
        <f t="shared" si="23"/>
        <v>0</v>
      </c>
      <c r="U27" s="28">
        <f t="shared" si="24"/>
        <v>0</v>
      </c>
      <c r="V27" s="28">
        <f t="shared" si="25"/>
        <v>0</v>
      </c>
      <c r="W27" s="118"/>
      <c r="X27" s="143">
        <f t="shared" si="26"/>
        <v>18.684999999999999</v>
      </c>
      <c r="Y27" s="120">
        <f>交易记录!E6</f>
        <v>0.26500000000000001</v>
      </c>
      <c r="Z27" s="120">
        <f>交易记录!D37</f>
        <v>372</v>
      </c>
      <c r="AA27" s="30">
        <f t="shared" si="27"/>
        <v>0</v>
      </c>
      <c r="AB27" s="123">
        <f>交易记录!E70</f>
        <v>0</v>
      </c>
      <c r="AC27" s="123">
        <f>交易记录!E101</f>
        <v>0</v>
      </c>
      <c r="AD27" s="30">
        <f t="shared" si="35"/>
        <v>0</v>
      </c>
      <c r="AE27" s="120">
        <f>交易记录!E134</f>
        <v>0</v>
      </c>
      <c r="AF27" s="120">
        <f>交易记录!E165</f>
        <v>0</v>
      </c>
      <c r="AG27" s="30">
        <f t="shared" si="31"/>
        <v>0</v>
      </c>
      <c r="AH27" s="123">
        <f>交易记录!E198</f>
        <v>0</v>
      </c>
      <c r="AI27" s="123">
        <f>交易记录!E229</f>
        <v>0</v>
      </c>
      <c r="AJ27" s="30">
        <f t="shared" si="34"/>
        <v>0</v>
      </c>
      <c r="AK27" s="120">
        <f>交易记录!E262</f>
        <v>0</v>
      </c>
      <c r="AL27" s="120">
        <f>交易记录!E293</f>
        <v>0</v>
      </c>
      <c r="AM27" s="30">
        <f t="shared" si="33"/>
        <v>0</v>
      </c>
      <c r="AN27" s="123">
        <f>交易记录!E326</f>
        <v>0</v>
      </c>
      <c r="AO27" s="123">
        <f>交易记录!E357</f>
        <v>0</v>
      </c>
      <c r="AP27" s="30">
        <f t="shared" si="30"/>
        <v>0</v>
      </c>
      <c r="AQ27" s="120">
        <f>交易记录!E390</f>
        <v>0</v>
      </c>
      <c r="AR27" s="120">
        <f>交易记录!D421</f>
        <v>0</v>
      </c>
      <c r="AS27" s="30">
        <f t="shared" si="32"/>
        <v>0</v>
      </c>
      <c r="AT27" s="123">
        <f>交易记录!E454</f>
        <v>0</v>
      </c>
      <c r="AU27" s="123">
        <f>交易记录!D485</f>
        <v>0</v>
      </c>
      <c r="AV27" s="30">
        <f t="shared" si="8"/>
        <v>0</v>
      </c>
      <c r="AW27" s="120">
        <f>交易记录!E518</f>
        <v>0</v>
      </c>
      <c r="AX27" s="120">
        <f>交易记录!D549</f>
        <v>0</v>
      </c>
      <c r="AY27" s="30">
        <f t="shared" si="9"/>
        <v>0</v>
      </c>
      <c r="AZ27" s="123">
        <f>交易记录!E582</f>
        <v>0</v>
      </c>
      <c r="BA27" s="123">
        <f>交易记录!D613</f>
        <v>0</v>
      </c>
      <c r="BB27" s="30">
        <f t="shared" si="10"/>
        <v>0</v>
      </c>
      <c r="BC27" s="120">
        <f>交易记录!E646</f>
        <v>0</v>
      </c>
      <c r="BD27" s="120">
        <f>交易记录!D677</f>
        <v>0</v>
      </c>
      <c r="BE27" s="30">
        <f t="shared" si="11"/>
        <v>0</v>
      </c>
      <c r="BF27" s="123">
        <f>交易记录!E710</f>
        <v>0</v>
      </c>
      <c r="BG27" s="123">
        <f>交易记录!D741</f>
        <v>0</v>
      </c>
      <c r="BH27" s="30">
        <f t="shared" si="28"/>
        <v>0</v>
      </c>
      <c r="BI27" s="120">
        <f>交易记录!E774</f>
        <v>0</v>
      </c>
      <c r="BJ27" s="120">
        <f>交易记录!D805</f>
        <v>0</v>
      </c>
      <c r="BK27" s="30">
        <f t="shared" si="12"/>
        <v>0</v>
      </c>
      <c r="BL27" s="123">
        <f>交易记录!E838</f>
        <v>0</v>
      </c>
      <c r="BM27" s="123">
        <f>交易记录!D869</f>
        <v>0</v>
      </c>
      <c r="BN27" s="30">
        <f t="shared" si="13"/>
        <v>0</v>
      </c>
      <c r="BO27" s="120">
        <f>交易记录!E902</f>
        <v>0</v>
      </c>
      <c r="BP27" s="120">
        <f>交易记录!D933</f>
        <v>0</v>
      </c>
      <c r="BQ27" s="30">
        <f t="shared" si="14"/>
        <v>0</v>
      </c>
    </row>
    <row r="28" spans="1:69" ht="15">
      <c r="A28" s="125">
        <f>'维护-日期'!A$4</f>
        <v>46267</v>
      </c>
      <c r="B28" s="7" t="s">
        <v>8</v>
      </c>
      <c r="C28" s="144">
        <f t="shared" si="15"/>
        <v>14.821999999999999</v>
      </c>
      <c r="D28" s="144">
        <f>ROUND(INDEX(持仓数据!$C$3:$AG$26,MATCH('计算过程-数据汇总'!B28,持仓数据!$B$3:$B$26,0),MATCH('计算过程-数据汇总'!A28,'维护-日期'!$B$2:$AF$2,0)),3)</f>
        <v>14.821999999999999</v>
      </c>
      <c r="E28" s="98">
        <f t="shared" si="0"/>
        <v>14.821999999999999</v>
      </c>
      <c r="F28" s="22">
        <f>持仓数据!D74</f>
        <v>0.24199999999999999</v>
      </c>
      <c r="G28" s="97">
        <v>372</v>
      </c>
      <c r="H28" s="97">
        <v>372</v>
      </c>
      <c r="I28" s="64">
        <v>0</v>
      </c>
      <c r="J28" s="64">
        <v>0</v>
      </c>
      <c r="K28" s="21">
        <f>IF(持仓数据!D107="",0,持仓数据!D107)</f>
        <v>372</v>
      </c>
      <c r="L28" s="21">
        <f t="shared" si="16"/>
        <v>0</v>
      </c>
      <c r="M28" s="28">
        <f t="shared" si="1"/>
        <v>5513.7839999999997</v>
      </c>
      <c r="N28" s="28">
        <f t="shared" si="17"/>
        <v>0</v>
      </c>
      <c r="O28" s="28">
        <f t="shared" si="18"/>
        <v>0</v>
      </c>
      <c r="P28" s="28">
        <f t="shared" si="19"/>
        <v>0</v>
      </c>
      <c r="Q28" s="28">
        <f t="shared" si="29"/>
        <v>0</v>
      </c>
      <c r="R28" s="28">
        <f t="shared" si="21"/>
        <v>5513.7839999999997</v>
      </c>
      <c r="S28" s="28">
        <f t="shared" si="22"/>
        <v>0</v>
      </c>
      <c r="T28" s="28">
        <f t="shared" si="23"/>
        <v>0</v>
      </c>
      <c r="U28" s="28">
        <f t="shared" si="24"/>
        <v>0</v>
      </c>
      <c r="V28" s="28">
        <f t="shared" si="25"/>
        <v>0</v>
      </c>
      <c r="W28" s="118"/>
      <c r="X28" s="143">
        <f t="shared" si="26"/>
        <v>17.544</v>
      </c>
      <c r="Y28" s="120">
        <f>交易记录!E7</f>
        <v>0.24199999999999999</v>
      </c>
      <c r="Z28" s="120">
        <f>交易记录!D38</f>
        <v>372</v>
      </c>
      <c r="AA28" s="30">
        <f t="shared" si="27"/>
        <v>0</v>
      </c>
      <c r="AB28" s="123">
        <f>交易记录!E71</f>
        <v>0</v>
      </c>
      <c r="AC28" s="123">
        <f>交易记录!E102</f>
        <v>0</v>
      </c>
      <c r="AD28" s="30">
        <f t="shared" si="35"/>
        <v>0</v>
      </c>
      <c r="AE28" s="120">
        <f>交易记录!E135</f>
        <v>0</v>
      </c>
      <c r="AF28" s="120">
        <f>交易记录!E166</f>
        <v>0</v>
      </c>
      <c r="AG28" s="30">
        <f t="shared" si="31"/>
        <v>0</v>
      </c>
      <c r="AH28" s="123">
        <f>交易记录!E199</f>
        <v>0</v>
      </c>
      <c r="AI28" s="123">
        <f>交易记录!E230</f>
        <v>0</v>
      </c>
      <c r="AJ28" s="30">
        <f t="shared" si="34"/>
        <v>0</v>
      </c>
      <c r="AK28" s="120">
        <f>交易记录!E263</f>
        <v>0</v>
      </c>
      <c r="AL28" s="120">
        <f>交易记录!E294</f>
        <v>0</v>
      </c>
      <c r="AM28" s="30">
        <f t="shared" si="33"/>
        <v>0</v>
      </c>
      <c r="AN28" s="123">
        <f>交易记录!E327</f>
        <v>0</v>
      </c>
      <c r="AO28" s="123">
        <f>交易记录!E358</f>
        <v>0</v>
      </c>
      <c r="AP28" s="30">
        <f t="shared" si="30"/>
        <v>0</v>
      </c>
      <c r="AQ28" s="120">
        <f>交易记录!E391</f>
        <v>0</v>
      </c>
      <c r="AR28" s="120">
        <f>交易记录!D422</f>
        <v>0</v>
      </c>
      <c r="AS28" s="30">
        <f t="shared" si="32"/>
        <v>0</v>
      </c>
      <c r="AT28" s="123">
        <f>交易记录!E455</f>
        <v>0</v>
      </c>
      <c r="AU28" s="123">
        <f>交易记录!D486</f>
        <v>0</v>
      </c>
      <c r="AV28" s="30">
        <f t="shared" si="8"/>
        <v>0</v>
      </c>
      <c r="AW28" s="120">
        <f>交易记录!E519</f>
        <v>0</v>
      </c>
      <c r="AX28" s="120">
        <f>交易记录!D550</f>
        <v>0</v>
      </c>
      <c r="AY28" s="30">
        <f t="shared" si="9"/>
        <v>0</v>
      </c>
      <c r="AZ28" s="123">
        <f>交易记录!E583</f>
        <v>0</v>
      </c>
      <c r="BA28" s="123">
        <f>交易记录!D614</f>
        <v>0</v>
      </c>
      <c r="BB28" s="30">
        <f t="shared" si="10"/>
        <v>0</v>
      </c>
      <c r="BC28" s="120">
        <f>交易记录!E647</f>
        <v>0</v>
      </c>
      <c r="BD28" s="120">
        <f>交易记录!D678</f>
        <v>0</v>
      </c>
      <c r="BE28" s="30">
        <f t="shared" si="11"/>
        <v>0</v>
      </c>
      <c r="BF28" s="123">
        <f>交易记录!E711</f>
        <v>0</v>
      </c>
      <c r="BG28" s="123">
        <f>交易记录!D742</f>
        <v>0</v>
      </c>
      <c r="BH28" s="30">
        <f t="shared" si="28"/>
        <v>0</v>
      </c>
      <c r="BI28" s="120">
        <f>交易记录!E775</f>
        <v>0</v>
      </c>
      <c r="BJ28" s="120">
        <f>交易记录!D806</f>
        <v>0</v>
      </c>
      <c r="BK28" s="30">
        <f t="shared" si="12"/>
        <v>0</v>
      </c>
      <c r="BL28" s="123">
        <f>交易记录!E839</f>
        <v>0</v>
      </c>
      <c r="BM28" s="123">
        <f>交易记录!D870</f>
        <v>0</v>
      </c>
      <c r="BN28" s="30">
        <f t="shared" si="13"/>
        <v>0</v>
      </c>
      <c r="BO28" s="120">
        <f>交易记录!E903</f>
        <v>0</v>
      </c>
      <c r="BP28" s="120">
        <f>交易记录!D934</f>
        <v>0</v>
      </c>
      <c r="BQ28" s="30">
        <f t="shared" si="14"/>
        <v>0</v>
      </c>
    </row>
    <row r="29" spans="1:69" ht="15">
      <c r="A29" s="125">
        <f>'维护-日期'!A$4</f>
        <v>46267</v>
      </c>
      <c r="B29" s="7" t="s">
        <v>9</v>
      </c>
      <c r="C29" s="144">
        <f t="shared" si="15"/>
        <v>13.817</v>
      </c>
      <c r="D29" s="144">
        <f>ROUND(INDEX(持仓数据!$C$3:$AG$26,MATCH('计算过程-数据汇总'!B29,持仓数据!$B$3:$B$26,0),MATCH('计算过程-数据汇总'!A29,'维护-日期'!$B$2:$AF$2,0)),3)</f>
        <v>13.817</v>
      </c>
      <c r="E29" s="98">
        <f t="shared" si="0"/>
        <v>13.817</v>
      </c>
      <c r="F29" s="22">
        <f>持仓数据!D75</f>
        <v>0.09</v>
      </c>
      <c r="G29" s="97">
        <v>372</v>
      </c>
      <c r="H29" s="97">
        <v>372</v>
      </c>
      <c r="I29" s="64">
        <v>0</v>
      </c>
      <c r="J29" s="64">
        <v>0</v>
      </c>
      <c r="K29" s="21">
        <f>IF(持仓数据!D108="",0,持仓数据!D108)</f>
        <v>372</v>
      </c>
      <c r="L29" s="21">
        <f t="shared" si="16"/>
        <v>0</v>
      </c>
      <c r="M29" s="28">
        <f t="shared" si="1"/>
        <v>5139.924</v>
      </c>
      <c r="N29" s="28">
        <f t="shared" si="17"/>
        <v>0</v>
      </c>
      <c r="O29" s="28">
        <f t="shared" si="18"/>
        <v>0</v>
      </c>
      <c r="P29" s="28">
        <f t="shared" si="19"/>
        <v>0</v>
      </c>
      <c r="Q29" s="28">
        <f t="shared" si="29"/>
        <v>0</v>
      </c>
      <c r="R29" s="28">
        <f t="shared" si="21"/>
        <v>5139.924</v>
      </c>
      <c r="S29" s="28">
        <f t="shared" si="22"/>
        <v>0</v>
      </c>
      <c r="T29" s="28">
        <f t="shared" si="23"/>
        <v>0</v>
      </c>
      <c r="U29" s="28">
        <f t="shared" si="24"/>
        <v>0</v>
      </c>
      <c r="V29" s="28">
        <f t="shared" si="25"/>
        <v>0</v>
      </c>
      <c r="W29" s="118"/>
      <c r="X29" s="143">
        <f t="shared" si="26"/>
        <v>16.489999999999998</v>
      </c>
      <c r="Y29" s="120">
        <f>交易记录!E8</f>
        <v>0.09</v>
      </c>
      <c r="Z29" s="120">
        <f>交易记录!D39</f>
        <v>372</v>
      </c>
      <c r="AA29" s="30">
        <f t="shared" si="27"/>
        <v>0</v>
      </c>
      <c r="AB29" s="123">
        <f>交易记录!E72</f>
        <v>0</v>
      </c>
      <c r="AC29" s="123">
        <f>交易记录!E103</f>
        <v>0</v>
      </c>
      <c r="AD29" s="30">
        <f t="shared" si="35"/>
        <v>0</v>
      </c>
      <c r="AE29" s="120">
        <f>交易记录!E136</f>
        <v>0</v>
      </c>
      <c r="AF29" s="120">
        <f>交易记录!E167</f>
        <v>0</v>
      </c>
      <c r="AG29" s="30">
        <f t="shared" si="31"/>
        <v>0</v>
      </c>
      <c r="AH29" s="123">
        <f>交易记录!E200</f>
        <v>0</v>
      </c>
      <c r="AI29" s="123">
        <f>交易记录!E231</f>
        <v>0</v>
      </c>
      <c r="AJ29" s="30">
        <f t="shared" si="34"/>
        <v>0</v>
      </c>
      <c r="AK29" s="120">
        <f>交易记录!E264</f>
        <v>0</v>
      </c>
      <c r="AL29" s="120">
        <f>交易记录!E295</f>
        <v>0</v>
      </c>
      <c r="AM29" s="30">
        <f t="shared" si="33"/>
        <v>0</v>
      </c>
      <c r="AN29" s="123">
        <f>交易记录!E328</f>
        <v>0</v>
      </c>
      <c r="AO29" s="123">
        <f>交易记录!E359</f>
        <v>0</v>
      </c>
      <c r="AP29" s="30">
        <f t="shared" si="30"/>
        <v>0</v>
      </c>
      <c r="AQ29" s="120">
        <f>交易记录!E392</f>
        <v>0</v>
      </c>
      <c r="AR29" s="120">
        <f>交易记录!D423</f>
        <v>0</v>
      </c>
      <c r="AS29" s="30">
        <f t="shared" si="32"/>
        <v>0</v>
      </c>
      <c r="AT29" s="123">
        <f>交易记录!E456</f>
        <v>0</v>
      </c>
      <c r="AU29" s="123">
        <f>交易记录!D487</f>
        <v>0</v>
      </c>
      <c r="AV29" s="30">
        <f t="shared" si="8"/>
        <v>0</v>
      </c>
      <c r="AW29" s="120">
        <f>交易记录!E520</f>
        <v>0</v>
      </c>
      <c r="AX29" s="120">
        <f>交易记录!D551</f>
        <v>0</v>
      </c>
      <c r="AY29" s="30">
        <f t="shared" si="9"/>
        <v>0</v>
      </c>
      <c r="AZ29" s="123">
        <f>交易记录!E584</f>
        <v>0</v>
      </c>
      <c r="BA29" s="123">
        <f>交易记录!D615</f>
        <v>0</v>
      </c>
      <c r="BB29" s="30">
        <f t="shared" si="10"/>
        <v>0</v>
      </c>
      <c r="BC29" s="120">
        <f>交易记录!E648</f>
        <v>0</v>
      </c>
      <c r="BD29" s="120">
        <f>交易记录!D679</f>
        <v>0</v>
      </c>
      <c r="BE29" s="30">
        <f t="shared" si="11"/>
        <v>0</v>
      </c>
      <c r="BF29" s="123">
        <f>交易记录!E712</f>
        <v>0</v>
      </c>
      <c r="BG29" s="123">
        <f>交易记录!D743</f>
        <v>0</v>
      </c>
      <c r="BH29" s="30">
        <f t="shared" si="28"/>
        <v>0</v>
      </c>
      <c r="BI29" s="120">
        <f>交易记录!E776</f>
        <v>0</v>
      </c>
      <c r="BJ29" s="120">
        <f>交易记录!D807</f>
        <v>0</v>
      </c>
      <c r="BK29" s="30">
        <f t="shared" si="12"/>
        <v>0</v>
      </c>
      <c r="BL29" s="123">
        <f>交易记录!E840</f>
        <v>0</v>
      </c>
      <c r="BM29" s="123">
        <f>交易记录!D871</f>
        <v>0</v>
      </c>
      <c r="BN29" s="30">
        <f t="shared" si="13"/>
        <v>0</v>
      </c>
      <c r="BO29" s="120">
        <f>交易记录!E904</f>
        <v>0</v>
      </c>
      <c r="BP29" s="120">
        <f>交易记录!D935</f>
        <v>0</v>
      </c>
      <c r="BQ29" s="30">
        <f t="shared" si="14"/>
        <v>0</v>
      </c>
    </row>
    <row r="30" spans="1:69" ht="15">
      <c r="A30" s="125">
        <f>'维护-日期'!A$4</f>
        <v>46267</v>
      </c>
      <c r="B30" s="7" t="s">
        <v>10</v>
      </c>
      <c r="C30" s="144">
        <f t="shared" si="15"/>
        <v>13.388</v>
      </c>
      <c r="D30" s="144">
        <f>ROUND(INDEX(持仓数据!$C$3:$AG$26,MATCH('计算过程-数据汇总'!B30,持仓数据!$B$3:$B$26,0),MATCH('计算过程-数据汇总'!A30,'维护-日期'!$B$2:$AF$2,0)),3)</f>
        <v>13.388</v>
      </c>
      <c r="E30" s="98">
        <f t="shared" si="0"/>
        <v>13.388</v>
      </c>
      <c r="F30" s="22">
        <f>持仓数据!D76</f>
        <v>8.6999999999999994E-2</v>
      </c>
      <c r="G30" s="97">
        <v>372</v>
      </c>
      <c r="H30" s="97">
        <v>372</v>
      </c>
      <c r="I30" s="64">
        <v>0</v>
      </c>
      <c r="J30" s="64">
        <v>0</v>
      </c>
      <c r="K30" s="21">
        <f>IF(持仓数据!D109="",0,持仓数据!D109)</f>
        <v>372</v>
      </c>
      <c r="L30" s="21">
        <f t="shared" si="16"/>
        <v>0</v>
      </c>
      <c r="M30" s="28">
        <f t="shared" si="1"/>
        <v>4980.3360000000002</v>
      </c>
      <c r="N30" s="28">
        <f t="shared" si="17"/>
        <v>0</v>
      </c>
      <c r="O30" s="28">
        <f t="shared" si="18"/>
        <v>0</v>
      </c>
      <c r="P30" s="28">
        <f t="shared" si="19"/>
        <v>0</v>
      </c>
      <c r="Q30" s="28">
        <f t="shared" si="29"/>
        <v>0</v>
      </c>
      <c r="R30" s="28">
        <f t="shared" si="21"/>
        <v>4980.3360000000002</v>
      </c>
      <c r="S30" s="28">
        <f t="shared" si="22"/>
        <v>0</v>
      </c>
      <c r="T30" s="28">
        <f t="shared" si="23"/>
        <v>0</v>
      </c>
      <c r="U30" s="28">
        <f t="shared" si="24"/>
        <v>0</v>
      </c>
      <c r="V30" s="28">
        <f t="shared" si="25"/>
        <v>0</v>
      </c>
      <c r="W30" s="118"/>
      <c r="X30" s="143">
        <f t="shared" si="26"/>
        <v>15.978999999999999</v>
      </c>
      <c r="Y30" s="120">
        <f>交易记录!E9</f>
        <v>8.6999999999999994E-2</v>
      </c>
      <c r="Z30" s="120">
        <f>交易记录!D40</f>
        <v>372</v>
      </c>
      <c r="AA30" s="30">
        <f t="shared" si="27"/>
        <v>0</v>
      </c>
      <c r="AB30" s="123">
        <f>交易记录!E73</f>
        <v>0</v>
      </c>
      <c r="AC30" s="123">
        <f>交易记录!E104</f>
        <v>0</v>
      </c>
      <c r="AD30" s="30">
        <f t="shared" si="35"/>
        <v>0</v>
      </c>
      <c r="AE30" s="120">
        <f>交易记录!E137</f>
        <v>0</v>
      </c>
      <c r="AF30" s="120">
        <f>交易记录!E168</f>
        <v>0</v>
      </c>
      <c r="AG30" s="30">
        <f t="shared" si="31"/>
        <v>0</v>
      </c>
      <c r="AH30" s="123">
        <f>交易记录!E201</f>
        <v>0</v>
      </c>
      <c r="AI30" s="123">
        <f>交易记录!E232</f>
        <v>0</v>
      </c>
      <c r="AJ30" s="30">
        <f t="shared" si="34"/>
        <v>0</v>
      </c>
      <c r="AK30" s="120">
        <f>交易记录!E265</f>
        <v>0</v>
      </c>
      <c r="AL30" s="120">
        <f>交易记录!E296</f>
        <v>0</v>
      </c>
      <c r="AM30" s="30">
        <f t="shared" si="33"/>
        <v>0</v>
      </c>
      <c r="AN30" s="123">
        <f>交易记录!E329</f>
        <v>0</v>
      </c>
      <c r="AO30" s="123">
        <f>交易记录!E360</f>
        <v>0</v>
      </c>
      <c r="AP30" s="30">
        <f t="shared" si="30"/>
        <v>0</v>
      </c>
      <c r="AQ30" s="120">
        <f>交易记录!E393</f>
        <v>0</v>
      </c>
      <c r="AR30" s="120">
        <f>交易记录!D424</f>
        <v>0</v>
      </c>
      <c r="AS30" s="30">
        <f t="shared" si="32"/>
        <v>0</v>
      </c>
      <c r="AT30" s="123">
        <f>交易记录!E457</f>
        <v>0</v>
      </c>
      <c r="AU30" s="123">
        <f>交易记录!D488</f>
        <v>0</v>
      </c>
      <c r="AV30" s="30">
        <f t="shared" si="8"/>
        <v>0</v>
      </c>
      <c r="AW30" s="120">
        <f>交易记录!E521</f>
        <v>0</v>
      </c>
      <c r="AX30" s="120">
        <f>交易记录!D552</f>
        <v>0</v>
      </c>
      <c r="AY30" s="30">
        <f t="shared" si="9"/>
        <v>0</v>
      </c>
      <c r="AZ30" s="123">
        <f>交易记录!E585</f>
        <v>0</v>
      </c>
      <c r="BA30" s="123">
        <f>交易记录!D616</f>
        <v>0</v>
      </c>
      <c r="BB30" s="30">
        <f t="shared" si="10"/>
        <v>0</v>
      </c>
      <c r="BC30" s="120">
        <f>交易记录!E649</f>
        <v>0</v>
      </c>
      <c r="BD30" s="120">
        <f>交易记录!D680</f>
        <v>0</v>
      </c>
      <c r="BE30" s="30">
        <f t="shared" si="11"/>
        <v>0</v>
      </c>
      <c r="BF30" s="123">
        <f>交易记录!E713</f>
        <v>0</v>
      </c>
      <c r="BG30" s="123">
        <f>交易记录!D744</f>
        <v>0</v>
      </c>
      <c r="BH30" s="30">
        <f t="shared" si="28"/>
        <v>0</v>
      </c>
      <c r="BI30" s="120">
        <f>交易记录!E777</f>
        <v>0</v>
      </c>
      <c r="BJ30" s="120">
        <f>交易记录!D808</f>
        <v>0</v>
      </c>
      <c r="BK30" s="30">
        <f t="shared" si="12"/>
        <v>0</v>
      </c>
      <c r="BL30" s="123">
        <f>交易记录!E841</f>
        <v>0</v>
      </c>
      <c r="BM30" s="123">
        <f>交易记录!D872</f>
        <v>0</v>
      </c>
      <c r="BN30" s="30">
        <f t="shared" si="13"/>
        <v>0</v>
      </c>
      <c r="BO30" s="120">
        <f>交易记录!E905</f>
        <v>0</v>
      </c>
      <c r="BP30" s="120">
        <f>交易记录!D936</f>
        <v>0</v>
      </c>
      <c r="BQ30" s="30">
        <f t="shared" si="14"/>
        <v>0</v>
      </c>
    </row>
    <row r="31" spans="1:69" ht="15">
      <c r="A31" s="125">
        <f>'维护-日期'!A$4</f>
        <v>46267</v>
      </c>
      <c r="B31" s="7" t="s">
        <v>11</v>
      </c>
      <c r="C31" s="144">
        <f t="shared" si="15"/>
        <v>13.087</v>
      </c>
      <c r="D31" s="144">
        <f>ROUND(INDEX(持仓数据!$C$3:$AG$26,MATCH('计算过程-数据汇总'!B31,持仓数据!$B$3:$B$26,0),MATCH('计算过程-数据汇总'!A31,'维护-日期'!$B$2:$AF$2,0)),3)</f>
        <v>13.087</v>
      </c>
      <c r="E31" s="98">
        <f t="shared" si="0"/>
        <v>13.087</v>
      </c>
      <c r="F31" s="22">
        <f>持仓数据!D77</f>
        <v>8.6999999999999994E-2</v>
      </c>
      <c r="G31" s="97">
        <v>372</v>
      </c>
      <c r="H31" s="97">
        <v>372</v>
      </c>
      <c r="I31" s="64">
        <v>0</v>
      </c>
      <c r="J31" s="64">
        <v>0</v>
      </c>
      <c r="K31" s="21">
        <f>IF(持仓数据!D110="",0,持仓数据!D110)</f>
        <v>372</v>
      </c>
      <c r="L31" s="21">
        <f t="shared" si="16"/>
        <v>0</v>
      </c>
      <c r="M31" s="28">
        <f t="shared" si="1"/>
        <v>4868.3639999999996</v>
      </c>
      <c r="N31" s="28">
        <f t="shared" si="17"/>
        <v>0</v>
      </c>
      <c r="O31" s="28">
        <f t="shared" si="18"/>
        <v>0</v>
      </c>
      <c r="P31" s="28">
        <f t="shared" si="19"/>
        <v>0</v>
      </c>
      <c r="Q31" s="28">
        <f t="shared" si="29"/>
        <v>0</v>
      </c>
      <c r="R31" s="28">
        <f t="shared" si="21"/>
        <v>4868.3639999999996</v>
      </c>
      <c r="S31" s="28">
        <f t="shared" si="22"/>
        <v>0</v>
      </c>
      <c r="T31" s="28">
        <f t="shared" si="23"/>
        <v>0</v>
      </c>
      <c r="U31" s="28">
        <f t="shared" si="24"/>
        <v>0</v>
      </c>
      <c r="V31" s="28">
        <f t="shared" si="25"/>
        <v>0</v>
      </c>
      <c r="W31" s="118"/>
      <c r="X31" s="143">
        <f t="shared" si="26"/>
        <v>15.617000000000001</v>
      </c>
      <c r="Y31" s="120">
        <f>交易记录!E10</f>
        <v>8.6999999999999994E-2</v>
      </c>
      <c r="Z31" s="120">
        <f>交易记录!D41</f>
        <v>372</v>
      </c>
      <c r="AA31" s="30">
        <f t="shared" si="27"/>
        <v>0</v>
      </c>
      <c r="AB31" s="123">
        <f>交易记录!E74</f>
        <v>0</v>
      </c>
      <c r="AC31" s="123">
        <f>交易记录!E105</f>
        <v>0</v>
      </c>
      <c r="AD31" s="30">
        <f t="shared" si="35"/>
        <v>0</v>
      </c>
      <c r="AE31" s="120">
        <f>交易记录!E138</f>
        <v>0</v>
      </c>
      <c r="AF31" s="120">
        <f>交易记录!E169</f>
        <v>0</v>
      </c>
      <c r="AG31" s="30">
        <f t="shared" si="31"/>
        <v>0</v>
      </c>
      <c r="AH31" s="123">
        <f>交易记录!E202</f>
        <v>0</v>
      </c>
      <c r="AI31" s="123">
        <f>交易记录!E233</f>
        <v>0</v>
      </c>
      <c r="AJ31" s="30">
        <f t="shared" si="34"/>
        <v>0</v>
      </c>
      <c r="AK31" s="120">
        <f>交易记录!E266</f>
        <v>0</v>
      </c>
      <c r="AL31" s="120">
        <f>交易记录!E297</f>
        <v>0</v>
      </c>
      <c r="AM31" s="30">
        <f t="shared" si="33"/>
        <v>0</v>
      </c>
      <c r="AN31" s="123">
        <f>交易记录!E330</f>
        <v>0</v>
      </c>
      <c r="AO31" s="123">
        <f>交易记录!E361</f>
        <v>0</v>
      </c>
      <c r="AP31" s="30">
        <f t="shared" si="30"/>
        <v>0</v>
      </c>
      <c r="AQ31" s="120">
        <f>交易记录!E394</f>
        <v>0</v>
      </c>
      <c r="AR31" s="120">
        <f>交易记录!D425</f>
        <v>0</v>
      </c>
      <c r="AS31" s="30">
        <f t="shared" si="32"/>
        <v>0</v>
      </c>
      <c r="AT31" s="123">
        <f>交易记录!E458</f>
        <v>0</v>
      </c>
      <c r="AU31" s="123">
        <f>交易记录!D489</f>
        <v>0</v>
      </c>
      <c r="AV31" s="30">
        <f t="shared" si="8"/>
        <v>0</v>
      </c>
      <c r="AW31" s="120">
        <f>交易记录!E522</f>
        <v>0</v>
      </c>
      <c r="AX31" s="120">
        <f>交易记录!D553</f>
        <v>0</v>
      </c>
      <c r="AY31" s="30">
        <f t="shared" si="9"/>
        <v>0</v>
      </c>
      <c r="AZ31" s="123">
        <f>交易记录!E586</f>
        <v>0</v>
      </c>
      <c r="BA31" s="123">
        <f>交易记录!D617</f>
        <v>0</v>
      </c>
      <c r="BB31" s="30">
        <f t="shared" si="10"/>
        <v>0</v>
      </c>
      <c r="BC31" s="120">
        <f>交易记录!E650</f>
        <v>0</v>
      </c>
      <c r="BD31" s="120">
        <f>交易记录!D681</f>
        <v>0</v>
      </c>
      <c r="BE31" s="30">
        <f t="shared" si="11"/>
        <v>0</v>
      </c>
      <c r="BF31" s="123">
        <f>交易记录!E714</f>
        <v>0</v>
      </c>
      <c r="BG31" s="123">
        <f>交易记录!D745</f>
        <v>0</v>
      </c>
      <c r="BH31" s="30">
        <f t="shared" si="28"/>
        <v>0</v>
      </c>
      <c r="BI31" s="120">
        <f>交易记录!E778</f>
        <v>0</v>
      </c>
      <c r="BJ31" s="120">
        <f>交易记录!D809</f>
        <v>0</v>
      </c>
      <c r="BK31" s="30">
        <f t="shared" si="12"/>
        <v>0</v>
      </c>
      <c r="BL31" s="123">
        <f>交易记录!E842</f>
        <v>0</v>
      </c>
      <c r="BM31" s="123">
        <f>交易记录!D873</f>
        <v>0</v>
      </c>
      <c r="BN31" s="30">
        <f t="shared" si="13"/>
        <v>0</v>
      </c>
      <c r="BO31" s="120">
        <f>交易记录!E906</f>
        <v>0</v>
      </c>
      <c r="BP31" s="120">
        <f>交易记录!D937</f>
        <v>0</v>
      </c>
      <c r="BQ31" s="30">
        <f t="shared" si="14"/>
        <v>0</v>
      </c>
    </row>
    <row r="32" spans="1:69" ht="15">
      <c r="A32" s="125">
        <f>'维护-日期'!A$4</f>
        <v>46267</v>
      </c>
      <c r="B32" s="7" t="s">
        <v>12</v>
      </c>
      <c r="C32" s="144">
        <f t="shared" si="15"/>
        <v>12.95</v>
      </c>
      <c r="D32" s="144">
        <f>ROUND(INDEX(持仓数据!$C$3:$AG$26,MATCH('计算过程-数据汇总'!B32,持仓数据!$B$3:$B$26,0),MATCH('计算过程-数据汇总'!A32,'维护-日期'!$B$2:$AF$2,0)),3)</f>
        <v>12.95</v>
      </c>
      <c r="E32" s="98">
        <f t="shared" si="0"/>
        <v>12.95</v>
      </c>
      <c r="F32" s="22">
        <f>持仓数据!D78</f>
        <v>0.14499999999999999</v>
      </c>
      <c r="G32" s="97">
        <v>372</v>
      </c>
      <c r="H32" s="97">
        <v>372</v>
      </c>
      <c r="I32" s="64">
        <v>0</v>
      </c>
      <c r="J32" s="64">
        <v>0</v>
      </c>
      <c r="K32" s="21">
        <f>IF(持仓数据!D111="",0,持仓数据!D111)</f>
        <v>372</v>
      </c>
      <c r="L32" s="21">
        <f t="shared" si="16"/>
        <v>0</v>
      </c>
      <c r="M32" s="28">
        <f t="shared" si="1"/>
        <v>4817.3999999999996</v>
      </c>
      <c r="N32" s="28">
        <f t="shared" si="17"/>
        <v>0</v>
      </c>
      <c r="O32" s="28">
        <f t="shared" si="18"/>
        <v>0</v>
      </c>
      <c r="P32" s="28">
        <f t="shared" si="19"/>
        <v>0</v>
      </c>
      <c r="Q32" s="28">
        <f t="shared" si="29"/>
        <v>0</v>
      </c>
      <c r="R32" s="28">
        <f t="shared" si="21"/>
        <v>4817.3999999999996</v>
      </c>
      <c r="S32" s="28">
        <f t="shared" si="22"/>
        <v>0</v>
      </c>
      <c r="T32" s="28">
        <f t="shared" si="23"/>
        <v>0</v>
      </c>
      <c r="U32" s="28">
        <f t="shared" si="24"/>
        <v>0</v>
      </c>
      <c r="V32" s="28">
        <f t="shared" si="25"/>
        <v>0</v>
      </c>
      <c r="W32" s="118"/>
      <c r="X32" s="143">
        <f t="shared" si="26"/>
        <v>15.395</v>
      </c>
      <c r="Y32" s="120">
        <f>交易记录!E11</f>
        <v>0.14499999999999999</v>
      </c>
      <c r="Z32" s="120">
        <f>交易记录!D42</f>
        <v>372</v>
      </c>
      <c r="AA32" s="30">
        <f t="shared" si="27"/>
        <v>0</v>
      </c>
      <c r="AB32" s="123">
        <f>交易记录!E75</f>
        <v>0</v>
      </c>
      <c r="AC32" s="123">
        <f>交易记录!E106</f>
        <v>0</v>
      </c>
      <c r="AD32" s="30">
        <f t="shared" si="35"/>
        <v>0</v>
      </c>
      <c r="AE32" s="120">
        <f>交易记录!E139</f>
        <v>0</v>
      </c>
      <c r="AF32" s="120">
        <f>交易记录!E170</f>
        <v>0</v>
      </c>
      <c r="AG32" s="30">
        <f t="shared" si="31"/>
        <v>0</v>
      </c>
      <c r="AH32" s="123">
        <f>交易记录!E203</f>
        <v>0</v>
      </c>
      <c r="AI32" s="123">
        <f>交易记录!E234</f>
        <v>0</v>
      </c>
      <c r="AJ32" s="30">
        <f t="shared" si="34"/>
        <v>0</v>
      </c>
      <c r="AK32" s="120">
        <f>交易记录!E267</f>
        <v>0</v>
      </c>
      <c r="AL32" s="120">
        <f>交易记录!E298</f>
        <v>0</v>
      </c>
      <c r="AM32" s="30">
        <f t="shared" si="33"/>
        <v>0</v>
      </c>
      <c r="AN32" s="123">
        <f>交易记录!E331</f>
        <v>0</v>
      </c>
      <c r="AO32" s="123">
        <f>交易记录!E362</f>
        <v>0</v>
      </c>
      <c r="AP32" s="30">
        <f t="shared" si="30"/>
        <v>0</v>
      </c>
      <c r="AQ32" s="120">
        <f>交易记录!E395</f>
        <v>0</v>
      </c>
      <c r="AR32" s="120">
        <f>交易记录!D426</f>
        <v>0</v>
      </c>
      <c r="AS32" s="30">
        <f t="shared" si="32"/>
        <v>0</v>
      </c>
      <c r="AT32" s="123">
        <f>交易记录!E459</f>
        <v>0</v>
      </c>
      <c r="AU32" s="123">
        <f>交易记录!D490</f>
        <v>0</v>
      </c>
      <c r="AV32" s="30">
        <f t="shared" si="8"/>
        <v>0</v>
      </c>
      <c r="AW32" s="120">
        <f>交易记录!E523</f>
        <v>0</v>
      </c>
      <c r="AX32" s="120">
        <f>交易记录!D554</f>
        <v>0</v>
      </c>
      <c r="AY32" s="30">
        <f t="shared" si="9"/>
        <v>0</v>
      </c>
      <c r="AZ32" s="123">
        <f>交易记录!E587</f>
        <v>0</v>
      </c>
      <c r="BA32" s="123">
        <f>交易记录!D618</f>
        <v>0</v>
      </c>
      <c r="BB32" s="30">
        <f t="shared" si="10"/>
        <v>0</v>
      </c>
      <c r="BC32" s="120">
        <f>交易记录!E651</f>
        <v>0</v>
      </c>
      <c r="BD32" s="120">
        <f>交易记录!D682</f>
        <v>0</v>
      </c>
      <c r="BE32" s="30">
        <f t="shared" si="11"/>
        <v>0</v>
      </c>
      <c r="BF32" s="123">
        <f>交易记录!E715</f>
        <v>0</v>
      </c>
      <c r="BG32" s="123">
        <f>交易记录!D746</f>
        <v>0</v>
      </c>
      <c r="BH32" s="30">
        <f t="shared" si="28"/>
        <v>0</v>
      </c>
      <c r="BI32" s="120">
        <f>交易记录!E779</f>
        <v>0</v>
      </c>
      <c r="BJ32" s="120">
        <f>交易记录!D810</f>
        <v>0</v>
      </c>
      <c r="BK32" s="30">
        <f t="shared" si="12"/>
        <v>0</v>
      </c>
      <c r="BL32" s="123">
        <f>交易记录!E843</f>
        <v>0</v>
      </c>
      <c r="BM32" s="123">
        <f>交易记录!D874</f>
        <v>0</v>
      </c>
      <c r="BN32" s="30">
        <f t="shared" si="13"/>
        <v>0</v>
      </c>
      <c r="BO32" s="120">
        <f>交易记录!E907</f>
        <v>0</v>
      </c>
      <c r="BP32" s="120">
        <f>交易记录!D938</f>
        <v>0</v>
      </c>
      <c r="BQ32" s="30">
        <f t="shared" si="14"/>
        <v>0</v>
      </c>
    </row>
    <row r="33" spans="1:69" ht="15">
      <c r="A33" s="125">
        <f>'维护-日期'!A$4</f>
        <v>46267</v>
      </c>
      <c r="B33" s="7" t="s">
        <v>13</v>
      </c>
      <c r="C33" s="144">
        <f t="shared" si="15"/>
        <v>13.266999999999999</v>
      </c>
      <c r="D33" s="144">
        <f>ROUND(INDEX(持仓数据!$C$3:$AG$26,MATCH('计算过程-数据汇总'!B33,持仓数据!$B$3:$B$26,0),MATCH('计算过程-数据汇总'!A33,'维护-日期'!$B$2:$AF$2,0)),3)</f>
        <v>13.266999999999999</v>
      </c>
      <c r="E33" s="98">
        <f t="shared" si="0"/>
        <v>13.266999999999999</v>
      </c>
      <c r="F33" s="22">
        <f>持仓数据!D79</f>
        <v>0.307</v>
      </c>
      <c r="G33" s="97">
        <v>372</v>
      </c>
      <c r="H33" s="97">
        <v>372</v>
      </c>
      <c r="I33" s="64">
        <v>0</v>
      </c>
      <c r="J33" s="64">
        <v>0</v>
      </c>
      <c r="K33" s="21">
        <f>IF(持仓数据!D112="",0,持仓数据!D112)</f>
        <v>372</v>
      </c>
      <c r="L33" s="21">
        <f t="shared" si="16"/>
        <v>0</v>
      </c>
      <c r="M33" s="28">
        <f t="shared" si="1"/>
        <v>4935.3239999999996</v>
      </c>
      <c r="N33" s="28">
        <f t="shared" si="17"/>
        <v>0</v>
      </c>
      <c r="O33" s="28">
        <f t="shared" si="18"/>
        <v>0</v>
      </c>
      <c r="P33" s="28">
        <f t="shared" si="19"/>
        <v>0</v>
      </c>
      <c r="Q33" s="28">
        <f t="shared" si="29"/>
        <v>0</v>
      </c>
      <c r="R33" s="28">
        <f t="shared" si="21"/>
        <v>4935.3239999999996</v>
      </c>
      <c r="S33" s="28">
        <f t="shared" si="22"/>
        <v>0</v>
      </c>
      <c r="T33" s="28">
        <f t="shared" si="23"/>
        <v>0</v>
      </c>
      <c r="U33" s="28">
        <f t="shared" si="24"/>
        <v>0</v>
      </c>
      <c r="V33" s="28">
        <f t="shared" si="25"/>
        <v>0</v>
      </c>
      <c r="W33" s="118"/>
      <c r="X33" s="143">
        <f t="shared" si="26"/>
        <v>15.613</v>
      </c>
      <c r="Y33" s="120">
        <f>交易记录!E12</f>
        <v>0.307</v>
      </c>
      <c r="Z33" s="120">
        <f>交易记录!D43</f>
        <v>372</v>
      </c>
      <c r="AA33" s="30">
        <f t="shared" si="27"/>
        <v>0</v>
      </c>
      <c r="AB33" s="123">
        <f>交易记录!E76</f>
        <v>0</v>
      </c>
      <c r="AC33" s="123">
        <f>交易记录!E107</f>
        <v>0</v>
      </c>
      <c r="AD33" s="30">
        <f t="shared" si="35"/>
        <v>0</v>
      </c>
      <c r="AE33" s="120">
        <f>交易记录!E140</f>
        <v>0</v>
      </c>
      <c r="AF33" s="120">
        <f>交易记录!E171</f>
        <v>0</v>
      </c>
      <c r="AG33" s="30">
        <f t="shared" si="31"/>
        <v>0</v>
      </c>
      <c r="AH33" s="123">
        <f>交易记录!E204</f>
        <v>0</v>
      </c>
      <c r="AI33" s="123">
        <f>交易记录!E235</f>
        <v>0</v>
      </c>
      <c r="AJ33" s="30">
        <f t="shared" si="34"/>
        <v>0</v>
      </c>
      <c r="AK33" s="120">
        <f>交易记录!E268</f>
        <v>0</v>
      </c>
      <c r="AL33" s="120">
        <f>交易记录!E299</f>
        <v>0</v>
      </c>
      <c r="AM33" s="30">
        <f t="shared" si="33"/>
        <v>0</v>
      </c>
      <c r="AN33" s="123">
        <f>交易记录!E332</f>
        <v>0</v>
      </c>
      <c r="AO33" s="123">
        <f>交易记录!E363</f>
        <v>0</v>
      </c>
      <c r="AP33" s="30">
        <f t="shared" si="30"/>
        <v>0</v>
      </c>
      <c r="AQ33" s="120">
        <f>交易记录!E396</f>
        <v>0</v>
      </c>
      <c r="AR33" s="120">
        <f>交易记录!D427</f>
        <v>0</v>
      </c>
      <c r="AS33" s="30">
        <f t="shared" si="32"/>
        <v>0</v>
      </c>
      <c r="AT33" s="123">
        <f>交易记录!E460</f>
        <v>0</v>
      </c>
      <c r="AU33" s="123">
        <f>交易记录!D491</f>
        <v>0</v>
      </c>
      <c r="AV33" s="30">
        <f t="shared" si="8"/>
        <v>0</v>
      </c>
      <c r="AW33" s="120">
        <f>交易记录!E524</f>
        <v>0</v>
      </c>
      <c r="AX33" s="120">
        <f>交易记录!D555</f>
        <v>0</v>
      </c>
      <c r="AY33" s="30">
        <f t="shared" si="9"/>
        <v>0</v>
      </c>
      <c r="AZ33" s="123">
        <f>交易记录!E588</f>
        <v>0</v>
      </c>
      <c r="BA33" s="123">
        <f>交易记录!D619</f>
        <v>0</v>
      </c>
      <c r="BB33" s="30">
        <f t="shared" si="10"/>
        <v>0</v>
      </c>
      <c r="BC33" s="120">
        <f>交易记录!E652</f>
        <v>0</v>
      </c>
      <c r="BD33" s="120">
        <f>交易记录!D683</f>
        <v>0</v>
      </c>
      <c r="BE33" s="30">
        <f t="shared" si="11"/>
        <v>0</v>
      </c>
      <c r="BF33" s="123">
        <f>交易记录!E716</f>
        <v>0</v>
      </c>
      <c r="BG33" s="123">
        <f>交易记录!D747</f>
        <v>0</v>
      </c>
      <c r="BH33" s="30">
        <f t="shared" si="28"/>
        <v>0</v>
      </c>
      <c r="BI33" s="120">
        <f>交易记录!E780</f>
        <v>0</v>
      </c>
      <c r="BJ33" s="120">
        <f>交易记录!D811</f>
        <v>0</v>
      </c>
      <c r="BK33" s="30">
        <f t="shared" si="12"/>
        <v>0</v>
      </c>
      <c r="BL33" s="123">
        <f>交易记录!E844</f>
        <v>0</v>
      </c>
      <c r="BM33" s="123">
        <f>交易记录!D875</f>
        <v>0</v>
      </c>
      <c r="BN33" s="30">
        <f t="shared" si="13"/>
        <v>0</v>
      </c>
      <c r="BO33" s="120">
        <f>交易记录!E908</f>
        <v>0</v>
      </c>
      <c r="BP33" s="120">
        <f>交易记录!D939</f>
        <v>0</v>
      </c>
      <c r="BQ33" s="30">
        <f t="shared" si="14"/>
        <v>0</v>
      </c>
    </row>
    <row r="34" spans="1:69" ht="15">
      <c r="A34" s="125">
        <f>'维护-日期'!A$4</f>
        <v>46267</v>
      </c>
      <c r="B34" s="7" t="s">
        <v>14</v>
      </c>
      <c r="C34" s="144">
        <f t="shared" si="15"/>
        <v>15.795999999999999</v>
      </c>
      <c r="D34" s="144">
        <f>ROUND(INDEX(持仓数据!$C$3:$AG$26,MATCH('计算过程-数据汇总'!B34,持仓数据!$B$3:$B$26,0),MATCH('计算过程-数据汇总'!A34,'维护-日期'!$B$2:$AF$2,0)),3)</f>
        <v>15.795999999999999</v>
      </c>
      <c r="E34" s="98">
        <f t="shared" si="0"/>
        <v>15.795999999999999</v>
      </c>
      <c r="F34" s="22">
        <f>持仓数据!D80</f>
        <v>0.42800000000000005</v>
      </c>
      <c r="G34" s="97">
        <v>372</v>
      </c>
      <c r="H34" s="97">
        <v>372</v>
      </c>
      <c r="I34" s="64">
        <v>0</v>
      </c>
      <c r="J34" s="64">
        <v>0</v>
      </c>
      <c r="K34" s="21">
        <f>IF(持仓数据!D113="",0,持仓数据!D113)</f>
        <v>372</v>
      </c>
      <c r="L34" s="21">
        <f t="shared" si="16"/>
        <v>0</v>
      </c>
      <c r="M34" s="28">
        <f t="shared" si="1"/>
        <v>5876.1120000000001</v>
      </c>
      <c r="N34" s="28">
        <f t="shared" si="17"/>
        <v>0</v>
      </c>
      <c r="O34" s="28">
        <f t="shared" si="18"/>
        <v>0</v>
      </c>
      <c r="P34" s="28">
        <f t="shared" si="19"/>
        <v>0</v>
      </c>
      <c r="Q34" s="28">
        <f t="shared" si="29"/>
        <v>0</v>
      </c>
      <c r="R34" s="28">
        <f t="shared" si="21"/>
        <v>5876.1120000000001</v>
      </c>
      <c r="S34" s="28">
        <f t="shared" si="22"/>
        <v>0</v>
      </c>
      <c r="T34" s="28">
        <f t="shared" si="23"/>
        <v>0</v>
      </c>
      <c r="U34" s="28">
        <f t="shared" ref="U34:U67" si="36">IFERROR((D34-C34)*(K34-H34),0)</f>
        <v>0</v>
      </c>
      <c r="V34" s="28">
        <f t="shared" ref="V34:V66" si="37">IFERROR((E34-D34)*(K34-H34),0)</f>
        <v>0</v>
      </c>
      <c r="W34" s="118"/>
      <c r="X34" s="143">
        <f t="shared" si="26"/>
        <v>18.527000000000001</v>
      </c>
      <c r="Y34" s="120">
        <f>交易记录!E13</f>
        <v>0.42800000000000005</v>
      </c>
      <c r="Z34" s="120">
        <f>交易记录!D44</f>
        <v>372</v>
      </c>
      <c r="AA34" s="30">
        <f t="shared" si="27"/>
        <v>0</v>
      </c>
      <c r="AB34" s="123">
        <f>交易记录!E77</f>
        <v>0</v>
      </c>
      <c r="AC34" s="123">
        <f>交易记录!E108</f>
        <v>0</v>
      </c>
      <c r="AD34" s="30">
        <f t="shared" si="35"/>
        <v>0</v>
      </c>
      <c r="AE34" s="120">
        <f>交易记录!E141</f>
        <v>0</v>
      </c>
      <c r="AF34" s="120">
        <f>交易记录!E172</f>
        <v>0</v>
      </c>
      <c r="AG34" s="30">
        <f t="shared" si="31"/>
        <v>0</v>
      </c>
      <c r="AH34" s="123">
        <f>交易记录!E205</f>
        <v>0</v>
      </c>
      <c r="AI34" s="123">
        <f>交易记录!E236</f>
        <v>0</v>
      </c>
      <c r="AJ34" s="30">
        <f t="shared" si="34"/>
        <v>0</v>
      </c>
      <c r="AK34" s="120">
        <f>交易记录!E269</f>
        <v>0</v>
      </c>
      <c r="AL34" s="120">
        <f>交易记录!E300</f>
        <v>0</v>
      </c>
      <c r="AM34" s="30">
        <f t="shared" si="33"/>
        <v>0</v>
      </c>
      <c r="AN34" s="123">
        <f>交易记录!E333</f>
        <v>0</v>
      </c>
      <c r="AO34" s="123">
        <f>交易记录!E364</f>
        <v>0</v>
      </c>
      <c r="AP34" s="30">
        <f t="shared" si="30"/>
        <v>0</v>
      </c>
      <c r="AQ34" s="120">
        <f>交易记录!E397</f>
        <v>0</v>
      </c>
      <c r="AR34" s="120">
        <f>交易记录!D428</f>
        <v>0</v>
      </c>
      <c r="AS34" s="30">
        <f t="shared" si="32"/>
        <v>0</v>
      </c>
      <c r="AT34" s="123">
        <f>交易记录!E461</f>
        <v>0</v>
      </c>
      <c r="AU34" s="123">
        <f>交易记录!D492</f>
        <v>0</v>
      </c>
      <c r="AV34" s="30">
        <f t="shared" si="8"/>
        <v>0</v>
      </c>
      <c r="AW34" s="120">
        <f>交易记录!E525</f>
        <v>0</v>
      </c>
      <c r="AX34" s="120">
        <f>交易记录!D556</f>
        <v>0</v>
      </c>
      <c r="AY34" s="30">
        <f t="shared" si="9"/>
        <v>0</v>
      </c>
      <c r="AZ34" s="123">
        <f>交易记录!E589</f>
        <v>0</v>
      </c>
      <c r="BA34" s="123">
        <f>交易记录!D620</f>
        <v>0</v>
      </c>
      <c r="BB34" s="30">
        <f t="shared" si="10"/>
        <v>0</v>
      </c>
      <c r="BC34" s="120">
        <f>交易记录!E653</f>
        <v>0</v>
      </c>
      <c r="BD34" s="120">
        <f>交易记录!D684</f>
        <v>0</v>
      </c>
      <c r="BE34" s="30">
        <f t="shared" si="11"/>
        <v>0</v>
      </c>
      <c r="BF34" s="123">
        <f>交易记录!E717</f>
        <v>0</v>
      </c>
      <c r="BG34" s="123">
        <f>交易记录!D748</f>
        <v>0</v>
      </c>
      <c r="BH34" s="30">
        <f t="shared" si="28"/>
        <v>0</v>
      </c>
      <c r="BI34" s="120">
        <f>交易记录!E781</f>
        <v>0</v>
      </c>
      <c r="BJ34" s="120">
        <f>交易记录!D812</f>
        <v>0</v>
      </c>
      <c r="BK34" s="30">
        <f t="shared" si="12"/>
        <v>0</v>
      </c>
      <c r="BL34" s="123">
        <f>交易记录!E845</f>
        <v>0</v>
      </c>
      <c r="BM34" s="123">
        <f>交易记录!D876</f>
        <v>0</v>
      </c>
      <c r="BN34" s="30">
        <f t="shared" si="13"/>
        <v>0</v>
      </c>
      <c r="BO34" s="120">
        <f>交易记录!E909</f>
        <v>0</v>
      </c>
      <c r="BP34" s="120">
        <f>交易记录!D940</f>
        <v>0</v>
      </c>
      <c r="BQ34" s="30">
        <f t="shared" si="14"/>
        <v>0</v>
      </c>
    </row>
    <row r="35" spans="1:69" ht="15">
      <c r="A35" s="125">
        <f>'维护-日期'!A$4</f>
        <v>46267</v>
      </c>
      <c r="B35" s="7" t="s">
        <v>15</v>
      </c>
      <c r="C35" s="144">
        <f t="shared" si="15"/>
        <v>19.308</v>
      </c>
      <c r="D35" s="144">
        <f>ROUND(INDEX(持仓数据!$C$3:$AG$26,MATCH('计算过程-数据汇总'!B35,持仓数据!$B$3:$B$26,0),MATCH('计算过程-数据汇总'!A35,'维护-日期'!$B$2:$AF$2,0)),3)</f>
        <v>19.308</v>
      </c>
      <c r="E35" s="98">
        <f t="shared" si="0"/>
        <v>19.308</v>
      </c>
      <c r="F35" s="22">
        <f>持仓数据!D81</f>
        <v>0.46100000000000002</v>
      </c>
      <c r="G35" s="97">
        <v>372</v>
      </c>
      <c r="H35" s="97">
        <v>372</v>
      </c>
      <c r="I35" s="64">
        <v>0</v>
      </c>
      <c r="J35" s="64">
        <v>0</v>
      </c>
      <c r="K35" s="21">
        <f>IF(持仓数据!D114="",0,持仓数据!D114)</f>
        <v>372</v>
      </c>
      <c r="L35" s="21">
        <f t="shared" si="16"/>
        <v>0</v>
      </c>
      <c r="M35" s="28">
        <f t="shared" si="1"/>
        <v>7182.576</v>
      </c>
      <c r="N35" s="28">
        <f t="shared" si="17"/>
        <v>0</v>
      </c>
      <c r="O35" s="28">
        <f t="shared" si="18"/>
        <v>0</v>
      </c>
      <c r="P35" s="28">
        <f t="shared" si="19"/>
        <v>0</v>
      </c>
      <c r="Q35" s="28">
        <f t="shared" si="29"/>
        <v>0</v>
      </c>
      <c r="R35" s="28">
        <f t="shared" si="21"/>
        <v>7182.576</v>
      </c>
      <c r="S35" s="28">
        <f t="shared" si="22"/>
        <v>0</v>
      </c>
      <c r="T35" s="28">
        <f t="shared" si="23"/>
        <v>0</v>
      </c>
      <c r="U35" s="28">
        <f t="shared" si="36"/>
        <v>0</v>
      </c>
      <c r="V35" s="28">
        <f t="shared" si="37"/>
        <v>0</v>
      </c>
      <c r="W35" s="118"/>
      <c r="X35" s="143">
        <f t="shared" si="26"/>
        <v>22.709</v>
      </c>
      <c r="Y35" s="120">
        <f>交易记录!E14</f>
        <v>0.46100000000000002</v>
      </c>
      <c r="Z35" s="120">
        <f>交易记录!D45</f>
        <v>372</v>
      </c>
      <c r="AA35" s="30">
        <f t="shared" si="27"/>
        <v>0</v>
      </c>
      <c r="AB35" s="123">
        <f>交易记录!E78</f>
        <v>0</v>
      </c>
      <c r="AC35" s="123">
        <f>交易记录!E109</f>
        <v>0</v>
      </c>
      <c r="AD35" s="30">
        <f t="shared" si="35"/>
        <v>0</v>
      </c>
      <c r="AE35" s="120">
        <f>交易记录!E142</f>
        <v>0</v>
      </c>
      <c r="AF35" s="120">
        <f>交易记录!E173</f>
        <v>0</v>
      </c>
      <c r="AG35" s="30">
        <f t="shared" si="31"/>
        <v>0</v>
      </c>
      <c r="AH35" s="123">
        <f>交易记录!E206</f>
        <v>0</v>
      </c>
      <c r="AI35" s="123">
        <f>交易记录!E237</f>
        <v>0</v>
      </c>
      <c r="AJ35" s="30">
        <f t="shared" si="34"/>
        <v>0</v>
      </c>
      <c r="AK35" s="120">
        <f>交易记录!E270</f>
        <v>0</v>
      </c>
      <c r="AL35" s="120">
        <f>交易记录!E301</f>
        <v>0</v>
      </c>
      <c r="AM35" s="30">
        <f t="shared" si="33"/>
        <v>0</v>
      </c>
      <c r="AN35" s="123">
        <f>交易记录!E334</f>
        <v>0</v>
      </c>
      <c r="AO35" s="123">
        <f>交易记录!E365</f>
        <v>0</v>
      </c>
      <c r="AP35" s="30">
        <f t="shared" si="30"/>
        <v>0</v>
      </c>
      <c r="AQ35" s="120">
        <f>交易记录!E398</f>
        <v>0</v>
      </c>
      <c r="AR35" s="120">
        <f>交易记录!D429</f>
        <v>0</v>
      </c>
      <c r="AS35" s="30">
        <f t="shared" si="32"/>
        <v>0</v>
      </c>
      <c r="AT35" s="123">
        <f>交易记录!E462</f>
        <v>0</v>
      </c>
      <c r="AU35" s="123">
        <f>交易记录!D493</f>
        <v>0</v>
      </c>
      <c r="AV35" s="30">
        <f t="shared" si="8"/>
        <v>0</v>
      </c>
      <c r="AW35" s="120">
        <f>交易记录!E526</f>
        <v>0</v>
      </c>
      <c r="AX35" s="120">
        <f>交易记录!D557</f>
        <v>0</v>
      </c>
      <c r="AY35" s="30">
        <f t="shared" si="9"/>
        <v>0</v>
      </c>
      <c r="AZ35" s="123">
        <f>交易记录!E590</f>
        <v>0</v>
      </c>
      <c r="BA35" s="123">
        <f>交易记录!D621</f>
        <v>0</v>
      </c>
      <c r="BB35" s="30">
        <f t="shared" si="10"/>
        <v>0</v>
      </c>
      <c r="BC35" s="120">
        <f>交易记录!E654</f>
        <v>0</v>
      </c>
      <c r="BD35" s="120">
        <f>交易记录!D685</f>
        <v>0</v>
      </c>
      <c r="BE35" s="30">
        <f t="shared" si="11"/>
        <v>0</v>
      </c>
      <c r="BF35" s="123">
        <f>交易记录!E718</f>
        <v>0</v>
      </c>
      <c r="BG35" s="123">
        <f>交易记录!D749</f>
        <v>0</v>
      </c>
      <c r="BH35" s="30">
        <f t="shared" si="28"/>
        <v>0</v>
      </c>
      <c r="BI35" s="120">
        <f>交易记录!E782</f>
        <v>0</v>
      </c>
      <c r="BJ35" s="120">
        <f>交易记录!D813</f>
        <v>0</v>
      </c>
      <c r="BK35" s="30">
        <f t="shared" si="12"/>
        <v>0</v>
      </c>
      <c r="BL35" s="123">
        <f>交易记录!E846</f>
        <v>0</v>
      </c>
      <c r="BM35" s="123">
        <f>交易记录!D877</f>
        <v>0</v>
      </c>
      <c r="BN35" s="30">
        <f t="shared" si="13"/>
        <v>0</v>
      </c>
      <c r="BO35" s="120">
        <f>交易记录!E910</f>
        <v>0</v>
      </c>
      <c r="BP35" s="120">
        <f>交易记录!D941</f>
        <v>0</v>
      </c>
      <c r="BQ35" s="30">
        <f t="shared" si="14"/>
        <v>0</v>
      </c>
    </row>
    <row r="36" spans="1:69" ht="15">
      <c r="A36" s="125">
        <f>'维护-日期'!A$4</f>
        <v>46267</v>
      </c>
      <c r="B36" s="7" t="s">
        <v>16</v>
      </c>
      <c r="C36" s="144">
        <f t="shared" si="15"/>
        <v>21.01</v>
      </c>
      <c r="D36" s="144">
        <f>ROUND(INDEX(持仓数据!$C$3:$AG$26,MATCH('计算过程-数据汇总'!B36,持仓数据!$B$3:$B$26,0),MATCH('计算过程-数据汇总'!A36,'维护-日期'!$B$2:$AF$2,0)),3)</f>
        <v>21.01</v>
      </c>
      <c r="E36" s="98">
        <f t="shared" si="0"/>
        <v>21.01</v>
      </c>
      <c r="F36" s="22">
        <f>持仓数据!D82</f>
        <v>0.46700000000000003</v>
      </c>
      <c r="G36" s="97">
        <v>372</v>
      </c>
      <c r="H36" s="97">
        <v>372</v>
      </c>
      <c r="I36" s="64">
        <v>0</v>
      </c>
      <c r="J36" s="64">
        <v>0</v>
      </c>
      <c r="K36" s="21">
        <f>IF(持仓数据!D115="",0,持仓数据!D115)</f>
        <v>372</v>
      </c>
      <c r="L36" s="21">
        <f t="shared" si="16"/>
        <v>0</v>
      </c>
      <c r="M36" s="28">
        <f t="shared" si="1"/>
        <v>7815.72</v>
      </c>
      <c r="N36" s="28">
        <f t="shared" si="17"/>
        <v>0</v>
      </c>
      <c r="O36" s="28">
        <f t="shared" si="18"/>
        <v>0</v>
      </c>
      <c r="P36" s="28">
        <f t="shared" si="19"/>
        <v>0</v>
      </c>
      <c r="Q36" s="28">
        <f t="shared" si="29"/>
        <v>0</v>
      </c>
      <c r="R36" s="28">
        <f t="shared" si="21"/>
        <v>7815.72</v>
      </c>
      <c r="S36" s="28">
        <f t="shared" si="22"/>
        <v>0</v>
      </c>
      <c r="T36" s="28">
        <f t="shared" si="23"/>
        <v>0</v>
      </c>
      <c r="U36" s="28">
        <f t="shared" si="36"/>
        <v>0</v>
      </c>
      <c r="V36" s="28">
        <f t="shared" si="37"/>
        <v>0</v>
      </c>
      <c r="W36" s="118"/>
      <c r="X36" s="143">
        <f t="shared" si="26"/>
        <v>24.745000000000001</v>
      </c>
      <c r="Y36" s="120">
        <f>交易记录!E15</f>
        <v>0.46700000000000003</v>
      </c>
      <c r="Z36" s="120">
        <f>交易记录!D46</f>
        <v>372</v>
      </c>
      <c r="AA36" s="30">
        <f t="shared" si="27"/>
        <v>0</v>
      </c>
      <c r="AB36" s="123">
        <f>交易记录!E79</f>
        <v>0</v>
      </c>
      <c r="AC36" s="123">
        <f>交易记录!E110</f>
        <v>0</v>
      </c>
      <c r="AD36" s="30">
        <f t="shared" si="35"/>
        <v>0</v>
      </c>
      <c r="AE36" s="120">
        <f>交易记录!E143</f>
        <v>0</v>
      </c>
      <c r="AF36" s="120">
        <f>交易记录!E174</f>
        <v>0</v>
      </c>
      <c r="AG36" s="30">
        <f t="shared" si="31"/>
        <v>0</v>
      </c>
      <c r="AH36" s="123">
        <f>交易记录!E207</f>
        <v>0</v>
      </c>
      <c r="AI36" s="123">
        <f>交易记录!E238</f>
        <v>0</v>
      </c>
      <c r="AJ36" s="30">
        <f t="shared" si="34"/>
        <v>0</v>
      </c>
      <c r="AK36" s="120">
        <f>交易记录!E271</f>
        <v>0</v>
      </c>
      <c r="AL36" s="120">
        <f>交易记录!E302</f>
        <v>0</v>
      </c>
      <c r="AM36" s="30">
        <f t="shared" si="33"/>
        <v>0</v>
      </c>
      <c r="AN36" s="123">
        <f>交易记录!E335</f>
        <v>0</v>
      </c>
      <c r="AO36" s="123">
        <f>交易记录!E366</f>
        <v>0</v>
      </c>
      <c r="AP36" s="30">
        <f t="shared" si="30"/>
        <v>0</v>
      </c>
      <c r="AQ36" s="120">
        <f>交易记录!E399</f>
        <v>0</v>
      </c>
      <c r="AR36" s="120">
        <f>交易记录!D430</f>
        <v>0</v>
      </c>
      <c r="AS36" s="30">
        <f t="shared" si="32"/>
        <v>0</v>
      </c>
      <c r="AT36" s="123">
        <f>交易记录!E463</f>
        <v>0</v>
      </c>
      <c r="AU36" s="123">
        <f>交易记录!D494</f>
        <v>0</v>
      </c>
      <c r="AV36" s="30">
        <f t="shared" si="8"/>
        <v>0</v>
      </c>
      <c r="AW36" s="120">
        <f>交易记录!E527</f>
        <v>0</v>
      </c>
      <c r="AX36" s="120">
        <f>交易记录!D558</f>
        <v>0</v>
      </c>
      <c r="AY36" s="30">
        <f t="shared" si="9"/>
        <v>0</v>
      </c>
      <c r="AZ36" s="123">
        <f>交易记录!E591</f>
        <v>0</v>
      </c>
      <c r="BA36" s="123">
        <f>交易记录!D622</f>
        <v>0</v>
      </c>
      <c r="BB36" s="30">
        <f t="shared" si="10"/>
        <v>0</v>
      </c>
      <c r="BC36" s="120">
        <f>交易记录!E655</f>
        <v>0</v>
      </c>
      <c r="BD36" s="120">
        <f>交易记录!D686</f>
        <v>0</v>
      </c>
      <c r="BE36" s="30">
        <f t="shared" si="11"/>
        <v>0</v>
      </c>
      <c r="BF36" s="123">
        <f>交易记录!E719</f>
        <v>0</v>
      </c>
      <c r="BG36" s="123">
        <f>交易记录!D750</f>
        <v>0</v>
      </c>
      <c r="BH36" s="30">
        <f t="shared" si="28"/>
        <v>0</v>
      </c>
      <c r="BI36" s="120">
        <f>交易记录!E783</f>
        <v>0</v>
      </c>
      <c r="BJ36" s="120">
        <f>交易记录!D814</f>
        <v>0</v>
      </c>
      <c r="BK36" s="30">
        <f t="shared" si="12"/>
        <v>0</v>
      </c>
      <c r="BL36" s="123">
        <f>交易记录!E847</f>
        <v>0</v>
      </c>
      <c r="BM36" s="123">
        <f>交易记录!D878</f>
        <v>0</v>
      </c>
      <c r="BN36" s="30">
        <f t="shared" si="13"/>
        <v>0</v>
      </c>
      <c r="BO36" s="120">
        <f>交易记录!E911</f>
        <v>0</v>
      </c>
      <c r="BP36" s="120">
        <f>交易记录!D942</f>
        <v>0</v>
      </c>
      <c r="BQ36" s="30">
        <f t="shared" si="14"/>
        <v>0</v>
      </c>
    </row>
    <row r="37" spans="1:69" ht="15">
      <c r="A37" s="125">
        <f>'维护-日期'!A$4</f>
        <v>46267</v>
      </c>
      <c r="B37" s="7" t="s">
        <v>17</v>
      </c>
      <c r="C37" s="144">
        <f t="shared" si="15"/>
        <v>21.329000000000001</v>
      </c>
      <c r="D37" s="144">
        <f>ROUND(INDEX(持仓数据!$C$3:$AG$26,MATCH('计算过程-数据汇总'!B37,持仓数据!$B$3:$B$26,0),MATCH('计算过程-数据汇总'!A37,'维护-日期'!$B$2:$AF$2,0)),3)</f>
        <v>21.329000000000001</v>
      </c>
      <c r="E37" s="98">
        <f t="shared" si="0"/>
        <v>21.329000000000001</v>
      </c>
      <c r="F37" s="22">
        <f>持仓数据!D83</f>
        <v>0.32100000000000001</v>
      </c>
      <c r="G37" s="97">
        <v>372</v>
      </c>
      <c r="H37" s="97">
        <v>372</v>
      </c>
      <c r="I37" s="64">
        <v>0</v>
      </c>
      <c r="J37" s="64">
        <v>0</v>
      </c>
      <c r="K37" s="21">
        <f>IF(持仓数据!D116="",0,持仓数据!D116)</f>
        <v>372</v>
      </c>
      <c r="L37" s="21">
        <f t="shared" si="16"/>
        <v>0</v>
      </c>
      <c r="M37" s="28">
        <f t="shared" si="1"/>
        <v>7934.3879999999999</v>
      </c>
      <c r="N37" s="28">
        <f t="shared" si="17"/>
        <v>0</v>
      </c>
      <c r="O37" s="28">
        <f t="shared" si="18"/>
        <v>0</v>
      </c>
      <c r="P37" s="28">
        <f t="shared" si="19"/>
        <v>0</v>
      </c>
      <c r="Q37" s="28">
        <f t="shared" si="29"/>
        <v>0</v>
      </c>
      <c r="R37" s="28">
        <f t="shared" si="21"/>
        <v>7934.3879999999999</v>
      </c>
      <c r="S37" s="28">
        <f t="shared" si="22"/>
        <v>0</v>
      </c>
      <c r="T37" s="28">
        <f t="shared" si="23"/>
        <v>0</v>
      </c>
      <c r="U37" s="28">
        <f t="shared" si="36"/>
        <v>0</v>
      </c>
      <c r="V37" s="28">
        <f t="shared" si="37"/>
        <v>0</v>
      </c>
      <c r="W37" s="118"/>
      <c r="X37" s="143">
        <f t="shared" si="26"/>
        <v>25.274000000000001</v>
      </c>
      <c r="Y37" s="120">
        <f>交易记录!E16</f>
        <v>0.32100000000000001</v>
      </c>
      <c r="Z37" s="120">
        <f>交易记录!D47</f>
        <v>372</v>
      </c>
      <c r="AA37" s="30">
        <f t="shared" si="27"/>
        <v>0</v>
      </c>
      <c r="AB37" s="123">
        <f>交易记录!E80</f>
        <v>0</v>
      </c>
      <c r="AC37" s="123">
        <f>交易记录!E111</f>
        <v>0</v>
      </c>
      <c r="AD37" s="30">
        <f t="shared" si="35"/>
        <v>0</v>
      </c>
      <c r="AE37" s="120">
        <f>交易记录!E144</f>
        <v>0</v>
      </c>
      <c r="AF37" s="120">
        <f>交易记录!E175</f>
        <v>0</v>
      </c>
      <c r="AG37" s="30">
        <f t="shared" si="31"/>
        <v>0</v>
      </c>
      <c r="AH37" s="123">
        <f>交易记录!E208</f>
        <v>0</v>
      </c>
      <c r="AI37" s="123">
        <f>交易记录!E239</f>
        <v>0</v>
      </c>
      <c r="AJ37" s="30">
        <f t="shared" si="34"/>
        <v>0</v>
      </c>
      <c r="AK37" s="120">
        <f>交易记录!E272</f>
        <v>0</v>
      </c>
      <c r="AL37" s="120">
        <f>交易记录!E303</f>
        <v>0</v>
      </c>
      <c r="AM37" s="30">
        <f t="shared" si="33"/>
        <v>0</v>
      </c>
      <c r="AN37" s="123">
        <f>交易记录!E336</f>
        <v>0</v>
      </c>
      <c r="AO37" s="123">
        <f>交易记录!E367</f>
        <v>0</v>
      </c>
      <c r="AP37" s="30">
        <f t="shared" si="30"/>
        <v>0</v>
      </c>
      <c r="AQ37" s="120">
        <f>交易记录!E400</f>
        <v>0</v>
      </c>
      <c r="AR37" s="120">
        <f>交易记录!D431</f>
        <v>0</v>
      </c>
      <c r="AS37" s="30">
        <f t="shared" si="32"/>
        <v>0</v>
      </c>
      <c r="AT37" s="123">
        <f>交易记录!E464</f>
        <v>0</v>
      </c>
      <c r="AU37" s="123">
        <f>交易记录!D495</f>
        <v>0</v>
      </c>
      <c r="AV37" s="30">
        <f t="shared" si="8"/>
        <v>0</v>
      </c>
      <c r="AW37" s="120">
        <f>交易记录!E528</f>
        <v>0</v>
      </c>
      <c r="AX37" s="120">
        <f>交易记录!D559</f>
        <v>0</v>
      </c>
      <c r="AY37" s="30">
        <f t="shared" si="9"/>
        <v>0</v>
      </c>
      <c r="AZ37" s="123">
        <f>交易记录!E592</f>
        <v>0</v>
      </c>
      <c r="BA37" s="123">
        <f>交易记录!D623</f>
        <v>0</v>
      </c>
      <c r="BB37" s="30">
        <f t="shared" si="10"/>
        <v>0</v>
      </c>
      <c r="BC37" s="120">
        <f>交易记录!E656</f>
        <v>0</v>
      </c>
      <c r="BD37" s="120">
        <f>交易记录!D687</f>
        <v>0</v>
      </c>
      <c r="BE37" s="30">
        <f t="shared" si="11"/>
        <v>0</v>
      </c>
      <c r="BF37" s="123">
        <f>交易记录!E720</f>
        <v>0</v>
      </c>
      <c r="BG37" s="123">
        <f>交易记录!D751</f>
        <v>0</v>
      </c>
      <c r="BH37" s="30">
        <f t="shared" si="28"/>
        <v>0</v>
      </c>
      <c r="BI37" s="120">
        <f>交易记录!E784</f>
        <v>0</v>
      </c>
      <c r="BJ37" s="120">
        <f>交易记录!D815</f>
        <v>0</v>
      </c>
      <c r="BK37" s="30">
        <f t="shared" si="12"/>
        <v>0</v>
      </c>
      <c r="BL37" s="123">
        <f>交易记录!E848</f>
        <v>0</v>
      </c>
      <c r="BM37" s="123">
        <f>交易记录!D879</f>
        <v>0</v>
      </c>
      <c r="BN37" s="30">
        <f t="shared" si="13"/>
        <v>0</v>
      </c>
      <c r="BO37" s="120">
        <f>交易记录!E912</f>
        <v>0</v>
      </c>
      <c r="BP37" s="120">
        <f>交易记录!D943</f>
        <v>0</v>
      </c>
      <c r="BQ37" s="30">
        <f t="shared" si="14"/>
        <v>0</v>
      </c>
    </row>
    <row r="38" spans="1:69" ht="15">
      <c r="A38" s="125">
        <f>'维护-日期'!A$4</f>
        <v>46267</v>
      </c>
      <c r="B38" s="7" t="s">
        <v>18</v>
      </c>
      <c r="C38" s="144">
        <f t="shared" si="15"/>
        <v>22.643999999999998</v>
      </c>
      <c r="D38" s="144">
        <f>ROUND(INDEX(持仓数据!$C$3:$AG$26,MATCH('计算过程-数据汇总'!B38,持仓数据!$B$3:$B$26,0),MATCH('计算过程-数据汇总'!A38,'维护-日期'!$B$2:$AF$2,0)),3)</f>
        <v>22.643999999999998</v>
      </c>
      <c r="E38" s="98">
        <f t="shared" si="0"/>
        <v>22.643999999999998</v>
      </c>
      <c r="F38" s="22">
        <f>持仓数据!D84</f>
        <v>7.8E-2</v>
      </c>
      <c r="G38" s="97">
        <v>372</v>
      </c>
      <c r="H38" s="97">
        <v>372</v>
      </c>
      <c r="I38" s="64">
        <v>0</v>
      </c>
      <c r="J38" s="64">
        <v>0</v>
      </c>
      <c r="K38" s="21">
        <f>IF(持仓数据!D117="",0,持仓数据!D117)</f>
        <v>372</v>
      </c>
      <c r="L38" s="21">
        <f t="shared" si="16"/>
        <v>0</v>
      </c>
      <c r="M38" s="28">
        <f t="shared" si="1"/>
        <v>8423.5679999999993</v>
      </c>
      <c r="N38" s="28">
        <f t="shared" si="17"/>
        <v>0</v>
      </c>
      <c r="O38" s="28">
        <f t="shared" si="18"/>
        <v>0</v>
      </c>
      <c r="P38" s="28">
        <f t="shared" si="19"/>
        <v>0</v>
      </c>
      <c r="Q38" s="28">
        <f t="shared" si="29"/>
        <v>0</v>
      </c>
      <c r="R38" s="28">
        <f t="shared" si="21"/>
        <v>8423.5679999999993</v>
      </c>
      <c r="S38" s="28">
        <f t="shared" si="22"/>
        <v>0</v>
      </c>
      <c r="T38" s="28">
        <f t="shared" si="23"/>
        <v>0</v>
      </c>
      <c r="U38" s="28">
        <f t="shared" si="36"/>
        <v>0</v>
      </c>
      <c r="V38" s="28">
        <f t="shared" si="37"/>
        <v>0</v>
      </c>
      <c r="W38" s="118"/>
      <c r="X38" s="143">
        <f t="shared" si="26"/>
        <v>27.094999999999999</v>
      </c>
      <c r="Y38" s="120">
        <f>交易记录!E17</f>
        <v>7.8E-2</v>
      </c>
      <c r="Z38" s="120">
        <f>交易记录!D48</f>
        <v>372</v>
      </c>
      <c r="AA38" s="30">
        <f t="shared" si="27"/>
        <v>0</v>
      </c>
      <c r="AB38" s="123">
        <f>交易记录!E81</f>
        <v>0</v>
      </c>
      <c r="AC38" s="123">
        <f>交易记录!E112</f>
        <v>0</v>
      </c>
      <c r="AD38" s="30">
        <f t="shared" si="35"/>
        <v>0</v>
      </c>
      <c r="AE38" s="120">
        <f>交易记录!E145</f>
        <v>0</v>
      </c>
      <c r="AF38" s="120">
        <f>交易记录!E176</f>
        <v>0</v>
      </c>
      <c r="AG38" s="30">
        <f t="shared" si="31"/>
        <v>0</v>
      </c>
      <c r="AH38" s="123">
        <f>交易记录!E209</f>
        <v>0</v>
      </c>
      <c r="AI38" s="123">
        <f>交易记录!E240</f>
        <v>0</v>
      </c>
      <c r="AJ38" s="30">
        <f t="shared" si="34"/>
        <v>0</v>
      </c>
      <c r="AK38" s="120">
        <f>交易记录!E273</f>
        <v>0</v>
      </c>
      <c r="AL38" s="120">
        <f>交易记录!E304</f>
        <v>0</v>
      </c>
      <c r="AM38" s="30">
        <f t="shared" si="33"/>
        <v>0</v>
      </c>
      <c r="AN38" s="123">
        <f>交易记录!E337</f>
        <v>0</v>
      </c>
      <c r="AO38" s="123">
        <f>交易记录!E368</f>
        <v>0</v>
      </c>
      <c r="AP38" s="30">
        <f t="shared" si="30"/>
        <v>0</v>
      </c>
      <c r="AQ38" s="120">
        <f>交易记录!E401</f>
        <v>0</v>
      </c>
      <c r="AR38" s="120">
        <f>交易记录!D432</f>
        <v>0</v>
      </c>
      <c r="AS38" s="30">
        <f t="shared" si="32"/>
        <v>0</v>
      </c>
      <c r="AT38" s="123">
        <f>交易记录!E465</f>
        <v>0</v>
      </c>
      <c r="AU38" s="123">
        <f>交易记录!D496</f>
        <v>0</v>
      </c>
      <c r="AV38" s="30">
        <f t="shared" si="8"/>
        <v>0</v>
      </c>
      <c r="AW38" s="120">
        <f>交易记录!E529</f>
        <v>0</v>
      </c>
      <c r="AX38" s="120">
        <f>交易记录!D560</f>
        <v>0</v>
      </c>
      <c r="AY38" s="30">
        <f t="shared" si="9"/>
        <v>0</v>
      </c>
      <c r="AZ38" s="123">
        <f>交易记录!E593</f>
        <v>0</v>
      </c>
      <c r="BA38" s="123">
        <f>交易记录!D624</f>
        <v>0</v>
      </c>
      <c r="BB38" s="30">
        <f t="shared" si="10"/>
        <v>0</v>
      </c>
      <c r="BC38" s="120">
        <f>交易记录!E657</f>
        <v>0</v>
      </c>
      <c r="BD38" s="120">
        <f>交易记录!D688</f>
        <v>0</v>
      </c>
      <c r="BE38" s="30">
        <f t="shared" si="11"/>
        <v>0</v>
      </c>
      <c r="BF38" s="123">
        <f>交易记录!E721</f>
        <v>0</v>
      </c>
      <c r="BG38" s="123">
        <f>交易记录!D752</f>
        <v>0</v>
      </c>
      <c r="BH38" s="30">
        <f t="shared" si="28"/>
        <v>0</v>
      </c>
      <c r="BI38" s="120">
        <f>交易记录!E785</f>
        <v>0</v>
      </c>
      <c r="BJ38" s="120">
        <f>交易记录!D816</f>
        <v>0</v>
      </c>
      <c r="BK38" s="30">
        <f t="shared" si="12"/>
        <v>0</v>
      </c>
      <c r="BL38" s="123">
        <f>交易记录!E849</f>
        <v>0</v>
      </c>
      <c r="BM38" s="123">
        <f>交易记录!D880</f>
        <v>0</v>
      </c>
      <c r="BN38" s="30">
        <f t="shared" si="13"/>
        <v>0</v>
      </c>
      <c r="BO38" s="120">
        <f>交易记录!E913</f>
        <v>0</v>
      </c>
      <c r="BP38" s="120">
        <f>交易记录!D944</f>
        <v>0</v>
      </c>
      <c r="BQ38" s="30">
        <f t="shared" si="14"/>
        <v>0</v>
      </c>
    </row>
    <row r="39" spans="1:69" ht="15">
      <c r="A39" s="125">
        <f>'维护-日期'!A$4</f>
        <v>46267</v>
      </c>
      <c r="B39" s="7" t="s">
        <v>19</v>
      </c>
      <c r="C39" s="144">
        <f t="shared" si="15"/>
        <v>22.904</v>
      </c>
      <c r="D39" s="144">
        <f>ROUND(INDEX(持仓数据!$C$3:$AG$26,MATCH('计算过程-数据汇总'!B39,持仓数据!$B$3:$B$26,0),MATCH('计算过程-数据汇总'!A39,'维护-日期'!$B$2:$AF$2,0)),3)</f>
        <v>22.904</v>
      </c>
      <c r="E39" s="98">
        <f t="shared" si="0"/>
        <v>22.904</v>
      </c>
      <c r="F39" s="22">
        <f>持仓数据!D85</f>
        <v>0.19500000000000001</v>
      </c>
      <c r="G39" s="97">
        <v>372</v>
      </c>
      <c r="H39" s="97">
        <v>372</v>
      </c>
      <c r="I39" s="64">
        <v>0</v>
      </c>
      <c r="J39" s="64">
        <v>0</v>
      </c>
      <c r="K39" s="21">
        <f>IF(持仓数据!D118="",0,持仓数据!D118)</f>
        <v>372</v>
      </c>
      <c r="L39" s="21">
        <f t="shared" si="16"/>
        <v>0</v>
      </c>
      <c r="M39" s="28">
        <f t="shared" si="1"/>
        <v>8520.2880000000005</v>
      </c>
      <c r="N39" s="28">
        <f t="shared" si="17"/>
        <v>0</v>
      </c>
      <c r="O39" s="28">
        <f t="shared" si="18"/>
        <v>0</v>
      </c>
      <c r="P39" s="28">
        <f t="shared" si="19"/>
        <v>0</v>
      </c>
      <c r="Q39" s="28">
        <f t="shared" si="29"/>
        <v>0</v>
      </c>
      <c r="R39" s="28">
        <f t="shared" si="21"/>
        <v>8520.2880000000005</v>
      </c>
      <c r="S39" s="28">
        <f t="shared" si="22"/>
        <v>0</v>
      </c>
      <c r="T39" s="28">
        <f t="shared" si="23"/>
        <v>0</v>
      </c>
      <c r="U39" s="28">
        <f t="shared" si="36"/>
        <v>0</v>
      </c>
      <c r="V39" s="28">
        <f t="shared" si="37"/>
        <v>0</v>
      </c>
      <c r="W39" s="118"/>
      <c r="X39" s="143">
        <f t="shared" si="26"/>
        <v>27.29</v>
      </c>
      <c r="Y39" s="120">
        <f>交易记录!E18</f>
        <v>0.19500000000000001</v>
      </c>
      <c r="Z39" s="120">
        <f>交易记录!D49</f>
        <v>372</v>
      </c>
      <c r="AA39" s="30">
        <f t="shared" si="27"/>
        <v>0</v>
      </c>
      <c r="AB39" s="123">
        <f>交易记录!E82</f>
        <v>0</v>
      </c>
      <c r="AC39" s="123">
        <f>交易记录!E113</f>
        <v>0</v>
      </c>
      <c r="AD39" s="30">
        <f t="shared" si="35"/>
        <v>0</v>
      </c>
      <c r="AE39" s="120">
        <f>交易记录!E146</f>
        <v>0</v>
      </c>
      <c r="AF39" s="120">
        <f>交易记录!E177</f>
        <v>0</v>
      </c>
      <c r="AG39" s="30">
        <f t="shared" si="31"/>
        <v>0</v>
      </c>
      <c r="AH39" s="123">
        <f>交易记录!E210</f>
        <v>0</v>
      </c>
      <c r="AI39" s="123">
        <f>交易记录!E241</f>
        <v>0</v>
      </c>
      <c r="AJ39" s="30">
        <f t="shared" si="34"/>
        <v>0</v>
      </c>
      <c r="AK39" s="120">
        <f>交易记录!E274</f>
        <v>0</v>
      </c>
      <c r="AL39" s="120">
        <f>交易记录!E305</f>
        <v>0</v>
      </c>
      <c r="AM39" s="30">
        <f t="shared" si="33"/>
        <v>0</v>
      </c>
      <c r="AN39" s="123">
        <f>交易记录!E338</f>
        <v>0</v>
      </c>
      <c r="AO39" s="123">
        <f>交易记录!E369</f>
        <v>0</v>
      </c>
      <c r="AP39" s="30">
        <f t="shared" si="30"/>
        <v>0</v>
      </c>
      <c r="AQ39" s="120">
        <f>交易记录!E402</f>
        <v>0</v>
      </c>
      <c r="AR39" s="120">
        <f>交易记录!D433</f>
        <v>0</v>
      </c>
      <c r="AS39" s="30">
        <f t="shared" si="32"/>
        <v>0</v>
      </c>
      <c r="AT39" s="123">
        <f>交易记录!E466</f>
        <v>0</v>
      </c>
      <c r="AU39" s="123">
        <f>交易记录!D497</f>
        <v>0</v>
      </c>
      <c r="AV39" s="30">
        <f t="shared" si="8"/>
        <v>0</v>
      </c>
      <c r="AW39" s="120">
        <f>交易记录!E530</f>
        <v>0</v>
      </c>
      <c r="AX39" s="120">
        <f>交易记录!D561</f>
        <v>0</v>
      </c>
      <c r="AY39" s="30">
        <f t="shared" si="9"/>
        <v>0</v>
      </c>
      <c r="AZ39" s="123">
        <f>交易记录!E594</f>
        <v>0</v>
      </c>
      <c r="BA39" s="123">
        <f>交易记录!D625</f>
        <v>0</v>
      </c>
      <c r="BB39" s="30">
        <f t="shared" si="10"/>
        <v>0</v>
      </c>
      <c r="BC39" s="120">
        <f>交易记录!E658</f>
        <v>0</v>
      </c>
      <c r="BD39" s="120">
        <f>交易记录!D689</f>
        <v>0</v>
      </c>
      <c r="BE39" s="30">
        <f t="shared" si="11"/>
        <v>0</v>
      </c>
      <c r="BF39" s="123">
        <f>交易记录!E722</f>
        <v>0</v>
      </c>
      <c r="BG39" s="123">
        <f>交易记录!D753</f>
        <v>0</v>
      </c>
      <c r="BH39" s="30">
        <f t="shared" si="28"/>
        <v>0</v>
      </c>
      <c r="BI39" s="120">
        <f>交易记录!E786</f>
        <v>0</v>
      </c>
      <c r="BJ39" s="120">
        <f>交易记录!D817</f>
        <v>0</v>
      </c>
      <c r="BK39" s="30">
        <f t="shared" si="12"/>
        <v>0</v>
      </c>
      <c r="BL39" s="123">
        <f>交易记录!E850</f>
        <v>0</v>
      </c>
      <c r="BM39" s="123">
        <f>交易记录!D881</f>
        <v>0</v>
      </c>
      <c r="BN39" s="30">
        <f t="shared" si="13"/>
        <v>0</v>
      </c>
      <c r="BO39" s="120">
        <f>交易记录!E914</f>
        <v>0</v>
      </c>
      <c r="BP39" s="120">
        <f>交易记录!D945</f>
        <v>0</v>
      </c>
      <c r="BQ39" s="30">
        <f t="shared" si="14"/>
        <v>0</v>
      </c>
    </row>
    <row r="40" spans="1:69" ht="15">
      <c r="A40" s="125">
        <f>'维护-日期'!A$4</f>
        <v>46267</v>
      </c>
      <c r="B40" s="7" t="s">
        <v>20</v>
      </c>
      <c r="C40" s="144">
        <f t="shared" si="15"/>
        <v>22.071000000000002</v>
      </c>
      <c r="D40" s="144">
        <f>ROUND(INDEX(持仓数据!$C$3:$AG$26,MATCH('计算过程-数据汇总'!B40,持仓数据!$B$3:$B$26,0),MATCH('计算过程-数据汇总'!A40,'维护-日期'!$B$2:$AF$2,0)),3)</f>
        <v>22.071000000000002</v>
      </c>
      <c r="E40" s="98">
        <f t="shared" si="0"/>
        <v>22.071000000000002</v>
      </c>
      <c r="F40" s="22">
        <f>持仓数据!D86</f>
        <v>0.34599999999999997</v>
      </c>
      <c r="G40" s="97">
        <v>372</v>
      </c>
      <c r="H40" s="97">
        <v>372</v>
      </c>
      <c r="I40" s="64">
        <v>0</v>
      </c>
      <c r="J40" s="64">
        <v>0</v>
      </c>
      <c r="K40" s="21">
        <f>IF(持仓数据!D119="",0,持仓数据!D119)</f>
        <v>372</v>
      </c>
      <c r="L40" s="21">
        <f t="shared" si="16"/>
        <v>0</v>
      </c>
      <c r="M40" s="28">
        <f t="shared" si="1"/>
        <v>8210.4120000000003</v>
      </c>
      <c r="N40" s="28">
        <f t="shared" si="17"/>
        <v>0</v>
      </c>
      <c r="O40" s="28">
        <f t="shared" si="18"/>
        <v>0</v>
      </c>
      <c r="P40" s="28">
        <f t="shared" si="19"/>
        <v>0</v>
      </c>
      <c r="Q40" s="28">
        <f t="shared" si="29"/>
        <v>0</v>
      </c>
      <c r="R40" s="28">
        <f t="shared" si="21"/>
        <v>8210.4120000000003</v>
      </c>
      <c r="S40" s="28">
        <f t="shared" si="22"/>
        <v>0</v>
      </c>
      <c r="T40" s="28">
        <f t="shared" si="23"/>
        <v>0</v>
      </c>
      <c r="U40" s="28">
        <f t="shared" si="36"/>
        <v>0</v>
      </c>
      <c r="V40" s="28">
        <f t="shared" si="37"/>
        <v>0</v>
      </c>
      <c r="W40" s="118"/>
      <c r="X40" s="143">
        <f t="shared" si="26"/>
        <v>26.138999999999999</v>
      </c>
      <c r="Y40" s="120">
        <f>交易记录!E19</f>
        <v>0.34599999999999997</v>
      </c>
      <c r="Z40" s="120">
        <f>交易记录!D50</f>
        <v>372</v>
      </c>
      <c r="AA40" s="30">
        <f t="shared" si="27"/>
        <v>0</v>
      </c>
      <c r="AB40" s="123">
        <f>交易记录!E83</f>
        <v>0</v>
      </c>
      <c r="AC40" s="123">
        <f>交易记录!E114</f>
        <v>0</v>
      </c>
      <c r="AD40" s="30">
        <f t="shared" si="35"/>
        <v>0</v>
      </c>
      <c r="AE40" s="120">
        <f>交易记录!E147</f>
        <v>0</v>
      </c>
      <c r="AF40" s="120">
        <f>交易记录!E178</f>
        <v>0</v>
      </c>
      <c r="AG40" s="30">
        <f t="shared" si="31"/>
        <v>0</v>
      </c>
      <c r="AH40" s="123">
        <f>交易记录!E211</f>
        <v>0</v>
      </c>
      <c r="AI40" s="123">
        <f>交易记录!E242</f>
        <v>0</v>
      </c>
      <c r="AJ40" s="30">
        <f t="shared" si="34"/>
        <v>0</v>
      </c>
      <c r="AK40" s="120">
        <f>交易记录!E275</f>
        <v>0</v>
      </c>
      <c r="AL40" s="120">
        <f>交易记录!E306</f>
        <v>0</v>
      </c>
      <c r="AM40" s="30">
        <f t="shared" si="33"/>
        <v>0</v>
      </c>
      <c r="AN40" s="123">
        <f>交易记录!E339</f>
        <v>0</v>
      </c>
      <c r="AO40" s="123">
        <f>交易记录!E370</f>
        <v>0</v>
      </c>
      <c r="AP40" s="30">
        <f t="shared" si="30"/>
        <v>0</v>
      </c>
      <c r="AQ40" s="120">
        <f>交易记录!E403</f>
        <v>0</v>
      </c>
      <c r="AR40" s="120">
        <f>交易记录!D434</f>
        <v>0</v>
      </c>
      <c r="AS40" s="30">
        <f t="shared" si="32"/>
        <v>0</v>
      </c>
      <c r="AT40" s="123">
        <f>交易记录!E467</f>
        <v>0</v>
      </c>
      <c r="AU40" s="123">
        <f>交易记录!D498</f>
        <v>0</v>
      </c>
      <c r="AV40" s="30">
        <f t="shared" si="8"/>
        <v>0</v>
      </c>
      <c r="AW40" s="120">
        <f>交易记录!E531</f>
        <v>0</v>
      </c>
      <c r="AX40" s="120">
        <f>交易记录!D562</f>
        <v>0</v>
      </c>
      <c r="AY40" s="30">
        <f t="shared" si="9"/>
        <v>0</v>
      </c>
      <c r="AZ40" s="123">
        <f>交易记录!E595</f>
        <v>0</v>
      </c>
      <c r="BA40" s="123">
        <f>交易记录!D626</f>
        <v>0</v>
      </c>
      <c r="BB40" s="30">
        <f t="shared" si="10"/>
        <v>0</v>
      </c>
      <c r="BC40" s="120">
        <f>交易记录!E659</f>
        <v>0</v>
      </c>
      <c r="BD40" s="120">
        <f>交易记录!D690</f>
        <v>0</v>
      </c>
      <c r="BE40" s="30">
        <f t="shared" si="11"/>
        <v>0</v>
      </c>
      <c r="BF40" s="123">
        <f>交易记录!E723</f>
        <v>0</v>
      </c>
      <c r="BG40" s="123">
        <f>交易记录!D754</f>
        <v>0</v>
      </c>
      <c r="BH40" s="30">
        <f t="shared" si="28"/>
        <v>0</v>
      </c>
      <c r="BI40" s="120">
        <f>交易记录!E787</f>
        <v>0</v>
      </c>
      <c r="BJ40" s="120">
        <f>交易记录!D818</f>
        <v>0</v>
      </c>
      <c r="BK40" s="30">
        <f t="shared" si="12"/>
        <v>0</v>
      </c>
      <c r="BL40" s="123">
        <f>交易记录!E851</f>
        <v>0</v>
      </c>
      <c r="BM40" s="123">
        <f>交易记录!D882</f>
        <v>0</v>
      </c>
      <c r="BN40" s="30">
        <f t="shared" si="13"/>
        <v>0</v>
      </c>
      <c r="BO40" s="120">
        <f>交易记录!E915</f>
        <v>0</v>
      </c>
      <c r="BP40" s="120">
        <f>交易记录!D946</f>
        <v>0</v>
      </c>
      <c r="BQ40" s="30">
        <f t="shared" si="14"/>
        <v>0</v>
      </c>
    </row>
    <row r="41" spans="1:69" ht="15">
      <c r="A41" s="125">
        <f>'维护-日期'!A$4</f>
        <v>46267</v>
      </c>
      <c r="B41" s="7" t="s">
        <v>21</v>
      </c>
      <c r="C41" s="144">
        <f t="shared" si="15"/>
        <v>22.087</v>
      </c>
      <c r="D41" s="144">
        <f>ROUND(INDEX(持仓数据!$C$3:$AG$26,MATCH('计算过程-数据汇总'!B41,持仓数据!$B$3:$B$26,0),MATCH('计算过程-数据汇总'!A41,'维护-日期'!$B$2:$AF$2,0)),3)</f>
        <v>22.087</v>
      </c>
      <c r="E41" s="98">
        <f t="shared" si="0"/>
        <v>22.087</v>
      </c>
      <c r="F41" s="22">
        <f>持仓数据!D87</f>
        <v>0.38</v>
      </c>
      <c r="G41" s="97">
        <v>372</v>
      </c>
      <c r="H41" s="97">
        <v>372</v>
      </c>
      <c r="I41" s="64">
        <v>0</v>
      </c>
      <c r="J41" s="64">
        <v>0</v>
      </c>
      <c r="K41" s="21">
        <f>IF(持仓数据!D120="",0,持仓数据!D120)</f>
        <v>372.00000000000006</v>
      </c>
      <c r="L41" s="21">
        <f t="shared" si="16"/>
        <v>0</v>
      </c>
      <c r="M41" s="28">
        <f t="shared" si="1"/>
        <v>8216.3639999999996</v>
      </c>
      <c r="N41" s="28">
        <f t="shared" si="17"/>
        <v>0</v>
      </c>
      <c r="O41" s="28">
        <f t="shared" si="18"/>
        <v>0</v>
      </c>
      <c r="P41" s="28">
        <f t="shared" si="19"/>
        <v>2.1600499167107046E-14</v>
      </c>
      <c r="Q41" s="28">
        <f t="shared" si="29"/>
        <v>0</v>
      </c>
      <c r="R41" s="28">
        <f t="shared" si="21"/>
        <v>8216.3640000000014</v>
      </c>
      <c r="S41" s="28">
        <f t="shared" si="22"/>
        <v>0</v>
      </c>
      <c r="T41" s="28">
        <f t="shared" si="23"/>
        <v>-1.2339000932115596E-12</v>
      </c>
      <c r="U41" s="28">
        <f t="shared" si="36"/>
        <v>0</v>
      </c>
      <c r="V41" s="28">
        <f t="shared" si="37"/>
        <v>0</v>
      </c>
      <c r="W41" s="118"/>
      <c r="X41" s="143">
        <f t="shared" si="26"/>
        <v>26.123999999999999</v>
      </c>
      <c r="Y41" s="120">
        <f>交易记录!E20</f>
        <v>0.38</v>
      </c>
      <c r="Z41" s="120">
        <f>交易记录!D51</f>
        <v>372</v>
      </c>
      <c r="AA41" s="30">
        <f t="shared" si="27"/>
        <v>0</v>
      </c>
      <c r="AB41" s="123">
        <f>交易记录!E84</f>
        <v>0</v>
      </c>
      <c r="AC41" s="123">
        <f>交易记录!E115</f>
        <v>0</v>
      </c>
      <c r="AD41" s="30">
        <f t="shared" si="35"/>
        <v>0</v>
      </c>
      <c r="AE41" s="120">
        <f>交易记录!E148</f>
        <v>0</v>
      </c>
      <c r="AF41" s="120">
        <f>交易记录!E179</f>
        <v>0</v>
      </c>
      <c r="AG41" s="30">
        <f t="shared" si="31"/>
        <v>0</v>
      </c>
      <c r="AH41" s="123">
        <f>交易记录!E212</f>
        <v>0</v>
      </c>
      <c r="AI41" s="123">
        <f>交易记录!E243</f>
        <v>0</v>
      </c>
      <c r="AJ41" s="30">
        <f t="shared" si="34"/>
        <v>0</v>
      </c>
      <c r="AK41" s="120">
        <f>交易记录!E276</f>
        <v>0</v>
      </c>
      <c r="AL41" s="120">
        <f>交易记录!E307</f>
        <v>0</v>
      </c>
      <c r="AM41" s="30">
        <f t="shared" si="33"/>
        <v>0</v>
      </c>
      <c r="AN41" s="123">
        <f>交易记录!E340</f>
        <v>0</v>
      </c>
      <c r="AO41" s="123">
        <f>交易记录!E371</f>
        <v>0</v>
      </c>
      <c r="AP41" s="30">
        <f t="shared" si="30"/>
        <v>0</v>
      </c>
      <c r="AQ41" s="120">
        <f>交易记录!E404</f>
        <v>0</v>
      </c>
      <c r="AR41" s="120">
        <f>交易记录!D435</f>
        <v>0</v>
      </c>
      <c r="AS41" s="30">
        <f t="shared" si="32"/>
        <v>0</v>
      </c>
      <c r="AT41" s="123">
        <f>交易记录!E468</f>
        <v>0</v>
      </c>
      <c r="AU41" s="123">
        <f>交易记录!D499</f>
        <v>0</v>
      </c>
      <c r="AV41" s="30">
        <f t="shared" si="8"/>
        <v>0</v>
      </c>
      <c r="AW41" s="120">
        <f>交易记录!E532</f>
        <v>0</v>
      </c>
      <c r="AX41" s="120">
        <f>交易记录!D563</f>
        <v>0</v>
      </c>
      <c r="AY41" s="30">
        <f t="shared" si="9"/>
        <v>0</v>
      </c>
      <c r="AZ41" s="123">
        <f>交易记录!E596</f>
        <v>0</v>
      </c>
      <c r="BA41" s="123">
        <f>交易记录!D627</f>
        <v>0</v>
      </c>
      <c r="BB41" s="30">
        <f t="shared" si="10"/>
        <v>0</v>
      </c>
      <c r="BC41" s="120">
        <f>交易记录!E660</f>
        <v>0</v>
      </c>
      <c r="BD41" s="120">
        <f>交易记录!D691</f>
        <v>0</v>
      </c>
      <c r="BE41" s="30">
        <f t="shared" si="11"/>
        <v>0</v>
      </c>
      <c r="BF41" s="123">
        <f>交易记录!E724</f>
        <v>0</v>
      </c>
      <c r="BG41" s="123">
        <f>交易记录!D755</f>
        <v>0</v>
      </c>
      <c r="BH41" s="30">
        <f t="shared" si="28"/>
        <v>0</v>
      </c>
      <c r="BI41" s="120">
        <f>交易记录!E788</f>
        <v>0</v>
      </c>
      <c r="BJ41" s="120">
        <f>交易记录!D819</f>
        <v>0</v>
      </c>
      <c r="BK41" s="30">
        <f t="shared" si="12"/>
        <v>0</v>
      </c>
      <c r="BL41" s="123">
        <f>交易记录!E852</f>
        <v>0</v>
      </c>
      <c r="BM41" s="123">
        <f>交易记录!D883</f>
        <v>0</v>
      </c>
      <c r="BN41" s="30">
        <f t="shared" si="13"/>
        <v>0</v>
      </c>
      <c r="BO41" s="120">
        <f>交易记录!E916</f>
        <v>0</v>
      </c>
      <c r="BP41" s="120">
        <f>交易记录!D947</f>
        <v>0</v>
      </c>
      <c r="BQ41" s="30">
        <f t="shared" si="14"/>
        <v>0</v>
      </c>
    </row>
    <row r="42" spans="1:69" ht="15">
      <c r="A42" s="125">
        <f>'维护-日期'!A$4</f>
        <v>46267</v>
      </c>
      <c r="B42" s="7" t="s">
        <v>22</v>
      </c>
      <c r="C42" s="144">
        <f t="shared" si="15"/>
        <v>23.077999999999999</v>
      </c>
      <c r="D42" s="144">
        <f>ROUND(INDEX(持仓数据!$C$3:$AG$26,MATCH('计算过程-数据汇总'!B42,持仓数据!$B$3:$B$26,0),MATCH('计算过程-数据汇总'!A42,'维护-日期'!$B$2:$AF$2,0)),3)</f>
        <v>23.077999999999999</v>
      </c>
      <c r="E42" s="98">
        <f t="shared" si="0"/>
        <v>23.077999999999999</v>
      </c>
      <c r="F42" s="22">
        <f>持仓数据!D88</f>
        <v>0.58600000000000008</v>
      </c>
      <c r="G42" s="97">
        <v>372</v>
      </c>
      <c r="H42" s="97">
        <v>372</v>
      </c>
      <c r="I42" s="64">
        <v>0</v>
      </c>
      <c r="J42" s="64">
        <v>0</v>
      </c>
      <c r="K42" s="21">
        <f>IF(持仓数据!D121="",0,持仓数据!D121)</f>
        <v>372</v>
      </c>
      <c r="L42" s="21">
        <f t="shared" si="16"/>
        <v>0</v>
      </c>
      <c r="M42" s="28">
        <f t="shared" si="1"/>
        <v>8585.0159999999996</v>
      </c>
      <c r="N42" s="28">
        <f t="shared" si="17"/>
        <v>0</v>
      </c>
      <c r="O42" s="28">
        <f t="shared" si="18"/>
        <v>0</v>
      </c>
      <c r="P42" s="28">
        <f t="shared" si="19"/>
        <v>0</v>
      </c>
      <c r="Q42" s="28">
        <f t="shared" si="29"/>
        <v>0</v>
      </c>
      <c r="R42" s="28">
        <f t="shared" si="21"/>
        <v>8585.0159999999996</v>
      </c>
      <c r="S42" s="28">
        <f t="shared" si="22"/>
        <v>0</v>
      </c>
      <c r="T42" s="28">
        <f t="shared" si="23"/>
        <v>0</v>
      </c>
      <c r="U42" s="28">
        <f t="shared" si="36"/>
        <v>0</v>
      </c>
      <c r="V42" s="28">
        <f t="shared" si="37"/>
        <v>0</v>
      </c>
      <c r="W42" s="118"/>
      <c r="X42" s="143">
        <f t="shared" si="26"/>
        <v>27.108000000000001</v>
      </c>
      <c r="Y42" s="120">
        <f>交易记录!E21</f>
        <v>0.58600000000000008</v>
      </c>
      <c r="Z42" s="120">
        <f>交易记录!D52</f>
        <v>372</v>
      </c>
      <c r="AA42" s="30">
        <f t="shared" si="27"/>
        <v>0</v>
      </c>
      <c r="AB42" s="123">
        <f>交易记录!E85</f>
        <v>0</v>
      </c>
      <c r="AC42" s="123">
        <f>交易记录!E116</f>
        <v>0</v>
      </c>
      <c r="AD42" s="30">
        <f t="shared" si="35"/>
        <v>0</v>
      </c>
      <c r="AE42" s="120">
        <f>交易记录!E149</f>
        <v>0</v>
      </c>
      <c r="AF42" s="120">
        <f>交易记录!E180</f>
        <v>0</v>
      </c>
      <c r="AG42" s="30">
        <f t="shared" si="31"/>
        <v>0</v>
      </c>
      <c r="AH42" s="123">
        <f>交易记录!E213</f>
        <v>0</v>
      </c>
      <c r="AI42" s="123">
        <f>交易记录!E244</f>
        <v>0</v>
      </c>
      <c r="AJ42" s="30">
        <f t="shared" si="34"/>
        <v>0</v>
      </c>
      <c r="AK42" s="120">
        <f>交易记录!E277</f>
        <v>0</v>
      </c>
      <c r="AL42" s="120">
        <f>交易记录!E308</f>
        <v>0</v>
      </c>
      <c r="AM42" s="30">
        <f t="shared" si="33"/>
        <v>0</v>
      </c>
      <c r="AN42" s="123">
        <f>交易记录!E341</f>
        <v>0</v>
      </c>
      <c r="AO42" s="123">
        <f>交易记录!E372</f>
        <v>0</v>
      </c>
      <c r="AP42" s="30">
        <f t="shared" si="30"/>
        <v>0</v>
      </c>
      <c r="AQ42" s="120">
        <f>交易记录!E405</f>
        <v>0</v>
      </c>
      <c r="AR42" s="120">
        <f>交易记录!D436</f>
        <v>0</v>
      </c>
      <c r="AS42" s="30">
        <f t="shared" si="32"/>
        <v>0</v>
      </c>
      <c r="AT42" s="123">
        <f>交易记录!E469</f>
        <v>0</v>
      </c>
      <c r="AU42" s="123">
        <f>交易记录!D500</f>
        <v>0</v>
      </c>
      <c r="AV42" s="30">
        <f t="shared" si="8"/>
        <v>0</v>
      </c>
      <c r="AW42" s="120">
        <f>交易记录!E533</f>
        <v>0</v>
      </c>
      <c r="AX42" s="120">
        <f>交易记录!D564</f>
        <v>0</v>
      </c>
      <c r="AY42" s="30">
        <f t="shared" si="9"/>
        <v>0</v>
      </c>
      <c r="AZ42" s="123">
        <f>交易记录!E597</f>
        <v>0</v>
      </c>
      <c r="BA42" s="123">
        <f>交易记录!D628</f>
        <v>0</v>
      </c>
      <c r="BB42" s="30">
        <f t="shared" si="10"/>
        <v>0</v>
      </c>
      <c r="BC42" s="120">
        <f>交易记录!E661</f>
        <v>0</v>
      </c>
      <c r="BD42" s="120">
        <f>交易记录!D692</f>
        <v>0</v>
      </c>
      <c r="BE42" s="30">
        <f t="shared" si="11"/>
        <v>0</v>
      </c>
      <c r="BF42" s="123">
        <f>交易记录!E725</f>
        <v>0</v>
      </c>
      <c r="BG42" s="123">
        <f>交易记录!D756</f>
        <v>0</v>
      </c>
      <c r="BH42" s="30">
        <f t="shared" si="28"/>
        <v>0</v>
      </c>
      <c r="BI42" s="120">
        <f>交易记录!E789</f>
        <v>0</v>
      </c>
      <c r="BJ42" s="120">
        <f>交易记录!D820</f>
        <v>0</v>
      </c>
      <c r="BK42" s="30">
        <f t="shared" si="12"/>
        <v>0</v>
      </c>
      <c r="BL42" s="123">
        <f>交易记录!E853</f>
        <v>0</v>
      </c>
      <c r="BM42" s="123">
        <f>交易记录!D884</f>
        <v>0</v>
      </c>
      <c r="BN42" s="30">
        <f t="shared" si="13"/>
        <v>0</v>
      </c>
      <c r="BO42" s="120">
        <f>交易记录!E917</f>
        <v>0</v>
      </c>
      <c r="BP42" s="120">
        <f>交易记录!D948</f>
        <v>0</v>
      </c>
      <c r="BQ42" s="30">
        <f t="shared" si="14"/>
        <v>0</v>
      </c>
    </row>
    <row r="43" spans="1:69" ht="15">
      <c r="A43" s="125">
        <f>'维护-日期'!A$4</f>
        <v>46267</v>
      </c>
      <c r="B43" s="7" t="s">
        <v>23</v>
      </c>
      <c r="C43" s="144">
        <f t="shared" si="15"/>
        <v>23.443000000000001</v>
      </c>
      <c r="D43" s="144">
        <f>ROUND(INDEX(持仓数据!$C$3:$AG$26,MATCH('计算过程-数据汇总'!B43,持仓数据!$B$3:$B$26,0),MATCH('计算过程-数据汇总'!A43,'维护-日期'!$B$2:$AF$2,0)),3)</f>
        <v>23.443000000000001</v>
      </c>
      <c r="E43" s="98">
        <f t="shared" si="0"/>
        <v>23.443000000000001</v>
      </c>
      <c r="F43" s="22">
        <f>持仓数据!D89</f>
        <v>0.63300000000000001</v>
      </c>
      <c r="G43" s="97">
        <v>372</v>
      </c>
      <c r="H43" s="97">
        <v>372</v>
      </c>
      <c r="I43" s="64">
        <v>0</v>
      </c>
      <c r="J43" s="64">
        <v>0</v>
      </c>
      <c r="K43" s="21">
        <f>IF(持仓数据!D122="",0,持仓数据!D122)</f>
        <v>372</v>
      </c>
      <c r="L43" s="21">
        <f t="shared" si="16"/>
        <v>0</v>
      </c>
      <c r="M43" s="28">
        <f t="shared" si="1"/>
        <v>8720.7960000000003</v>
      </c>
      <c r="N43" s="28">
        <f t="shared" si="17"/>
        <v>0</v>
      </c>
      <c r="O43" s="28">
        <f t="shared" si="18"/>
        <v>0</v>
      </c>
      <c r="P43" s="28">
        <f t="shared" si="19"/>
        <v>0</v>
      </c>
      <c r="Q43" s="28">
        <f t="shared" si="29"/>
        <v>0</v>
      </c>
      <c r="R43" s="28">
        <f t="shared" si="21"/>
        <v>8720.7960000000003</v>
      </c>
      <c r="S43" s="28">
        <f t="shared" si="22"/>
        <v>0</v>
      </c>
      <c r="T43" s="28">
        <f t="shared" si="23"/>
        <v>0</v>
      </c>
      <c r="U43" s="28">
        <f t="shared" si="36"/>
        <v>0</v>
      </c>
      <c r="V43" s="28">
        <f t="shared" si="37"/>
        <v>0</v>
      </c>
      <c r="W43" s="118"/>
      <c r="X43" s="143">
        <f t="shared" si="26"/>
        <v>27.498999999999999</v>
      </c>
      <c r="Y43" s="120">
        <f>交易记录!E22</f>
        <v>0.63300000000000001</v>
      </c>
      <c r="Z43" s="120">
        <f>交易记录!D53</f>
        <v>372</v>
      </c>
      <c r="AA43" s="30">
        <f t="shared" si="27"/>
        <v>0</v>
      </c>
      <c r="AB43" s="123">
        <f>交易记录!E86</f>
        <v>0</v>
      </c>
      <c r="AC43" s="123">
        <f>交易记录!E117</f>
        <v>0</v>
      </c>
      <c r="AD43" s="30">
        <f t="shared" si="35"/>
        <v>0</v>
      </c>
      <c r="AE43" s="120">
        <f>交易记录!E150</f>
        <v>0</v>
      </c>
      <c r="AF43" s="120">
        <f>交易记录!E181</f>
        <v>0</v>
      </c>
      <c r="AG43" s="30">
        <f t="shared" si="31"/>
        <v>0</v>
      </c>
      <c r="AH43" s="123">
        <f>交易记录!E214</f>
        <v>0</v>
      </c>
      <c r="AI43" s="123">
        <f>交易记录!E245</f>
        <v>0</v>
      </c>
      <c r="AJ43" s="30">
        <f t="shared" si="34"/>
        <v>0</v>
      </c>
      <c r="AK43" s="120">
        <f>交易记录!E278</f>
        <v>0</v>
      </c>
      <c r="AL43" s="120">
        <f>交易记录!E309</f>
        <v>0</v>
      </c>
      <c r="AM43" s="30">
        <f t="shared" si="33"/>
        <v>0</v>
      </c>
      <c r="AN43" s="123">
        <f>交易记录!E342</f>
        <v>0</v>
      </c>
      <c r="AO43" s="123">
        <f>交易记录!E373</f>
        <v>0</v>
      </c>
      <c r="AP43" s="30">
        <f t="shared" si="30"/>
        <v>0</v>
      </c>
      <c r="AQ43" s="120">
        <f>交易记录!E406</f>
        <v>0</v>
      </c>
      <c r="AR43" s="120">
        <f>交易记录!D437</f>
        <v>0</v>
      </c>
      <c r="AS43" s="30">
        <f t="shared" si="32"/>
        <v>0</v>
      </c>
      <c r="AT43" s="123">
        <f>交易记录!E470</f>
        <v>0</v>
      </c>
      <c r="AU43" s="123">
        <f>交易记录!D501</f>
        <v>0</v>
      </c>
      <c r="AV43" s="30">
        <f t="shared" si="8"/>
        <v>0</v>
      </c>
      <c r="AW43" s="120">
        <f>交易记录!E534</f>
        <v>0</v>
      </c>
      <c r="AX43" s="120">
        <f>交易记录!D565</f>
        <v>0</v>
      </c>
      <c r="AY43" s="30">
        <f t="shared" si="9"/>
        <v>0</v>
      </c>
      <c r="AZ43" s="123">
        <f>交易记录!E598</f>
        <v>0</v>
      </c>
      <c r="BA43" s="123">
        <f>交易记录!D629</f>
        <v>0</v>
      </c>
      <c r="BB43" s="30">
        <f t="shared" si="10"/>
        <v>0</v>
      </c>
      <c r="BC43" s="120">
        <f>交易记录!E662</f>
        <v>0</v>
      </c>
      <c r="BD43" s="120">
        <f>交易记录!D693</f>
        <v>0</v>
      </c>
      <c r="BE43" s="30">
        <f t="shared" si="11"/>
        <v>0</v>
      </c>
      <c r="BF43" s="123">
        <f>交易记录!E726</f>
        <v>0</v>
      </c>
      <c r="BG43" s="123">
        <f>交易记录!D757</f>
        <v>0</v>
      </c>
      <c r="BH43" s="30">
        <f t="shared" si="28"/>
        <v>0</v>
      </c>
      <c r="BI43" s="120">
        <f>交易记录!E790</f>
        <v>0</v>
      </c>
      <c r="BJ43" s="120">
        <f>交易记录!D821</f>
        <v>0</v>
      </c>
      <c r="BK43" s="30">
        <f t="shared" si="12"/>
        <v>0</v>
      </c>
      <c r="BL43" s="123">
        <f>交易记录!E854</f>
        <v>0</v>
      </c>
      <c r="BM43" s="123">
        <f>交易记录!D885</f>
        <v>0</v>
      </c>
      <c r="BN43" s="30">
        <f t="shared" si="13"/>
        <v>0</v>
      </c>
      <c r="BO43" s="120">
        <f>交易记录!E918</f>
        <v>0</v>
      </c>
      <c r="BP43" s="120">
        <f>交易记录!D949</f>
        <v>0</v>
      </c>
      <c r="BQ43" s="30">
        <f t="shared" si="14"/>
        <v>0</v>
      </c>
    </row>
    <row r="44" spans="1:69" ht="15">
      <c r="A44" s="125">
        <f>'维护-日期'!A$4</f>
        <v>46267</v>
      </c>
      <c r="B44" s="7" t="s">
        <v>24</v>
      </c>
      <c r="C44" s="144">
        <f t="shared" si="15"/>
        <v>23.85</v>
      </c>
      <c r="D44" s="144">
        <f>ROUND(INDEX(持仓数据!$C$3:$AG$26,MATCH('计算过程-数据汇总'!B44,持仓数据!$B$3:$B$26,0),MATCH('计算过程-数据汇总'!A44,'维护-日期'!$B$2:$AF$2,0)),3)</f>
        <v>23.85</v>
      </c>
      <c r="E44" s="98">
        <f t="shared" si="0"/>
        <v>23.85</v>
      </c>
      <c r="F44" s="22">
        <f>持仓数据!D90</f>
        <v>0.45400000000000001</v>
      </c>
      <c r="G44" s="97">
        <v>372</v>
      </c>
      <c r="H44" s="97">
        <v>372</v>
      </c>
      <c r="I44" s="64">
        <v>0</v>
      </c>
      <c r="J44" s="64">
        <v>0</v>
      </c>
      <c r="K44" s="21">
        <f>IF(持仓数据!D123="",0,持仓数据!D123)</f>
        <v>372</v>
      </c>
      <c r="L44" s="21">
        <f t="shared" si="16"/>
        <v>0</v>
      </c>
      <c r="M44" s="28">
        <f t="shared" si="1"/>
        <v>8872.2000000000007</v>
      </c>
      <c r="N44" s="28">
        <f t="shared" si="17"/>
        <v>0</v>
      </c>
      <c r="O44" s="28">
        <f t="shared" si="18"/>
        <v>0</v>
      </c>
      <c r="P44" s="28">
        <f t="shared" si="19"/>
        <v>0</v>
      </c>
      <c r="Q44" s="28">
        <f t="shared" si="29"/>
        <v>0</v>
      </c>
      <c r="R44" s="28">
        <f t="shared" si="21"/>
        <v>8872.2000000000007</v>
      </c>
      <c r="S44" s="28">
        <f t="shared" si="22"/>
        <v>0</v>
      </c>
      <c r="T44" s="28">
        <f t="shared" si="23"/>
        <v>0</v>
      </c>
      <c r="U44" s="28">
        <f t="shared" si="36"/>
        <v>0</v>
      </c>
      <c r="V44" s="28">
        <f t="shared" si="37"/>
        <v>0</v>
      </c>
      <c r="W44" s="118"/>
      <c r="X44" s="143">
        <f t="shared" si="26"/>
        <v>28.166</v>
      </c>
      <c r="Y44" s="120">
        <f>交易记录!E23</f>
        <v>0.45400000000000001</v>
      </c>
      <c r="Z44" s="120">
        <f>交易记录!D54</f>
        <v>372</v>
      </c>
      <c r="AA44" s="30">
        <f t="shared" si="27"/>
        <v>0</v>
      </c>
      <c r="AB44" s="123">
        <f>交易记录!E87</f>
        <v>0</v>
      </c>
      <c r="AC44" s="123">
        <f>交易记录!E118</f>
        <v>0</v>
      </c>
      <c r="AD44" s="30">
        <f t="shared" si="35"/>
        <v>0</v>
      </c>
      <c r="AE44" s="120">
        <f>交易记录!E151</f>
        <v>0</v>
      </c>
      <c r="AF44" s="120">
        <f>交易记录!E182</f>
        <v>0</v>
      </c>
      <c r="AG44" s="30">
        <f t="shared" si="31"/>
        <v>0</v>
      </c>
      <c r="AH44" s="123">
        <f>交易记录!E215</f>
        <v>0</v>
      </c>
      <c r="AI44" s="123">
        <f>交易记录!E246</f>
        <v>0</v>
      </c>
      <c r="AJ44" s="30">
        <f t="shared" si="34"/>
        <v>0</v>
      </c>
      <c r="AK44" s="120">
        <f>交易记录!E279</f>
        <v>0</v>
      </c>
      <c r="AL44" s="120">
        <f>交易记录!E310</f>
        <v>0</v>
      </c>
      <c r="AM44" s="30">
        <f t="shared" si="33"/>
        <v>0</v>
      </c>
      <c r="AN44" s="123">
        <f>交易记录!E343</f>
        <v>0</v>
      </c>
      <c r="AO44" s="123">
        <f>交易记录!E374</f>
        <v>0</v>
      </c>
      <c r="AP44" s="30">
        <f t="shared" si="30"/>
        <v>0</v>
      </c>
      <c r="AQ44" s="120">
        <f>交易记录!E407</f>
        <v>0</v>
      </c>
      <c r="AR44" s="120">
        <f>交易记录!D438</f>
        <v>0</v>
      </c>
      <c r="AS44" s="30">
        <f t="shared" si="32"/>
        <v>0</v>
      </c>
      <c r="AT44" s="123">
        <f>交易记录!E471</f>
        <v>0</v>
      </c>
      <c r="AU44" s="123">
        <f>交易记录!D502</f>
        <v>0</v>
      </c>
      <c r="AV44" s="30">
        <f t="shared" si="8"/>
        <v>0</v>
      </c>
      <c r="AW44" s="120">
        <f>交易记录!E535</f>
        <v>0</v>
      </c>
      <c r="AX44" s="120">
        <f>交易记录!D566</f>
        <v>0</v>
      </c>
      <c r="AY44" s="30">
        <f t="shared" si="9"/>
        <v>0</v>
      </c>
      <c r="AZ44" s="123">
        <f>交易记录!E599</f>
        <v>0</v>
      </c>
      <c r="BA44" s="123">
        <f>交易记录!D630</f>
        <v>0</v>
      </c>
      <c r="BB44" s="30">
        <f t="shared" si="10"/>
        <v>0</v>
      </c>
      <c r="BC44" s="120">
        <f>交易记录!E663</f>
        <v>0</v>
      </c>
      <c r="BD44" s="120">
        <f>交易记录!D694</f>
        <v>0</v>
      </c>
      <c r="BE44" s="30">
        <f t="shared" si="11"/>
        <v>0</v>
      </c>
      <c r="BF44" s="123">
        <f>交易记录!E727</f>
        <v>0</v>
      </c>
      <c r="BG44" s="123">
        <f>交易记录!D758</f>
        <v>0</v>
      </c>
      <c r="BH44" s="30">
        <f t="shared" si="28"/>
        <v>0</v>
      </c>
      <c r="BI44" s="120">
        <f>交易记录!E791</f>
        <v>0</v>
      </c>
      <c r="BJ44" s="120">
        <f>交易记录!D822</f>
        <v>0</v>
      </c>
      <c r="BK44" s="30">
        <f t="shared" si="12"/>
        <v>0</v>
      </c>
      <c r="BL44" s="123">
        <f>交易记录!E855</f>
        <v>0</v>
      </c>
      <c r="BM44" s="123">
        <f>交易记录!D886</f>
        <v>0</v>
      </c>
      <c r="BN44" s="30">
        <f t="shared" si="13"/>
        <v>0</v>
      </c>
      <c r="BO44" s="120">
        <f>交易记录!E919</f>
        <v>0</v>
      </c>
      <c r="BP44" s="120">
        <f>交易记录!D950</f>
        <v>0</v>
      </c>
      <c r="BQ44" s="30">
        <f t="shared" si="14"/>
        <v>0</v>
      </c>
    </row>
    <row r="45" spans="1:69" ht="15">
      <c r="A45" s="125">
        <f>'维护-日期'!A$4</f>
        <v>46267</v>
      </c>
      <c r="B45" s="7" t="s">
        <v>25</v>
      </c>
      <c r="C45" s="144">
        <f t="shared" si="15"/>
        <v>24.105</v>
      </c>
      <c r="D45" s="144">
        <f>ROUND(INDEX(持仓数据!$C$3:$AG$26,MATCH('计算过程-数据汇总'!B45,持仓数据!$B$3:$B$26,0),MATCH('计算过程-数据汇总'!A45,'维护-日期'!$B$2:$AF$2,0)),3)</f>
        <v>24.105</v>
      </c>
      <c r="E45" s="98">
        <f t="shared" si="0"/>
        <v>24.105</v>
      </c>
      <c r="F45" s="22">
        <f>持仓数据!D91</f>
        <v>1.1160000000000001</v>
      </c>
      <c r="G45" s="97">
        <v>372</v>
      </c>
      <c r="H45" s="97">
        <v>372</v>
      </c>
      <c r="I45" s="64">
        <v>0</v>
      </c>
      <c r="J45" s="64">
        <v>0</v>
      </c>
      <c r="K45" s="21">
        <f>IF(持仓数据!D124="",0,持仓数据!D124)</f>
        <v>372</v>
      </c>
      <c r="L45" s="21">
        <f t="shared" si="16"/>
        <v>0</v>
      </c>
      <c r="M45" s="28">
        <f t="shared" si="1"/>
        <v>8967.06</v>
      </c>
      <c r="N45" s="28">
        <f t="shared" si="17"/>
        <v>0</v>
      </c>
      <c r="O45" s="28">
        <f t="shared" si="18"/>
        <v>0</v>
      </c>
      <c r="P45" s="28">
        <f t="shared" si="19"/>
        <v>0</v>
      </c>
      <c r="Q45" s="28">
        <f t="shared" si="29"/>
        <v>0</v>
      </c>
      <c r="R45" s="28">
        <f t="shared" si="21"/>
        <v>8967.06</v>
      </c>
      <c r="S45" s="28">
        <f t="shared" si="22"/>
        <v>0</v>
      </c>
      <c r="T45" s="28">
        <f t="shared" si="23"/>
        <v>0</v>
      </c>
      <c r="U45" s="28">
        <f t="shared" si="36"/>
        <v>0</v>
      </c>
      <c r="V45" s="28">
        <f t="shared" si="37"/>
        <v>0</v>
      </c>
      <c r="W45" s="118"/>
      <c r="X45" s="143">
        <f t="shared" si="26"/>
        <v>27.81</v>
      </c>
      <c r="Y45" s="120">
        <f>交易记录!E24</f>
        <v>1.1160000000000001</v>
      </c>
      <c r="Z45" s="120">
        <f>交易记录!D55</f>
        <v>372</v>
      </c>
      <c r="AA45" s="30">
        <f t="shared" si="27"/>
        <v>0</v>
      </c>
      <c r="AB45" s="123">
        <f>交易记录!E88</f>
        <v>0</v>
      </c>
      <c r="AC45" s="123">
        <f>交易记录!E119</f>
        <v>0</v>
      </c>
      <c r="AD45" s="30">
        <f t="shared" si="35"/>
        <v>0</v>
      </c>
      <c r="AE45" s="120">
        <f>交易记录!E152</f>
        <v>0</v>
      </c>
      <c r="AF45" s="120">
        <f>交易记录!E183</f>
        <v>0</v>
      </c>
      <c r="AG45" s="30">
        <f t="shared" si="31"/>
        <v>0</v>
      </c>
      <c r="AH45" s="123">
        <f>交易记录!E216</f>
        <v>0</v>
      </c>
      <c r="AI45" s="123">
        <f>交易记录!E247</f>
        <v>0</v>
      </c>
      <c r="AJ45" s="30">
        <f t="shared" si="34"/>
        <v>0</v>
      </c>
      <c r="AK45" s="120">
        <f>交易记录!E280</f>
        <v>0</v>
      </c>
      <c r="AL45" s="120">
        <f>交易记录!E311</f>
        <v>0</v>
      </c>
      <c r="AM45" s="30">
        <f t="shared" si="33"/>
        <v>0</v>
      </c>
      <c r="AN45" s="123">
        <f>交易记录!E344</f>
        <v>0</v>
      </c>
      <c r="AO45" s="123">
        <f>交易记录!E375</f>
        <v>0</v>
      </c>
      <c r="AP45" s="30">
        <f t="shared" si="30"/>
        <v>0</v>
      </c>
      <c r="AQ45" s="120">
        <f>交易记录!E408</f>
        <v>0</v>
      </c>
      <c r="AR45" s="120">
        <f>交易记录!D439</f>
        <v>0</v>
      </c>
      <c r="AS45" s="30">
        <f t="shared" si="32"/>
        <v>0</v>
      </c>
      <c r="AT45" s="123">
        <f>交易记录!E472</f>
        <v>0</v>
      </c>
      <c r="AU45" s="123">
        <f>交易记录!D503</f>
        <v>0</v>
      </c>
      <c r="AV45" s="30">
        <f t="shared" si="8"/>
        <v>0</v>
      </c>
      <c r="AW45" s="120">
        <f>交易记录!E536</f>
        <v>0</v>
      </c>
      <c r="AX45" s="120">
        <f>交易记录!D567</f>
        <v>0</v>
      </c>
      <c r="AY45" s="30">
        <f t="shared" si="9"/>
        <v>0</v>
      </c>
      <c r="AZ45" s="123">
        <f>交易记录!E600</f>
        <v>0</v>
      </c>
      <c r="BA45" s="123">
        <f>交易记录!D631</f>
        <v>0</v>
      </c>
      <c r="BB45" s="30">
        <f t="shared" si="10"/>
        <v>0</v>
      </c>
      <c r="BC45" s="120">
        <f>交易记录!E664</f>
        <v>0</v>
      </c>
      <c r="BD45" s="120">
        <f>交易记录!D695</f>
        <v>0</v>
      </c>
      <c r="BE45" s="30">
        <f t="shared" si="11"/>
        <v>0</v>
      </c>
      <c r="BF45" s="123">
        <f>交易记录!E728</f>
        <v>0</v>
      </c>
      <c r="BG45" s="123">
        <f>交易记录!D759</f>
        <v>0</v>
      </c>
      <c r="BH45" s="30">
        <f t="shared" si="28"/>
        <v>0</v>
      </c>
      <c r="BI45" s="120">
        <f>交易记录!E792</f>
        <v>0</v>
      </c>
      <c r="BJ45" s="120">
        <f>交易记录!D823</f>
        <v>0</v>
      </c>
      <c r="BK45" s="30">
        <f t="shared" si="12"/>
        <v>0</v>
      </c>
      <c r="BL45" s="123">
        <f>交易记录!E856</f>
        <v>0</v>
      </c>
      <c r="BM45" s="123">
        <f>交易记录!D887</f>
        <v>0</v>
      </c>
      <c r="BN45" s="30">
        <f t="shared" si="13"/>
        <v>0</v>
      </c>
      <c r="BO45" s="120">
        <f>交易记录!E920</f>
        <v>0</v>
      </c>
      <c r="BP45" s="120">
        <f>交易记录!D951</f>
        <v>0</v>
      </c>
      <c r="BQ45" s="30">
        <f t="shared" si="14"/>
        <v>0</v>
      </c>
    </row>
    <row r="46" spans="1:69" ht="15">
      <c r="A46" s="125">
        <f>'维护-日期'!A$4</f>
        <v>46267</v>
      </c>
      <c r="B46" s="7" t="s">
        <v>26</v>
      </c>
      <c r="C46" s="144">
        <f t="shared" si="15"/>
        <v>24.047999999999998</v>
      </c>
      <c r="D46" s="144">
        <f>ROUND(INDEX(持仓数据!$C$3:$AG$26,MATCH('计算过程-数据汇总'!B46,持仓数据!$B$3:$B$26,0),MATCH('计算过程-数据汇总'!A46,'维护-日期'!$B$2:$AF$2,0)),3)</f>
        <v>24.047999999999998</v>
      </c>
      <c r="E46" s="98">
        <f t="shared" si="0"/>
        <v>24.047999999999998</v>
      </c>
      <c r="F46" s="22">
        <f>持仓数据!D92</f>
        <v>1</v>
      </c>
      <c r="G46" s="97">
        <v>372</v>
      </c>
      <c r="H46" s="97">
        <v>372</v>
      </c>
      <c r="I46" s="64">
        <v>0</v>
      </c>
      <c r="J46" s="64">
        <v>0</v>
      </c>
      <c r="K46" s="21">
        <f>IF(持仓数据!D125="",0,持仓数据!D125)</f>
        <v>372</v>
      </c>
      <c r="L46" s="21">
        <f t="shared" si="16"/>
        <v>0</v>
      </c>
      <c r="M46" s="28">
        <f t="shared" si="1"/>
        <v>8945.8559999999998</v>
      </c>
      <c r="N46" s="28">
        <f t="shared" si="17"/>
        <v>0</v>
      </c>
      <c r="O46" s="28">
        <f t="shared" si="18"/>
        <v>0</v>
      </c>
      <c r="P46" s="28">
        <f t="shared" si="19"/>
        <v>0</v>
      </c>
      <c r="Q46" s="28">
        <f t="shared" si="29"/>
        <v>0</v>
      </c>
      <c r="R46" s="28">
        <f t="shared" si="21"/>
        <v>8945.8559999999998</v>
      </c>
      <c r="S46" s="28">
        <f t="shared" si="22"/>
        <v>0</v>
      </c>
      <c r="T46" s="28">
        <f t="shared" si="23"/>
        <v>0</v>
      </c>
      <c r="U46" s="28">
        <f t="shared" si="36"/>
        <v>0</v>
      </c>
      <c r="V46" s="28">
        <f t="shared" si="37"/>
        <v>0</v>
      </c>
      <c r="W46" s="118"/>
      <c r="X46" s="143">
        <f t="shared" si="26"/>
        <v>27.858000000000001</v>
      </c>
      <c r="Y46" s="120">
        <f>交易记录!E25</f>
        <v>1</v>
      </c>
      <c r="Z46" s="120">
        <f>交易记录!D56</f>
        <v>372</v>
      </c>
      <c r="AA46" s="30">
        <f t="shared" si="27"/>
        <v>0</v>
      </c>
      <c r="AB46" s="123">
        <f>交易记录!E89</f>
        <v>0</v>
      </c>
      <c r="AC46" s="123">
        <f>交易记录!E120</f>
        <v>0</v>
      </c>
      <c r="AD46" s="30">
        <f t="shared" si="35"/>
        <v>0</v>
      </c>
      <c r="AE46" s="120">
        <f>交易记录!E153</f>
        <v>0</v>
      </c>
      <c r="AF46" s="120">
        <f>交易记录!E184</f>
        <v>0</v>
      </c>
      <c r="AG46" s="30">
        <f t="shared" si="31"/>
        <v>0</v>
      </c>
      <c r="AH46" s="123">
        <f>交易记录!E217</f>
        <v>0</v>
      </c>
      <c r="AI46" s="123">
        <f>交易记录!E248</f>
        <v>0</v>
      </c>
      <c r="AJ46" s="30">
        <f t="shared" si="34"/>
        <v>0</v>
      </c>
      <c r="AK46" s="120">
        <f>交易记录!E281</f>
        <v>0</v>
      </c>
      <c r="AL46" s="120">
        <f>交易记录!E312</f>
        <v>0</v>
      </c>
      <c r="AM46" s="30">
        <f t="shared" si="33"/>
        <v>0</v>
      </c>
      <c r="AN46" s="123">
        <f>交易记录!E345</f>
        <v>0</v>
      </c>
      <c r="AO46" s="123">
        <f>交易记录!E376</f>
        <v>0</v>
      </c>
      <c r="AP46" s="30">
        <f t="shared" si="30"/>
        <v>0</v>
      </c>
      <c r="AQ46" s="120">
        <f>交易记录!E409</f>
        <v>0</v>
      </c>
      <c r="AR46" s="120">
        <f>交易记录!D440</f>
        <v>0</v>
      </c>
      <c r="AS46" s="30">
        <f t="shared" si="32"/>
        <v>0</v>
      </c>
      <c r="AT46" s="123">
        <f>交易记录!E473</f>
        <v>0</v>
      </c>
      <c r="AU46" s="123">
        <f>交易记录!D504</f>
        <v>0</v>
      </c>
      <c r="AV46" s="30">
        <f t="shared" si="8"/>
        <v>0</v>
      </c>
      <c r="AW46" s="120">
        <f>交易记录!E537</f>
        <v>0</v>
      </c>
      <c r="AX46" s="120">
        <f>交易记录!D568</f>
        <v>0</v>
      </c>
      <c r="AY46" s="30">
        <f t="shared" si="9"/>
        <v>0</v>
      </c>
      <c r="AZ46" s="123">
        <f>交易记录!E601</f>
        <v>0</v>
      </c>
      <c r="BA46" s="123">
        <f>交易记录!D632</f>
        <v>0</v>
      </c>
      <c r="BB46" s="30">
        <f t="shared" si="10"/>
        <v>0</v>
      </c>
      <c r="BC46" s="120">
        <f>交易记录!E665</f>
        <v>0</v>
      </c>
      <c r="BD46" s="120">
        <f>交易记录!D696</f>
        <v>0</v>
      </c>
      <c r="BE46" s="30">
        <f t="shared" si="11"/>
        <v>0</v>
      </c>
      <c r="BF46" s="123">
        <f>交易记录!E729</f>
        <v>0</v>
      </c>
      <c r="BG46" s="123">
        <f>交易记录!D760</f>
        <v>0</v>
      </c>
      <c r="BH46" s="30">
        <f t="shared" si="28"/>
        <v>0</v>
      </c>
      <c r="BI46" s="120">
        <f>交易记录!E793</f>
        <v>0</v>
      </c>
      <c r="BJ46" s="120">
        <f>交易记录!D824</f>
        <v>0</v>
      </c>
      <c r="BK46" s="30">
        <f t="shared" si="12"/>
        <v>0</v>
      </c>
      <c r="BL46" s="123">
        <f>交易记录!E857</f>
        <v>0</v>
      </c>
      <c r="BM46" s="123">
        <f>交易记录!D888</f>
        <v>0</v>
      </c>
      <c r="BN46" s="30">
        <f t="shared" si="13"/>
        <v>0</v>
      </c>
      <c r="BO46" s="120">
        <f>交易记录!E921</f>
        <v>0</v>
      </c>
      <c r="BP46" s="120">
        <f>交易记录!D952</f>
        <v>0</v>
      </c>
      <c r="BQ46" s="30">
        <f t="shared" si="14"/>
        <v>0</v>
      </c>
    </row>
    <row r="47" spans="1:69" ht="15">
      <c r="A47" s="125">
        <f>'维护-日期'!A$4</f>
        <v>46267</v>
      </c>
      <c r="B47" s="7" t="s">
        <v>27</v>
      </c>
      <c r="C47" s="144">
        <f t="shared" si="15"/>
        <v>22.594000000000001</v>
      </c>
      <c r="D47" s="144">
        <f>ROUND(INDEX(持仓数据!$C$3:$AG$26,MATCH('计算过程-数据汇总'!B47,持仓数据!$B$3:$B$26,0),MATCH('计算过程-数据汇总'!A47,'维护-日期'!$B$2:$AF$2,0)),3)</f>
        <v>22.594000000000001</v>
      </c>
      <c r="E47" s="98">
        <f t="shared" si="0"/>
        <v>22.594000000000001</v>
      </c>
      <c r="F47" s="22">
        <f>持仓数据!D93</f>
        <v>0.95199999999999996</v>
      </c>
      <c r="G47" s="97">
        <v>372</v>
      </c>
      <c r="H47" s="97">
        <v>372</v>
      </c>
      <c r="I47" s="64">
        <v>0</v>
      </c>
      <c r="J47" s="64">
        <v>0</v>
      </c>
      <c r="K47" s="21">
        <f>IF(持仓数据!D126="",0,持仓数据!D126)</f>
        <v>372</v>
      </c>
      <c r="L47" s="21">
        <f t="shared" si="16"/>
        <v>0</v>
      </c>
      <c r="M47" s="28">
        <f t="shared" si="1"/>
        <v>8404.9680000000008</v>
      </c>
      <c r="N47" s="28">
        <f t="shared" si="17"/>
        <v>0</v>
      </c>
      <c r="O47" s="28">
        <f t="shared" si="18"/>
        <v>0</v>
      </c>
      <c r="P47" s="28">
        <f t="shared" si="19"/>
        <v>0</v>
      </c>
      <c r="Q47" s="28">
        <f t="shared" si="29"/>
        <v>0</v>
      </c>
      <c r="R47" s="28">
        <f t="shared" si="21"/>
        <v>8404.9680000000008</v>
      </c>
      <c r="S47" s="28">
        <f t="shared" si="22"/>
        <v>0</v>
      </c>
      <c r="T47" s="28">
        <f t="shared" si="23"/>
        <v>0</v>
      </c>
      <c r="U47" s="28">
        <f t="shared" si="36"/>
        <v>0</v>
      </c>
      <c r="V47" s="28">
        <f t="shared" si="37"/>
        <v>0</v>
      </c>
      <c r="W47" s="118"/>
      <c r="X47" s="143">
        <f t="shared" si="26"/>
        <v>26.161000000000001</v>
      </c>
      <c r="Y47" s="120">
        <f>交易记录!E26</f>
        <v>0.95199999999999996</v>
      </c>
      <c r="Z47" s="120">
        <f>交易记录!D57</f>
        <v>372</v>
      </c>
      <c r="AA47" s="30">
        <f t="shared" si="27"/>
        <v>0</v>
      </c>
      <c r="AB47" s="123">
        <f>交易记录!E90</f>
        <v>0</v>
      </c>
      <c r="AC47" s="123">
        <f>交易记录!E121</f>
        <v>0</v>
      </c>
      <c r="AD47" s="30">
        <f t="shared" si="35"/>
        <v>0</v>
      </c>
      <c r="AE47" s="120">
        <f>交易记录!E154</f>
        <v>0</v>
      </c>
      <c r="AF47" s="120">
        <f>交易记录!E185</f>
        <v>0</v>
      </c>
      <c r="AG47" s="30">
        <f t="shared" si="31"/>
        <v>0</v>
      </c>
      <c r="AH47" s="123">
        <f>交易记录!E218</f>
        <v>0</v>
      </c>
      <c r="AI47" s="123">
        <f>交易记录!E249</f>
        <v>0</v>
      </c>
      <c r="AJ47" s="30">
        <f t="shared" si="34"/>
        <v>0</v>
      </c>
      <c r="AK47" s="120">
        <f>交易记录!E282</f>
        <v>0</v>
      </c>
      <c r="AL47" s="120">
        <f>交易记录!E313</f>
        <v>0</v>
      </c>
      <c r="AM47" s="30">
        <f t="shared" si="33"/>
        <v>0</v>
      </c>
      <c r="AN47" s="123">
        <f>交易记录!E346</f>
        <v>0</v>
      </c>
      <c r="AO47" s="123">
        <f>交易记录!E377</f>
        <v>0</v>
      </c>
      <c r="AP47" s="30">
        <f t="shared" si="30"/>
        <v>0</v>
      </c>
      <c r="AQ47" s="120">
        <f>交易记录!E410</f>
        <v>0</v>
      </c>
      <c r="AR47" s="120">
        <f>交易记录!D441</f>
        <v>0</v>
      </c>
      <c r="AS47" s="30">
        <f t="shared" si="32"/>
        <v>0</v>
      </c>
      <c r="AT47" s="123">
        <f>交易记录!E474</f>
        <v>0</v>
      </c>
      <c r="AU47" s="123">
        <f>交易记录!D505</f>
        <v>0</v>
      </c>
      <c r="AV47" s="30">
        <f t="shared" si="8"/>
        <v>0</v>
      </c>
      <c r="AW47" s="120">
        <f>交易记录!E538</f>
        <v>0</v>
      </c>
      <c r="AX47" s="120">
        <f>交易记录!D569</f>
        <v>0</v>
      </c>
      <c r="AY47" s="30">
        <f t="shared" si="9"/>
        <v>0</v>
      </c>
      <c r="AZ47" s="123">
        <f>交易记录!E602</f>
        <v>0</v>
      </c>
      <c r="BA47" s="123">
        <f>交易记录!D633</f>
        <v>0</v>
      </c>
      <c r="BB47" s="30">
        <f t="shared" si="10"/>
        <v>0</v>
      </c>
      <c r="BC47" s="120">
        <f>交易记录!E666</f>
        <v>0</v>
      </c>
      <c r="BD47" s="120">
        <f>交易记录!D697</f>
        <v>0</v>
      </c>
      <c r="BE47" s="30">
        <f t="shared" si="11"/>
        <v>0</v>
      </c>
      <c r="BF47" s="123">
        <f>交易记录!E730</f>
        <v>0</v>
      </c>
      <c r="BG47" s="123">
        <f>交易记录!D761</f>
        <v>0</v>
      </c>
      <c r="BH47" s="30">
        <f t="shared" si="28"/>
        <v>0</v>
      </c>
      <c r="BI47" s="120">
        <f>交易记录!E794</f>
        <v>0</v>
      </c>
      <c r="BJ47" s="120">
        <f>交易记录!D825</f>
        <v>0</v>
      </c>
      <c r="BK47" s="30">
        <f t="shared" si="12"/>
        <v>0</v>
      </c>
      <c r="BL47" s="123">
        <f>交易记录!E858</f>
        <v>0</v>
      </c>
      <c r="BM47" s="123">
        <f>交易记录!D889</f>
        <v>0</v>
      </c>
      <c r="BN47" s="30">
        <f t="shared" si="13"/>
        <v>0</v>
      </c>
      <c r="BO47" s="120">
        <f>交易记录!E922</f>
        <v>0</v>
      </c>
      <c r="BP47" s="120">
        <f>交易记录!D953</f>
        <v>0</v>
      </c>
      <c r="BQ47" s="30">
        <f t="shared" si="14"/>
        <v>0</v>
      </c>
    </row>
    <row r="48" spans="1:69" ht="15">
      <c r="A48" s="125">
        <f>'维护-日期'!A$4</f>
        <v>46267</v>
      </c>
      <c r="B48" s="7" t="s">
        <v>28</v>
      </c>
      <c r="C48" s="144">
        <f t="shared" si="15"/>
        <v>19.387</v>
      </c>
      <c r="D48" s="144">
        <f>ROUND(INDEX(持仓数据!$C$3:$AG$26,MATCH('计算过程-数据汇总'!B48,持仓数据!$B$3:$B$26,0),MATCH('计算过程-数据汇总'!A48,'维护-日期'!$B$2:$AF$2,0)),3)</f>
        <v>19.387</v>
      </c>
      <c r="E48" s="98">
        <f t="shared" si="0"/>
        <v>19.387</v>
      </c>
      <c r="F48" s="22">
        <f>持仓数据!D94</f>
        <v>0.84300000000000008</v>
      </c>
      <c r="G48" s="97">
        <v>372</v>
      </c>
      <c r="H48" s="97">
        <v>372</v>
      </c>
      <c r="I48" s="64">
        <v>0</v>
      </c>
      <c r="J48" s="64">
        <v>0</v>
      </c>
      <c r="K48" s="21">
        <f>IF(持仓数据!D127="",0,持仓数据!D127)</f>
        <v>371.99999999999994</v>
      </c>
      <c r="L48" s="21">
        <f t="shared" si="16"/>
        <v>0</v>
      </c>
      <c r="M48" s="28">
        <f t="shared" si="1"/>
        <v>7211.9639999999999</v>
      </c>
      <c r="N48" s="28">
        <f t="shared" si="17"/>
        <v>0</v>
      </c>
      <c r="O48" s="28">
        <f t="shared" si="18"/>
        <v>0</v>
      </c>
      <c r="P48" s="28">
        <f t="shared" si="19"/>
        <v>-4.7919002099661161E-14</v>
      </c>
      <c r="Q48" s="28">
        <f t="shared" si="29"/>
        <v>0</v>
      </c>
      <c r="R48" s="28">
        <f t="shared" si="21"/>
        <v>7211.963999999999</v>
      </c>
      <c r="S48" s="28">
        <f t="shared" si="22"/>
        <v>0</v>
      </c>
      <c r="T48" s="28">
        <f t="shared" si="23"/>
        <v>1.0541043593548239E-12</v>
      </c>
      <c r="U48" s="28">
        <f t="shared" si="36"/>
        <v>0</v>
      </c>
      <c r="V48" s="28">
        <f t="shared" si="37"/>
        <v>0</v>
      </c>
      <c r="W48" s="118"/>
      <c r="X48" s="143">
        <f t="shared" si="26"/>
        <v>22.420999999999999</v>
      </c>
      <c r="Y48" s="120">
        <f>交易记录!E27</f>
        <v>0.84300000000000008</v>
      </c>
      <c r="Z48" s="120">
        <f>交易记录!D58</f>
        <v>372</v>
      </c>
      <c r="AA48" s="30">
        <f t="shared" si="27"/>
        <v>0</v>
      </c>
      <c r="AB48" s="123">
        <f>交易记录!E91</f>
        <v>0</v>
      </c>
      <c r="AC48" s="123">
        <f>交易记录!E122</f>
        <v>0</v>
      </c>
      <c r="AD48" s="30">
        <f t="shared" si="35"/>
        <v>0</v>
      </c>
      <c r="AE48" s="120">
        <f>交易记录!E155</f>
        <v>0</v>
      </c>
      <c r="AF48" s="120">
        <f>交易记录!E186</f>
        <v>0</v>
      </c>
      <c r="AG48" s="30">
        <f t="shared" si="31"/>
        <v>0</v>
      </c>
      <c r="AH48" s="123">
        <f>交易记录!E219</f>
        <v>0</v>
      </c>
      <c r="AI48" s="123">
        <f>交易记录!E250</f>
        <v>0</v>
      </c>
      <c r="AJ48" s="30">
        <f t="shared" si="34"/>
        <v>0</v>
      </c>
      <c r="AK48" s="120">
        <f>交易记录!E283</f>
        <v>0</v>
      </c>
      <c r="AL48" s="120">
        <f>交易记录!E314</f>
        <v>0</v>
      </c>
      <c r="AM48" s="30">
        <f t="shared" si="33"/>
        <v>0</v>
      </c>
      <c r="AN48" s="123">
        <f>交易记录!E347</f>
        <v>0</v>
      </c>
      <c r="AO48" s="123">
        <f>交易记录!E378</f>
        <v>0</v>
      </c>
      <c r="AP48" s="30">
        <f t="shared" si="30"/>
        <v>0</v>
      </c>
      <c r="AQ48" s="120">
        <f>交易记录!E411</f>
        <v>0</v>
      </c>
      <c r="AR48" s="120">
        <f>交易记录!D442</f>
        <v>0</v>
      </c>
      <c r="AS48" s="30">
        <f t="shared" si="32"/>
        <v>0</v>
      </c>
      <c r="AT48" s="123">
        <f>交易记录!E475</f>
        <v>0</v>
      </c>
      <c r="AU48" s="123">
        <f>交易记录!D506</f>
        <v>0</v>
      </c>
      <c r="AV48" s="30">
        <f t="shared" si="8"/>
        <v>0</v>
      </c>
      <c r="AW48" s="120">
        <f>交易记录!E539</f>
        <v>0</v>
      </c>
      <c r="AX48" s="120">
        <f>交易记录!D570</f>
        <v>0</v>
      </c>
      <c r="AY48" s="30">
        <f t="shared" si="9"/>
        <v>0</v>
      </c>
      <c r="AZ48" s="123">
        <f>交易记录!E603</f>
        <v>0</v>
      </c>
      <c r="BA48" s="123">
        <f>交易记录!D634</f>
        <v>0</v>
      </c>
      <c r="BB48" s="30">
        <f t="shared" si="10"/>
        <v>0</v>
      </c>
      <c r="BC48" s="120">
        <f>交易记录!E667</f>
        <v>0</v>
      </c>
      <c r="BD48" s="120">
        <f>交易记录!D698</f>
        <v>0</v>
      </c>
      <c r="BE48" s="30">
        <f t="shared" si="11"/>
        <v>0</v>
      </c>
      <c r="BF48" s="123">
        <f>交易记录!E731</f>
        <v>0</v>
      </c>
      <c r="BG48" s="123">
        <f>交易记录!D762</f>
        <v>0</v>
      </c>
      <c r="BH48" s="30">
        <f t="shared" si="28"/>
        <v>0</v>
      </c>
      <c r="BI48" s="120">
        <f>交易记录!E795</f>
        <v>0</v>
      </c>
      <c r="BJ48" s="120">
        <f>交易记录!D826</f>
        <v>0</v>
      </c>
      <c r="BK48" s="30">
        <f t="shared" si="12"/>
        <v>0</v>
      </c>
      <c r="BL48" s="123">
        <f>交易记录!E859</f>
        <v>0</v>
      </c>
      <c r="BM48" s="123">
        <f>交易记录!D890</f>
        <v>0</v>
      </c>
      <c r="BN48" s="30">
        <f t="shared" si="13"/>
        <v>0</v>
      </c>
      <c r="BO48" s="120">
        <f>交易记录!E923</f>
        <v>0</v>
      </c>
      <c r="BP48" s="120">
        <f>交易记录!D954</f>
        <v>0</v>
      </c>
      <c r="BQ48" s="30">
        <f t="shared" si="14"/>
        <v>0</v>
      </c>
    </row>
    <row r="49" spans="1:69" ht="15">
      <c r="A49" s="125">
        <f>'维护-日期'!A$4</f>
        <v>46267</v>
      </c>
      <c r="B49" s="7" t="s">
        <v>29</v>
      </c>
      <c r="C49" s="144">
        <f t="shared" si="15"/>
        <v>16.963000000000001</v>
      </c>
      <c r="D49" s="144">
        <f>ROUND(INDEX(持仓数据!$C$3:$AG$26,MATCH('计算过程-数据汇总'!B49,持仓数据!$B$3:$B$26,0),MATCH('计算过程-数据汇总'!A49,'维护-日期'!$B$2:$AF$2,0)),3)</f>
        <v>16.963000000000001</v>
      </c>
      <c r="E49" s="98">
        <f t="shared" si="0"/>
        <v>16.963000000000001</v>
      </c>
      <c r="F49" s="22">
        <f>持仓数据!D95</f>
        <v>0.33299999999999996</v>
      </c>
      <c r="G49" s="97">
        <v>372</v>
      </c>
      <c r="H49" s="97">
        <v>372</v>
      </c>
      <c r="I49" s="64">
        <v>0</v>
      </c>
      <c r="J49" s="64">
        <v>0</v>
      </c>
      <c r="K49" s="21">
        <f>IF(持仓数据!D128="",0,持仓数据!D128)</f>
        <v>372</v>
      </c>
      <c r="L49" s="21">
        <f t="shared" si="16"/>
        <v>0</v>
      </c>
      <c r="M49" s="28">
        <f t="shared" si="1"/>
        <v>6310.2360000000008</v>
      </c>
      <c r="N49" s="28">
        <f t="shared" si="17"/>
        <v>0</v>
      </c>
      <c r="O49" s="28">
        <f t="shared" si="18"/>
        <v>0</v>
      </c>
      <c r="P49" s="28">
        <f t="shared" si="19"/>
        <v>0</v>
      </c>
      <c r="Q49" s="28">
        <f t="shared" si="29"/>
        <v>0</v>
      </c>
      <c r="R49" s="28">
        <f t="shared" si="21"/>
        <v>6310.2360000000008</v>
      </c>
      <c r="S49" s="28">
        <f t="shared" si="22"/>
        <v>0</v>
      </c>
      <c r="T49" s="28">
        <f t="shared" si="23"/>
        <v>0</v>
      </c>
      <c r="U49" s="28">
        <f t="shared" si="36"/>
        <v>0</v>
      </c>
      <c r="V49" s="28">
        <f t="shared" si="37"/>
        <v>0</v>
      </c>
      <c r="W49" s="118"/>
      <c r="X49" s="143">
        <f t="shared" si="26"/>
        <v>20.023</v>
      </c>
      <c r="Y49" s="120">
        <f>交易记录!E28</f>
        <v>0.33299999999999996</v>
      </c>
      <c r="Z49" s="120">
        <f>交易记录!D59</f>
        <v>372</v>
      </c>
      <c r="AA49" s="30">
        <f t="shared" si="27"/>
        <v>0</v>
      </c>
      <c r="AB49" s="123">
        <f>交易记录!E92</f>
        <v>0</v>
      </c>
      <c r="AC49" s="123">
        <f>交易记录!E123</f>
        <v>0</v>
      </c>
      <c r="AD49" s="30">
        <f t="shared" si="35"/>
        <v>0</v>
      </c>
      <c r="AE49" s="120">
        <f>交易记录!E156</f>
        <v>0</v>
      </c>
      <c r="AF49" s="120">
        <f>交易记录!E187</f>
        <v>0</v>
      </c>
      <c r="AG49" s="30">
        <f t="shared" si="31"/>
        <v>0</v>
      </c>
      <c r="AH49" s="123">
        <f>交易记录!E220</f>
        <v>0</v>
      </c>
      <c r="AI49" s="123">
        <f>交易记录!E251</f>
        <v>0</v>
      </c>
      <c r="AJ49" s="30">
        <f t="shared" si="34"/>
        <v>0</v>
      </c>
      <c r="AK49" s="120">
        <f>交易记录!E284</f>
        <v>0</v>
      </c>
      <c r="AL49" s="120">
        <f>交易记录!E315</f>
        <v>0</v>
      </c>
      <c r="AM49" s="30">
        <f t="shared" si="33"/>
        <v>0</v>
      </c>
      <c r="AN49" s="123">
        <f>交易记录!E348</f>
        <v>0</v>
      </c>
      <c r="AO49" s="123">
        <f>交易记录!E379</f>
        <v>0</v>
      </c>
      <c r="AP49" s="30">
        <f t="shared" si="30"/>
        <v>0</v>
      </c>
      <c r="AQ49" s="120">
        <f>交易记录!E412</f>
        <v>0</v>
      </c>
      <c r="AR49" s="120">
        <f>交易记录!D443</f>
        <v>0</v>
      </c>
      <c r="AS49" s="30">
        <f t="shared" si="32"/>
        <v>0</v>
      </c>
      <c r="AT49" s="123">
        <f>交易记录!E476</f>
        <v>0</v>
      </c>
      <c r="AU49" s="123">
        <f>交易记录!D507</f>
        <v>0</v>
      </c>
      <c r="AV49" s="30">
        <f t="shared" si="8"/>
        <v>0</v>
      </c>
      <c r="AW49" s="120">
        <f>交易记录!E540</f>
        <v>0</v>
      </c>
      <c r="AX49" s="120">
        <f>交易记录!D571</f>
        <v>0</v>
      </c>
      <c r="AY49" s="30">
        <f t="shared" si="9"/>
        <v>0</v>
      </c>
      <c r="AZ49" s="123">
        <f>交易记录!E604</f>
        <v>0</v>
      </c>
      <c r="BA49" s="123">
        <f>交易记录!D635</f>
        <v>0</v>
      </c>
      <c r="BB49" s="30">
        <f t="shared" si="10"/>
        <v>0</v>
      </c>
      <c r="BC49" s="120">
        <f>交易记录!E668</f>
        <v>0</v>
      </c>
      <c r="BD49" s="120">
        <f>交易记录!D699</f>
        <v>0</v>
      </c>
      <c r="BE49" s="30">
        <f t="shared" si="11"/>
        <v>0</v>
      </c>
      <c r="BF49" s="123">
        <f>交易记录!E732</f>
        <v>0</v>
      </c>
      <c r="BG49" s="123">
        <f>交易记录!D763</f>
        <v>0</v>
      </c>
      <c r="BH49" s="30">
        <f t="shared" si="28"/>
        <v>0</v>
      </c>
      <c r="BI49" s="120">
        <f>交易记录!E796</f>
        <v>0</v>
      </c>
      <c r="BJ49" s="120">
        <f>交易记录!D827</f>
        <v>0</v>
      </c>
      <c r="BK49" s="30">
        <f t="shared" si="12"/>
        <v>0</v>
      </c>
      <c r="BL49" s="123">
        <f>交易记录!E860</f>
        <v>0</v>
      </c>
      <c r="BM49" s="123">
        <f>交易记录!D891</f>
        <v>0</v>
      </c>
      <c r="BN49" s="30">
        <f t="shared" si="13"/>
        <v>0</v>
      </c>
      <c r="BO49" s="120">
        <f>交易记录!E924</f>
        <v>0</v>
      </c>
      <c r="BP49" s="120">
        <f>交易记录!D955</f>
        <v>0</v>
      </c>
      <c r="BQ49" s="30">
        <f t="shared" si="14"/>
        <v>0</v>
      </c>
    </row>
    <row r="50" spans="1:69" ht="15">
      <c r="A50" s="125">
        <f>'维护-日期'!A$5</f>
        <v>46268</v>
      </c>
      <c r="B50" s="7" t="s">
        <v>6</v>
      </c>
      <c r="C50" s="144">
        <f t="shared" si="15"/>
        <v>16.655999999999999</v>
      </c>
      <c r="D50" s="144">
        <f>ROUND(INDEX(持仓数据!$C$3:$AG$26,MATCH('计算过程-数据汇总'!B50,持仓数据!$B$3:$B$26,0),MATCH('计算过程-数据汇总'!A50,'维护-日期'!$B$2:$AF$2,0)),3)</f>
        <v>16.655999999999999</v>
      </c>
      <c r="E50" s="98">
        <f t="shared" si="0"/>
        <v>16.655999999999999</v>
      </c>
      <c r="F50" s="22">
        <f>持仓数据!E72</f>
        <v>0.39700000000000002</v>
      </c>
      <c r="G50" s="97">
        <v>372</v>
      </c>
      <c r="H50" s="97">
        <v>372</v>
      </c>
      <c r="I50" s="64">
        <v>0</v>
      </c>
      <c r="J50" s="64">
        <v>0</v>
      </c>
      <c r="K50" s="21">
        <f>IF(持仓数据!E105="",0,持仓数据!E105)</f>
        <v>372</v>
      </c>
      <c r="L50" s="21">
        <f t="shared" si="16"/>
        <v>0</v>
      </c>
      <c r="M50" s="28">
        <f t="shared" si="1"/>
        <v>6196.0319999999992</v>
      </c>
      <c r="N50" s="28">
        <f t="shared" si="17"/>
        <v>0</v>
      </c>
      <c r="O50" s="28">
        <f t="shared" si="18"/>
        <v>0</v>
      </c>
      <c r="P50" s="28">
        <f t="shared" si="19"/>
        <v>0</v>
      </c>
      <c r="Q50" s="28">
        <f t="shared" si="29"/>
        <v>0</v>
      </c>
      <c r="R50" s="28">
        <f t="shared" si="21"/>
        <v>6196.0319999999992</v>
      </c>
      <c r="S50" s="28">
        <f t="shared" si="22"/>
        <v>0</v>
      </c>
      <c r="T50" s="28">
        <f t="shared" si="23"/>
        <v>0</v>
      </c>
      <c r="U50" s="28">
        <f t="shared" si="36"/>
        <v>0</v>
      </c>
      <c r="V50" s="28">
        <f t="shared" si="37"/>
        <v>0</v>
      </c>
      <c r="W50" s="118"/>
      <c r="X50" s="143">
        <f t="shared" si="26"/>
        <v>19.59</v>
      </c>
      <c r="Y50" s="120">
        <f>交易记录!F5</f>
        <v>0.39700000000000002</v>
      </c>
      <c r="Z50" s="120">
        <f>交易记录!F36</f>
        <v>372</v>
      </c>
      <c r="AA50" s="30">
        <f t="shared" si="27"/>
        <v>0</v>
      </c>
      <c r="AB50" s="123">
        <f>交易记录!F69</f>
        <v>0</v>
      </c>
      <c r="AC50" s="123">
        <f>交易记录!F100</f>
        <v>0</v>
      </c>
      <c r="AD50" s="30">
        <f t="shared" si="35"/>
        <v>0</v>
      </c>
      <c r="AE50" s="120">
        <f>交易记录!F133</f>
        <v>0</v>
      </c>
      <c r="AF50" s="120">
        <f>交易记录!F164</f>
        <v>0</v>
      </c>
      <c r="AG50" s="30">
        <f t="shared" si="31"/>
        <v>0</v>
      </c>
      <c r="AH50" s="123">
        <f>交易记录!F197</f>
        <v>0</v>
      </c>
      <c r="AI50" s="123">
        <f>交易记录!F228</f>
        <v>0</v>
      </c>
      <c r="AJ50" s="30">
        <f t="shared" si="34"/>
        <v>0</v>
      </c>
      <c r="AK50" s="120">
        <f>交易记录!F261</f>
        <v>0</v>
      </c>
      <c r="AL50" s="120">
        <f>交易记录!F292</f>
        <v>0</v>
      </c>
      <c r="AM50" s="30">
        <f t="shared" si="33"/>
        <v>0</v>
      </c>
      <c r="AN50" s="123">
        <f>交易记录!F325</f>
        <v>0</v>
      </c>
      <c r="AO50" s="123">
        <f>交易记录!F356</f>
        <v>0</v>
      </c>
      <c r="AP50" s="30">
        <f t="shared" si="30"/>
        <v>0</v>
      </c>
      <c r="AQ50" s="120">
        <f>交易记录!F389</f>
        <v>0</v>
      </c>
      <c r="AR50" s="120">
        <f>交易记录!F420</f>
        <v>0</v>
      </c>
      <c r="AS50" s="30">
        <f t="shared" si="32"/>
        <v>0</v>
      </c>
      <c r="AT50" s="123">
        <f>交易记录!F453</f>
        <v>0</v>
      </c>
      <c r="AU50" s="123">
        <f>交易记录!F484</f>
        <v>0</v>
      </c>
      <c r="AV50" s="30">
        <f t="shared" si="8"/>
        <v>0</v>
      </c>
      <c r="AW50" s="120">
        <f>交易记录!F517</f>
        <v>0</v>
      </c>
      <c r="AX50" s="120">
        <f>交易记录!F548</f>
        <v>0</v>
      </c>
      <c r="AY50" s="30">
        <f t="shared" si="9"/>
        <v>0</v>
      </c>
      <c r="AZ50" s="123">
        <f>交易记录!F581</f>
        <v>0</v>
      </c>
      <c r="BA50" s="123">
        <f>交易记录!F612</f>
        <v>0</v>
      </c>
      <c r="BB50" s="30">
        <f t="shared" si="10"/>
        <v>0</v>
      </c>
      <c r="BC50" s="120">
        <f>交易记录!F645</f>
        <v>0</v>
      </c>
      <c r="BD50" s="120">
        <f>交易记录!F676</f>
        <v>0</v>
      </c>
      <c r="BE50" s="30">
        <f t="shared" si="11"/>
        <v>0</v>
      </c>
      <c r="BF50" s="123">
        <f>交易记录!F709</f>
        <v>0</v>
      </c>
      <c r="BG50" s="123">
        <f>交易记录!F740</f>
        <v>0</v>
      </c>
      <c r="BH50" s="30">
        <f t="shared" si="28"/>
        <v>0</v>
      </c>
      <c r="BI50" s="120">
        <f>交易记录!F773</f>
        <v>0</v>
      </c>
      <c r="BJ50" s="120">
        <f>交易记录!F804</f>
        <v>0</v>
      </c>
      <c r="BK50" s="30">
        <f t="shared" si="12"/>
        <v>0</v>
      </c>
      <c r="BL50" s="123">
        <f>交易记录!F837</f>
        <v>0</v>
      </c>
      <c r="BM50" s="123">
        <f>交易记录!F868</f>
        <v>0</v>
      </c>
      <c r="BN50" s="30">
        <f t="shared" si="13"/>
        <v>0</v>
      </c>
      <c r="BO50" s="120">
        <f>交易记录!F901</f>
        <v>0</v>
      </c>
      <c r="BP50" s="120">
        <f>交易记录!F932</f>
        <v>0</v>
      </c>
      <c r="BQ50" s="30">
        <f t="shared" si="14"/>
        <v>0</v>
      </c>
    </row>
    <row r="51" spans="1:69" ht="15">
      <c r="A51" s="125">
        <f>'维护-日期'!A$5</f>
        <v>46268</v>
      </c>
      <c r="B51" s="7" t="s">
        <v>7</v>
      </c>
      <c r="C51" s="144">
        <f t="shared" si="15"/>
        <v>15.792</v>
      </c>
      <c r="D51" s="144">
        <f>ROUND(INDEX(持仓数据!$C$3:$AG$26,MATCH('计算过程-数据汇总'!B51,持仓数据!$B$3:$B$26,0),MATCH('计算过程-数据汇总'!A51,'维护-日期'!$B$2:$AF$2,0)),3)</f>
        <v>15.792</v>
      </c>
      <c r="E51" s="98">
        <f t="shared" si="0"/>
        <v>15.792</v>
      </c>
      <c r="F51" s="22">
        <f>持仓数据!E73</f>
        <v>0.26500000000000001</v>
      </c>
      <c r="G51" s="97">
        <v>372</v>
      </c>
      <c r="H51" s="97">
        <v>372</v>
      </c>
      <c r="I51" s="64">
        <v>0</v>
      </c>
      <c r="J51" s="64">
        <v>0</v>
      </c>
      <c r="K51" s="21">
        <f>IF(持仓数据!E106="",0,持仓数据!E106)</f>
        <v>372</v>
      </c>
      <c r="L51" s="21">
        <f t="shared" si="16"/>
        <v>0</v>
      </c>
      <c r="M51" s="28">
        <f t="shared" si="1"/>
        <v>5874.6239999999998</v>
      </c>
      <c r="N51" s="28">
        <f t="shared" si="17"/>
        <v>0</v>
      </c>
      <c r="O51" s="28">
        <f t="shared" si="18"/>
        <v>0</v>
      </c>
      <c r="P51" s="28">
        <f t="shared" si="19"/>
        <v>0</v>
      </c>
      <c r="Q51" s="28">
        <f t="shared" si="29"/>
        <v>0</v>
      </c>
      <c r="R51" s="28">
        <f t="shared" si="21"/>
        <v>5874.6239999999998</v>
      </c>
      <c r="S51" s="28">
        <f t="shared" si="22"/>
        <v>0</v>
      </c>
      <c r="T51" s="28">
        <f t="shared" si="23"/>
        <v>0</v>
      </c>
      <c r="U51" s="28">
        <f t="shared" si="36"/>
        <v>0</v>
      </c>
      <c r="V51" s="28">
        <f t="shared" si="37"/>
        <v>0</v>
      </c>
      <c r="W51" s="118"/>
      <c r="X51" s="143">
        <f t="shared" si="26"/>
        <v>18.684999999999999</v>
      </c>
      <c r="Y51" s="120">
        <f>交易记录!F6</f>
        <v>0.26500000000000001</v>
      </c>
      <c r="Z51" s="120">
        <f>交易记录!F37</f>
        <v>372</v>
      </c>
      <c r="AA51" s="30">
        <f t="shared" si="27"/>
        <v>0</v>
      </c>
      <c r="AB51" s="123">
        <f>交易记录!F70</f>
        <v>0</v>
      </c>
      <c r="AC51" s="123">
        <f>交易记录!F101</f>
        <v>0</v>
      </c>
      <c r="AD51" s="30">
        <f t="shared" si="35"/>
        <v>0</v>
      </c>
      <c r="AE51" s="120">
        <f>交易记录!F134</f>
        <v>0</v>
      </c>
      <c r="AF51" s="120">
        <f>交易记录!F165</f>
        <v>0</v>
      </c>
      <c r="AG51" s="30">
        <f t="shared" si="31"/>
        <v>0</v>
      </c>
      <c r="AH51" s="123">
        <f>交易记录!F198</f>
        <v>0</v>
      </c>
      <c r="AI51" s="123">
        <f>交易记录!F229</f>
        <v>0</v>
      </c>
      <c r="AJ51" s="30">
        <f t="shared" si="34"/>
        <v>0</v>
      </c>
      <c r="AK51" s="120">
        <f>交易记录!F262</f>
        <v>0</v>
      </c>
      <c r="AL51" s="120">
        <f>交易记录!F293</f>
        <v>0</v>
      </c>
      <c r="AM51" s="30">
        <f t="shared" si="33"/>
        <v>0</v>
      </c>
      <c r="AN51" s="123">
        <f>交易记录!F326</f>
        <v>0</v>
      </c>
      <c r="AO51" s="123">
        <f>交易记录!F357</f>
        <v>0</v>
      </c>
      <c r="AP51" s="30">
        <f t="shared" si="30"/>
        <v>0</v>
      </c>
      <c r="AQ51" s="120">
        <f>交易记录!F390</f>
        <v>0</v>
      </c>
      <c r="AR51" s="120">
        <f>交易记录!F421</f>
        <v>0</v>
      </c>
      <c r="AS51" s="30">
        <f t="shared" si="32"/>
        <v>0</v>
      </c>
      <c r="AT51" s="123">
        <f>交易记录!F454</f>
        <v>0</v>
      </c>
      <c r="AU51" s="123">
        <f>交易记录!F485</f>
        <v>0</v>
      </c>
      <c r="AV51" s="30">
        <f t="shared" si="8"/>
        <v>0</v>
      </c>
      <c r="AW51" s="120">
        <f>交易记录!F518</f>
        <v>0</v>
      </c>
      <c r="AX51" s="120">
        <f>交易记录!F549</f>
        <v>0</v>
      </c>
      <c r="AY51" s="30">
        <f t="shared" si="9"/>
        <v>0</v>
      </c>
      <c r="AZ51" s="123">
        <f>交易记录!F582</f>
        <v>0</v>
      </c>
      <c r="BA51" s="123">
        <f>交易记录!F613</f>
        <v>0</v>
      </c>
      <c r="BB51" s="30">
        <f t="shared" si="10"/>
        <v>0</v>
      </c>
      <c r="BC51" s="120">
        <f>交易记录!F646</f>
        <v>0</v>
      </c>
      <c r="BD51" s="120">
        <f>交易记录!F677</f>
        <v>0</v>
      </c>
      <c r="BE51" s="30">
        <f t="shared" si="11"/>
        <v>0</v>
      </c>
      <c r="BF51" s="123">
        <f>交易记录!F710</f>
        <v>0</v>
      </c>
      <c r="BG51" s="123">
        <f>交易记录!F741</f>
        <v>0</v>
      </c>
      <c r="BH51" s="30">
        <f t="shared" si="28"/>
        <v>0</v>
      </c>
      <c r="BI51" s="120">
        <f>交易记录!F774</f>
        <v>0</v>
      </c>
      <c r="BJ51" s="120">
        <f>交易记录!F805</f>
        <v>0</v>
      </c>
      <c r="BK51" s="30">
        <f t="shared" si="12"/>
        <v>0</v>
      </c>
      <c r="BL51" s="123">
        <f>交易记录!F838</f>
        <v>0</v>
      </c>
      <c r="BM51" s="123">
        <f>交易记录!F869</f>
        <v>0</v>
      </c>
      <c r="BN51" s="30">
        <f t="shared" si="13"/>
        <v>0</v>
      </c>
      <c r="BO51" s="120">
        <f>交易记录!F902</f>
        <v>0</v>
      </c>
      <c r="BP51" s="120">
        <f>交易记录!F933</f>
        <v>0</v>
      </c>
      <c r="BQ51" s="30">
        <f t="shared" si="14"/>
        <v>0</v>
      </c>
    </row>
    <row r="52" spans="1:69" ht="15">
      <c r="A52" s="125">
        <f>'维护-日期'!A$5</f>
        <v>46268</v>
      </c>
      <c r="B52" s="7" t="s">
        <v>8</v>
      </c>
      <c r="C52" s="144">
        <f t="shared" si="15"/>
        <v>14.821999999999999</v>
      </c>
      <c r="D52" s="144">
        <f>ROUND(INDEX(持仓数据!$C$3:$AG$26,MATCH('计算过程-数据汇总'!B52,持仓数据!$B$3:$B$26,0),MATCH('计算过程-数据汇总'!A52,'维护-日期'!$B$2:$AF$2,0)),3)</f>
        <v>14.821999999999999</v>
      </c>
      <c r="E52" s="98">
        <f t="shared" si="0"/>
        <v>14.821999999999999</v>
      </c>
      <c r="F52" s="22">
        <f>持仓数据!E74</f>
        <v>0.24199999999999999</v>
      </c>
      <c r="G52" s="97">
        <v>372</v>
      </c>
      <c r="H52" s="97">
        <v>372</v>
      </c>
      <c r="I52" s="64">
        <v>0</v>
      </c>
      <c r="J52" s="64">
        <v>0</v>
      </c>
      <c r="K52" s="21">
        <f>IF(持仓数据!E107="",0,持仓数据!E107)</f>
        <v>372</v>
      </c>
      <c r="L52" s="21">
        <f t="shared" si="16"/>
        <v>0</v>
      </c>
      <c r="M52" s="28">
        <f t="shared" si="1"/>
        <v>5513.7839999999997</v>
      </c>
      <c r="N52" s="28">
        <f t="shared" si="17"/>
        <v>0</v>
      </c>
      <c r="O52" s="28">
        <f t="shared" si="18"/>
        <v>0</v>
      </c>
      <c r="P52" s="28">
        <f t="shared" si="19"/>
        <v>0</v>
      </c>
      <c r="Q52" s="28">
        <f t="shared" si="29"/>
        <v>0</v>
      </c>
      <c r="R52" s="28">
        <f t="shared" si="21"/>
        <v>5513.7839999999997</v>
      </c>
      <c r="S52" s="28">
        <f t="shared" si="22"/>
        <v>0</v>
      </c>
      <c r="T52" s="28">
        <f t="shared" si="23"/>
        <v>0</v>
      </c>
      <c r="U52" s="28">
        <f t="shared" si="36"/>
        <v>0</v>
      </c>
      <c r="V52" s="28">
        <f t="shared" si="37"/>
        <v>0</v>
      </c>
      <c r="W52" s="118"/>
      <c r="X52" s="143">
        <f t="shared" si="26"/>
        <v>17.544</v>
      </c>
      <c r="Y52" s="120">
        <f>交易记录!F7</f>
        <v>0.24199999999999999</v>
      </c>
      <c r="Z52" s="120">
        <f>交易记录!F38</f>
        <v>372</v>
      </c>
      <c r="AA52" s="30">
        <f t="shared" si="27"/>
        <v>0</v>
      </c>
      <c r="AB52" s="123">
        <f>交易记录!F71</f>
        <v>0</v>
      </c>
      <c r="AC52" s="123">
        <f>交易记录!F102</f>
        <v>0</v>
      </c>
      <c r="AD52" s="30">
        <f t="shared" si="35"/>
        <v>0</v>
      </c>
      <c r="AE52" s="120">
        <f>交易记录!F135</f>
        <v>0</v>
      </c>
      <c r="AF52" s="120">
        <f>交易记录!F166</f>
        <v>0</v>
      </c>
      <c r="AG52" s="30">
        <f t="shared" si="31"/>
        <v>0</v>
      </c>
      <c r="AH52" s="123">
        <f>交易记录!F199</f>
        <v>0</v>
      </c>
      <c r="AI52" s="123">
        <f>交易记录!F230</f>
        <v>0</v>
      </c>
      <c r="AJ52" s="30">
        <f t="shared" si="34"/>
        <v>0</v>
      </c>
      <c r="AK52" s="120">
        <f>交易记录!F263</f>
        <v>0</v>
      </c>
      <c r="AL52" s="120">
        <f>交易记录!F294</f>
        <v>0</v>
      </c>
      <c r="AM52" s="30">
        <f t="shared" si="33"/>
        <v>0</v>
      </c>
      <c r="AN52" s="123">
        <f>交易记录!F327</f>
        <v>0</v>
      </c>
      <c r="AO52" s="123">
        <f>交易记录!F358</f>
        <v>0</v>
      </c>
      <c r="AP52" s="30">
        <f t="shared" si="30"/>
        <v>0</v>
      </c>
      <c r="AQ52" s="120">
        <f>交易记录!F391</f>
        <v>0</v>
      </c>
      <c r="AR52" s="120">
        <f>交易记录!F422</f>
        <v>0</v>
      </c>
      <c r="AS52" s="30">
        <f t="shared" si="32"/>
        <v>0</v>
      </c>
      <c r="AT52" s="123">
        <f>交易记录!F455</f>
        <v>0</v>
      </c>
      <c r="AU52" s="123">
        <f>交易记录!F486</f>
        <v>0</v>
      </c>
      <c r="AV52" s="30">
        <f t="shared" si="8"/>
        <v>0</v>
      </c>
      <c r="AW52" s="120">
        <f>交易记录!F519</f>
        <v>0</v>
      </c>
      <c r="AX52" s="120">
        <f>交易记录!F550</f>
        <v>0</v>
      </c>
      <c r="AY52" s="30">
        <f t="shared" si="9"/>
        <v>0</v>
      </c>
      <c r="AZ52" s="123">
        <f>交易记录!F583</f>
        <v>0</v>
      </c>
      <c r="BA52" s="123">
        <f>交易记录!F614</f>
        <v>0</v>
      </c>
      <c r="BB52" s="30">
        <f t="shared" si="10"/>
        <v>0</v>
      </c>
      <c r="BC52" s="120">
        <f>交易记录!F647</f>
        <v>0</v>
      </c>
      <c r="BD52" s="120">
        <f>交易记录!F678</f>
        <v>0</v>
      </c>
      <c r="BE52" s="30">
        <f t="shared" si="11"/>
        <v>0</v>
      </c>
      <c r="BF52" s="123">
        <f>交易记录!F711</f>
        <v>0</v>
      </c>
      <c r="BG52" s="123">
        <f>交易记录!F742</f>
        <v>0</v>
      </c>
      <c r="BH52" s="30">
        <f t="shared" si="28"/>
        <v>0</v>
      </c>
      <c r="BI52" s="120">
        <f>交易记录!F775</f>
        <v>0</v>
      </c>
      <c r="BJ52" s="120">
        <f>交易记录!F806</f>
        <v>0</v>
      </c>
      <c r="BK52" s="30">
        <f t="shared" si="12"/>
        <v>0</v>
      </c>
      <c r="BL52" s="123">
        <f>交易记录!F839</f>
        <v>0</v>
      </c>
      <c r="BM52" s="123">
        <f>交易记录!F870</f>
        <v>0</v>
      </c>
      <c r="BN52" s="30">
        <f t="shared" si="13"/>
        <v>0</v>
      </c>
      <c r="BO52" s="120">
        <f>交易记录!F903</f>
        <v>0</v>
      </c>
      <c r="BP52" s="120">
        <f>交易记录!F934</f>
        <v>0</v>
      </c>
      <c r="BQ52" s="30">
        <f t="shared" si="14"/>
        <v>0</v>
      </c>
    </row>
    <row r="53" spans="1:69" ht="15">
      <c r="A53" s="125">
        <f>'维护-日期'!A$5</f>
        <v>46268</v>
      </c>
      <c r="B53" s="7" t="s">
        <v>9</v>
      </c>
      <c r="C53" s="144">
        <f t="shared" si="15"/>
        <v>13.817</v>
      </c>
      <c r="D53" s="144">
        <f>ROUND(INDEX(持仓数据!$C$3:$AG$26,MATCH('计算过程-数据汇总'!B53,持仓数据!$B$3:$B$26,0),MATCH('计算过程-数据汇总'!A53,'维护-日期'!$B$2:$AF$2,0)),3)</f>
        <v>13.817</v>
      </c>
      <c r="E53" s="98">
        <f t="shared" si="0"/>
        <v>13.817</v>
      </c>
      <c r="F53" s="22">
        <f>持仓数据!E75</f>
        <v>0.09</v>
      </c>
      <c r="G53" s="97">
        <v>372</v>
      </c>
      <c r="H53" s="97">
        <v>372</v>
      </c>
      <c r="I53" s="64">
        <v>0</v>
      </c>
      <c r="J53" s="64">
        <v>0</v>
      </c>
      <c r="K53" s="21">
        <f>IF(持仓数据!E108="",0,持仓数据!E108)</f>
        <v>372</v>
      </c>
      <c r="L53" s="21">
        <f t="shared" si="16"/>
        <v>0</v>
      </c>
      <c r="M53" s="28">
        <f t="shared" si="1"/>
        <v>5139.924</v>
      </c>
      <c r="N53" s="28">
        <f t="shared" si="17"/>
        <v>0</v>
      </c>
      <c r="O53" s="28">
        <f t="shared" si="18"/>
        <v>0</v>
      </c>
      <c r="P53" s="28">
        <f t="shared" si="19"/>
        <v>0</v>
      </c>
      <c r="Q53" s="28">
        <f t="shared" si="29"/>
        <v>0</v>
      </c>
      <c r="R53" s="28">
        <f t="shared" si="21"/>
        <v>5139.924</v>
      </c>
      <c r="S53" s="28">
        <f t="shared" si="22"/>
        <v>0</v>
      </c>
      <c r="T53" s="28">
        <f t="shared" si="23"/>
        <v>0</v>
      </c>
      <c r="U53" s="28">
        <f t="shared" si="36"/>
        <v>0</v>
      </c>
      <c r="V53" s="28">
        <f t="shared" si="37"/>
        <v>0</v>
      </c>
      <c r="W53" s="118"/>
      <c r="X53" s="143">
        <f t="shared" si="26"/>
        <v>16.489999999999998</v>
      </c>
      <c r="Y53" s="120">
        <f>交易记录!F8</f>
        <v>0.09</v>
      </c>
      <c r="Z53" s="120">
        <f>交易记录!F39</f>
        <v>372</v>
      </c>
      <c r="AA53" s="30">
        <f t="shared" si="27"/>
        <v>0</v>
      </c>
      <c r="AB53" s="123">
        <f>交易记录!F72</f>
        <v>0</v>
      </c>
      <c r="AC53" s="123">
        <f>交易记录!F103</f>
        <v>0</v>
      </c>
      <c r="AD53" s="30">
        <f t="shared" si="35"/>
        <v>0</v>
      </c>
      <c r="AE53" s="120">
        <f>交易记录!F136</f>
        <v>0</v>
      </c>
      <c r="AF53" s="120">
        <f>交易记录!F167</f>
        <v>0</v>
      </c>
      <c r="AG53" s="30">
        <f t="shared" si="31"/>
        <v>0</v>
      </c>
      <c r="AH53" s="123">
        <f>交易记录!F200</f>
        <v>0</v>
      </c>
      <c r="AI53" s="123">
        <f>交易记录!F231</f>
        <v>0</v>
      </c>
      <c r="AJ53" s="30">
        <f t="shared" si="34"/>
        <v>0</v>
      </c>
      <c r="AK53" s="120">
        <f>交易记录!F264</f>
        <v>0</v>
      </c>
      <c r="AL53" s="120">
        <f>交易记录!F295</f>
        <v>0</v>
      </c>
      <c r="AM53" s="30">
        <f t="shared" si="33"/>
        <v>0</v>
      </c>
      <c r="AN53" s="123">
        <f>交易记录!F328</f>
        <v>0</v>
      </c>
      <c r="AO53" s="123">
        <f>交易记录!F359</f>
        <v>0</v>
      </c>
      <c r="AP53" s="30">
        <f t="shared" si="30"/>
        <v>0</v>
      </c>
      <c r="AQ53" s="120">
        <f>交易记录!F392</f>
        <v>0</v>
      </c>
      <c r="AR53" s="120">
        <f>交易记录!F423</f>
        <v>0</v>
      </c>
      <c r="AS53" s="30">
        <f t="shared" si="32"/>
        <v>0</v>
      </c>
      <c r="AT53" s="123">
        <f>交易记录!F456</f>
        <v>0</v>
      </c>
      <c r="AU53" s="123">
        <f>交易记录!F487</f>
        <v>0</v>
      </c>
      <c r="AV53" s="30">
        <f t="shared" si="8"/>
        <v>0</v>
      </c>
      <c r="AW53" s="120">
        <f>交易记录!F520</f>
        <v>0</v>
      </c>
      <c r="AX53" s="120">
        <f>交易记录!F551</f>
        <v>0</v>
      </c>
      <c r="AY53" s="30">
        <f t="shared" si="9"/>
        <v>0</v>
      </c>
      <c r="AZ53" s="123">
        <f>交易记录!F584</f>
        <v>0</v>
      </c>
      <c r="BA53" s="123">
        <f>交易记录!F615</f>
        <v>0</v>
      </c>
      <c r="BB53" s="30">
        <f t="shared" si="10"/>
        <v>0</v>
      </c>
      <c r="BC53" s="120">
        <f>交易记录!F648</f>
        <v>0</v>
      </c>
      <c r="BD53" s="120">
        <f>交易记录!F679</f>
        <v>0</v>
      </c>
      <c r="BE53" s="30">
        <f t="shared" si="11"/>
        <v>0</v>
      </c>
      <c r="BF53" s="123">
        <f>交易记录!F712</f>
        <v>0</v>
      </c>
      <c r="BG53" s="123">
        <f>交易记录!F743</f>
        <v>0</v>
      </c>
      <c r="BH53" s="30">
        <f t="shared" si="28"/>
        <v>0</v>
      </c>
      <c r="BI53" s="120">
        <f>交易记录!F776</f>
        <v>0</v>
      </c>
      <c r="BJ53" s="120">
        <f>交易记录!F807</f>
        <v>0</v>
      </c>
      <c r="BK53" s="30">
        <f t="shared" si="12"/>
        <v>0</v>
      </c>
      <c r="BL53" s="123">
        <f>交易记录!F840</f>
        <v>0</v>
      </c>
      <c r="BM53" s="123">
        <f>交易记录!F871</f>
        <v>0</v>
      </c>
      <c r="BN53" s="30">
        <f t="shared" si="13"/>
        <v>0</v>
      </c>
      <c r="BO53" s="120">
        <f>交易记录!F904</f>
        <v>0</v>
      </c>
      <c r="BP53" s="120">
        <f>交易记录!F935</f>
        <v>0</v>
      </c>
      <c r="BQ53" s="30">
        <f t="shared" si="14"/>
        <v>0</v>
      </c>
    </row>
    <row r="54" spans="1:69" ht="15">
      <c r="A54" s="125">
        <f>'维护-日期'!A$5</f>
        <v>46268</v>
      </c>
      <c r="B54" s="7" t="s">
        <v>10</v>
      </c>
      <c r="C54" s="144">
        <f t="shared" si="15"/>
        <v>13.388</v>
      </c>
      <c r="D54" s="144">
        <f>ROUND(INDEX(持仓数据!$C$3:$AG$26,MATCH('计算过程-数据汇总'!B54,持仓数据!$B$3:$B$26,0),MATCH('计算过程-数据汇总'!A54,'维护-日期'!$B$2:$AF$2,0)),3)</f>
        <v>13.388</v>
      </c>
      <c r="E54" s="98">
        <f t="shared" si="0"/>
        <v>13.388</v>
      </c>
      <c r="F54" s="22">
        <f>持仓数据!E76</f>
        <v>8.6999999999999994E-2</v>
      </c>
      <c r="G54" s="97">
        <v>372</v>
      </c>
      <c r="H54" s="97">
        <v>372</v>
      </c>
      <c r="I54" s="64">
        <v>0</v>
      </c>
      <c r="J54" s="64">
        <v>0</v>
      </c>
      <c r="K54" s="21">
        <f>IF(持仓数据!E109="",0,持仓数据!E109)</f>
        <v>372</v>
      </c>
      <c r="L54" s="21">
        <f t="shared" si="16"/>
        <v>0</v>
      </c>
      <c r="M54" s="28">
        <f t="shared" si="1"/>
        <v>4980.3360000000002</v>
      </c>
      <c r="N54" s="28">
        <f t="shared" si="17"/>
        <v>0</v>
      </c>
      <c r="O54" s="28">
        <f t="shared" si="18"/>
        <v>0</v>
      </c>
      <c r="P54" s="28">
        <f t="shared" si="19"/>
        <v>0</v>
      </c>
      <c r="Q54" s="28">
        <f t="shared" si="29"/>
        <v>0</v>
      </c>
      <c r="R54" s="28">
        <f t="shared" si="21"/>
        <v>4980.3360000000002</v>
      </c>
      <c r="S54" s="28">
        <f t="shared" si="22"/>
        <v>0</v>
      </c>
      <c r="T54" s="28">
        <f t="shared" si="23"/>
        <v>0</v>
      </c>
      <c r="U54" s="28">
        <f t="shared" si="36"/>
        <v>0</v>
      </c>
      <c r="V54" s="28">
        <f t="shared" si="37"/>
        <v>0</v>
      </c>
      <c r="W54" s="118"/>
      <c r="X54" s="143">
        <f t="shared" si="26"/>
        <v>15.978999999999999</v>
      </c>
      <c r="Y54" s="120">
        <f>交易记录!F9</f>
        <v>8.6999999999999994E-2</v>
      </c>
      <c r="Z54" s="120">
        <f>交易记录!F40</f>
        <v>372</v>
      </c>
      <c r="AA54" s="30">
        <f t="shared" si="27"/>
        <v>0</v>
      </c>
      <c r="AB54" s="123">
        <f>交易记录!F73</f>
        <v>0</v>
      </c>
      <c r="AC54" s="123">
        <f>交易记录!F104</f>
        <v>0</v>
      </c>
      <c r="AD54" s="30">
        <f t="shared" si="35"/>
        <v>0</v>
      </c>
      <c r="AE54" s="120">
        <f>交易记录!F137</f>
        <v>0</v>
      </c>
      <c r="AF54" s="120">
        <f>交易记录!F168</f>
        <v>0</v>
      </c>
      <c r="AG54" s="30">
        <f t="shared" si="31"/>
        <v>0</v>
      </c>
      <c r="AH54" s="123">
        <f>交易记录!F201</f>
        <v>0</v>
      </c>
      <c r="AI54" s="123">
        <f>交易记录!F232</f>
        <v>0</v>
      </c>
      <c r="AJ54" s="30">
        <f t="shared" si="34"/>
        <v>0</v>
      </c>
      <c r="AK54" s="120">
        <f>交易记录!F265</f>
        <v>0</v>
      </c>
      <c r="AL54" s="120">
        <f>交易记录!F296</f>
        <v>0</v>
      </c>
      <c r="AM54" s="30">
        <f t="shared" si="33"/>
        <v>0</v>
      </c>
      <c r="AN54" s="123">
        <f>交易记录!F329</f>
        <v>0</v>
      </c>
      <c r="AO54" s="123">
        <f>交易记录!F360</f>
        <v>0</v>
      </c>
      <c r="AP54" s="30">
        <f t="shared" si="30"/>
        <v>0</v>
      </c>
      <c r="AQ54" s="120">
        <f>交易记录!F393</f>
        <v>0</v>
      </c>
      <c r="AR54" s="120">
        <f>交易记录!F424</f>
        <v>0</v>
      </c>
      <c r="AS54" s="30">
        <f t="shared" si="32"/>
        <v>0</v>
      </c>
      <c r="AT54" s="123">
        <f>交易记录!F457</f>
        <v>0</v>
      </c>
      <c r="AU54" s="123">
        <f>交易记录!F488</f>
        <v>0</v>
      </c>
      <c r="AV54" s="30">
        <f t="shared" si="8"/>
        <v>0</v>
      </c>
      <c r="AW54" s="120">
        <f>交易记录!F521</f>
        <v>0</v>
      </c>
      <c r="AX54" s="120">
        <f>交易记录!F552</f>
        <v>0</v>
      </c>
      <c r="AY54" s="30">
        <f t="shared" si="9"/>
        <v>0</v>
      </c>
      <c r="AZ54" s="123">
        <f>交易记录!F585</f>
        <v>0</v>
      </c>
      <c r="BA54" s="123">
        <f>交易记录!F616</f>
        <v>0</v>
      </c>
      <c r="BB54" s="30">
        <f t="shared" si="10"/>
        <v>0</v>
      </c>
      <c r="BC54" s="120">
        <f>交易记录!F649</f>
        <v>0</v>
      </c>
      <c r="BD54" s="120">
        <f>交易记录!F680</f>
        <v>0</v>
      </c>
      <c r="BE54" s="30">
        <f t="shared" si="11"/>
        <v>0</v>
      </c>
      <c r="BF54" s="123">
        <f>交易记录!F713</f>
        <v>0</v>
      </c>
      <c r="BG54" s="123">
        <f>交易记录!F744</f>
        <v>0</v>
      </c>
      <c r="BH54" s="30">
        <f t="shared" si="28"/>
        <v>0</v>
      </c>
      <c r="BI54" s="120">
        <f>交易记录!F777</f>
        <v>0</v>
      </c>
      <c r="BJ54" s="120">
        <f>交易记录!F808</f>
        <v>0</v>
      </c>
      <c r="BK54" s="30">
        <f t="shared" si="12"/>
        <v>0</v>
      </c>
      <c r="BL54" s="123">
        <f>交易记录!F841</f>
        <v>0</v>
      </c>
      <c r="BM54" s="123">
        <f>交易记录!F872</f>
        <v>0</v>
      </c>
      <c r="BN54" s="30">
        <f t="shared" si="13"/>
        <v>0</v>
      </c>
      <c r="BO54" s="120">
        <f>交易记录!F905</f>
        <v>0</v>
      </c>
      <c r="BP54" s="120">
        <f>交易记录!F936</f>
        <v>0</v>
      </c>
      <c r="BQ54" s="30">
        <f t="shared" si="14"/>
        <v>0</v>
      </c>
    </row>
    <row r="55" spans="1:69" ht="15">
      <c r="A55" s="125">
        <f>'维护-日期'!A$5</f>
        <v>46268</v>
      </c>
      <c r="B55" s="7" t="s">
        <v>11</v>
      </c>
      <c r="C55" s="144">
        <f t="shared" si="15"/>
        <v>13.087</v>
      </c>
      <c r="D55" s="144">
        <f>ROUND(INDEX(持仓数据!$C$3:$AG$26,MATCH('计算过程-数据汇总'!B55,持仓数据!$B$3:$B$26,0),MATCH('计算过程-数据汇总'!A55,'维护-日期'!$B$2:$AF$2,0)),3)</f>
        <v>13.087</v>
      </c>
      <c r="E55" s="98">
        <f t="shared" si="0"/>
        <v>13.087</v>
      </c>
      <c r="F55" s="22">
        <f>持仓数据!E77</f>
        <v>8.6999999999999994E-2</v>
      </c>
      <c r="G55" s="97">
        <v>372</v>
      </c>
      <c r="H55" s="97">
        <v>372</v>
      </c>
      <c r="I55" s="64">
        <v>0</v>
      </c>
      <c r="J55" s="64">
        <v>0</v>
      </c>
      <c r="K55" s="21">
        <f>IF(持仓数据!E110="",0,持仓数据!E110)</f>
        <v>372</v>
      </c>
      <c r="L55" s="21">
        <f t="shared" si="16"/>
        <v>0</v>
      </c>
      <c r="M55" s="28">
        <f t="shared" si="1"/>
        <v>4868.3639999999996</v>
      </c>
      <c r="N55" s="28">
        <f t="shared" si="17"/>
        <v>0</v>
      </c>
      <c r="O55" s="28">
        <f t="shared" si="18"/>
        <v>0</v>
      </c>
      <c r="P55" s="28">
        <f t="shared" si="19"/>
        <v>0</v>
      </c>
      <c r="Q55" s="28">
        <f t="shared" si="29"/>
        <v>0</v>
      </c>
      <c r="R55" s="28">
        <f t="shared" si="21"/>
        <v>4868.3639999999996</v>
      </c>
      <c r="S55" s="28">
        <f t="shared" si="22"/>
        <v>0</v>
      </c>
      <c r="T55" s="28">
        <f t="shared" si="23"/>
        <v>0</v>
      </c>
      <c r="U55" s="28">
        <f t="shared" si="36"/>
        <v>0</v>
      </c>
      <c r="V55" s="28">
        <f t="shared" si="37"/>
        <v>0</v>
      </c>
      <c r="W55" s="118"/>
      <c r="X55" s="143">
        <f t="shared" si="26"/>
        <v>15.617000000000001</v>
      </c>
      <c r="Y55" s="120">
        <f>交易记录!F10</f>
        <v>8.6999999999999994E-2</v>
      </c>
      <c r="Z55" s="120">
        <f>交易记录!F41</f>
        <v>372</v>
      </c>
      <c r="AA55" s="30">
        <f t="shared" si="27"/>
        <v>0</v>
      </c>
      <c r="AB55" s="123">
        <f>交易记录!F74</f>
        <v>0</v>
      </c>
      <c r="AC55" s="123">
        <f>交易记录!F105</f>
        <v>0</v>
      </c>
      <c r="AD55" s="30">
        <f t="shared" si="35"/>
        <v>0</v>
      </c>
      <c r="AE55" s="120">
        <f>交易记录!F138</f>
        <v>0</v>
      </c>
      <c r="AF55" s="120">
        <f>交易记录!F169</f>
        <v>0</v>
      </c>
      <c r="AG55" s="30">
        <f t="shared" si="31"/>
        <v>0</v>
      </c>
      <c r="AH55" s="123">
        <f>交易记录!F202</f>
        <v>0</v>
      </c>
      <c r="AI55" s="123">
        <f>交易记录!F233</f>
        <v>0</v>
      </c>
      <c r="AJ55" s="30">
        <f t="shared" si="34"/>
        <v>0</v>
      </c>
      <c r="AK55" s="120">
        <f>交易记录!F266</f>
        <v>0</v>
      </c>
      <c r="AL55" s="120">
        <f>交易记录!F297</f>
        <v>0</v>
      </c>
      <c r="AM55" s="30">
        <f t="shared" si="33"/>
        <v>0</v>
      </c>
      <c r="AN55" s="123">
        <f>交易记录!F330</f>
        <v>0</v>
      </c>
      <c r="AO55" s="123">
        <f>交易记录!F361</f>
        <v>0</v>
      </c>
      <c r="AP55" s="30">
        <f t="shared" si="30"/>
        <v>0</v>
      </c>
      <c r="AQ55" s="120">
        <f>交易记录!F394</f>
        <v>0</v>
      </c>
      <c r="AR55" s="120">
        <f>交易记录!F425</f>
        <v>0</v>
      </c>
      <c r="AS55" s="30">
        <f t="shared" si="32"/>
        <v>0</v>
      </c>
      <c r="AT55" s="123">
        <f>交易记录!F458</f>
        <v>0</v>
      </c>
      <c r="AU55" s="123">
        <f>交易记录!F489</f>
        <v>0</v>
      </c>
      <c r="AV55" s="30">
        <f t="shared" si="8"/>
        <v>0</v>
      </c>
      <c r="AW55" s="120">
        <f>交易记录!F522</f>
        <v>0</v>
      </c>
      <c r="AX55" s="120">
        <f>交易记录!F553</f>
        <v>0</v>
      </c>
      <c r="AY55" s="30">
        <f t="shared" si="9"/>
        <v>0</v>
      </c>
      <c r="AZ55" s="123">
        <f>交易记录!F586</f>
        <v>0</v>
      </c>
      <c r="BA55" s="123">
        <f>交易记录!F617</f>
        <v>0</v>
      </c>
      <c r="BB55" s="30">
        <f t="shared" si="10"/>
        <v>0</v>
      </c>
      <c r="BC55" s="120">
        <f>交易记录!F650</f>
        <v>0</v>
      </c>
      <c r="BD55" s="120">
        <f>交易记录!F681</f>
        <v>0</v>
      </c>
      <c r="BE55" s="30">
        <f t="shared" si="11"/>
        <v>0</v>
      </c>
      <c r="BF55" s="123">
        <f>交易记录!F714</f>
        <v>0</v>
      </c>
      <c r="BG55" s="123">
        <f>交易记录!F745</f>
        <v>0</v>
      </c>
      <c r="BH55" s="30">
        <f t="shared" si="28"/>
        <v>0</v>
      </c>
      <c r="BI55" s="120">
        <f>交易记录!F778</f>
        <v>0</v>
      </c>
      <c r="BJ55" s="120">
        <f>交易记录!F809</f>
        <v>0</v>
      </c>
      <c r="BK55" s="30">
        <f t="shared" si="12"/>
        <v>0</v>
      </c>
      <c r="BL55" s="123">
        <f>交易记录!F842</f>
        <v>0</v>
      </c>
      <c r="BM55" s="123">
        <f>交易记录!F873</f>
        <v>0</v>
      </c>
      <c r="BN55" s="30">
        <f t="shared" si="13"/>
        <v>0</v>
      </c>
      <c r="BO55" s="120">
        <f>交易记录!F906</f>
        <v>0</v>
      </c>
      <c r="BP55" s="120">
        <f>交易记录!F937</f>
        <v>0</v>
      </c>
      <c r="BQ55" s="30">
        <f t="shared" si="14"/>
        <v>0</v>
      </c>
    </row>
    <row r="56" spans="1:69" ht="15">
      <c r="A56" s="125">
        <f>'维护-日期'!A$5</f>
        <v>46268</v>
      </c>
      <c r="B56" s="7" t="s">
        <v>12</v>
      </c>
      <c r="C56" s="144">
        <f t="shared" si="15"/>
        <v>12.95</v>
      </c>
      <c r="D56" s="144">
        <f>ROUND(INDEX(持仓数据!$C$3:$AG$26,MATCH('计算过程-数据汇总'!B56,持仓数据!$B$3:$B$26,0),MATCH('计算过程-数据汇总'!A56,'维护-日期'!$B$2:$AF$2,0)),3)</f>
        <v>12.95</v>
      </c>
      <c r="E56" s="98">
        <f t="shared" si="0"/>
        <v>12.95</v>
      </c>
      <c r="F56" s="22">
        <f>持仓数据!E78</f>
        <v>0.14499999999999999</v>
      </c>
      <c r="G56" s="97">
        <v>372</v>
      </c>
      <c r="H56" s="97">
        <v>372</v>
      </c>
      <c r="I56" s="64">
        <v>0</v>
      </c>
      <c r="J56" s="64">
        <v>0</v>
      </c>
      <c r="K56" s="21">
        <f>IF(持仓数据!E111="",0,持仓数据!E111)</f>
        <v>372</v>
      </c>
      <c r="L56" s="21">
        <f t="shared" si="16"/>
        <v>0</v>
      </c>
      <c r="M56" s="28">
        <f t="shared" si="1"/>
        <v>4817.3999999999996</v>
      </c>
      <c r="N56" s="28">
        <f t="shared" si="17"/>
        <v>0</v>
      </c>
      <c r="O56" s="28">
        <f t="shared" si="18"/>
        <v>0</v>
      </c>
      <c r="P56" s="28">
        <f t="shared" si="19"/>
        <v>0</v>
      </c>
      <c r="Q56" s="28">
        <f t="shared" si="29"/>
        <v>0</v>
      </c>
      <c r="R56" s="28">
        <f t="shared" si="21"/>
        <v>4817.3999999999996</v>
      </c>
      <c r="S56" s="28">
        <f t="shared" si="22"/>
        <v>0</v>
      </c>
      <c r="T56" s="28">
        <f t="shared" si="23"/>
        <v>0</v>
      </c>
      <c r="U56" s="28">
        <f t="shared" si="36"/>
        <v>0</v>
      </c>
      <c r="V56" s="28">
        <f t="shared" si="37"/>
        <v>0</v>
      </c>
      <c r="W56" s="118"/>
      <c r="X56" s="143">
        <f t="shared" si="26"/>
        <v>15.395</v>
      </c>
      <c r="Y56" s="120">
        <f>交易记录!F11</f>
        <v>0.14499999999999999</v>
      </c>
      <c r="Z56" s="120">
        <f>交易记录!F42</f>
        <v>372</v>
      </c>
      <c r="AA56" s="30">
        <f t="shared" si="27"/>
        <v>0</v>
      </c>
      <c r="AB56" s="123">
        <f>交易记录!F75</f>
        <v>0</v>
      </c>
      <c r="AC56" s="123">
        <f>交易记录!F106</f>
        <v>0</v>
      </c>
      <c r="AD56" s="30">
        <f t="shared" si="35"/>
        <v>0</v>
      </c>
      <c r="AE56" s="120">
        <f>交易记录!F139</f>
        <v>0</v>
      </c>
      <c r="AF56" s="120">
        <f>交易记录!F170</f>
        <v>0</v>
      </c>
      <c r="AG56" s="30">
        <f t="shared" si="31"/>
        <v>0</v>
      </c>
      <c r="AH56" s="123">
        <f>交易记录!F203</f>
        <v>0</v>
      </c>
      <c r="AI56" s="123">
        <f>交易记录!F234</f>
        <v>0</v>
      </c>
      <c r="AJ56" s="30">
        <f t="shared" si="34"/>
        <v>0</v>
      </c>
      <c r="AK56" s="120">
        <f>交易记录!F267</f>
        <v>0</v>
      </c>
      <c r="AL56" s="120">
        <f>交易记录!F298</f>
        <v>0</v>
      </c>
      <c r="AM56" s="30">
        <f t="shared" si="33"/>
        <v>0</v>
      </c>
      <c r="AN56" s="123">
        <f>交易记录!F331</f>
        <v>0</v>
      </c>
      <c r="AO56" s="123">
        <f>交易记录!F362</f>
        <v>0</v>
      </c>
      <c r="AP56" s="30">
        <f t="shared" si="30"/>
        <v>0</v>
      </c>
      <c r="AQ56" s="120">
        <f>交易记录!F395</f>
        <v>0</v>
      </c>
      <c r="AR56" s="120">
        <f>交易记录!F426</f>
        <v>0</v>
      </c>
      <c r="AS56" s="30">
        <f t="shared" si="32"/>
        <v>0</v>
      </c>
      <c r="AT56" s="123">
        <f>交易记录!F459</f>
        <v>0</v>
      </c>
      <c r="AU56" s="123">
        <f>交易记录!F490</f>
        <v>0</v>
      </c>
      <c r="AV56" s="30">
        <f t="shared" si="8"/>
        <v>0</v>
      </c>
      <c r="AW56" s="120">
        <f>交易记录!F523</f>
        <v>0</v>
      </c>
      <c r="AX56" s="120">
        <f>交易记录!F554</f>
        <v>0</v>
      </c>
      <c r="AY56" s="30">
        <f t="shared" si="9"/>
        <v>0</v>
      </c>
      <c r="AZ56" s="123">
        <f>交易记录!F587</f>
        <v>0</v>
      </c>
      <c r="BA56" s="123">
        <f>交易记录!F618</f>
        <v>0</v>
      </c>
      <c r="BB56" s="30">
        <f t="shared" si="10"/>
        <v>0</v>
      </c>
      <c r="BC56" s="120">
        <f>交易记录!F651</f>
        <v>0</v>
      </c>
      <c r="BD56" s="120">
        <f>交易记录!F682</f>
        <v>0</v>
      </c>
      <c r="BE56" s="30">
        <f t="shared" si="11"/>
        <v>0</v>
      </c>
      <c r="BF56" s="123">
        <f>交易记录!F715</f>
        <v>0</v>
      </c>
      <c r="BG56" s="123">
        <f>交易记录!F746</f>
        <v>0</v>
      </c>
      <c r="BH56" s="30">
        <f t="shared" si="28"/>
        <v>0</v>
      </c>
      <c r="BI56" s="120">
        <f>交易记录!F779</f>
        <v>0</v>
      </c>
      <c r="BJ56" s="120">
        <f>交易记录!F810</f>
        <v>0</v>
      </c>
      <c r="BK56" s="30">
        <f t="shared" si="12"/>
        <v>0</v>
      </c>
      <c r="BL56" s="123">
        <f>交易记录!F843</f>
        <v>0</v>
      </c>
      <c r="BM56" s="123">
        <f>交易记录!F874</f>
        <v>0</v>
      </c>
      <c r="BN56" s="30">
        <f t="shared" si="13"/>
        <v>0</v>
      </c>
      <c r="BO56" s="120">
        <f>交易记录!F907</f>
        <v>0</v>
      </c>
      <c r="BP56" s="120">
        <f>交易记录!F938</f>
        <v>0</v>
      </c>
      <c r="BQ56" s="30">
        <f t="shared" si="14"/>
        <v>0</v>
      </c>
    </row>
    <row r="57" spans="1:69" ht="15">
      <c r="A57" s="125">
        <f>'维护-日期'!A$5</f>
        <v>46268</v>
      </c>
      <c r="B57" s="7" t="s">
        <v>13</v>
      </c>
      <c r="C57" s="144">
        <f t="shared" si="15"/>
        <v>13.266999999999999</v>
      </c>
      <c r="D57" s="144">
        <f>ROUND(INDEX(持仓数据!$C$3:$AG$26,MATCH('计算过程-数据汇总'!B57,持仓数据!$B$3:$B$26,0),MATCH('计算过程-数据汇总'!A57,'维护-日期'!$B$2:$AF$2,0)),3)</f>
        <v>13.266999999999999</v>
      </c>
      <c r="E57" s="98">
        <f t="shared" si="0"/>
        <v>13.266999999999999</v>
      </c>
      <c r="F57" s="22">
        <f>持仓数据!E79</f>
        <v>0.307</v>
      </c>
      <c r="G57" s="97">
        <v>372</v>
      </c>
      <c r="H57" s="97">
        <v>372</v>
      </c>
      <c r="I57" s="64">
        <v>0</v>
      </c>
      <c r="J57" s="64">
        <v>0</v>
      </c>
      <c r="K57" s="21">
        <f>IF(持仓数据!E112="",0,持仓数据!E112)</f>
        <v>372</v>
      </c>
      <c r="L57" s="21">
        <f t="shared" si="16"/>
        <v>0</v>
      </c>
      <c r="M57" s="28">
        <f t="shared" si="1"/>
        <v>4935.3239999999996</v>
      </c>
      <c r="N57" s="28">
        <f t="shared" si="17"/>
        <v>0</v>
      </c>
      <c r="O57" s="28">
        <f t="shared" si="18"/>
        <v>0</v>
      </c>
      <c r="P57" s="28">
        <f t="shared" si="19"/>
        <v>0</v>
      </c>
      <c r="Q57" s="28">
        <f t="shared" si="29"/>
        <v>0</v>
      </c>
      <c r="R57" s="28">
        <f t="shared" si="21"/>
        <v>4935.3239999999996</v>
      </c>
      <c r="S57" s="28">
        <f t="shared" si="22"/>
        <v>0</v>
      </c>
      <c r="T57" s="28">
        <f t="shared" si="23"/>
        <v>0</v>
      </c>
      <c r="U57" s="28">
        <f t="shared" si="36"/>
        <v>0</v>
      </c>
      <c r="V57" s="28">
        <f t="shared" si="37"/>
        <v>0</v>
      </c>
      <c r="W57" s="118"/>
      <c r="X57" s="143">
        <f t="shared" si="26"/>
        <v>15.613</v>
      </c>
      <c r="Y57" s="120">
        <f>交易记录!F12</f>
        <v>0.307</v>
      </c>
      <c r="Z57" s="120">
        <f>交易记录!F43</f>
        <v>372</v>
      </c>
      <c r="AA57" s="30">
        <f t="shared" si="27"/>
        <v>0</v>
      </c>
      <c r="AB57" s="123">
        <f>交易记录!F76</f>
        <v>0</v>
      </c>
      <c r="AC57" s="123">
        <f>交易记录!F107</f>
        <v>0</v>
      </c>
      <c r="AD57" s="30">
        <f t="shared" si="35"/>
        <v>0</v>
      </c>
      <c r="AE57" s="120">
        <f>交易记录!F140</f>
        <v>0</v>
      </c>
      <c r="AF57" s="120">
        <f>交易记录!F171</f>
        <v>0</v>
      </c>
      <c r="AG57" s="30">
        <f t="shared" si="31"/>
        <v>0</v>
      </c>
      <c r="AH57" s="123">
        <f>交易记录!F204</f>
        <v>0</v>
      </c>
      <c r="AI57" s="123">
        <f>交易记录!F235</f>
        <v>0</v>
      </c>
      <c r="AJ57" s="30">
        <f t="shared" si="34"/>
        <v>0</v>
      </c>
      <c r="AK57" s="120">
        <f>交易记录!F268</f>
        <v>0</v>
      </c>
      <c r="AL57" s="120">
        <f>交易记录!F299</f>
        <v>0</v>
      </c>
      <c r="AM57" s="30">
        <f t="shared" si="33"/>
        <v>0</v>
      </c>
      <c r="AN57" s="123">
        <f>交易记录!F332</f>
        <v>0</v>
      </c>
      <c r="AO57" s="123">
        <f>交易记录!F363</f>
        <v>0</v>
      </c>
      <c r="AP57" s="30">
        <f t="shared" si="30"/>
        <v>0</v>
      </c>
      <c r="AQ57" s="120">
        <f>交易记录!F396</f>
        <v>0</v>
      </c>
      <c r="AR57" s="120">
        <f>交易记录!F427</f>
        <v>0</v>
      </c>
      <c r="AS57" s="30">
        <f t="shared" si="32"/>
        <v>0</v>
      </c>
      <c r="AT57" s="123">
        <f>交易记录!F460</f>
        <v>0</v>
      </c>
      <c r="AU57" s="123">
        <f>交易记录!F491</f>
        <v>0</v>
      </c>
      <c r="AV57" s="30">
        <f t="shared" si="8"/>
        <v>0</v>
      </c>
      <c r="AW57" s="120">
        <f>交易记录!F524</f>
        <v>0</v>
      </c>
      <c r="AX57" s="120">
        <f>交易记录!F555</f>
        <v>0</v>
      </c>
      <c r="AY57" s="30">
        <f t="shared" si="9"/>
        <v>0</v>
      </c>
      <c r="AZ57" s="123">
        <f>交易记录!F588</f>
        <v>0</v>
      </c>
      <c r="BA57" s="123">
        <f>交易记录!F619</f>
        <v>0</v>
      </c>
      <c r="BB57" s="30">
        <f t="shared" si="10"/>
        <v>0</v>
      </c>
      <c r="BC57" s="120">
        <f>交易记录!F652</f>
        <v>0</v>
      </c>
      <c r="BD57" s="120">
        <f>交易记录!F683</f>
        <v>0</v>
      </c>
      <c r="BE57" s="30">
        <f t="shared" si="11"/>
        <v>0</v>
      </c>
      <c r="BF57" s="123">
        <f>交易记录!F716</f>
        <v>0</v>
      </c>
      <c r="BG57" s="123">
        <f>交易记录!F747</f>
        <v>0</v>
      </c>
      <c r="BH57" s="30">
        <f t="shared" si="28"/>
        <v>0</v>
      </c>
      <c r="BI57" s="120">
        <f>交易记录!F780</f>
        <v>0</v>
      </c>
      <c r="BJ57" s="120">
        <f>交易记录!F811</f>
        <v>0</v>
      </c>
      <c r="BK57" s="30">
        <f t="shared" si="12"/>
        <v>0</v>
      </c>
      <c r="BL57" s="123">
        <f>交易记录!F844</f>
        <v>0</v>
      </c>
      <c r="BM57" s="123">
        <f>交易记录!F875</f>
        <v>0</v>
      </c>
      <c r="BN57" s="30">
        <f t="shared" si="13"/>
        <v>0</v>
      </c>
      <c r="BO57" s="120">
        <f>交易记录!F908</f>
        <v>0</v>
      </c>
      <c r="BP57" s="120">
        <f>交易记录!F939</f>
        <v>0</v>
      </c>
      <c r="BQ57" s="30">
        <f t="shared" si="14"/>
        <v>0</v>
      </c>
    </row>
    <row r="58" spans="1:69" ht="15">
      <c r="A58" s="125">
        <f>'维护-日期'!A$5</f>
        <v>46268</v>
      </c>
      <c r="B58" s="7" t="s">
        <v>14</v>
      </c>
      <c r="C58" s="144">
        <f t="shared" si="15"/>
        <v>15.795999999999999</v>
      </c>
      <c r="D58" s="144">
        <f>ROUND(INDEX(持仓数据!$C$3:$AG$26,MATCH('计算过程-数据汇总'!B58,持仓数据!$B$3:$B$26,0),MATCH('计算过程-数据汇总'!A58,'维护-日期'!$B$2:$AF$2,0)),3)</f>
        <v>15.795999999999999</v>
      </c>
      <c r="E58" s="98">
        <f t="shared" si="0"/>
        <v>15.795999999999999</v>
      </c>
      <c r="F58" s="22">
        <f>持仓数据!E80</f>
        <v>0.42800000000000005</v>
      </c>
      <c r="G58" s="97">
        <v>372</v>
      </c>
      <c r="H58" s="97">
        <v>372</v>
      </c>
      <c r="I58" s="64">
        <v>0</v>
      </c>
      <c r="J58" s="64">
        <v>0</v>
      </c>
      <c r="K58" s="21">
        <f>IF(持仓数据!E113="",0,持仓数据!E113)</f>
        <v>372</v>
      </c>
      <c r="L58" s="21">
        <f t="shared" si="16"/>
        <v>0</v>
      </c>
      <c r="M58" s="28">
        <f t="shared" si="1"/>
        <v>5876.1120000000001</v>
      </c>
      <c r="N58" s="28">
        <f t="shared" si="17"/>
        <v>0</v>
      </c>
      <c r="O58" s="28">
        <f t="shared" si="18"/>
        <v>0</v>
      </c>
      <c r="P58" s="28">
        <f t="shared" si="19"/>
        <v>0</v>
      </c>
      <c r="Q58" s="28">
        <f t="shared" si="29"/>
        <v>0</v>
      </c>
      <c r="R58" s="28">
        <f t="shared" si="21"/>
        <v>5876.1120000000001</v>
      </c>
      <c r="S58" s="28">
        <f t="shared" si="22"/>
        <v>0</v>
      </c>
      <c r="T58" s="28">
        <f t="shared" si="23"/>
        <v>0</v>
      </c>
      <c r="U58" s="28">
        <f t="shared" si="36"/>
        <v>0</v>
      </c>
      <c r="V58" s="28">
        <f t="shared" si="37"/>
        <v>0</v>
      </c>
      <c r="W58" s="118"/>
      <c r="X58" s="143">
        <f t="shared" si="26"/>
        <v>18.527000000000001</v>
      </c>
      <c r="Y58" s="120">
        <f>交易记录!F13</f>
        <v>0.42800000000000005</v>
      </c>
      <c r="Z58" s="120">
        <f>交易记录!F44</f>
        <v>372</v>
      </c>
      <c r="AA58" s="30">
        <f t="shared" si="27"/>
        <v>0</v>
      </c>
      <c r="AB58" s="123">
        <f>交易记录!F77</f>
        <v>0</v>
      </c>
      <c r="AC58" s="123">
        <f>交易记录!F108</f>
        <v>0</v>
      </c>
      <c r="AD58" s="30">
        <f t="shared" si="35"/>
        <v>0</v>
      </c>
      <c r="AE58" s="120">
        <f>交易记录!F141</f>
        <v>0</v>
      </c>
      <c r="AF58" s="120">
        <f>交易记录!F172</f>
        <v>0</v>
      </c>
      <c r="AG58" s="30">
        <f t="shared" si="31"/>
        <v>0</v>
      </c>
      <c r="AH58" s="123">
        <f>交易记录!F205</f>
        <v>0</v>
      </c>
      <c r="AI58" s="123">
        <f>交易记录!F236</f>
        <v>0</v>
      </c>
      <c r="AJ58" s="30">
        <f t="shared" si="34"/>
        <v>0</v>
      </c>
      <c r="AK58" s="120">
        <f>交易记录!F269</f>
        <v>0</v>
      </c>
      <c r="AL58" s="120">
        <f>交易记录!F300</f>
        <v>0</v>
      </c>
      <c r="AM58" s="30">
        <f t="shared" si="33"/>
        <v>0</v>
      </c>
      <c r="AN58" s="123">
        <f>交易记录!F333</f>
        <v>0</v>
      </c>
      <c r="AO58" s="123">
        <f>交易记录!F364</f>
        <v>0</v>
      </c>
      <c r="AP58" s="30">
        <f t="shared" si="30"/>
        <v>0</v>
      </c>
      <c r="AQ58" s="120">
        <f>交易记录!F397</f>
        <v>0</v>
      </c>
      <c r="AR58" s="120">
        <f>交易记录!F428</f>
        <v>0</v>
      </c>
      <c r="AS58" s="30">
        <f t="shared" si="32"/>
        <v>0</v>
      </c>
      <c r="AT58" s="123">
        <f>交易记录!F461</f>
        <v>0</v>
      </c>
      <c r="AU58" s="123">
        <f>交易记录!F492</f>
        <v>0</v>
      </c>
      <c r="AV58" s="30">
        <f t="shared" si="8"/>
        <v>0</v>
      </c>
      <c r="AW58" s="120">
        <f>交易记录!F525</f>
        <v>0</v>
      </c>
      <c r="AX58" s="120">
        <f>交易记录!F556</f>
        <v>0</v>
      </c>
      <c r="AY58" s="30">
        <f t="shared" si="9"/>
        <v>0</v>
      </c>
      <c r="AZ58" s="123">
        <f>交易记录!F589</f>
        <v>0</v>
      </c>
      <c r="BA58" s="123">
        <f>交易记录!F620</f>
        <v>0</v>
      </c>
      <c r="BB58" s="30">
        <f t="shared" si="10"/>
        <v>0</v>
      </c>
      <c r="BC58" s="120">
        <f>交易记录!F653</f>
        <v>0</v>
      </c>
      <c r="BD58" s="120">
        <f>交易记录!F684</f>
        <v>0</v>
      </c>
      <c r="BE58" s="30">
        <f t="shared" si="11"/>
        <v>0</v>
      </c>
      <c r="BF58" s="123">
        <f>交易记录!F717</f>
        <v>0</v>
      </c>
      <c r="BG58" s="123">
        <f>交易记录!F748</f>
        <v>0</v>
      </c>
      <c r="BH58" s="30">
        <f t="shared" si="28"/>
        <v>0</v>
      </c>
      <c r="BI58" s="120">
        <f>交易记录!F781</f>
        <v>0</v>
      </c>
      <c r="BJ58" s="120">
        <f>交易记录!F812</f>
        <v>0</v>
      </c>
      <c r="BK58" s="30">
        <f t="shared" si="12"/>
        <v>0</v>
      </c>
      <c r="BL58" s="123">
        <f>交易记录!F845</f>
        <v>0</v>
      </c>
      <c r="BM58" s="123">
        <f>交易记录!F876</f>
        <v>0</v>
      </c>
      <c r="BN58" s="30">
        <f t="shared" si="13"/>
        <v>0</v>
      </c>
      <c r="BO58" s="120">
        <f>交易记录!F909</f>
        <v>0</v>
      </c>
      <c r="BP58" s="120">
        <f>交易记录!F940</f>
        <v>0</v>
      </c>
      <c r="BQ58" s="30">
        <f t="shared" si="14"/>
        <v>0</v>
      </c>
    </row>
    <row r="59" spans="1:69" ht="15">
      <c r="A59" s="125">
        <f>'维护-日期'!A$5</f>
        <v>46268</v>
      </c>
      <c r="B59" s="7" t="s">
        <v>15</v>
      </c>
      <c r="C59" s="144">
        <f t="shared" si="15"/>
        <v>19.308</v>
      </c>
      <c r="D59" s="144">
        <f>ROUND(INDEX(持仓数据!$C$3:$AG$26,MATCH('计算过程-数据汇总'!B59,持仓数据!$B$3:$B$26,0),MATCH('计算过程-数据汇总'!A59,'维护-日期'!$B$2:$AF$2,0)),3)</f>
        <v>19.308</v>
      </c>
      <c r="E59" s="98">
        <f t="shared" si="0"/>
        <v>19.308</v>
      </c>
      <c r="F59" s="22">
        <f>持仓数据!E81</f>
        <v>0.46100000000000002</v>
      </c>
      <c r="G59" s="97">
        <v>372</v>
      </c>
      <c r="H59" s="97">
        <v>372</v>
      </c>
      <c r="I59" s="64">
        <v>0</v>
      </c>
      <c r="J59" s="64">
        <v>0</v>
      </c>
      <c r="K59" s="21">
        <f>IF(持仓数据!E114="",0,持仓数据!E114)</f>
        <v>372</v>
      </c>
      <c r="L59" s="21">
        <f t="shared" si="16"/>
        <v>0</v>
      </c>
      <c r="M59" s="28">
        <f t="shared" si="1"/>
        <v>7182.576</v>
      </c>
      <c r="N59" s="28">
        <f t="shared" si="17"/>
        <v>0</v>
      </c>
      <c r="O59" s="28">
        <f t="shared" si="18"/>
        <v>0</v>
      </c>
      <c r="P59" s="28">
        <f t="shared" si="19"/>
        <v>0</v>
      </c>
      <c r="Q59" s="28">
        <f t="shared" si="29"/>
        <v>0</v>
      </c>
      <c r="R59" s="28">
        <f t="shared" si="21"/>
        <v>7182.576</v>
      </c>
      <c r="S59" s="28">
        <f t="shared" si="22"/>
        <v>0</v>
      </c>
      <c r="T59" s="28">
        <f t="shared" si="23"/>
        <v>0</v>
      </c>
      <c r="U59" s="28">
        <f t="shared" si="36"/>
        <v>0</v>
      </c>
      <c r="V59" s="28">
        <f t="shared" si="37"/>
        <v>0</v>
      </c>
      <c r="W59" s="118"/>
      <c r="X59" s="143">
        <f t="shared" si="26"/>
        <v>22.709</v>
      </c>
      <c r="Y59" s="120">
        <f>交易记录!F14</f>
        <v>0.46100000000000002</v>
      </c>
      <c r="Z59" s="120">
        <f>交易记录!F45</f>
        <v>372</v>
      </c>
      <c r="AA59" s="30">
        <f t="shared" si="27"/>
        <v>0</v>
      </c>
      <c r="AB59" s="123">
        <f>交易记录!F78</f>
        <v>0</v>
      </c>
      <c r="AC59" s="123">
        <f>交易记录!F109</f>
        <v>0</v>
      </c>
      <c r="AD59" s="30">
        <f t="shared" si="35"/>
        <v>0</v>
      </c>
      <c r="AE59" s="120">
        <f>交易记录!F142</f>
        <v>0</v>
      </c>
      <c r="AF59" s="120">
        <f>交易记录!F173</f>
        <v>0</v>
      </c>
      <c r="AG59" s="30">
        <f t="shared" si="31"/>
        <v>0</v>
      </c>
      <c r="AH59" s="123">
        <f>交易记录!F206</f>
        <v>0</v>
      </c>
      <c r="AI59" s="123">
        <f>交易记录!F237</f>
        <v>0</v>
      </c>
      <c r="AJ59" s="30">
        <f t="shared" si="34"/>
        <v>0</v>
      </c>
      <c r="AK59" s="120">
        <f>交易记录!F270</f>
        <v>0</v>
      </c>
      <c r="AL59" s="120">
        <f>交易记录!F301</f>
        <v>0</v>
      </c>
      <c r="AM59" s="30">
        <f t="shared" si="33"/>
        <v>0</v>
      </c>
      <c r="AN59" s="123">
        <f>交易记录!F334</f>
        <v>0</v>
      </c>
      <c r="AO59" s="123">
        <f>交易记录!F365</f>
        <v>0</v>
      </c>
      <c r="AP59" s="30">
        <f t="shared" si="30"/>
        <v>0</v>
      </c>
      <c r="AQ59" s="120">
        <f>交易记录!F398</f>
        <v>0</v>
      </c>
      <c r="AR59" s="120">
        <f>交易记录!F429</f>
        <v>0</v>
      </c>
      <c r="AS59" s="30">
        <f t="shared" si="32"/>
        <v>0</v>
      </c>
      <c r="AT59" s="123">
        <f>交易记录!F462</f>
        <v>0</v>
      </c>
      <c r="AU59" s="123">
        <f>交易记录!F493</f>
        <v>0</v>
      </c>
      <c r="AV59" s="30">
        <f t="shared" si="8"/>
        <v>0</v>
      </c>
      <c r="AW59" s="120">
        <f>交易记录!F526</f>
        <v>0</v>
      </c>
      <c r="AX59" s="120">
        <f>交易记录!F557</f>
        <v>0</v>
      </c>
      <c r="AY59" s="30">
        <f t="shared" si="9"/>
        <v>0</v>
      </c>
      <c r="AZ59" s="123">
        <f>交易记录!F590</f>
        <v>0</v>
      </c>
      <c r="BA59" s="123">
        <f>交易记录!F621</f>
        <v>0</v>
      </c>
      <c r="BB59" s="30">
        <f t="shared" si="10"/>
        <v>0</v>
      </c>
      <c r="BC59" s="120">
        <f>交易记录!F654</f>
        <v>0</v>
      </c>
      <c r="BD59" s="120">
        <f>交易记录!F685</f>
        <v>0</v>
      </c>
      <c r="BE59" s="30">
        <f t="shared" si="11"/>
        <v>0</v>
      </c>
      <c r="BF59" s="123">
        <f>交易记录!F718</f>
        <v>0</v>
      </c>
      <c r="BG59" s="123">
        <f>交易记录!F749</f>
        <v>0</v>
      </c>
      <c r="BH59" s="30">
        <f t="shared" si="28"/>
        <v>0</v>
      </c>
      <c r="BI59" s="120">
        <f>交易记录!F782</f>
        <v>0</v>
      </c>
      <c r="BJ59" s="120">
        <f>交易记录!F813</f>
        <v>0</v>
      </c>
      <c r="BK59" s="30">
        <f t="shared" si="12"/>
        <v>0</v>
      </c>
      <c r="BL59" s="123">
        <f>交易记录!F846</f>
        <v>0</v>
      </c>
      <c r="BM59" s="123">
        <f>交易记录!F877</f>
        <v>0</v>
      </c>
      <c r="BN59" s="30">
        <f t="shared" si="13"/>
        <v>0</v>
      </c>
      <c r="BO59" s="120">
        <f>交易记录!F910</f>
        <v>0</v>
      </c>
      <c r="BP59" s="120">
        <f>交易记录!F941</f>
        <v>0</v>
      </c>
      <c r="BQ59" s="30">
        <f t="shared" si="14"/>
        <v>0</v>
      </c>
    </row>
    <row r="60" spans="1:69" ht="15">
      <c r="A60" s="125">
        <f>'维护-日期'!A$5</f>
        <v>46268</v>
      </c>
      <c r="B60" s="7" t="s">
        <v>16</v>
      </c>
      <c r="C60" s="144">
        <f t="shared" si="15"/>
        <v>21.01</v>
      </c>
      <c r="D60" s="144">
        <f>ROUND(INDEX(持仓数据!$C$3:$AG$26,MATCH('计算过程-数据汇总'!B60,持仓数据!$B$3:$B$26,0),MATCH('计算过程-数据汇总'!A60,'维护-日期'!$B$2:$AF$2,0)),3)</f>
        <v>21.01</v>
      </c>
      <c r="E60" s="98">
        <f t="shared" si="0"/>
        <v>21.01</v>
      </c>
      <c r="F60" s="22">
        <f>持仓数据!E82</f>
        <v>0.46700000000000003</v>
      </c>
      <c r="G60" s="97">
        <v>372</v>
      </c>
      <c r="H60" s="97">
        <v>372</v>
      </c>
      <c r="I60" s="64">
        <v>0</v>
      </c>
      <c r="J60" s="64">
        <v>0</v>
      </c>
      <c r="K60" s="21">
        <f>IF(持仓数据!E115="",0,持仓数据!E115)</f>
        <v>372</v>
      </c>
      <c r="L60" s="21">
        <f t="shared" si="16"/>
        <v>0</v>
      </c>
      <c r="M60" s="28">
        <f t="shared" si="1"/>
        <v>7815.72</v>
      </c>
      <c r="N60" s="28">
        <f t="shared" si="17"/>
        <v>0</v>
      </c>
      <c r="O60" s="28">
        <f t="shared" si="18"/>
        <v>0</v>
      </c>
      <c r="P60" s="28">
        <f t="shared" si="19"/>
        <v>0</v>
      </c>
      <c r="Q60" s="28">
        <f t="shared" si="29"/>
        <v>0</v>
      </c>
      <c r="R60" s="28">
        <f t="shared" si="21"/>
        <v>7815.72</v>
      </c>
      <c r="S60" s="28">
        <f t="shared" si="22"/>
        <v>0</v>
      </c>
      <c r="T60" s="28">
        <f t="shared" si="23"/>
        <v>0</v>
      </c>
      <c r="U60" s="28">
        <f t="shared" si="36"/>
        <v>0</v>
      </c>
      <c r="V60" s="28">
        <f t="shared" si="37"/>
        <v>0</v>
      </c>
      <c r="W60" s="118"/>
      <c r="X60" s="143">
        <f t="shared" si="26"/>
        <v>24.745000000000001</v>
      </c>
      <c r="Y60" s="120">
        <f>交易记录!F15</f>
        <v>0.46700000000000003</v>
      </c>
      <c r="Z60" s="120">
        <f>交易记录!F46</f>
        <v>372</v>
      </c>
      <c r="AA60" s="30">
        <f t="shared" si="27"/>
        <v>0</v>
      </c>
      <c r="AB60" s="123">
        <f>交易记录!F79</f>
        <v>0</v>
      </c>
      <c r="AC60" s="123">
        <f>交易记录!F110</f>
        <v>0</v>
      </c>
      <c r="AD60" s="30">
        <f t="shared" si="35"/>
        <v>0</v>
      </c>
      <c r="AE60" s="120">
        <f>交易记录!F143</f>
        <v>0</v>
      </c>
      <c r="AF60" s="120">
        <f>交易记录!F174</f>
        <v>0</v>
      </c>
      <c r="AG60" s="30">
        <f t="shared" si="31"/>
        <v>0</v>
      </c>
      <c r="AH60" s="123">
        <f>交易记录!F207</f>
        <v>0</v>
      </c>
      <c r="AI60" s="123">
        <f>交易记录!F238</f>
        <v>0</v>
      </c>
      <c r="AJ60" s="30">
        <f t="shared" si="34"/>
        <v>0</v>
      </c>
      <c r="AK60" s="120">
        <f>交易记录!F271</f>
        <v>0</v>
      </c>
      <c r="AL60" s="120">
        <f>交易记录!F302</f>
        <v>0</v>
      </c>
      <c r="AM60" s="30">
        <f t="shared" si="33"/>
        <v>0</v>
      </c>
      <c r="AN60" s="123">
        <f>交易记录!F335</f>
        <v>0</v>
      </c>
      <c r="AO60" s="123">
        <f>交易记录!F366</f>
        <v>0</v>
      </c>
      <c r="AP60" s="30">
        <f t="shared" si="30"/>
        <v>0</v>
      </c>
      <c r="AQ60" s="120">
        <f>交易记录!F399</f>
        <v>0</v>
      </c>
      <c r="AR60" s="120">
        <f>交易记录!F430</f>
        <v>0</v>
      </c>
      <c r="AS60" s="30">
        <f t="shared" si="32"/>
        <v>0</v>
      </c>
      <c r="AT60" s="123">
        <f>交易记录!F463</f>
        <v>0</v>
      </c>
      <c r="AU60" s="123">
        <f>交易记录!F494</f>
        <v>0</v>
      </c>
      <c r="AV60" s="30">
        <f t="shared" si="8"/>
        <v>0</v>
      </c>
      <c r="AW60" s="120">
        <f>交易记录!F527</f>
        <v>0</v>
      </c>
      <c r="AX60" s="120">
        <f>交易记录!F558</f>
        <v>0</v>
      </c>
      <c r="AY60" s="30">
        <f t="shared" si="9"/>
        <v>0</v>
      </c>
      <c r="AZ60" s="123">
        <f>交易记录!F591</f>
        <v>0</v>
      </c>
      <c r="BA60" s="123">
        <f>交易记录!F622</f>
        <v>0</v>
      </c>
      <c r="BB60" s="30">
        <f t="shared" si="10"/>
        <v>0</v>
      </c>
      <c r="BC60" s="120">
        <f>交易记录!F655</f>
        <v>0</v>
      </c>
      <c r="BD60" s="120">
        <f>交易记录!F686</f>
        <v>0</v>
      </c>
      <c r="BE60" s="30">
        <f t="shared" si="11"/>
        <v>0</v>
      </c>
      <c r="BF60" s="123">
        <f>交易记录!F719</f>
        <v>0</v>
      </c>
      <c r="BG60" s="123">
        <f>交易记录!F750</f>
        <v>0</v>
      </c>
      <c r="BH60" s="30">
        <f t="shared" si="28"/>
        <v>0</v>
      </c>
      <c r="BI60" s="120">
        <f>交易记录!F783</f>
        <v>0</v>
      </c>
      <c r="BJ60" s="120">
        <f>交易记录!F814</f>
        <v>0</v>
      </c>
      <c r="BK60" s="30">
        <f t="shared" si="12"/>
        <v>0</v>
      </c>
      <c r="BL60" s="123">
        <f>交易记录!F847</f>
        <v>0</v>
      </c>
      <c r="BM60" s="123">
        <f>交易记录!F878</f>
        <v>0</v>
      </c>
      <c r="BN60" s="30">
        <f t="shared" si="13"/>
        <v>0</v>
      </c>
      <c r="BO60" s="120">
        <f>交易记录!F911</f>
        <v>0</v>
      </c>
      <c r="BP60" s="120">
        <f>交易记录!F942</f>
        <v>0</v>
      </c>
      <c r="BQ60" s="30">
        <f t="shared" si="14"/>
        <v>0</v>
      </c>
    </row>
    <row r="61" spans="1:69" ht="15">
      <c r="A61" s="125">
        <f>'维护-日期'!A$5</f>
        <v>46268</v>
      </c>
      <c r="B61" s="7" t="s">
        <v>17</v>
      </c>
      <c r="C61" s="144">
        <f t="shared" si="15"/>
        <v>21.329000000000001</v>
      </c>
      <c r="D61" s="144">
        <f>ROUND(INDEX(持仓数据!$C$3:$AG$26,MATCH('计算过程-数据汇总'!B61,持仓数据!$B$3:$B$26,0),MATCH('计算过程-数据汇总'!A61,'维护-日期'!$B$2:$AF$2,0)),3)</f>
        <v>21.329000000000001</v>
      </c>
      <c r="E61" s="98">
        <f t="shared" si="0"/>
        <v>21.329000000000001</v>
      </c>
      <c r="F61" s="22">
        <f>持仓数据!E83</f>
        <v>0.32100000000000001</v>
      </c>
      <c r="G61" s="97">
        <v>372</v>
      </c>
      <c r="H61" s="97">
        <v>372</v>
      </c>
      <c r="I61" s="64">
        <v>0</v>
      </c>
      <c r="J61" s="64">
        <v>0</v>
      </c>
      <c r="K61" s="21">
        <f>IF(持仓数据!E116="",0,持仓数据!E116)</f>
        <v>372</v>
      </c>
      <c r="L61" s="21">
        <f t="shared" si="16"/>
        <v>0</v>
      </c>
      <c r="M61" s="28">
        <f t="shared" si="1"/>
        <v>7934.3879999999999</v>
      </c>
      <c r="N61" s="28">
        <f t="shared" si="17"/>
        <v>0</v>
      </c>
      <c r="O61" s="28">
        <f t="shared" si="18"/>
        <v>0</v>
      </c>
      <c r="P61" s="28">
        <f t="shared" si="19"/>
        <v>0</v>
      </c>
      <c r="Q61" s="28">
        <f t="shared" si="29"/>
        <v>0</v>
      </c>
      <c r="R61" s="28">
        <f t="shared" si="21"/>
        <v>7934.3879999999999</v>
      </c>
      <c r="S61" s="28">
        <f t="shared" si="22"/>
        <v>0</v>
      </c>
      <c r="T61" s="28">
        <f t="shared" si="23"/>
        <v>0</v>
      </c>
      <c r="U61" s="28">
        <f t="shared" si="36"/>
        <v>0</v>
      </c>
      <c r="V61" s="28">
        <f t="shared" si="37"/>
        <v>0</v>
      </c>
      <c r="W61" s="118"/>
      <c r="X61" s="143">
        <f t="shared" si="26"/>
        <v>25.274000000000001</v>
      </c>
      <c r="Y61" s="120">
        <f>交易记录!F16</f>
        <v>0.32100000000000001</v>
      </c>
      <c r="Z61" s="120">
        <f>交易记录!F47</f>
        <v>372</v>
      </c>
      <c r="AA61" s="30">
        <f t="shared" si="27"/>
        <v>0</v>
      </c>
      <c r="AB61" s="123">
        <f>交易记录!F80</f>
        <v>0</v>
      </c>
      <c r="AC61" s="123">
        <f>交易记录!F111</f>
        <v>0</v>
      </c>
      <c r="AD61" s="30">
        <f t="shared" si="35"/>
        <v>0</v>
      </c>
      <c r="AE61" s="120">
        <f>交易记录!F144</f>
        <v>0</v>
      </c>
      <c r="AF61" s="120">
        <f>交易记录!F175</f>
        <v>0</v>
      </c>
      <c r="AG61" s="30">
        <f t="shared" si="31"/>
        <v>0</v>
      </c>
      <c r="AH61" s="123">
        <f>交易记录!F208</f>
        <v>0</v>
      </c>
      <c r="AI61" s="123">
        <f>交易记录!F239</f>
        <v>0</v>
      </c>
      <c r="AJ61" s="30">
        <f t="shared" si="34"/>
        <v>0</v>
      </c>
      <c r="AK61" s="120">
        <f>交易记录!F272</f>
        <v>0</v>
      </c>
      <c r="AL61" s="120">
        <f>交易记录!F303</f>
        <v>0</v>
      </c>
      <c r="AM61" s="30">
        <f t="shared" si="33"/>
        <v>0</v>
      </c>
      <c r="AN61" s="123">
        <f>交易记录!F336</f>
        <v>0</v>
      </c>
      <c r="AO61" s="123">
        <f>交易记录!F367</f>
        <v>0</v>
      </c>
      <c r="AP61" s="30">
        <f t="shared" si="30"/>
        <v>0</v>
      </c>
      <c r="AQ61" s="120">
        <f>交易记录!F400</f>
        <v>0</v>
      </c>
      <c r="AR61" s="120">
        <f>交易记录!F431</f>
        <v>0</v>
      </c>
      <c r="AS61" s="30">
        <f t="shared" si="32"/>
        <v>0</v>
      </c>
      <c r="AT61" s="123">
        <f>交易记录!F464</f>
        <v>0</v>
      </c>
      <c r="AU61" s="123">
        <f>交易记录!F495</f>
        <v>0</v>
      </c>
      <c r="AV61" s="30">
        <f t="shared" si="8"/>
        <v>0</v>
      </c>
      <c r="AW61" s="120">
        <f>交易记录!F528</f>
        <v>0</v>
      </c>
      <c r="AX61" s="120">
        <f>交易记录!F559</f>
        <v>0</v>
      </c>
      <c r="AY61" s="30">
        <f t="shared" si="9"/>
        <v>0</v>
      </c>
      <c r="AZ61" s="123">
        <f>交易记录!F592</f>
        <v>0</v>
      </c>
      <c r="BA61" s="123">
        <f>交易记录!F623</f>
        <v>0</v>
      </c>
      <c r="BB61" s="30">
        <f t="shared" si="10"/>
        <v>0</v>
      </c>
      <c r="BC61" s="120">
        <f>交易记录!F656</f>
        <v>0</v>
      </c>
      <c r="BD61" s="120">
        <f>交易记录!F687</f>
        <v>0</v>
      </c>
      <c r="BE61" s="30">
        <f t="shared" si="11"/>
        <v>0</v>
      </c>
      <c r="BF61" s="123">
        <f>交易记录!F720</f>
        <v>0</v>
      </c>
      <c r="BG61" s="123">
        <f>交易记录!F751</f>
        <v>0</v>
      </c>
      <c r="BH61" s="30">
        <f t="shared" si="28"/>
        <v>0</v>
      </c>
      <c r="BI61" s="120">
        <f>交易记录!F784</f>
        <v>0</v>
      </c>
      <c r="BJ61" s="120">
        <f>交易记录!F815</f>
        <v>0</v>
      </c>
      <c r="BK61" s="30">
        <f t="shared" si="12"/>
        <v>0</v>
      </c>
      <c r="BL61" s="123">
        <f>交易记录!F848</f>
        <v>0</v>
      </c>
      <c r="BM61" s="123">
        <f>交易记录!F879</f>
        <v>0</v>
      </c>
      <c r="BN61" s="30">
        <f t="shared" si="13"/>
        <v>0</v>
      </c>
      <c r="BO61" s="120">
        <f>交易记录!F912</f>
        <v>0</v>
      </c>
      <c r="BP61" s="120">
        <f>交易记录!F943</f>
        <v>0</v>
      </c>
      <c r="BQ61" s="30">
        <f t="shared" si="14"/>
        <v>0</v>
      </c>
    </row>
    <row r="62" spans="1:69" ht="15">
      <c r="A62" s="125">
        <f>'维护-日期'!A$5</f>
        <v>46268</v>
      </c>
      <c r="B62" s="7" t="s">
        <v>18</v>
      </c>
      <c r="C62" s="144">
        <f t="shared" si="15"/>
        <v>22.643999999999998</v>
      </c>
      <c r="D62" s="144">
        <f>ROUND(INDEX(持仓数据!$C$3:$AG$26,MATCH('计算过程-数据汇总'!B62,持仓数据!$B$3:$B$26,0),MATCH('计算过程-数据汇总'!A62,'维护-日期'!$B$2:$AF$2,0)),3)</f>
        <v>22.643999999999998</v>
      </c>
      <c r="E62" s="98">
        <f t="shared" si="0"/>
        <v>22.643999999999998</v>
      </c>
      <c r="F62" s="22">
        <f>持仓数据!E84</f>
        <v>7.8E-2</v>
      </c>
      <c r="G62" s="97">
        <v>372</v>
      </c>
      <c r="H62" s="97">
        <v>372</v>
      </c>
      <c r="I62" s="64">
        <v>0</v>
      </c>
      <c r="J62" s="64">
        <v>0</v>
      </c>
      <c r="K62" s="21">
        <f>IF(持仓数据!E117="",0,持仓数据!E117)</f>
        <v>372</v>
      </c>
      <c r="L62" s="21">
        <f t="shared" si="16"/>
        <v>0</v>
      </c>
      <c r="M62" s="28">
        <f t="shared" si="1"/>
        <v>8423.5679999999993</v>
      </c>
      <c r="N62" s="28">
        <f t="shared" si="17"/>
        <v>0</v>
      </c>
      <c r="O62" s="28">
        <f t="shared" si="18"/>
        <v>0</v>
      </c>
      <c r="P62" s="28">
        <f t="shared" si="19"/>
        <v>0</v>
      </c>
      <c r="Q62" s="28">
        <f t="shared" si="29"/>
        <v>0</v>
      </c>
      <c r="R62" s="28">
        <f t="shared" si="21"/>
        <v>8423.5679999999993</v>
      </c>
      <c r="S62" s="28">
        <f t="shared" si="22"/>
        <v>0</v>
      </c>
      <c r="T62" s="28">
        <f t="shared" si="23"/>
        <v>0</v>
      </c>
      <c r="U62" s="28">
        <f t="shared" si="36"/>
        <v>0</v>
      </c>
      <c r="V62" s="28">
        <f t="shared" si="37"/>
        <v>0</v>
      </c>
      <c r="W62" s="118"/>
      <c r="X62" s="143">
        <f t="shared" si="26"/>
        <v>27.094999999999999</v>
      </c>
      <c r="Y62" s="120">
        <f>交易记录!F17</f>
        <v>7.8E-2</v>
      </c>
      <c r="Z62" s="120">
        <f>交易记录!F48</f>
        <v>372</v>
      </c>
      <c r="AA62" s="30">
        <f t="shared" si="27"/>
        <v>0</v>
      </c>
      <c r="AB62" s="123">
        <f>交易记录!F81</f>
        <v>0</v>
      </c>
      <c r="AC62" s="123">
        <f>交易记录!F112</f>
        <v>0</v>
      </c>
      <c r="AD62" s="30">
        <f t="shared" si="35"/>
        <v>0</v>
      </c>
      <c r="AE62" s="120">
        <f>交易记录!F145</f>
        <v>0</v>
      </c>
      <c r="AF62" s="120">
        <f>交易记录!F176</f>
        <v>0</v>
      </c>
      <c r="AG62" s="30">
        <f t="shared" si="31"/>
        <v>0</v>
      </c>
      <c r="AH62" s="123">
        <f>交易记录!F209</f>
        <v>0</v>
      </c>
      <c r="AI62" s="123">
        <f>交易记录!F240</f>
        <v>0</v>
      </c>
      <c r="AJ62" s="30">
        <f t="shared" si="34"/>
        <v>0</v>
      </c>
      <c r="AK62" s="120">
        <f>交易记录!F273</f>
        <v>0</v>
      </c>
      <c r="AL62" s="120">
        <f>交易记录!F304</f>
        <v>0</v>
      </c>
      <c r="AM62" s="30">
        <f t="shared" si="33"/>
        <v>0</v>
      </c>
      <c r="AN62" s="123">
        <f>交易记录!F337</f>
        <v>0</v>
      </c>
      <c r="AO62" s="123">
        <f>交易记录!F368</f>
        <v>0</v>
      </c>
      <c r="AP62" s="30">
        <f t="shared" si="30"/>
        <v>0</v>
      </c>
      <c r="AQ62" s="120">
        <f>交易记录!F401</f>
        <v>0</v>
      </c>
      <c r="AR62" s="120">
        <f>交易记录!F432</f>
        <v>0</v>
      </c>
      <c r="AS62" s="30">
        <f t="shared" si="32"/>
        <v>0</v>
      </c>
      <c r="AT62" s="123">
        <f>交易记录!F465</f>
        <v>0</v>
      </c>
      <c r="AU62" s="123">
        <f>交易记录!F496</f>
        <v>0</v>
      </c>
      <c r="AV62" s="30">
        <f t="shared" si="8"/>
        <v>0</v>
      </c>
      <c r="AW62" s="120">
        <f>交易记录!F529</f>
        <v>0</v>
      </c>
      <c r="AX62" s="120">
        <f>交易记录!F560</f>
        <v>0</v>
      </c>
      <c r="AY62" s="30">
        <f t="shared" si="9"/>
        <v>0</v>
      </c>
      <c r="AZ62" s="123">
        <f>交易记录!F593</f>
        <v>0</v>
      </c>
      <c r="BA62" s="123">
        <f>交易记录!F624</f>
        <v>0</v>
      </c>
      <c r="BB62" s="30">
        <f t="shared" si="10"/>
        <v>0</v>
      </c>
      <c r="BC62" s="120">
        <f>交易记录!F657</f>
        <v>0</v>
      </c>
      <c r="BD62" s="120">
        <f>交易记录!F688</f>
        <v>0</v>
      </c>
      <c r="BE62" s="30">
        <f t="shared" si="11"/>
        <v>0</v>
      </c>
      <c r="BF62" s="123">
        <f>交易记录!F721</f>
        <v>0</v>
      </c>
      <c r="BG62" s="123">
        <f>交易记录!F752</f>
        <v>0</v>
      </c>
      <c r="BH62" s="30">
        <f t="shared" si="28"/>
        <v>0</v>
      </c>
      <c r="BI62" s="120">
        <f>交易记录!F785</f>
        <v>0</v>
      </c>
      <c r="BJ62" s="120">
        <f>交易记录!F816</f>
        <v>0</v>
      </c>
      <c r="BK62" s="30">
        <f t="shared" si="12"/>
        <v>0</v>
      </c>
      <c r="BL62" s="123">
        <f>交易记录!F849</f>
        <v>0</v>
      </c>
      <c r="BM62" s="123">
        <f>交易记录!F880</f>
        <v>0</v>
      </c>
      <c r="BN62" s="30">
        <f t="shared" si="13"/>
        <v>0</v>
      </c>
      <c r="BO62" s="120">
        <f>交易记录!F913</f>
        <v>0</v>
      </c>
      <c r="BP62" s="120">
        <f>交易记录!F944</f>
        <v>0</v>
      </c>
      <c r="BQ62" s="30">
        <f t="shared" si="14"/>
        <v>0</v>
      </c>
    </row>
    <row r="63" spans="1:69" ht="15">
      <c r="A63" s="125">
        <f>'维护-日期'!A$5</f>
        <v>46268</v>
      </c>
      <c r="B63" s="7" t="s">
        <v>19</v>
      </c>
      <c r="C63" s="144">
        <f t="shared" si="15"/>
        <v>22.904</v>
      </c>
      <c r="D63" s="144">
        <f>ROUND(INDEX(持仓数据!$C$3:$AG$26,MATCH('计算过程-数据汇总'!B63,持仓数据!$B$3:$B$26,0),MATCH('计算过程-数据汇总'!A63,'维护-日期'!$B$2:$AF$2,0)),3)</f>
        <v>22.904</v>
      </c>
      <c r="E63" s="98">
        <f t="shared" si="0"/>
        <v>22.904</v>
      </c>
      <c r="F63" s="22">
        <f>持仓数据!E85</f>
        <v>0.19500000000000001</v>
      </c>
      <c r="G63" s="97">
        <v>372</v>
      </c>
      <c r="H63" s="97">
        <v>372</v>
      </c>
      <c r="I63" s="64">
        <v>0</v>
      </c>
      <c r="J63" s="64">
        <v>0</v>
      </c>
      <c r="K63" s="21">
        <f>IF(持仓数据!E118="",0,持仓数据!E118)</f>
        <v>372</v>
      </c>
      <c r="L63" s="21">
        <f t="shared" si="16"/>
        <v>0</v>
      </c>
      <c r="M63" s="28">
        <f t="shared" si="1"/>
        <v>8520.2880000000005</v>
      </c>
      <c r="N63" s="28">
        <f t="shared" si="17"/>
        <v>0</v>
      </c>
      <c r="O63" s="28">
        <f t="shared" si="18"/>
        <v>0</v>
      </c>
      <c r="P63" s="28">
        <f t="shared" si="19"/>
        <v>0</v>
      </c>
      <c r="Q63" s="28">
        <f t="shared" si="29"/>
        <v>0</v>
      </c>
      <c r="R63" s="28">
        <f t="shared" si="21"/>
        <v>8520.2880000000005</v>
      </c>
      <c r="S63" s="28">
        <f t="shared" si="22"/>
        <v>0</v>
      </c>
      <c r="T63" s="28">
        <f t="shared" si="23"/>
        <v>0</v>
      </c>
      <c r="U63" s="28">
        <f t="shared" si="36"/>
        <v>0</v>
      </c>
      <c r="V63" s="28">
        <f t="shared" si="37"/>
        <v>0</v>
      </c>
      <c r="W63" s="118"/>
      <c r="X63" s="143">
        <f t="shared" si="26"/>
        <v>27.29</v>
      </c>
      <c r="Y63" s="120">
        <f>交易记录!F18</f>
        <v>0.19500000000000001</v>
      </c>
      <c r="Z63" s="120">
        <f>交易记录!F49</f>
        <v>372</v>
      </c>
      <c r="AA63" s="30">
        <f t="shared" si="27"/>
        <v>0</v>
      </c>
      <c r="AB63" s="123">
        <f>交易记录!F82</f>
        <v>0</v>
      </c>
      <c r="AC63" s="123">
        <f>交易记录!F113</f>
        <v>0</v>
      </c>
      <c r="AD63" s="30">
        <f t="shared" si="35"/>
        <v>0</v>
      </c>
      <c r="AE63" s="120">
        <f>交易记录!F146</f>
        <v>0</v>
      </c>
      <c r="AF63" s="120">
        <f>交易记录!F177</f>
        <v>0</v>
      </c>
      <c r="AG63" s="30">
        <f t="shared" si="31"/>
        <v>0</v>
      </c>
      <c r="AH63" s="123">
        <f>交易记录!F210</f>
        <v>0</v>
      </c>
      <c r="AI63" s="123">
        <f>交易记录!F241</f>
        <v>0</v>
      </c>
      <c r="AJ63" s="30">
        <f t="shared" si="34"/>
        <v>0</v>
      </c>
      <c r="AK63" s="120">
        <f>交易记录!F274</f>
        <v>0</v>
      </c>
      <c r="AL63" s="120">
        <f>交易记录!F305</f>
        <v>0</v>
      </c>
      <c r="AM63" s="30">
        <f t="shared" si="33"/>
        <v>0</v>
      </c>
      <c r="AN63" s="123">
        <f>交易记录!F338</f>
        <v>0</v>
      </c>
      <c r="AO63" s="123">
        <f>交易记录!F369</f>
        <v>0</v>
      </c>
      <c r="AP63" s="30">
        <f t="shared" si="30"/>
        <v>0</v>
      </c>
      <c r="AQ63" s="120">
        <f>交易记录!F402</f>
        <v>0</v>
      </c>
      <c r="AR63" s="120">
        <f>交易记录!F433</f>
        <v>0</v>
      </c>
      <c r="AS63" s="30">
        <f t="shared" si="32"/>
        <v>0</v>
      </c>
      <c r="AT63" s="123">
        <f>交易记录!F466</f>
        <v>0</v>
      </c>
      <c r="AU63" s="123">
        <f>交易记录!F497</f>
        <v>0</v>
      </c>
      <c r="AV63" s="30">
        <f t="shared" si="8"/>
        <v>0</v>
      </c>
      <c r="AW63" s="120">
        <f>交易记录!F530</f>
        <v>0</v>
      </c>
      <c r="AX63" s="120">
        <f>交易记录!F561</f>
        <v>0</v>
      </c>
      <c r="AY63" s="30">
        <f t="shared" si="9"/>
        <v>0</v>
      </c>
      <c r="AZ63" s="123">
        <f>交易记录!F594</f>
        <v>0</v>
      </c>
      <c r="BA63" s="123">
        <f>交易记录!F625</f>
        <v>0</v>
      </c>
      <c r="BB63" s="30">
        <f t="shared" si="10"/>
        <v>0</v>
      </c>
      <c r="BC63" s="120">
        <f>交易记录!F658</f>
        <v>0</v>
      </c>
      <c r="BD63" s="120">
        <f>交易记录!F689</f>
        <v>0</v>
      </c>
      <c r="BE63" s="30">
        <f t="shared" si="11"/>
        <v>0</v>
      </c>
      <c r="BF63" s="123">
        <f>交易记录!F722</f>
        <v>0</v>
      </c>
      <c r="BG63" s="123">
        <f>交易记录!F753</f>
        <v>0</v>
      </c>
      <c r="BH63" s="30">
        <f t="shared" si="28"/>
        <v>0</v>
      </c>
      <c r="BI63" s="120">
        <f>交易记录!F786</f>
        <v>0</v>
      </c>
      <c r="BJ63" s="120">
        <f>交易记录!F817</f>
        <v>0</v>
      </c>
      <c r="BK63" s="30">
        <f t="shared" si="12"/>
        <v>0</v>
      </c>
      <c r="BL63" s="123">
        <f>交易记录!F850</f>
        <v>0</v>
      </c>
      <c r="BM63" s="123">
        <f>交易记录!F881</f>
        <v>0</v>
      </c>
      <c r="BN63" s="30">
        <f t="shared" si="13"/>
        <v>0</v>
      </c>
      <c r="BO63" s="120">
        <f>交易记录!F914</f>
        <v>0</v>
      </c>
      <c r="BP63" s="120">
        <f>交易记录!F945</f>
        <v>0</v>
      </c>
      <c r="BQ63" s="30">
        <f t="shared" si="14"/>
        <v>0</v>
      </c>
    </row>
    <row r="64" spans="1:69" ht="15">
      <c r="A64" s="125">
        <f>'维护-日期'!A$5</f>
        <v>46268</v>
      </c>
      <c r="B64" s="7" t="s">
        <v>20</v>
      </c>
      <c r="C64" s="144">
        <f t="shared" si="15"/>
        <v>22.071000000000002</v>
      </c>
      <c r="D64" s="144">
        <f>ROUND(INDEX(持仓数据!$C$3:$AG$26,MATCH('计算过程-数据汇总'!B64,持仓数据!$B$3:$B$26,0),MATCH('计算过程-数据汇总'!A64,'维护-日期'!$B$2:$AF$2,0)),3)</f>
        <v>22.071000000000002</v>
      </c>
      <c r="E64" s="98">
        <f t="shared" si="0"/>
        <v>22.071000000000002</v>
      </c>
      <c r="F64" s="22">
        <f>持仓数据!E86</f>
        <v>0.34599999999999997</v>
      </c>
      <c r="G64" s="97">
        <v>372</v>
      </c>
      <c r="H64" s="97">
        <v>372</v>
      </c>
      <c r="I64" s="64">
        <v>0</v>
      </c>
      <c r="J64" s="64">
        <v>0</v>
      </c>
      <c r="K64" s="21">
        <f>IF(持仓数据!E119="",0,持仓数据!E119)</f>
        <v>372</v>
      </c>
      <c r="L64" s="21">
        <f t="shared" si="16"/>
        <v>0</v>
      </c>
      <c r="M64" s="28">
        <f t="shared" si="1"/>
        <v>8210.4120000000003</v>
      </c>
      <c r="N64" s="28">
        <f t="shared" si="17"/>
        <v>0</v>
      </c>
      <c r="O64" s="28">
        <f t="shared" si="18"/>
        <v>0</v>
      </c>
      <c r="P64" s="28">
        <f t="shared" si="19"/>
        <v>0</v>
      </c>
      <c r="Q64" s="28">
        <f t="shared" si="29"/>
        <v>0</v>
      </c>
      <c r="R64" s="28">
        <f t="shared" si="21"/>
        <v>8210.4120000000003</v>
      </c>
      <c r="S64" s="28">
        <f t="shared" si="22"/>
        <v>0</v>
      </c>
      <c r="T64" s="28">
        <f t="shared" si="23"/>
        <v>0</v>
      </c>
      <c r="U64" s="28">
        <f t="shared" si="36"/>
        <v>0</v>
      </c>
      <c r="V64" s="28">
        <f t="shared" si="37"/>
        <v>0</v>
      </c>
      <c r="W64" s="118"/>
      <c r="X64" s="143">
        <f t="shared" si="26"/>
        <v>26.138999999999999</v>
      </c>
      <c r="Y64" s="120">
        <f>交易记录!F19</f>
        <v>0.34599999999999997</v>
      </c>
      <c r="Z64" s="120">
        <f>交易记录!F50</f>
        <v>372</v>
      </c>
      <c r="AA64" s="30">
        <f t="shared" si="27"/>
        <v>0</v>
      </c>
      <c r="AB64" s="123">
        <f>交易记录!F83</f>
        <v>0</v>
      </c>
      <c r="AC64" s="123">
        <f>交易记录!F114</f>
        <v>0</v>
      </c>
      <c r="AD64" s="30">
        <f t="shared" si="35"/>
        <v>0</v>
      </c>
      <c r="AE64" s="120">
        <f>交易记录!F147</f>
        <v>0</v>
      </c>
      <c r="AF64" s="120">
        <f>交易记录!F178</f>
        <v>0</v>
      </c>
      <c r="AG64" s="30">
        <f t="shared" si="31"/>
        <v>0</v>
      </c>
      <c r="AH64" s="123">
        <f>交易记录!F211</f>
        <v>0</v>
      </c>
      <c r="AI64" s="123">
        <f>交易记录!F242</f>
        <v>0</v>
      </c>
      <c r="AJ64" s="30">
        <f t="shared" si="34"/>
        <v>0</v>
      </c>
      <c r="AK64" s="120">
        <f>交易记录!F275</f>
        <v>0</v>
      </c>
      <c r="AL64" s="120">
        <f>交易记录!F306</f>
        <v>0</v>
      </c>
      <c r="AM64" s="30">
        <f t="shared" si="33"/>
        <v>0</v>
      </c>
      <c r="AN64" s="123">
        <f>交易记录!F339</f>
        <v>0</v>
      </c>
      <c r="AO64" s="123">
        <f>交易记录!F370</f>
        <v>0</v>
      </c>
      <c r="AP64" s="30">
        <f t="shared" si="30"/>
        <v>0</v>
      </c>
      <c r="AQ64" s="120">
        <f>交易记录!F403</f>
        <v>0</v>
      </c>
      <c r="AR64" s="120">
        <f>交易记录!F434</f>
        <v>0</v>
      </c>
      <c r="AS64" s="30">
        <f t="shared" si="32"/>
        <v>0</v>
      </c>
      <c r="AT64" s="123">
        <f>交易记录!F467</f>
        <v>0</v>
      </c>
      <c r="AU64" s="123">
        <f>交易记录!F498</f>
        <v>0</v>
      </c>
      <c r="AV64" s="30">
        <f t="shared" si="8"/>
        <v>0</v>
      </c>
      <c r="AW64" s="120">
        <f>交易记录!F531</f>
        <v>0</v>
      </c>
      <c r="AX64" s="120">
        <f>交易记录!F562</f>
        <v>0</v>
      </c>
      <c r="AY64" s="30">
        <f t="shared" si="9"/>
        <v>0</v>
      </c>
      <c r="AZ64" s="123">
        <f>交易记录!F595</f>
        <v>0</v>
      </c>
      <c r="BA64" s="123">
        <f>交易记录!F626</f>
        <v>0</v>
      </c>
      <c r="BB64" s="30">
        <f t="shared" si="10"/>
        <v>0</v>
      </c>
      <c r="BC64" s="120">
        <f>交易记录!F659</f>
        <v>0</v>
      </c>
      <c r="BD64" s="120">
        <f>交易记录!F690</f>
        <v>0</v>
      </c>
      <c r="BE64" s="30">
        <f t="shared" si="11"/>
        <v>0</v>
      </c>
      <c r="BF64" s="123">
        <f>交易记录!F723</f>
        <v>0</v>
      </c>
      <c r="BG64" s="123">
        <f>交易记录!F754</f>
        <v>0</v>
      </c>
      <c r="BH64" s="30">
        <f t="shared" si="28"/>
        <v>0</v>
      </c>
      <c r="BI64" s="120">
        <f>交易记录!F787</f>
        <v>0</v>
      </c>
      <c r="BJ64" s="120">
        <f>交易记录!F818</f>
        <v>0</v>
      </c>
      <c r="BK64" s="30">
        <f t="shared" si="12"/>
        <v>0</v>
      </c>
      <c r="BL64" s="123">
        <f>交易记录!F851</f>
        <v>0</v>
      </c>
      <c r="BM64" s="123">
        <f>交易记录!F882</f>
        <v>0</v>
      </c>
      <c r="BN64" s="30">
        <f t="shared" si="13"/>
        <v>0</v>
      </c>
      <c r="BO64" s="120">
        <f>交易记录!F915</f>
        <v>0</v>
      </c>
      <c r="BP64" s="120">
        <f>交易记录!F946</f>
        <v>0</v>
      </c>
      <c r="BQ64" s="30">
        <f t="shared" si="14"/>
        <v>0</v>
      </c>
    </row>
    <row r="65" spans="1:69" ht="15">
      <c r="A65" s="125">
        <f>'维护-日期'!A$5</f>
        <v>46268</v>
      </c>
      <c r="B65" s="7" t="s">
        <v>21</v>
      </c>
      <c r="C65" s="144">
        <f t="shared" si="15"/>
        <v>22.087</v>
      </c>
      <c r="D65" s="144">
        <f>ROUND(INDEX(持仓数据!$C$3:$AG$26,MATCH('计算过程-数据汇总'!B65,持仓数据!$B$3:$B$26,0),MATCH('计算过程-数据汇总'!A65,'维护-日期'!$B$2:$AF$2,0)),3)</f>
        <v>22.087</v>
      </c>
      <c r="E65" s="98">
        <f t="shared" si="0"/>
        <v>22.087</v>
      </c>
      <c r="F65" s="22">
        <f>持仓数据!E87</f>
        <v>0.38</v>
      </c>
      <c r="G65" s="97">
        <v>372</v>
      </c>
      <c r="H65" s="97">
        <v>372</v>
      </c>
      <c r="I65" s="64">
        <v>0</v>
      </c>
      <c r="J65" s="64">
        <v>0</v>
      </c>
      <c r="K65" s="21">
        <f>IF(持仓数据!E120="",0,持仓数据!E120)</f>
        <v>372.00000000000006</v>
      </c>
      <c r="L65" s="21">
        <f t="shared" si="16"/>
        <v>0</v>
      </c>
      <c r="M65" s="28">
        <f t="shared" si="1"/>
        <v>8216.3639999999996</v>
      </c>
      <c r="N65" s="28">
        <f t="shared" si="17"/>
        <v>0</v>
      </c>
      <c r="O65" s="28">
        <f t="shared" si="18"/>
        <v>0</v>
      </c>
      <c r="P65" s="28">
        <f t="shared" si="19"/>
        <v>2.1600499167107046E-14</v>
      </c>
      <c r="Q65" s="28">
        <f t="shared" si="29"/>
        <v>0</v>
      </c>
      <c r="R65" s="28">
        <f t="shared" si="21"/>
        <v>8216.3640000000014</v>
      </c>
      <c r="S65" s="28">
        <f t="shared" si="22"/>
        <v>0</v>
      </c>
      <c r="T65" s="28">
        <f t="shared" si="23"/>
        <v>-1.2339000932115596E-12</v>
      </c>
      <c r="U65" s="28">
        <f t="shared" si="36"/>
        <v>0</v>
      </c>
      <c r="V65" s="28">
        <f t="shared" si="37"/>
        <v>0</v>
      </c>
      <c r="W65" s="118"/>
      <c r="X65" s="143">
        <f t="shared" si="26"/>
        <v>26.123999999999999</v>
      </c>
      <c r="Y65" s="120">
        <f>交易记录!F20</f>
        <v>0.38</v>
      </c>
      <c r="Z65" s="120">
        <f>交易记录!F51</f>
        <v>372</v>
      </c>
      <c r="AA65" s="30">
        <f t="shared" si="27"/>
        <v>0</v>
      </c>
      <c r="AB65" s="123">
        <f>交易记录!F84</f>
        <v>0</v>
      </c>
      <c r="AC65" s="123">
        <f>交易记录!F115</f>
        <v>0</v>
      </c>
      <c r="AD65" s="30">
        <f t="shared" si="35"/>
        <v>0</v>
      </c>
      <c r="AE65" s="120">
        <f>交易记录!F148</f>
        <v>0</v>
      </c>
      <c r="AF65" s="120">
        <f>交易记录!F179</f>
        <v>0</v>
      </c>
      <c r="AG65" s="30">
        <f t="shared" si="31"/>
        <v>0</v>
      </c>
      <c r="AH65" s="123">
        <f>交易记录!F212</f>
        <v>0</v>
      </c>
      <c r="AI65" s="123">
        <f>交易记录!F243</f>
        <v>0</v>
      </c>
      <c r="AJ65" s="30">
        <f t="shared" si="34"/>
        <v>0</v>
      </c>
      <c r="AK65" s="120">
        <f>交易记录!F276</f>
        <v>0</v>
      </c>
      <c r="AL65" s="120">
        <f>交易记录!F307</f>
        <v>0</v>
      </c>
      <c r="AM65" s="30">
        <f t="shared" si="33"/>
        <v>0</v>
      </c>
      <c r="AN65" s="123">
        <f>交易记录!F340</f>
        <v>0</v>
      </c>
      <c r="AO65" s="123">
        <f>交易记录!F371</f>
        <v>0</v>
      </c>
      <c r="AP65" s="30">
        <f t="shared" si="30"/>
        <v>0</v>
      </c>
      <c r="AQ65" s="120">
        <f>交易记录!F404</f>
        <v>0</v>
      </c>
      <c r="AR65" s="120">
        <f>交易记录!F435</f>
        <v>0</v>
      </c>
      <c r="AS65" s="30">
        <f t="shared" si="32"/>
        <v>0</v>
      </c>
      <c r="AT65" s="123">
        <f>交易记录!F468</f>
        <v>0</v>
      </c>
      <c r="AU65" s="123">
        <f>交易记录!F499</f>
        <v>0</v>
      </c>
      <c r="AV65" s="30">
        <f t="shared" si="8"/>
        <v>0</v>
      </c>
      <c r="AW65" s="120">
        <f>交易记录!F532</f>
        <v>0</v>
      </c>
      <c r="AX65" s="120">
        <f>交易记录!F563</f>
        <v>0</v>
      </c>
      <c r="AY65" s="30">
        <f t="shared" si="9"/>
        <v>0</v>
      </c>
      <c r="AZ65" s="123">
        <f>交易记录!F596</f>
        <v>0</v>
      </c>
      <c r="BA65" s="123">
        <f>交易记录!F627</f>
        <v>0</v>
      </c>
      <c r="BB65" s="30">
        <f t="shared" si="10"/>
        <v>0</v>
      </c>
      <c r="BC65" s="120">
        <f>交易记录!F660</f>
        <v>0</v>
      </c>
      <c r="BD65" s="120">
        <f>交易记录!F691</f>
        <v>0</v>
      </c>
      <c r="BE65" s="30">
        <f t="shared" si="11"/>
        <v>0</v>
      </c>
      <c r="BF65" s="123">
        <f>交易记录!F724</f>
        <v>0</v>
      </c>
      <c r="BG65" s="123">
        <f>交易记录!F755</f>
        <v>0</v>
      </c>
      <c r="BH65" s="30">
        <f t="shared" si="28"/>
        <v>0</v>
      </c>
      <c r="BI65" s="120">
        <f>交易记录!F788</f>
        <v>0</v>
      </c>
      <c r="BJ65" s="120">
        <f>交易记录!F819</f>
        <v>0</v>
      </c>
      <c r="BK65" s="30">
        <f t="shared" si="12"/>
        <v>0</v>
      </c>
      <c r="BL65" s="123">
        <f>交易记录!F852</f>
        <v>0</v>
      </c>
      <c r="BM65" s="123">
        <f>交易记录!F883</f>
        <v>0</v>
      </c>
      <c r="BN65" s="30">
        <f t="shared" si="13"/>
        <v>0</v>
      </c>
      <c r="BO65" s="120">
        <f>交易记录!F916</f>
        <v>0</v>
      </c>
      <c r="BP65" s="120">
        <f>交易记录!F947</f>
        <v>0</v>
      </c>
      <c r="BQ65" s="30">
        <f t="shared" si="14"/>
        <v>0</v>
      </c>
    </row>
    <row r="66" spans="1:69" ht="15">
      <c r="A66" s="125">
        <f>'维护-日期'!A$5</f>
        <v>46268</v>
      </c>
      <c r="B66" s="7" t="s">
        <v>22</v>
      </c>
      <c r="C66" s="144">
        <f t="shared" si="15"/>
        <v>23.077999999999999</v>
      </c>
      <c r="D66" s="144">
        <f>ROUND(INDEX(持仓数据!$C$3:$AG$26,MATCH('计算过程-数据汇总'!B66,持仓数据!$B$3:$B$26,0),MATCH('计算过程-数据汇总'!A66,'维护-日期'!$B$2:$AF$2,0)),3)</f>
        <v>23.077999999999999</v>
      </c>
      <c r="E66" s="98">
        <f t="shared" si="0"/>
        <v>23.077999999999999</v>
      </c>
      <c r="F66" s="22">
        <f>持仓数据!E88</f>
        <v>0.58600000000000008</v>
      </c>
      <c r="G66" s="97">
        <v>372</v>
      </c>
      <c r="H66" s="97">
        <v>372</v>
      </c>
      <c r="I66" s="64">
        <v>0</v>
      </c>
      <c r="J66" s="64">
        <v>0</v>
      </c>
      <c r="K66" s="21">
        <f>IF(持仓数据!E121="",0,持仓数据!E121)</f>
        <v>372</v>
      </c>
      <c r="L66" s="21">
        <f t="shared" si="16"/>
        <v>0</v>
      </c>
      <c r="M66" s="28">
        <f t="shared" ref="M66:M129" si="38">IFERROR(C66*G66,0)</f>
        <v>8585.0159999999996</v>
      </c>
      <c r="N66" s="28">
        <f t="shared" ref="N66:N129" si="39">IFERROR((D66-C66)*(G66-H66),0)</f>
        <v>0</v>
      </c>
      <c r="O66" s="28">
        <f t="shared" ref="O66:O129" si="40">IFERROR((E66-D66)*(G66-H66),0)</f>
        <v>0</v>
      </c>
      <c r="P66" s="28">
        <f t="shared" ref="P66:P129" si="41">IFERROR(F66*(K66-G66),0)</f>
        <v>0</v>
      </c>
      <c r="Q66" s="28">
        <f t="shared" si="29"/>
        <v>0</v>
      </c>
      <c r="R66" s="28">
        <f t="shared" ref="R66:R129" si="42">IFERROR(K66*C66,0)</f>
        <v>8585.0159999999996</v>
      </c>
      <c r="S66" s="28">
        <f t="shared" si="22"/>
        <v>0</v>
      </c>
      <c r="T66" s="28">
        <f t="shared" si="23"/>
        <v>0</v>
      </c>
      <c r="U66" s="28">
        <f t="shared" si="36"/>
        <v>0</v>
      </c>
      <c r="V66" s="28">
        <f t="shared" si="37"/>
        <v>0</v>
      </c>
      <c r="W66" s="118"/>
      <c r="X66" s="143">
        <f t="shared" si="26"/>
        <v>27.108000000000001</v>
      </c>
      <c r="Y66" s="120">
        <f>交易记录!F21</f>
        <v>0.58600000000000008</v>
      </c>
      <c r="Z66" s="120">
        <f>交易记录!F52</f>
        <v>372</v>
      </c>
      <c r="AA66" s="30">
        <f t="shared" ref="AA66:AA129" si="43">IFERROR((Z66-G66)*Y66,0)</f>
        <v>0</v>
      </c>
      <c r="AB66" s="123">
        <f>交易记录!F85</f>
        <v>0</v>
      </c>
      <c r="AC66" s="123">
        <f>交易记录!F116</f>
        <v>0</v>
      </c>
      <c r="AD66" s="30">
        <f t="shared" si="35"/>
        <v>0</v>
      </c>
      <c r="AE66" s="120">
        <f>交易记录!F149</f>
        <v>0</v>
      </c>
      <c r="AF66" s="120">
        <f>交易记录!F180</f>
        <v>0</v>
      </c>
      <c r="AG66" s="30">
        <f t="shared" si="31"/>
        <v>0</v>
      </c>
      <c r="AH66" s="123">
        <f>交易记录!F213</f>
        <v>0</v>
      </c>
      <c r="AI66" s="123">
        <f>交易记录!F244</f>
        <v>0</v>
      </c>
      <c r="AJ66" s="30">
        <f t="shared" si="34"/>
        <v>0</v>
      </c>
      <c r="AK66" s="120">
        <f>交易记录!F277</f>
        <v>0</v>
      </c>
      <c r="AL66" s="120">
        <f>交易记录!F308</f>
        <v>0</v>
      </c>
      <c r="AM66" s="30">
        <f t="shared" si="33"/>
        <v>0</v>
      </c>
      <c r="AN66" s="123">
        <f>交易记录!F341</f>
        <v>0</v>
      </c>
      <c r="AO66" s="123">
        <f>交易记录!F372</f>
        <v>0</v>
      </c>
      <c r="AP66" s="30">
        <f t="shared" si="30"/>
        <v>0</v>
      </c>
      <c r="AQ66" s="120">
        <f>交易记录!F405</f>
        <v>0</v>
      </c>
      <c r="AR66" s="120">
        <f>交易记录!F436</f>
        <v>0</v>
      </c>
      <c r="AS66" s="30">
        <f t="shared" si="32"/>
        <v>0</v>
      </c>
      <c r="AT66" s="123">
        <f>交易记录!F469</f>
        <v>0</v>
      </c>
      <c r="AU66" s="123">
        <f>交易记录!F500</f>
        <v>0</v>
      </c>
      <c r="AV66" s="30">
        <f t="shared" ref="AV66:AV129" si="44">IFERROR((AU66-$G66)*AT66,0)</f>
        <v>0</v>
      </c>
      <c r="AW66" s="120">
        <f>交易记录!F533</f>
        <v>0</v>
      </c>
      <c r="AX66" s="120">
        <f>交易记录!F564</f>
        <v>0</v>
      </c>
      <c r="AY66" s="30">
        <f t="shared" ref="AY66:AY129" si="45">IFERROR((AX66-$G66)*AW66,0)</f>
        <v>0</v>
      </c>
      <c r="AZ66" s="123">
        <f>交易记录!F597</f>
        <v>0</v>
      </c>
      <c r="BA66" s="123">
        <f>交易记录!F628</f>
        <v>0</v>
      </c>
      <c r="BB66" s="30">
        <f t="shared" ref="BB66:BB129" si="46">IFERROR((BA66-$G66)*AZ66,0)</f>
        <v>0</v>
      </c>
      <c r="BC66" s="120">
        <f>交易记录!F661</f>
        <v>0</v>
      </c>
      <c r="BD66" s="120">
        <f>交易记录!F692</f>
        <v>0</v>
      </c>
      <c r="BE66" s="30">
        <f t="shared" ref="BE66:BE129" si="47">IFERROR((BD66-$G66)*BC66,0)</f>
        <v>0</v>
      </c>
      <c r="BF66" s="123">
        <f>交易记录!F725</f>
        <v>0</v>
      </c>
      <c r="BG66" s="123">
        <f>交易记录!F756</f>
        <v>0</v>
      </c>
      <c r="BH66" s="30">
        <f t="shared" ref="BH66:BH129" si="48">IFERROR((BG66-$G66)*BF66,0)</f>
        <v>0</v>
      </c>
      <c r="BI66" s="120">
        <f>交易记录!F789</f>
        <v>0</v>
      </c>
      <c r="BJ66" s="120">
        <f>交易记录!F820</f>
        <v>0</v>
      </c>
      <c r="BK66" s="30">
        <f t="shared" ref="BK66:BK129" si="49">IFERROR((BJ66-$G66)*BI66,0)</f>
        <v>0</v>
      </c>
      <c r="BL66" s="123">
        <f>交易记录!F853</f>
        <v>0</v>
      </c>
      <c r="BM66" s="123">
        <f>交易记录!F884</f>
        <v>0</v>
      </c>
      <c r="BN66" s="30">
        <f t="shared" ref="BN66:BN129" si="50">IFERROR((BM66-$G66)*BL66,0)</f>
        <v>0</v>
      </c>
      <c r="BO66" s="120">
        <f>交易记录!F917</f>
        <v>0</v>
      </c>
      <c r="BP66" s="120">
        <f>交易记录!F948</f>
        <v>0</v>
      </c>
      <c r="BQ66" s="30">
        <f t="shared" ref="BQ66:BQ129" si="51">IFERROR((BP66-$G66)*BO66,0)</f>
        <v>0</v>
      </c>
    </row>
    <row r="67" spans="1:69" ht="15">
      <c r="A67" s="125">
        <f>'维护-日期'!A$5</f>
        <v>46268</v>
      </c>
      <c r="B67" s="7" t="s">
        <v>23</v>
      </c>
      <c r="C67" s="144">
        <f t="shared" ref="C67:C130" si="52">D67</f>
        <v>23.443000000000001</v>
      </c>
      <c r="D67" s="144">
        <f>ROUND(INDEX(持仓数据!$C$3:$AG$26,MATCH('计算过程-数据汇总'!B67,持仓数据!$B$3:$B$26,0),MATCH('计算过程-数据汇总'!A67,'维护-日期'!$B$2:$AF$2,0)),3)</f>
        <v>23.443000000000001</v>
      </c>
      <c r="E67" s="98">
        <f t="shared" ref="E67:E130" si="53">D67*1</f>
        <v>23.443000000000001</v>
      </c>
      <c r="F67" s="22">
        <f>持仓数据!E89</f>
        <v>0.63300000000000001</v>
      </c>
      <c r="G67" s="97">
        <v>372</v>
      </c>
      <c r="H67" s="97">
        <v>372</v>
      </c>
      <c r="I67" s="64">
        <v>0</v>
      </c>
      <c r="J67" s="64">
        <v>0</v>
      </c>
      <c r="K67" s="21">
        <f>IF(持仓数据!E122="",0,持仓数据!E122)</f>
        <v>372</v>
      </c>
      <c r="L67" s="21">
        <f t="shared" ref="L67:L130" si="54">I67*J67</f>
        <v>0</v>
      </c>
      <c r="M67" s="28">
        <f t="shared" si="38"/>
        <v>8720.7960000000003</v>
      </c>
      <c r="N67" s="28">
        <f t="shared" si="39"/>
        <v>0</v>
      </c>
      <c r="O67" s="28">
        <f t="shared" si="40"/>
        <v>0</v>
      </c>
      <c r="P67" s="28">
        <f t="shared" si="41"/>
        <v>0</v>
      </c>
      <c r="Q67" s="28">
        <f t="shared" ref="Q67:Q130" si="55">IFERROR(IF(ABS((E67-C67)/C67)&gt;0.2,IF(SUM(N67:O67)&lt;0,ABS(G67-H67)*(ABS(C67-E67)-C67*0.2),0),0),IF(SUM(N67:O67)&lt;0,ABS(G67-H67)*(ABS(C67-E67)-C67*0.2),0))</f>
        <v>0</v>
      </c>
      <c r="R67" s="28">
        <f t="shared" si="42"/>
        <v>8720.7960000000003</v>
      </c>
      <c r="S67" s="28">
        <f t="shared" ref="S67:S130" si="56">IFERROR((D67-E67)*(K67-G67),0)</f>
        <v>0</v>
      </c>
      <c r="T67" s="28">
        <f t="shared" ref="T67:T130" si="57">IFERROR((F67-D67)*(K67-G67),0)</f>
        <v>0</v>
      </c>
      <c r="U67" s="28">
        <f t="shared" si="36"/>
        <v>0</v>
      </c>
      <c r="V67" s="28">
        <f t="shared" ref="V67:V130" si="58">IFERROR((E67-D67)*(K67-H67),0)</f>
        <v>0</v>
      </c>
      <c r="W67" s="118"/>
      <c r="X67" s="143">
        <f t="shared" ref="X67:X130" si="59">ROUND(D67*1.2-SUM(Y67,AB67,AE67,AH67,AK67,AN67,AQ67,AT67,AW67,AZ67,BC67,BF67,BI67,BL67,BO67),3)</f>
        <v>27.498999999999999</v>
      </c>
      <c r="Y67" s="120">
        <f>交易记录!F22</f>
        <v>0.63300000000000001</v>
      </c>
      <c r="Z67" s="120">
        <f>交易记录!F53</f>
        <v>372</v>
      </c>
      <c r="AA67" s="30">
        <f t="shared" si="43"/>
        <v>0</v>
      </c>
      <c r="AB67" s="123">
        <f>交易记录!F86</f>
        <v>0</v>
      </c>
      <c r="AC67" s="123">
        <f>交易记录!F117</f>
        <v>0</v>
      </c>
      <c r="AD67" s="30">
        <f t="shared" si="35"/>
        <v>0</v>
      </c>
      <c r="AE67" s="120">
        <f>交易记录!F150</f>
        <v>0</v>
      </c>
      <c r="AF67" s="120">
        <f>交易记录!F181</f>
        <v>0</v>
      </c>
      <c r="AG67" s="30">
        <f t="shared" si="31"/>
        <v>0</v>
      </c>
      <c r="AH67" s="123">
        <f>交易记录!F214</f>
        <v>0</v>
      </c>
      <c r="AI67" s="123">
        <f>交易记录!F245</f>
        <v>0</v>
      </c>
      <c r="AJ67" s="30">
        <f t="shared" si="34"/>
        <v>0</v>
      </c>
      <c r="AK67" s="120">
        <f>交易记录!F278</f>
        <v>0</v>
      </c>
      <c r="AL67" s="120">
        <f>交易记录!F309</f>
        <v>0</v>
      </c>
      <c r="AM67" s="30">
        <f t="shared" si="33"/>
        <v>0</v>
      </c>
      <c r="AN67" s="123">
        <f>交易记录!F342</f>
        <v>0</v>
      </c>
      <c r="AO67" s="123">
        <f>交易记录!F373</f>
        <v>0</v>
      </c>
      <c r="AP67" s="30">
        <f t="shared" si="30"/>
        <v>0</v>
      </c>
      <c r="AQ67" s="120">
        <f>交易记录!F406</f>
        <v>0</v>
      </c>
      <c r="AR67" s="120">
        <f>交易记录!F437</f>
        <v>0</v>
      </c>
      <c r="AS67" s="30">
        <f t="shared" si="32"/>
        <v>0</v>
      </c>
      <c r="AT67" s="123">
        <f>交易记录!F470</f>
        <v>0</v>
      </c>
      <c r="AU67" s="123">
        <f>交易记录!F501</f>
        <v>0</v>
      </c>
      <c r="AV67" s="30">
        <f t="shared" si="44"/>
        <v>0</v>
      </c>
      <c r="AW67" s="120">
        <f>交易记录!F534</f>
        <v>0</v>
      </c>
      <c r="AX67" s="120">
        <f>交易记录!F565</f>
        <v>0</v>
      </c>
      <c r="AY67" s="30">
        <f t="shared" si="45"/>
        <v>0</v>
      </c>
      <c r="AZ67" s="123">
        <f>交易记录!F598</f>
        <v>0</v>
      </c>
      <c r="BA67" s="123">
        <f>交易记录!F629</f>
        <v>0</v>
      </c>
      <c r="BB67" s="30">
        <f t="shared" si="46"/>
        <v>0</v>
      </c>
      <c r="BC67" s="120">
        <f>交易记录!F662</f>
        <v>0</v>
      </c>
      <c r="BD67" s="120">
        <f>交易记录!F693</f>
        <v>0</v>
      </c>
      <c r="BE67" s="30">
        <f t="shared" si="47"/>
        <v>0</v>
      </c>
      <c r="BF67" s="123">
        <f>交易记录!F726</f>
        <v>0</v>
      </c>
      <c r="BG67" s="123">
        <f>交易记录!F757</f>
        <v>0</v>
      </c>
      <c r="BH67" s="30">
        <f t="shared" si="48"/>
        <v>0</v>
      </c>
      <c r="BI67" s="120">
        <f>交易记录!F790</f>
        <v>0</v>
      </c>
      <c r="BJ67" s="120">
        <f>交易记录!F821</f>
        <v>0</v>
      </c>
      <c r="BK67" s="30">
        <f t="shared" si="49"/>
        <v>0</v>
      </c>
      <c r="BL67" s="123">
        <f>交易记录!F854</f>
        <v>0</v>
      </c>
      <c r="BM67" s="123">
        <f>交易记录!F885</f>
        <v>0</v>
      </c>
      <c r="BN67" s="30">
        <f t="shared" si="50"/>
        <v>0</v>
      </c>
      <c r="BO67" s="120">
        <f>交易记录!F918</f>
        <v>0</v>
      </c>
      <c r="BP67" s="120">
        <f>交易记录!F949</f>
        <v>0</v>
      </c>
      <c r="BQ67" s="30">
        <f t="shared" si="51"/>
        <v>0</v>
      </c>
    </row>
    <row r="68" spans="1:69" ht="15">
      <c r="A68" s="125">
        <f>'维护-日期'!A$5</f>
        <v>46268</v>
      </c>
      <c r="B68" s="7" t="s">
        <v>24</v>
      </c>
      <c r="C68" s="144">
        <f t="shared" si="52"/>
        <v>23.85</v>
      </c>
      <c r="D68" s="144">
        <f>ROUND(INDEX(持仓数据!$C$3:$AG$26,MATCH('计算过程-数据汇总'!B68,持仓数据!$B$3:$B$26,0),MATCH('计算过程-数据汇总'!A68,'维护-日期'!$B$2:$AF$2,0)),3)</f>
        <v>23.85</v>
      </c>
      <c r="E68" s="98">
        <f t="shared" si="53"/>
        <v>23.85</v>
      </c>
      <c r="F68" s="22">
        <f>持仓数据!E90</f>
        <v>0.45400000000000001</v>
      </c>
      <c r="G68" s="97">
        <v>372</v>
      </c>
      <c r="H68" s="97">
        <v>372</v>
      </c>
      <c r="I68" s="64">
        <v>0</v>
      </c>
      <c r="J68" s="64">
        <v>0</v>
      </c>
      <c r="K68" s="21">
        <f>IF(持仓数据!E123="",0,持仓数据!E123)</f>
        <v>372</v>
      </c>
      <c r="L68" s="21">
        <f t="shared" si="54"/>
        <v>0</v>
      </c>
      <c r="M68" s="28">
        <f t="shared" si="38"/>
        <v>8872.2000000000007</v>
      </c>
      <c r="N68" s="28">
        <f t="shared" si="39"/>
        <v>0</v>
      </c>
      <c r="O68" s="28">
        <f t="shared" si="40"/>
        <v>0</v>
      </c>
      <c r="P68" s="28">
        <f t="shared" si="41"/>
        <v>0</v>
      </c>
      <c r="Q68" s="28">
        <f t="shared" si="55"/>
        <v>0</v>
      </c>
      <c r="R68" s="28">
        <f t="shared" si="42"/>
        <v>8872.2000000000007</v>
      </c>
      <c r="S68" s="28">
        <f t="shared" si="56"/>
        <v>0</v>
      </c>
      <c r="T68" s="28">
        <f t="shared" si="57"/>
        <v>0</v>
      </c>
      <c r="U68" s="28">
        <f t="shared" ref="U68:U131" si="60">IFERROR((D68-C68)*(K68-H68),0)</f>
        <v>0</v>
      </c>
      <c r="V68" s="28">
        <f t="shared" si="58"/>
        <v>0</v>
      </c>
      <c r="W68" s="118"/>
      <c r="X68" s="143">
        <f t="shared" si="59"/>
        <v>28.166</v>
      </c>
      <c r="Y68" s="120">
        <f>交易记录!F23</f>
        <v>0.45400000000000001</v>
      </c>
      <c r="Z68" s="120">
        <f>交易记录!F54</f>
        <v>372</v>
      </c>
      <c r="AA68" s="30">
        <f t="shared" si="43"/>
        <v>0</v>
      </c>
      <c r="AB68" s="123">
        <f>交易记录!F87</f>
        <v>0</v>
      </c>
      <c r="AC68" s="123">
        <f>交易记录!F118</f>
        <v>0</v>
      </c>
      <c r="AD68" s="30">
        <f t="shared" si="35"/>
        <v>0</v>
      </c>
      <c r="AE68" s="120">
        <f>交易记录!F151</f>
        <v>0</v>
      </c>
      <c r="AF68" s="120">
        <f>交易记录!F182</f>
        <v>0</v>
      </c>
      <c r="AG68" s="30">
        <f t="shared" si="31"/>
        <v>0</v>
      </c>
      <c r="AH68" s="123">
        <f>交易记录!F215</f>
        <v>0</v>
      </c>
      <c r="AI68" s="123">
        <f>交易记录!F246</f>
        <v>0</v>
      </c>
      <c r="AJ68" s="30">
        <f t="shared" si="34"/>
        <v>0</v>
      </c>
      <c r="AK68" s="120">
        <f>交易记录!F279</f>
        <v>0</v>
      </c>
      <c r="AL68" s="120">
        <f>交易记录!F310</f>
        <v>0</v>
      </c>
      <c r="AM68" s="30">
        <f t="shared" si="33"/>
        <v>0</v>
      </c>
      <c r="AN68" s="123">
        <f>交易记录!F343</f>
        <v>0</v>
      </c>
      <c r="AO68" s="123">
        <f>交易记录!F374</f>
        <v>0</v>
      </c>
      <c r="AP68" s="30">
        <f t="shared" si="30"/>
        <v>0</v>
      </c>
      <c r="AQ68" s="120">
        <f>交易记录!F407</f>
        <v>0</v>
      </c>
      <c r="AR68" s="120">
        <f>交易记录!F438</f>
        <v>0</v>
      </c>
      <c r="AS68" s="30">
        <f t="shared" si="32"/>
        <v>0</v>
      </c>
      <c r="AT68" s="123">
        <f>交易记录!F471</f>
        <v>0</v>
      </c>
      <c r="AU68" s="123">
        <f>交易记录!F502</f>
        <v>0</v>
      </c>
      <c r="AV68" s="30">
        <f t="shared" si="44"/>
        <v>0</v>
      </c>
      <c r="AW68" s="120">
        <f>交易记录!F535</f>
        <v>0</v>
      </c>
      <c r="AX68" s="120">
        <f>交易记录!F566</f>
        <v>0</v>
      </c>
      <c r="AY68" s="30">
        <f t="shared" si="45"/>
        <v>0</v>
      </c>
      <c r="AZ68" s="123">
        <f>交易记录!F599</f>
        <v>0</v>
      </c>
      <c r="BA68" s="123">
        <f>交易记录!F630</f>
        <v>0</v>
      </c>
      <c r="BB68" s="30">
        <f t="shared" si="46"/>
        <v>0</v>
      </c>
      <c r="BC68" s="120">
        <f>交易记录!F663</f>
        <v>0</v>
      </c>
      <c r="BD68" s="120">
        <f>交易记录!F694</f>
        <v>0</v>
      </c>
      <c r="BE68" s="30">
        <f t="shared" si="47"/>
        <v>0</v>
      </c>
      <c r="BF68" s="123">
        <f>交易记录!F727</f>
        <v>0</v>
      </c>
      <c r="BG68" s="123">
        <f>交易记录!F758</f>
        <v>0</v>
      </c>
      <c r="BH68" s="30">
        <f t="shared" si="48"/>
        <v>0</v>
      </c>
      <c r="BI68" s="120">
        <f>交易记录!F791</f>
        <v>0</v>
      </c>
      <c r="BJ68" s="120">
        <f>交易记录!F822</f>
        <v>0</v>
      </c>
      <c r="BK68" s="30">
        <f t="shared" si="49"/>
        <v>0</v>
      </c>
      <c r="BL68" s="123">
        <f>交易记录!F855</f>
        <v>0</v>
      </c>
      <c r="BM68" s="123">
        <f>交易记录!F886</f>
        <v>0</v>
      </c>
      <c r="BN68" s="30">
        <f t="shared" si="50"/>
        <v>0</v>
      </c>
      <c r="BO68" s="120">
        <f>交易记录!F919</f>
        <v>0</v>
      </c>
      <c r="BP68" s="120">
        <f>交易记录!F950</f>
        <v>0</v>
      </c>
      <c r="BQ68" s="30">
        <f t="shared" si="51"/>
        <v>0</v>
      </c>
    </row>
    <row r="69" spans="1:69" ht="15">
      <c r="A69" s="125">
        <f>'维护-日期'!A$5</f>
        <v>46268</v>
      </c>
      <c r="B69" s="7" t="s">
        <v>25</v>
      </c>
      <c r="C69" s="144">
        <f t="shared" si="52"/>
        <v>24.105</v>
      </c>
      <c r="D69" s="144">
        <f>ROUND(INDEX(持仓数据!$C$3:$AG$26,MATCH('计算过程-数据汇总'!B69,持仓数据!$B$3:$B$26,0),MATCH('计算过程-数据汇总'!A69,'维护-日期'!$B$2:$AF$2,0)),3)</f>
        <v>24.105</v>
      </c>
      <c r="E69" s="98">
        <f t="shared" si="53"/>
        <v>24.105</v>
      </c>
      <c r="F69" s="22">
        <f>持仓数据!E91</f>
        <v>1.1160000000000001</v>
      </c>
      <c r="G69" s="97">
        <v>372</v>
      </c>
      <c r="H69" s="97">
        <v>372</v>
      </c>
      <c r="I69" s="64">
        <v>0</v>
      </c>
      <c r="J69" s="64">
        <v>0</v>
      </c>
      <c r="K69" s="21">
        <f>IF(持仓数据!E124="",0,持仓数据!E124)</f>
        <v>372</v>
      </c>
      <c r="L69" s="21">
        <f t="shared" si="54"/>
        <v>0</v>
      </c>
      <c r="M69" s="28">
        <f t="shared" si="38"/>
        <v>8967.06</v>
      </c>
      <c r="N69" s="28">
        <f t="shared" si="39"/>
        <v>0</v>
      </c>
      <c r="O69" s="28">
        <f t="shared" si="40"/>
        <v>0</v>
      </c>
      <c r="P69" s="28">
        <f t="shared" si="41"/>
        <v>0</v>
      </c>
      <c r="Q69" s="28">
        <f t="shared" si="55"/>
        <v>0</v>
      </c>
      <c r="R69" s="28">
        <f t="shared" si="42"/>
        <v>8967.06</v>
      </c>
      <c r="S69" s="28">
        <f t="shared" si="56"/>
        <v>0</v>
      </c>
      <c r="T69" s="28">
        <f t="shared" si="57"/>
        <v>0</v>
      </c>
      <c r="U69" s="28">
        <f t="shared" si="60"/>
        <v>0</v>
      </c>
      <c r="V69" s="28">
        <f t="shared" si="58"/>
        <v>0</v>
      </c>
      <c r="W69" s="118"/>
      <c r="X69" s="143">
        <f t="shared" si="59"/>
        <v>27.81</v>
      </c>
      <c r="Y69" s="120">
        <f>交易记录!F24</f>
        <v>1.1160000000000001</v>
      </c>
      <c r="Z69" s="120">
        <f>交易记录!F55</f>
        <v>372</v>
      </c>
      <c r="AA69" s="30">
        <f t="shared" si="43"/>
        <v>0</v>
      </c>
      <c r="AB69" s="123">
        <f>交易记录!F88</f>
        <v>0</v>
      </c>
      <c r="AC69" s="123">
        <f>交易记录!F119</f>
        <v>0</v>
      </c>
      <c r="AD69" s="30">
        <f t="shared" si="35"/>
        <v>0</v>
      </c>
      <c r="AE69" s="120">
        <f>交易记录!F152</f>
        <v>0</v>
      </c>
      <c r="AF69" s="120">
        <f>交易记录!F183</f>
        <v>0</v>
      </c>
      <c r="AG69" s="30">
        <f t="shared" si="31"/>
        <v>0</v>
      </c>
      <c r="AH69" s="123">
        <f>交易记录!F216</f>
        <v>0</v>
      </c>
      <c r="AI69" s="123">
        <f>交易记录!F247</f>
        <v>0</v>
      </c>
      <c r="AJ69" s="30">
        <f t="shared" si="34"/>
        <v>0</v>
      </c>
      <c r="AK69" s="120">
        <f>交易记录!F280</f>
        <v>0</v>
      </c>
      <c r="AL69" s="120">
        <f>交易记录!F311</f>
        <v>0</v>
      </c>
      <c r="AM69" s="30">
        <f t="shared" si="33"/>
        <v>0</v>
      </c>
      <c r="AN69" s="123">
        <f>交易记录!F344</f>
        <v>0</v>
      </c>
      <c r="AO69" s="123">
        <f>交易记录!F375</f>
        <v>0</v>
      </c>
      <c r="AP69" s="30">
        <f t="shared" si="30"/>
        <v>0</v>
      </c>
      <c r="AQ69" s="120">
        <f>交易记录!F408</f>
        <v>0</v>
      </c>
      <c r="AR69" s="120">
        <f>交易记录!F439</f>
        <v>0</v>
      </c>
      <c r="AS69" s="30">
        <f t="shared" si="32"/>
        <v>0</v>
      </c>
      <c r="AT69" s="123">
        <f>交易记录!F472</f>
        <v>0</v>
      </c>
      <c r="AU69" s="123">
        <f>交易记录!F503</f>
        <v>0</v>
      </c>
      <c r="AV69" s="30">
        <f t="shared" si="44"/>
        <v>0</v>
      </c>
      <c r="AW69" s="120">
        <f>交易记录!F536</f>
        <v>0</v>
      </c>
      <c r="AX69" s="120">
        <f>交易记录!F567</f>
        <v>0</v>
      </c>
      <c r="AY69" s="30">
        <f t="shared" si="45"/>
        <v>0</v>
      </c>
      <c r="AZ69" s="123">
        <f>交易记录!F600</f>
        <v>0</v>
      </c>
      <c r="BA69" s="123">
        <f>交易记录!F631</f>
        <v>0</v>
      </c>
      <c r="BB69" s="30">
        <f t="shared" si="46"/>
        <v>0</v>
      </c>
      <c r="BC69" s="120">
        <f>交易记录!F664</f>
        <v>0</v>
      </c>
      <c r="BD69" s="120">
        <f>交易记录!F695</f>
        <v>0</v>
      </c>
      <c r="BE69" s="30">
        <f t="shared" si="47"/>
        <v>0</v>
      </c>
      <c r="BF69" s="123">
        <f>交易记录!F728</f>
        <v>0</v>
      </c>
      <c r="BG69" s="123">
        <f>交易记录!F759</f>
        <v>0</v>
      </c>
      <c r="BH69" s="30">
        <f t="shared" si="48"/>
        <v>0</v>
      </c>
      <c r="BI69" s="120">
        <f>交易记录!F792</f>
        <v>0</v>
      </c>
      <c r="BJ69" s="120">
        <f>交易记录!F823</f>
        <v>0</v>
      </c>
      <c r="BK69" s="30">
        <f t="shared" si="49"/>
        <v>0</v>
      </c>
      <c r="BL69" s="123">
        <f>交易记录!F856</f>
        <v>0</v>
      </c>
      <c r="BM69" s="123">
        <f>交易记录!F887</f>
        <v>0</v>
      </c>
      <c r="BN69" s="30">
        <f t="shared" si="50"/>
        <v>0</v>
      </c>
      <c r="BO69" s="120">
        <f>交易记录!F920</f>
        <v>0</v>
      </c>
      <c r="BP69" s="120">
        <f>交易记录!F951</f>
        <v>0</v>
      </c>
      <c r="BQ69" s="30">
        <f t="shared" si="51"/>
        <v>0</v>
      </c>
    </row>
    <row r="70" spans="1:69" ht="15">
      <c r="A70" s="125">
        <f>'维护-日期'!A$5</f>
        <v>46268</v>
      </c>
      <c r="B70" s="7" t="s">
        <v>26</v>
      </c>
      <c r="C70" s="144">
        <f t="shared" si="52"/>
        <v>24.047999999999998</v>
      </c>
      <c r="D70" s="144">
        <f>ROUND(INDEX(持仓数据!$C$3:$AG$26,MATCH('计算过程-数据汇总'!B70,持仓数据!$B$3:$B$26,0),MATCH('计算过程-数据汇总'!A70,'维护-日期'!$B$2:$AF$2,0)),3)</f>
        <v>24.047999999999998</v>
      </c>
      <c r="E70" s="98">
        <f t="shared" si="53"/>
        <v>24.047999999999998</v>
      </c>
      <c r="F70" s="22">
        <f>持仓数据!E92</f>
        <v>1</v>
      </c>
      <c r="G70" s="97">
        <v>372</v>
      </c>
      <c r="H70" s="97">
        <v>372</v>
      </c>
      <c r="I70" s="64">
        <v>0</v>
      </c>
      <c r="J70" s="64">
        <v>0</v>
      </c>
      <c r="K70" s="21">
        <f>IF(持仓数据!E125="",0,持仓数据!E125)</f>
        <v>372</v>
      </c>
      <c r="L70" s="21">
        <f t="shared" si="54"/>
        <v>0</v>
      </c>
      <c r="M70" s="28">
        <f t="shared" si="38"/>
        <v>8945.8559999999998</v>
      </c>
      <c r="N70" s="28">
        <f t="shared" si="39"/>
        <v>0</v>
      </c>
      <c r="O70" s="28">
        <f t="shared" si="40"/>
        <v>0</v>
      </c>
      <c r="P70" s="28">
        <f t="shared" si="41"/>
        <v>0</v>
      </c>
      <c r="Q70" s="28">
        <f t="shared" si="55"/>
        <v>0</v>
      </c>
      <c r="R70" s="28">
        <f t="shared" si="42"/>
        <v>8945.8559999999998</v>
      </c>
      <c r="S70" s="28">
        <f t="shared" si="56"/>
        <v>0</v>
      </c>
      <c r="T70" s="28">
        <f t="shared" si="57"/>
        <v>0</v>
      </c>
      <c r="U70" s="28">
        <f t="shared" si="60"/>
        <v>0</v>
      </c>
      <c r="V70" s="28">
        <f t="shared" si="58"/>
        <v>0</v>
      </c>
      <c r="W70" s="118"/>
      <c r="X70" s="143">
        <f t="shared" si="59"/>
        <v>27.858000000000001</v>
      </c>
      <c r="Y70" s="120">
        <f>交易记录!F25</f>
        <v>1</v>
      </c>
      <c r="Z70" s="120">
        <f>交易记录!F56</f>
        <v>372</v>
      </c>
      <c r="AA70" s="30">
        <f t="shared" si="43"/>
        <v>0</v>
      </c>
      <c r="AB70" s="123">
        <f>交易记录!F89</f>
        <v>0</v>
      </c>
      <c r="AC70" s="123">
        <f>交易记录!F120</f>
        <v>0</v>
      </c>
      <c r="AD70" s="30">
        <f t="shared" si="35"/>
        <v>0</v>
      </c>
      <c r="AE70" s="120">
        <f>交易记录!F153</f>
        <v>0</v>
      </c>
      <c r="AF70" s="120">
        <f>交易记录!F184</f>
        <v>0</v>
      </c>
      <c r="AG70" s="30">
        <f t="shared" si="31"/>
        <v>0</v>
      </c>
      <c r="AH70" s="123">
        <f>交易记录!F217</f>
        <v>0</v>
      </c>
      <c r="AI70" s="123">
        <f>交易记录!F248</f>
        <v>0</v>
      </c>
      <c r="AJ70" s="30">
        <f t="shared" si="34"/>
        <v>0</v>
      </c>
      <c r="AK70" s="120">
        <f>交易记录!F281</f>
        <v>0</v>
      </c>
      <c r="AL70" s="120">
        <f>交易记录!F312</f>
        <v>0</v>
      </c>
      <c r="AM70" s="30">
        <f t="shared" si="33"/>
        <v>0</v>
      </c>
      <c r="AN70" s="123">
        <f>交易记录!F345</f>
        <v>0</v>
      </c>
      <c r="AO70" s="123">
        <f>交易记录!F376</f>
        <v>0</v>
      </c>
      <c r="AP70" s="30">
        <f t="shared" ref="AP70:AP133" si="61">IFERROR((AO70-$G70)*AN70,0)</f>
        <v>0</v>
      </c>
      <c r="AQ70" s="120">
        <f>交易记录!F409</f>
        <v>0</v>
      </c>
      <c r="AR70" s="120">
        <f>交易记录!F440</f>
        <v>0</v>
      </c>
      <c r="AS70" s="30">
        <f t="shared" si="32"/>
        <v>0</v>
      </c>
      <c r="AT70" s="123">
        <f>交易记录!F473</f>
        <v>0</v>
      </c>
      <c r="AU70" s="123">
        <f>交易记录!F504</f>
        <v>0</v>
      </c>
      <c r="AV70" s="30">
        <f t="shared" si="44"/>
        <v>0</v>
      </c>
      <c r="AW70" s="120">
        <f>交易记录!F537</f>
        <v>0</v>
      </c>
      <c r="AX70" s="120">
        <f>交易记录!F568</f>
        <v>0</v>
      </c>
      <c r="AY70" s="30">
        <f t="shared" si="45"/>
        <v>0</v>
      </c>
      <c r="AZ70" s="123">
        <f>交易记录!F601</f>
        <v>0</v>
      </c>
      <c r="BA70" s="123">
        <f>交易记录!F632</f>
        <v>0</v>
      </c>
      <c r="BB70" s="30">
        <f t="shared" si="46"/>
        <v>0</v>
      </c>
      <c r="BC70" s="120">
        <f>交易记录!F665</f>
        <v>0</v>
      </c>
      <c r="BD70" s="120">
        <f>交易记录!F696</f>
        <v>0</v>
      </c>
      <c r="BE70" s="30">
        <f t="shared" si="47"/>
        <v>0</v>
      </c>
      <c r="BF70" s="123">
        <f>交易记录!F729</f>
        <v>0</v>
      </c>
      <c r="BG70" s="123">
        <f>交易记录!F760</f>
        <v>0</v>
      </c>
      <c r="BH70" s="30">
        <f t="shared" si="48"/>
        <v>0</v>
      </c>
      <c r="BI70" s="120">
        <f>交易记录!F793</f>
        <v>0</v>
      </c>
      <c r="BJ70" s="120">
        <f>交易记录!F824</f>
        <v>0</v>
      </c>
      <c r="BK70" s="30">
        <f t="shared" si="49"/>
        <v>0</v>
      </c>
      <c r="BL70" s="123">
        <f>交易记录!F857</f>
        <v>0</v>
      </c>
      <c r="BM70" s="123">
        <f>交易记录!F888</f>
        <v>0</v>
      </c>
      <c r="BN70" s="30">
        <f t="shared" si="50"/>
        <v>0</v>
      </c>
      <c r="BO70" s="120">
        <f>交易记录!F921</f>
        <v>0</v>
      </c>
      <c r="BP70" s="120">
        <f>交易记录!F952</f>
        <v>0</v>
      </c>
      <c r="BQ70" s="30">
        <f t="shared" si="51"/>
        <v>0</v>
      </c>
    </row>
    <row r="71" spans="1:69" ht="15">
      <c r="A71" s="125">
        <f>'维护-日期'!A$5</f>
        <v>46268</v>
      </c>
      <c r="B71" s="7" t="s">
        <v>27</v>
      </c>
      <c r="C71" s="144">
        <f t="shared" si="52"/>
        <v>22.594000000000001</v>
      </c>
      <c r="D71" s="144">
        <f>ROUND(INDEX(持仓数据!$C$3:$AG$26,MATCH('计算过程-数据汇总'!B71,持仓数据!$B$3:$B$26,0),MATCH('计算过程-数据汇总'!A71,'维护-日期'!$B$2:$AF$2,0)),3)</f>
        <v>22.594000000000001</v>
      </c>
      <c r="E71" s="98">
        <f t="shared" si="53"/>
        <v>22.594000000000001</v>
      </c>
      <c r="F71" s="22">
        <f>持仓数据!E93</f>
        <v>0.95199999999999996</v>
      </c>
      <c r="G71" s="97">
        <v>372</v>
      </c>
      <c r="H71" s="97">
        <v>372</v>
      </c>
      <c r="I71" s="64">
        <v>0</v>
      </c>
      <c r="J71" s="64">
        <v>0</v>
      </c>
      <c r="K71" s="21">
        <f>IF(持仓数据!E126="",0,持仓数据!E126)</f>
        <v>372</v>
      </c>
      <c r="L71" s="21">
        <f t="shared" si="54"/>
        <v>0</v>
      </c>
      <c r="M71" s="28">
        <f t="shared" si="38"/>
        <v>8404.9680000000008</v>
      </c>
      <c r="N71" s="28">
        <f t="shared" si="39"/>
        <v>0</v>
      </c>
      <c r="O71" s="28">
        <f t="shared" si="40"/>
        <v>0</v>
      </c>
      <c r="P71" s="28">
        <f t="shared" si="41"/>
        <v>0</v>
      </c>
      <c r="Q71" s="28">
        <f t="shared" si="55"/>
        <v>0</v>
      </c>
      <c r="R71" s="28">
        <f t="shared" si="42"/>
        <v>8404.9680000000008</v>
      </c>
      <c r="S71" s="28">
        <f t="shared" si="56"/>
        <v>0</v>
      </c>
      <c r="T71" s="28">
        <f t="shared" si="57"/>
        <v>0</v>
      </c>
      <c r="U71" s="28">
        <f t="shared" si="60"/>
        <v>0</v>
      </c>
      <c r="V71" s="28">
        <f t="shared" si="58"/>
        <v>0</v>
      </c>
      <c r="W71" s="118"/>
      <c r="X71" s="143">
        <f t="shared" si="59"/>
        <v>26.161000000000001</v>
      </c>
      <c r="Y71" s="120">
        <f>交易记录!F26</f>
        <v>0.95199999999999996</v>
      </c>
      <c r="Z71" s="120">
        <f>交易记录!F57</f>
        <v>372</v>
      </c>
      <c r="AA71" s="30">
        <f t="shared" si="43"/>
        <v>0</v>
      </c>
      <c r="AB71" s="123">
        <f>交易记录!F90</f>
        <v>0</v>
      </c>
      <c r="AC71" s="123">
        <f>交易记录!F121</f>
        <v>0</v>
      </c>
      <c r="AD71" s="30">
        <f t="shared" si="35"/>
        <v>0</v>
      </c>
      <c r="AE71" s="120">
        <f>交易记录!F154</f>
        <v>0</v>
      </c>
      <c r="AF71" s="120">
        <f>交易记录!F185</f>
        <v>0</v>
      </c>
      <c r="AG71" s="30">
        <f t="shared" ref="AG71:AG134" si="62">IFERROR((AF71-$G71)*AE71,0)</f>
        <v>0</v>
      </c>
      <c r="AH71" s="123">
        <f>交易记录!F218</f>
        <v>0</v>
      </c>
      <c r="AI71" s="123">
        <f>交易记录!F249</f>
        <v>0</v>
      </c>
      <c r="AJ71" s="30">
        <f t="shared" si="34"/>
        <v>0</v>
      </c>
      <c r="AK71" s="120">
        <f>交易记录!F282</f>
        <v>0</v>
      </c>
      <c r="AL71" s="120">
        <f>交易记录!F313</f>
        <v>0</v>
      </c>
      <c r="AM71" s="30">
        <f t="shared" si="33"/>
        <v>0</v>
      </c>
      <c r="AN71" s="123">
        <f>交易记录!F346</f>
        <v>0</v>
      </c>
      <c r="AO71" s="123">
        <f>交易记录!F377</f>
        <v>0</v>
      </c>
      <c r="AP71" s="30">
        <f t="shared" si="61"/>
        <v>0</v>
      </c>
      <c r="AQ71" s="120">
        <f>交易记录!F410</f>
        <v>0</v>
      </c>
      <c r="AR71" s="120">
        <f>交易记录!F441</f>
        <v>0</v>
      </c>
      <c r="AS71" s="30">
        <f t="shared" si="32"/>
        <v>0</v>
      </c>
      <c r="AT71" s="123">
        <f>交易记录!F474</f>
        <v>0</v>
      </c>
      <c r="AU71" s="123">
        <f>交易记录!F505</f>
        <v>0</v>
      </c>
      <c r="AV71" s="30">
        <f t="shared" si="44"/>
        <v>0</v>
      </c>
      <c r="AW71" s="120">
        <f>交易记录!F538</f>
        <v>0</v>
      </c>
      <c r="AX71" s="120">
        <f>交易记录!F569</f>
        <v>0</v>
      </c>
      <c r="AY71" s="30">
        <f t="shared" si="45"/>
        <v>0</v>
      </c>
      <c r="AZ71" s="123">
        <f>交易记录!F602</f>
        <v>0</v>
      </c>
      <c r="BA71" s="123">
        <f>交易记录!F633</f>
        <v>0</v>
      </c>
      <c r="BB71" s="30">
        <f t="shared" si="46"/>
        <v>0</v>
      </c>
      <c r="BC71" s="120">
        <f>交易记录!F666</f>
        <v>0</v>
      </c>
      <c r="BD71" s="120">
        <f>交易记录!F697</f>
        <v>0</v>
      </c>
      <c r="BE71" s="30">
        <f t="shared" si="47"/>
        <v>0</v>
      </c>
      <c r="BF71" s="123">
        <f>交易记录!F730</f>
        <v>0</v>
      </c>
      <c r="BG71" s="123">
        <f>交易记录!F761</f>
        <v>0</v>
      </c>
      <c r="BH71" s="30">
        <f t="shared" si="48"/>
        <v>0</v>
      </c>
      <c r="BI71" s="120">
        <f>交易记录!F794</f>
        <v>0</v>
      </c>
      <c r="BJ71" s="120">
        <f>交易记录!F825</f>
        <v>0</v>
      </c>
      <c r="BK71" s="30">
        <f t="shared" si="49"/>
        <v>0</v>
      </c>
      <c r="BL71" s="123">
        <f>交易记录!F858</f>
        <v>0</v>
      </c>
      <c r="BM71" s="123">
        <f>交易记录!F889</f>
        <v>0</v>
      </c>
      <c r="BN71" s="30">
        <f t="shared" si="50"/>
        <v>0</v>
      </c>
      <c r="BO71" s="120">
        <f>交易记录!F922</f>
        <v>0</v>
      </c>
      <c r="BP71" s="120">
        <f>交易记录!F953</f>
        <v>0</v>
      </c>
      <c r="BQ71" s="30">
        <f t="shared" si="51"/>
        <v>0</v>
      </c>
    </row>
    <row r="72" spans="1:69" ht="15">
      <c r="A72" s="125">
        <f>'维护-日期'!A$5</f>
        <v>46268</v>
      </c>
      <c r="B72" s="7" t="s">
        <v>28</v>
      </c>
      <c r="C72" s="144">
        <f t="shared" si="52"/>
        <v>19.387</v>
      </c>
      <c r="D72" s="144">
        <f>ROUND(INDEX(持仓数据!$C$3:$AG$26,MATCH('计算过程-数据汇总'!B72,持仓数据!$B$3:$B$26,0),MATCH('计算过程-数据汇总'!A72,'维护-日期'!$B$2:$AF$2,0)),3)</f>
        <v>19.387</v>
      </c>
      <c r="E72" s="98">
        <f t="shared" si="53"/>
        <v>19.387</v>
      </c>
      <c r="F72" s="22">
        <f>持仓数据!E94</f>
        <v>0.84300000000000008</v>
      </c>
      <c r="G72" s="97">
        <v>372</v>
      </c>
      <c r="H72" s="97">
        <v>372</v>
      </c>
      <c r="I72" s="64">
        <v>0</v>
      </c>
      <c r="J72" s="64">
        <v>0</v>
      </c>
      <c r="K72" s="21">
        <f>IF(持仓数据!E127="",0,持仓数据!E127)</f>
        <v>371.99999999999994</v>
      </c>
      <c r="L72" s="21">
        <f t="shared" si="54"/>
        <v>0</v>
      </c>
      <c r="M72" s="28">
        <f t="shared" si="38"/>
        <v>7211.9639999999999</v>
      </c>
      <c r="N72" s="28">
        <f t="shared" si="39"/>
        <v>0</v>
      </c>
      <c r="O72" s="28">
        <f t="shared" si="40"/>
        <v>0</v>
      </c>
      <c r="P72" s="28">
        <f t="shared" si="41"/>
        <v>-4.7919002099661161E-14</v>
      </c>
      <c r="Q72" s="28">
        <f t="shared" si="55"/>
        <v>0</v>
      </c>
      <c r="R72" s="28">
        <f t="shared" si="42"/>
        <v>7211.963999999999</v>
      </c>
      <c r="S72" s="28">
        <f t="shared" si="56"/>
        <v>0</v>
      </c>
      <c r="T72" s="28">
        <f t="shared" si="57"/>
        <v>1.0541043593548239E-12</v>
      </c>
      <c r="U72" s="28">
        <f t="shared" si="60"/>
        <v>0</v>
      </c>
      <c r="V72" s="28">
        <f t="shared" si="58"/>
        <v>0</v>
      </c>
      <c r="W72" s="118"/>
      <c r="X72" s="143">
        <f t="shared" si="59"/>
        <v>22.420999999999999</v>
      </c>
      <c r="Y72" s="120">
        <f>交易记录!F27</f>
        <v>0.84300000000000008</v>
      </c>
      <c r="Z72" s="120">
        <f>交易记录!F58</f>
        <v>372</v>
      </c>
      <c r="AA72" s="30">
        <f t="shared" si="43"/>
        <v>0</v>
      </c>
      <c r="AB72" s="123">
        <f>交易记录!F91</f>
        <v>0</v>
      </c>
      <c r="AC72" s="123">
        <f>交易记录!F122</f>
        <v>0</v>
      </c>
      <c r="AD72" s="30">
        <f t="shared" si="35"/>
        <v>0</v>
      </c>
      <c r="AE72" s="120">
        <f>交易记录!F155</f>
        <v>0</v>
      </c>
      <c r="AF72" s="120">
        <f>交易记录!F186</f>
        <v>0</v>
      </c>
      <c r="AG72" s="30">
        <f t="shared" si="62"/>
        <v>0</v>
      </c>
      <c r="AH72" s="123">
        <f>交易记录!F219</f>
        <v>0</v>
      </c>
      <c r="AI72" s="123">
        <f>交易记录!F250</f>
        <v>0</v>
      </c>
      <c r="AJ72" s="30">
        <f t="shared" si="34"/>
        <v>0</v>
      </c>
      <c r="AK72" s="120">
        <f>交易记录!F283</f>
        <v>0</v>
      </c>
      <c r="AL72" s="120">
        <f>交易记录!F314</f>
        <v>0</v>
      </c>
      <c r="AM72" s="30">
        <f t="shared" si="33"/>
        <v>0</v>
      </c>
      <c r="AN72" s="123">
        <f>交易记录!F347</f>
        <v>0</v>
      </c>
      <c r="AO72" s="123">
        <f>交易记录!F378</f>
        <v>0</v>
      </c>
      <c r="AP72" s="30">
        <f t="shared" si="61"/>
        <v>0</v>
      </c>
      <c r="AQ72" s="120">
        <f>交易记录!F411</f>
        <v>0</v>
      </c>
      <c r="AR72" s="120">
        <f>交易记录!F442</f>
        <v>0</v>
      </c>
      <c r="AS72" s="30">
        <f t="shared" ref="AS72:AS135" si="63">IFERROR((AR72-$G72)*AQ72,0)</f>
        <v>0</v>
      </c>
      <c r="AT72" s="123">
        <f>交易记录!F475</f>
        <v>0</v>
      </c>
      <c r="AU72" s="123">
        <f>交易记录!F506</f>
        <v>0</v>
      </c>
      <c r="AV72" s="30">
        <f t="shared" si="44"/>
        <v>0</v>
      </c>
      <c r="AW72" s="120">
        <f>交易记录!F539</f>
        <v>0</v>
      </c>
      <c r="AX72" s="120">
        <f>交易记录!F570</f>
        <v>0</v>
      </c>
      <c r="AY72" s="30">
        <f t="shared" si="45"/>
        <v>0</v>
      </c>
      <c r="AZ72" s="123">
        <f>交易记录!F603</f>
        <v>0</v>
      </c>
      <c r="BA72" s="123">
        <f>交易记录!F634</f>
        <v>0</v>
      </c>
      <c r="BB72" s="30">
        <f t="shared" si="46"/>
        <v>0</v>
      </c>
      <c r="BC72" s="120">
        <f>交易记录!F667</f>
        <v>0</v>
      </c>
      <c r="BD72" s="120">
        <f>交易记录!F698</f>
        <v>0</v>
      </c>
      <c r="BE72" s="30">
        <f t="shared" si="47"/>
        <v>0</v>
      </c>
      <c r="BF72" s="123">
        <f>交易记录!F731</f>
        <v>0</v>
      </c>
      <c r="BG72" s="123">
        <f>交易记录!F762</f>
        <v>0</v>
      </c>
      <c r="BH72" s="30">
        <f t="shared" si="48"/>
        <v>0</v>
      </c>
      <c r="BI72" s="120">
        <f>交易记录!F795</f>
        <v>0</v>
      </c>
      <c r="BJ72" s="120">
        <f>交易记录!F826</f>
        <v>0</v>
      </c>
      <c r="BK72" s="30">
        <f t="shared" si="49"/>
        <v>0</v>
      </c>
      <c r="BL72" s="123">
        <f>交易记录!F859</f>
        <v>0</v>
      </c>
      <c r="BM72" s="123">
        <f>交易记录!F890</f>
        <v>0</v>
      </c>
      <c r="BN72" s="30">
        <f t="shared" si="50"/>
        <v>0</v>
      </c>
      <c r="BO72" s="120">
        <f>交易记录!F923</f>
        <v>0</v>
      </c>
      <c r="BP72" s="120">
        <f>交易记录!F954</f>
        <v>0</v>
      </c>
      <c r="BQ72" s="30">
        <f t="shared" si="51"/>
        <v>0</v>
      </c>
    </row>
    <row r="73" spans="1:69" ht="15">
      <c r="A73" s="125">
        <f>'维护-日期'!A$5</f>
        <v>46268</v>
      </c>
      <c r="B73" s="7" t="s">
        <v>29</v>
      </c>
      <c r="C73" s="144">
        <f t="shared" si="52"/>
        <v>16.963000000000001</v>
      </c>
      <c r="D73" s="144">
        <f>ROUND(INDEX(持仓数据!$C$3:$AG$26,MATCH('计算过程-数据汇总'!B73,持仓数据!$B$3:$B$26,0),MATCH('计算过程-数据汇总'!A73,'维护-日期'!$B$2:$AF$2,0)),3)</f>
        <v>16.963000000000001</v>
      </c>
      <c r="E73" s="98">
        <f t="shared" si="53"/>
        <v>16.963000000000001</v>
      </c>
      <c r="F73" s="22">
        <f>持仓数据!E95</f>
        <v>0.33299999999999996</v>
      </c>
      <c r="G73" s="97">
        <v>372</v>
      </c>
      <c r="H73" s="97">
        <v>372</v>
      </c>
      <c r="I73" s="64">
        <v>0</v>
      </c>
      <c r="J73" s="64">
        <v>0</v>
      </c>
      <c r="K73" s="21">
        <f>IF(持仓数据!E128="",0,持仓数据!E128)</f>
        <v>372</v>
      </c>
      <c r="L73" s="21">
        <f t="shared" si="54"/>
        <v>0</v>
      </c>
      <c r="M73" s="28">
        <f t="shared" si="38"/>
        <v>6310.2360000000008</v>
      </c>
      <c r="N73" s="28">
        <f t="shared" si="39"/>
        <v>0</v>
      </c>
      <c r="O73" s="28">
        <f t="shared" si="40"/>
        <v>0</v>
      </c>
      <c r="P73" s="28">
        <f t="shared" si="41"/>
        <v>0</v>
      </c>
      <c r="Q73" s="28">
        <f t="shared" si="55"/>
        <v>0</v>
      </c>
      <c r="R73" s="28">
        <f t="shared" si="42"/>
        <v>6310.2360000000008</v>
      </c>
      <c r="S73" s="28">
        <f t="shared" si="56"/>
        <v>0</v>
      </c>
      <c r="T73" s="28">
        <f t="shared" si="57"/>
        <v>0</v>
      </c>
      <c r="U73" s="28">
        <f t="shared" si="60"/>
        <v>0</v>
      </c>
      <c r="V73" s="28">
        <f t="shared" si="58"/>
        <v>0</v>
      </c>
      <c r="W73" s="118"/>
      <c r="X73" s="143">
        <f t="shared" si="59"/>
        <v>20.023</v>
      </c>
      <c r="Y73" s="120">
        <f>交易记录!F28</f>
        <v>0.33299999999999996</v>
      </c>
      <c r="Z73" s="120">
        <f>交易记录!F59</f>
        <v>372</v>
      </c>
      <c r="AA73" s="30">
        <f t="shared" si="43"/>
        <v>0</v>
      </c>
      <c r="AB73" s="123">
        <f>交易记录!F92</f>
        <v>0</v>
      </c>
      <c r="AC73" s="123">
        <f>交易记录!F123</f>
        <v>0</v>
      </c>
      <c r="AD73" s="30">
        <f t="shared" si="35"/>
        <v>0</v>
      </c>
      <c r="AE73" s="120">
        <f>交易记录!F156</f>
        <v>0</v>
      </c>
      <c r="AF73" s="120">
        <f>交易记录!F187</f>
        <v>0</v>
      </c>
      <c r="AG73" s="30">
        <f t="shared" si="62"/>
        <v>0</v>
      </c>
      <c r="AH73" s="123">
        <f>交易记录!F220</f>
        <v>0</v>
      </c>
      <c r="AI73" s="123">
        <f>交易记录!F251</f>
        <v>0</v>
      </c>
      <c r="AJ73" s="30">
        <f t="shared" si="34"/>
        <v>0</v>
      </c>
      <c r="AK73" s="120">
        <f>交易记录!F284</f>
        <v>0</v>
      </c>
      <c r="AL73" s="120">
        <f>交易记录!F315</f>
        <v>0</v>
      </c>
      <c r="AM73" s="30">
        <f t="shared" si="33"/>
        <v>0</v>
      </c>
      <c r="AN73" s="123">
        <f>交易记录!F348</f>
        <v>0</v>
      </c>
      <c r="AO73" s="123">
        <f>交易记录!F379</f>
        <v>0</v>
      </c>
      <c r="AP73" s="30">
        <f t="shared" si="61"/>
        <v>0</v>
      </c>
      <c r="AQ73" s="120">
        <f>交易记录!F412</f>
        <v>0</v>
      </c>
      <c r="AR73" s="120">
        <f>交易记录!F443</f>
        <v>0</v>
      </c>
      <c r="AS73" s="30">
        <f t="shared" si="63"/>
        <v>0</v>
      </c>
      <c r="AT73" s="123">
        <f>交易记录!F476</f>
        <v>0</v>
      </c>
      <c r="AU73" s="123">
        <f>交易记录!F507</f>
        <v>0</v>
      </c>
      <c r="AV73" s="30">
        <f t="shared" si="44"/>
        <v>0</v>
      </c>
      <c r="AW73" s="120">
        <f>交易记录!F540</f>
        <v>0</v>
      </c>
      <c r="AX73" s="120">
        <f>交易记录!F571</f>
        <v>0</v>
      </c>
      <c r="AY73" s="30">
        <f t="shared" si="45"/>
        <v>0</v>
      </c>
      <c r="AZ73" s="123">
        <f>交易记录!F604</f>
        <v>0</v>
      </c>
      <c r="BA73" s="123">
        <f>交易记录!F635</f>
        <v>0</v>
      </c>
      <c r="BB73" s="30">
        <f t="shared" si="46"/>
        <v>0</v>
      </c>
      <c r="BC73" s="120">
        <f>交易记录!F668</f>
        <v>0</v>
      </c>
      <c r="BD73" s="120">
        <f>交易记录!F699</f>
        <v>0</v>
      </c>
      <c r="BE73" s="30">
        <f t="shared" si="47"/>
        <v>0</v>
      </c>
      <c r="BF73" s="123">
        <f>交易记录!F732</f>
        <v>0</v>
      </c>
      <c r="BG73" s="123">
        <f>交易记录!F763</f>
        <v>0</v>
      </c>
      <c r="BH73" s="30">
        <f t="shared" si="48"/>
        <v>0</v>
      </c>
      <c r="BI73" s="120">
        <f>交易记录!F796</f>
        <v>0</v>
      </c>
      <c r="BJ73" s="120">
        <f>交易记录!F827</f>
        <v>0</v>
      </c>
      <c r="BK73" s="30">
        <f t="shared" si="49"/>
        <v>0</v>
      </c>
      <c r="BL73" s="123">
        <f>交易记录!F860</f>
        <v>0</v>
      </c>
      <c r="BM73" s="123">
        <f>交易记录!F891</f>
        <v>0</v>
      </c>
      <c r="BN73" s="30">
        <f t="shared" si="50"/>
        <v>0</v>
      </c>
      <c r="BO73" s="120">
        <f>交易记录!F924</f>
        <v>0</v>
      </c>
      <c r="BP73" s="120">
        <f>交易记录!F955</f>
        <v>0</v>
      </c>
      <c r="BQ73" s="30">
        <f t="shared" si="51"/>
        <v>0</v>
      </c>
    </row>
    <row r="74" spans="1:69" ht="15">
      <c r="A74" s="125">
        <f>'维护-日期'!A$6</f>
        <v>46269</v>
      </c>
      <c r="B74" s="7" t="s">
        <v>6</v>
      </c>
      <c r="C74" s="144">
        <f t="shared" si="52"/>
        <v>16.655999999999999</v>
      </c>
      <c r="D74" s="144">
        <f>ROUND(INDEX(持仓数据!$C$3:$AG$26,MATCH('计算过程-数据汇总'!B74,持仓数据!$B$3:$B$26,0),MATCH('计算过程-数据汇总'!A74,'维护-日期'!$B$2:$AF$2,0)),3)</f>
        <v>16.655999999999999</v>
      </c>
      <c r="E74" s="98">
        <f t="shared" si="53"/>
        <v>16.655999999999999</v>
      </c>
      <c r="F74" s="22">
        <f>持仓数据!F72</f>
        <v>0.39700000000000002</v>
      </c>
      <c r="G74" s="97">
        <v>372</v>
      </c>
      <c r="H74" s="97">
        <v>372</v>
      </c>
      <c r="I74" s="64">
        <v>0</v>
      </c>
      <c r="J74" s="64">
        <v>0</v>
      </c>
      <c r="K74" s="21">
        <f>IF(持仓数据!F105="",0,持仓数据!F105)</f>
        <v>372</v>
      </c>
      <c r="L74" s="21">
        <f t="shared" si="54"/>
        <v>0</v>
      </c>
      <c r="M74" s="28">
        <f t="shared" si="38"/>
        <v>6196.0319999999992</v>
      </c>
      <c r="N74" s="28">
        <f t="shared" si="39"/>
        <v>0</v>
      </c>
      <c r="O74" s="28">
        <f t="shared" si="40"/>
        <v>0</v>
      </c>
      <c r="P74" s="28">
        <f t="shared" si="41"/>
        <v>0</v>
      </c>
      <c r="Q74" s="28">
        <f t="shared" si="55"/>
        <v>0</v>
      </c>
      <c r="R74" s="28">
        <f t="shared" si="42"/>
        <v>6196.0319999999992</v>
      </c>
      <c r="S74" s="28">
        <f t="shared" si="56"/>
        <v>0</v>
      </c>
      <c r="T74" s="28">
        <f t="shared" si="57"/>
        <v>0</v>
      </c>
      <c r="U74" s="28">
        <f t="shared" si="60"/>
        <v>0</v>
      </c>
      <c r="V74" s="28">
        <f t="shared" si="58"/>
        <v>0</v>
      </c>
      <c r="W74" s="118"/>
      <c r="X74" s="143">
        <f t="shared" si="59"/>
        <v>19.59</v>
      </c>
      <c r="Y74" s="120">
        <f>交易记录!G5</f>
        <v>0.39700000000000002</v>
      </c>
      <c r="Z74" s="120">
        <f>交易记录!G36</f>
        <v>372</v>
      </c>
      <c r="AA74" s="30">
        <f t="shared" si="43"/>
        <v>0</v>
      </c>
      <c r="AB74" s="123">
        <f>交易记录!G69</f>
        <v>0</v>
      </c>
      <c r="AC74" s="123">
        <f>交易记录!G100</f>
        <v>0</v>
      </c>
      <c r="AD74" s="30">
        <f t="shared" si="35"/>
        <v>0</v>
      </c>
      <c r="AE74" s="120">
        <f>交易记录!G133</f>
        <v>0</v>
      </c>
      <c r="AF74" s="120">
        <f>交易记录!G164</f>
        <v>0</v>
      </c>
      <c r="AG74" s="30">
        <f t="shared" si="62"/>
        <v>0</v>
      </c>
      <c r="AH74" s="123">
        <f>交易记录!G197</f>
        <v>0</v>
      </c>
      <c r="AI74" s="123">
        <f>交易记录!G228</f>
        <v>0</v>
      </c>
      <c r="AJ74" s="30">
        <f t="shared" si="34"/>
        <v>0</v>
      </c>
      <c r="AK74" s="120">
        <f>交易记录!G261</f>
        <v>0</v>
      </c>
      <c r="AL74" s="120">
        <f>交易记录!G292</f>
        <v>0</v>
      </c>
      <c r="AM74" s="30">
        <f t="shared" ref="AM74:AM137" si="64">IFERROR((AL74-$G74)*AK74,0)</f>
        <v>0</v>
      </c>
      <c r="AN74" s="123">
        <f>交易记录!G325</f>
        <v>0</v>
      </c>
      <c r="AO74" s="123">
        <f>交易记录!G356</f>
        <v>0</v>
      </c>
      <c r="AP74" s="30">
        <f t="shared" si="61"/>
        <v>0</v>
      </c>
      <c r="AQ74" s="120">
        <f>交易记录!G389</f>
        <v>0</v>
      </c>
      <c r="AR74" s="120">
        <f>交易记录!G420</f>
        <v>0</v>
      </c>
      <c r="AS74" s="30">
        <f t="shared" si="63"/>
        <v>0</v>
      </c>
      <c r="AT74" s="123">
        <f>交易记录!G453</f>
        <v>0</v>
      </c>
      <c r="AU74" s="123">
        <f>交易记录!G484</f>
        <v>0</v>
      </c>
      <c r="AV74" s="30">
        <f t="shared" si="44"/>
        <v>0</v>
      </c>
      <c r="AW74" s="120">
        <f>交易记录!G517</f>
        <v>0</v>
      </c>
      <c r="AX74" s="120">
        <f>交易记录!G548</f>
        <v>0</v>
      </c>
      <c r="AY74" s="30">
        <f t="shared" si="45"/>
        <v>0</v>
      </c>
      <c r="AZ74" s="123">
        <f>交易记录!G581</f>
        <v>0</v>
      </c>
      <c r="BA74" s="123">
        <f>交易记录!G612</f>
        <v>0</v>
      </c>
      <c r="BB74" s="30">
        <f t="shared" si="46"/>
        <v>0</v>
      </c>
      <c r="BC74" s="120">
        <f>交易记录!G645</f>
        <v>0</v>
      </c>
      <c r="BD74" s="120">
        <f>交易记录!G676</f>
        <v>0</v>
      </c>
      <c r="BE74" s="30">
        <f t="shared" si="47"/>
        <v>0</v>
      </c>
      <c r="BF74" s="123">
        <f>交易记录!G709</f>
        <v>0</v>
      </c>
      <c r="BG74" s="123">
        <f>交易记录!G740</f>
        <v>0</v>
      </c>
      <c r="BH74" s="30">
        <f t="shared" si="48"/>
        <v>0</v>
      </c>
      <c r="BI74" s="120">
        <f>交易记录!G773</f>
        <v>0</v>
      </c>
      <c r="BJ74" s="120">
        <f>交易记录!G804</f>
        <v>0</v>
      </c>
      <c r="BK74" s="30">
        <f t="shared" si="49"/>
        <v>0</v>
      </c>
      <c r="BL74" s="123">
        <f>交易记录!G837</f>
        <v>0</v>
      </c>
      <c r="BM74" s="123">
        <f>交易记录!G868</f>
        <v>0</v>
      </c>
      <c r="BN74" s="30">
        <f t="shared" si="50"/>
        <v>0</v>
      </c>
      <c r="BO74" s="120">
        <f>交易记录!G901</f>
        <v>0</v>
      </c>
      <c r="BP74" s="120">
        <f>交易记录!G932</f>
        <v>0</v>
      </c>
      <c r="BQ74" s="30">
        <f t="shared" si="51"/>
        <v>0</v>
      </c>
    </row>
    <row r="75" spans="1:69" ht="15">
      <c r="A75" s="125">
        <f>'维护-日期'!A$6</f>
        <v>46269</v>
      </c>
      <c r="B75" s="7" t="s">
        <v>7</v>
      </c>
      <c r="C75" s="144">
        <f t="shared" si="52"/>
        <v>15.792</v>
      </c>
      <c r="D75" s="144">
        <f>ROUND(INDEX(持仓数据!$C$3:$AG$26,MATCH('计算过程-数据汇总'!B75,持仓数据!$B$3:$B$26,0),MATCH('计算过程-数据汇总'!A75,'维护-日期'!$B$2:$AF$2,0)),3)</f>
        <v>15.792</v>
      </c>
      <c r="E75" s="98">
        <f t="shared" si="53"/>
        <v>15.792</v>
      </c>
      <c r="F75" s="22">
        <f>持仓数据!F73</f>
        <v>0.26500000000000001</v>
      </c>
      <c r="G75" s="97">
        <v>372</v>
      </c>
      <c r="H75" s="97">
        <v>372</v>
      </c>
      <c r="I75" s="64">
        <v>0</v>
      </c>
      <c r="J75" s="64">
        <v>0</v>
      </c>
      <c r="K75" s="21">
        <f>IF(持仓数据!F106="",0,持仓数据!F106)</f>
        <v>372</v>
      </c>
      <c r="L75" s="21">
        <f t="shared" si="54"/>
        <v>0</v>
      </c>
      <c r="M75" s="28">
        <f t="shared" si="38"/>
        <v>5874.6239999999998</v>
      </c>
      <c r="N75" s="28">
        <f t="shared" si="39"/>
        <v>0</v>
      </c>
      <c r="O75" s="28">
        <f t="shared" si="40"/>
        <v>0</v>
      </c>
      <c r="P75" s="28">
        <f t="shared" si="41"/>
        <v>0</v>
      </c>
      <c r="Q75" s="28">
        <f t="shared" si="55"/>
        <v>0</v>
      </c>
      <c r="R75" s="28">
        <f t="shared" si="42"/>
        <v>5874.6239999999998</v>
      </c>
      <c r="S75" s="28">
        <f t="shared" si="56"/>
        <v>0</v>
      </c>
      <c r="T75" s="28">
        <f t="shared" si="57"/>
        <v>0</v>
      </c>
      <c r="U75" s="28">
        <f t="shared" si="60"/>
        <v>0</v>
      </c>
      <c r="V75" s="28">
        <f t="shared" si="58"/>
        <v>0</v>
      </c>
      <c r="W75" s="118"/>
      <c r="X75" s="143">
        <f t="shared" si="59"/>
        <v>18.684999999999999</v>
      </c>
      <c r="Y75" s="120">
        <f>交易记录!G6</f>
        <v>0.26500000000000001</v>
      </c>
      <c r="Z75" s="120">
        <f>交易记录!G37</f>
        <v>372</v>
      </c>
      <c r="AA75" s="30">
        <f t="shared" si="43"/>
        <v>0</v>
      </c>
      <c r="AB75" s="123">
        <f>交易记录!G70</f>
        <v>0</v>
      </c>
      <c r="AC75" s="123">
        <f>交易记录!G101</f>
        <v>0</v>
      </c>
      <c r="AD75" s="30">
        <f t="shared" si="35"/>
        <v>0</v>
      </c>
      <c r="AE75" s="120">
        <f>交易记录!G134</f>
        <v>0</v>
      </c>
      <c r="AF75" s="120">
        <f>交易记录!G165</f>
        <v>0</v>
      </c>
      <c r="AG75" s="30">
        <f t="shared" si="62"/>
        <v>0</v>
      </c>
      <c r="AH75" s="123">
        <f>交易记录!G198</f>
        <v>0</v>
      </c>
      <c r="AI75" s="123">
        <f>交易记录!G229</f>
        <v>0</v>
      </c>
      <c r="AJ75" s="30">
        <f t="shared" si="34"/>
        <v>0</v>
      </c>
      <c r="AK75" s="120">
        <f>交易记录!G262</f>
        <v>0</v>
      </c>
      <c r="AL75" s="120">
        <f>交易记录!G293</f>
        <v>0</v>
      </c>
      <c r="AM75" s="30">
        <f t="shared" si="64"/>
        <v>0</v>
      </c>
      <c r="AN75" s="123">
        <f>交易记录!G326</f>
        <v>0</v>
      </c>
      <c r="AO75" s="123">
        <f>交易记录!G357</f>
        <v>0</v>
      </c>
      <c r="AP75" s="30">
        <f t="shared" si="61"/>
        <v>0</v>
      </c>
      <c r="AQ75" s="120">
        <f>交易记录!G390</f>
        <v>0</v>
      </c>
      <c r="AR75" s="120">
        <f>交易记录!G421</f>
        <v>0</v>
      </c>
      <c r="AS75" s="30">
        <f t="shared" si="63"/>
        <v>0</v>
      </c>
      <c r="AT75" s="123">
        <f>交易记录!G454</f>
        <v>0</v>
      </c>
      <c r="AU75" s="123">
        <f>交易记录!G485</f>
        <v>0</v>
      </c>
      <c r="AV75" s="30">
        <f t="shared" si="44"/>
        <v>0</v>
      </c>
      <c r="AW75" s="120">
        <f>交易记录!G518</f>
        <v>0</v>
      </c>
      <c r="AX75" s="120">
        <f>交易记录!G549</f>
        <v>0</v>
      </c>
      <c r="AY75" s="30">
        <f t="shared" si="45"/>
        <v>0</v>
      </c>
      <c r="AZ75" s="123">
        <f>交易记录!G582</f>
        <v>0</v>
      </c>
      <c r="BA75" s="123">
        <f>交易记录!G613</f>
        <v>0</v>
      </c>
      <c r="BB75" s="30">
        <f t="shared" si="46"/>
        <v>0</v>
      </c>
      <c r="BC75" s="120">
        <f>交易记录!G646</f>
        <v>0</v>
      </c>
      <c r="BD75" s="120">
        <f>交易记录!G677</f>
        <v>0</v>
      </c>
      <c r="BE75" s="30">
        <f t="shared" si="47"/>
        <v>0</v>
      </c>
      <c r="BF75" s="123">
        <f>交易记录!G710</f>
        <v>0</v>
      </c>
      <c r="BG75" s="123">
        <f>交易记录!G741</f>
        <v>0</v>
      </c>
      <c r="BH75" s="30">
        <f t="shared" si="48"/>
        <v>0</v>
      </c>
      <c r="BI75" s="120">
        <f>交易记录!G774</f>
        <v>0</v>
      </c>
      <c r="BJ75" s="120">
        <f>交易记录!G805</f>
        <v>0</v>
      </c>
      <c r="BK75" s="30">
        <f t="shared" si="49"/>
        <v>0</v>
      </c>
      <c r="BL75" s="123">
        <f>交易记录!G838</f>
        <v>0</v>
      </c>
      <c r="BM75" s="123">
        <f>交易记录!G869</f>
        <v>0</v>
      </c>
      <c r="BN75" s="30">
        <f t="shared" si="50"/>
        <v>0</v>
      </c>
      <c r="BO75" s="120">
        <f>交易记录!G902</f>
        <v>0</v>
      </c>
      <c r="BP75" s="120">
        <f>交易记录!G933</f>
        <v>0</v>
      </c>
      <c r="BQ75" s="30">
        <f t="shared" si="51"/>
        <v>0</v>
      </c>
    </row>
    <row r="76" spans="1:69" ht="15">
      <c r="A76" s="125">
        <f>'维护-日期'!A$6</f>
        <v>46269</v>
      </c>
      <c r="B76" s="7" t="s">
        <v>8</v>
      </c>
      <c r="C76" s="144">
        <f t="shared" si="52"/>
        <v>14.821999999999999</v>
      </c>
      <c r="D76" s="144">
        <f>ROUND(INDEX(持仓数据!$C$3:$AG$26,MATCH('计算过程-数据汇总'!B76,持仓数据!$B$3:$B$26,0),MATCH('计算过程-数据汇总'!A76,'维护-日期'!$B$2:$AF$2,0)),3)</f>
        <v>14.821999999999999</v>
      </c>
      <c r="E76" s="98">
        <f t="shared" si="53"/>
        <v>14.821999999999999</v>
      </c>
      <c r="F76" s="22">
        <f>持仓数据!F74</f>
        <v>0.24199999999999999</v>
      </c>
      <c r="G76" s="97">
        <v>372</v>
      </c>
      <c r="H76" s="97">
        <v>372</v>
      </c>
      <c r="I76" s="64">
        <v>0</v>
      </c>
      <c r="J76" s="64">
        <v>0</v>
      </c>
      <c r="K76" s="21">
        <f>IF(持仓数据!F107="",0,持仓数据!F107)</f>
        <v>372</v>
      </c>
      <c r="L76" s="21">
        <f t="shared" si="54"/>
        <v>0</v>
      </c>
      <c r="M76" s="28">
        <f t="shared" si="38"/>
        <v>5513.7839999999997</v>
      </c>
      <c r="N76" s="28">
        <f t="shared" si="39"/>
        <v>0</v>
      </c>
      <c r="O76" s="28">
        <f t="shared" si="40"/>
        <v>0</v>
      </c>
      <c r="P76" s="28">
        <f t="shared" si="41"/>
        <v>0</v>
      </c>
      <c r="Q76" s="28">
        <f t="shared" si="55"/>
        <v>0</v>
      </c>
      <c r="R76" s="28">
        <f t="shared" si="42"/>
        <v>5513.7839999999997</v>
      </c>
      <c r="S76" s="28">
        <f t="shared" si="56"/>
        <v>0</v>
      </c>
      <c r="T76" s="28">
        <f t="shared" si="57"/>
        <v>0</v>
      </c>
      <c r="U76" s="28">
        <f t="shared" si="60"/>
        <v>0</v>
      </c>
      <c r="V76" s="28">
        <f t="shared" si="58"/>
        <v>0</v>
      </c>
      <c r="W76" s="118"/>
      <c r="X76" s="143">
        <f t="shared" si="59"/>
        <v>17.544</v>
      </c>
      <c r="Y76" s="120">
        <f>交易记录!G7</f>
        <v>0.24199999999999999</v>
      </c>
      <c r="Z76" s="120">
        <f>交易记录!G38</f>
        <v>372</v>
      </c>
      <c r="AA76" s="30">
        <f t="shared" si="43"/>
        <v>0</v>
      </c>
      <c r="AB76" s="123">
        <f>交易记录!G71</f>
        <v>0</v>
      </c>
      <c r="AC76" s="123">
        <f>交易记录!G102</f>
        <v>0</v>
      </c>
      <c r="AD76" s="30">
        <f t="shared" si="35"/>
        <v>0</v>
      </c>
      <c r="AE76" s="120">
        <f>交易记录!G135</f>
        <v>0</v>
      </c>
      <c r="AF76" s="120">
        <f>交易记录!G166</f>
        <v>0</v>
      </c>
      <c r="AG76" s="30">
        <f t="shared" si="62"/>
        <v>0</v>
      </c>
      <c r="AH76" s="123">
        <f>交易记录!G199</f>
        <v>0</v>
      </c>
      <c r="AI76" s="123">
        <f>交易记录!G230</f>
        <v>0</v>
      </c>
      <c r="AJ76" s="30">
        <f t="shared" si="34"/>
        <v>0</v>
      </c>
      <c r="AK76" s="120">
        <f>交易记录!G263</f>
        <v>0</v>
      </c>
      <c r="AL76" s="120">
        <f>交易记录!G294</f>
        <v>0</v>
      </c>
      <c r="AM76" s="30">
        <f t="shared" si="64"/>
        <v>0</v>
      </c>
      <c r="AN76" s="123">
        <f>交易记录!G327</f>
        <v>0</v>
      </c>
      <c r="AO76" s="123">
        <f>交易记录!G358</f>
        <v>0</v>
      </c>
      <c r="AP76" s="30">
        <f t="shared" si="61"/>
        <v>0</v>
      </c>
      <c r="AQ76" s="120">
        <f>交易记录!G391</f>
        <v>0</v>
      </c>
      <c r="AR76" s="120">
        <f>交易记录!G422</f>
        <v>0</v>
      </c>
      <c r="AS76" s="30">
        <f t="shared" si="63"/>
        <v>0</v>
      </c>
      <c r="AT76" s="123">
        <f>交易记录!G455</f>
        <v>0</v>
      </c>
      <c r="AU76" s="123">
        <f>交易记录!G486</f>
        <v>0</v>
      </c>
      <c r="AV76" s="30">
        <f t="shared" si="44"/>
        <v>0</v>
      </c>
      <c r="AW76" s="120">
        <f>交易记录!G519</f>
        <v>0</v>
      </c>
      <c r="AX76" s="120">
        <f>交易记录!G550</f>
        <v>0</v>
      </c>
      <c r="AY76" s="30">
        <f t="shared" si="45"/>
        <v>0</v>
      </c>
      <c r="AZ76" s="123">
        <f>交易记录!G583</f>
        <v>0</v>
      </c>
      <c r="BA76" s="123">
        <f>交易记录!G614</f>
        <v>0</v>
      </c>
      <c r="BB76" s="30">
        <f t="shared" si="46"/>
        <v>0</v>
      </c>
      <c r="BC76" s="120">
        <f>交易记录!G647</f>
        <v>0</v>
      </c>
      <c r="BD76" s="120">
        <f>交易记录!G678</f>
        <v>0</v>
      </c>
      <c r="BE76" s="30">
        <f t="shared" si="47"/>
        <v>0</v>
      </c>
      <c r="BF76" s="123">
        <f>交易记录!G711</f>
        <v>0</v>
      </c>
      <c r="BG76" s="123">
        <f>交易记录!G742</f>
        <v>0</v>
      </c>
      <c r="BH76" s="30">
        <f t="shared" si="48"/>
        <v>0</v>
      </c>
      <c r="BI76" s="120">
        <f>交易记录!G775</f>
        <v>0</v>
      </c>
      <c r="BJ76" s="120">
        <f>交易记录!G806</f>
        <v>0</v>
      </c>
      <c r="BK76" s="30">
        <f t="shared" si="49"/>
        <v>0</v>
      </c>
      <c r="BL76" s="123">
        <f>交易记录!G839</f>
        <v>0</v>
      </c>
      <c r="BM76" s="123">
        <f>交易记录!G870</f>
        <v>0</v>
      </c>
      <c r="BN76" s="30">
        <f t="shared" si="50"/>
        <v>0</v>
      </c>
      <c r="BO76" s="120">
        <f>交易记录!G903</f>
        <v>0</v>
      </c>
      <c r="BP76" s="120">
        <f>交易记录!G934</f>
        <v>0</v>
      </c>
      <c r="BQ76" s="30">
        <f t="shared" si="51"/>
        <v>0</v>
      </c>
    </row>
    <row r="77" spans="1:69" ht="15">
      <c r="A77" s="125">
        <f>'维护-日期'!A$6</f>
        <v>46269</v>
      </c>
      <c r="B77" s="7" t="s">
        <v>9</v>
      </c>
      <c r="C77" s="144">
        <f t="shared" si="52"/>
        <v>13.817</v>
      </c>
      <c r="D77" s="144">
        <f>ROUND(INDEX(持仓数据!$C$3:$AG$26,MATCH('计算过程-数据汇总'!B77,持仓数据!$B$3:$B$26,0),MATCH('计算过程-数据汇总'!A77,'维护-日期'!$B$2:$AF$2,0)),3)</f>
        <v>13.817</v>
      </c>
      <c r="E77" s="98">
        <f t="shared" si="53"/>
        <v>13.817</v>
      </c>
      <c r="F77" s="22">
        <f>持仓数据!F75</f>
        <v>0.09</v>
      </c>
      <c r="G77" s="97">
        <v>372</v>
      </c>
      <c r="H77" s="97">
        <v>372</v>
      </c>
      <c r="I77" s="64">
        <v>0</v>
      </c>
      <c r="J77" s="64">
        <v>0</v>
      </c>
      <c r="K77" s="21">
        <f>IF(持仓数据!F108="",0,持仓数据!F108)</f>
        <v>372</v>
      </c>
      <c r="L77" s="21">
        <f t="shared" si="54"/>
        <v>0</v>
      </c>
      <c r="M77" s="28">
        <f t="shared" si="38"/>
        <v>5139.924</v>
      </c>
      <c r="N77" s="28">
        <f t="shared" si="39"/>
        <v>0</v>
      </c>
      <c r="O77" s="28">
        <f t="shared" si="40"/>
        <v>0</v>
      </c>
      <c r="P77" s="28">
        <f t="shared" si="41"/>
        <v>0</v>
      </c>
      <c r="Q77" s="28">
        <f t="shared" si="55"/>
        <v>0</v>
      </c>
      <c r="R77" s="28">
        <f t="shared" si="42"/>
        <v>5139.924</v>
      </c>
      <c r="S77" s="28">
        <f t="shared" si="56"/>
        <v>0</v>
      </c>
      <c r="T77" s="28">
        <f t="shared" si="57"/>
        <v>0</v>
      </c>
      <c r="U77" s="28">
        <f t="shared" si="60"/>
        <v>0</v>
      </c>
      <c r="V77" s="28">
        <f t="shared" si="58"/>
        <v>0</v>
      </c>
      <c r="W77" s="118"/>
      <c r="X77" s="143">
        <f t="shared" si="59"/>
        <v>16.489999999999998</v>
      </c>
      <c r="Y77" s="120">
        <f>交易记录!G8</f>
        <v>0.09</v>
      </c>
      <c r="Z77" s="120">
        <f>交易记录!G39</f>
        <v>372</v>
      </c>
      <c r="AA77" s="30">
        <f t="shared" si="43"/>
        <v>0</v>
      </c>
      <c r="AB77" s="123">
        <f>交易记录!G72</f>
        <v>0</v>
      </c>
      <c r="AC77" s="123">
        <f>交易记录!G103</f>
        <v>0</v>
      </c>
      <c r="AD77" s="30">
        <f t="shared" si="35"/>
        <v>0</v>
      </c>
      <c r="AE77" s="120">
        <f>交易记录!G136</f>
        <v>0</v>
      </c>
      <c r="AF77" s="120">
        <f>交易记录!G167</f>
        <v>0</v>
      </c>
      <c r="AG77" s="30">
        <f t="shared" si="62"/>
        <v>0</v>
      </c>
      <c r="AH77" s="123">
        <f>交易记录!G200</f>
        <v>0</v>
      </c>
      <c r="AI77" s="123">
        <f>交易记录!G231</f>
        <v>0</v>
      </c>
      <c r="AJ77" s="30">
        <f t="shared" si="34"/>
        <v>0</v>
      </c>
      <c r="AK77" s="120">
        <f>交易记录!G264</f>
        <v>0</v>
      </c>
      <c r="AL77" s="120">
        <f>交易记录!G295</f>
        <v>0</v>
      </c>
      <c r="AM77" s="30">
        <f t="shared" si="64"/>
        <v>0</v>
      </c>
      <c r="AN77" s="123">
        <f>交易记录!G328</f>
        <v>0</v>
      </c>
      <c r="AO77" s="123">
        <f>交易记录!G359</f>
        <v>0</v>
      </c>
      <c r="AP77" s="30">
        <f t="shared" si="61"/>
        <v>0</v>
      </c>
      <c r="AQ77" s="120">
        <f>交易记录!G392</f>
        <v>0</v>
      </c>
      <c r="AR77" s="120">
        <f>交易记录!G423</f>
        <v>0</v>
      </c>
      <c r="AS77" s="30">
        <f t="shared" si="63"/>
        <v>0</v>
      </c>
      <c r="AT77" s="123">
        <f>交易记录!G456</f>
        <v>0</v>
      </c>
      <c r="AU77" s="123">
        <f>交易记录!G487</f>
        <v>0</v>
      </c>
      <c r="AV77" s="30">
        <f t="shared" si="44"/>
        <v>0</v>
      </c>
      <c r="AW77" s="120">
        <f>交易记录!G520</f>
        <v>0</v>
      </c>
      <c r="AX77" s="120">
        <f>交易记录!G551</f>
        <v>0</v>
      </c>
      <c r="AY77" s="30">
        <f t="shared" si="45"/>
        <v>0</v>
      </c>
      <c r="AZ77" s="123">
        <f>交易记录!G584</f>
        <v>0</v>
      </c>
      <c r="BA77" s="123">
        <f>交易记录!G615</f>
        <v>0</v>
      </c>
      <c r="BB77" s="30">
        <f t="shared" si="46"/>
        <v>0</v>
      </c>
      <c r="BC77" s="120">
        <f>交易记录!G648</f>
        <v>0</v>
      </c>
      <c r="BD77" s="120">
        <f>交易记录!G679</f>
        <v>0</v>
      </c>
      <c r="BE77" s="30">
        <f t="shared" si="47"/>
        <v>0</v>
      </c>
      <c r="BF77" s="123">
        <f>交易记录!G712</f>
        <v>0</v>
      </c>
      <c r="BG77" s="123">
        <f>交易记录!G743</f>
        <v>0</v>
      </c>
      <c r="BH77" s="30">
        <f t="shared" si="48"/>
        <v>0</v>
      </c>
      <c r="BI77" s="120">
        <f>交易记录!G776</f>
        <v>0</v>
      </c>
      <c r="BJ77" s="120">
        <f>交易记录!G807</f>
        <v>0</v>
      </c>
      <c r="BK77" s="30">
        <f t="shared" si="49"/>
        <v>0</v>
      </c>
      <c r="BL77" s="123">
        <f>交易记录!G840</f>
        <v>0</v>
      </c>
      <c r="BM77" s="123">
        <f>交易记录!G871</f>
        <v>0</v>
      </c>
      <c r="BN77" s="30">
        <f t="shared" si="50"/>
        <v>0</v>
      </c>
      <c r="BO77" s="120">
        <f>交易记录!G904</f>
        <v>0</v>
      </c>
      <c r="BP77" s="120">
        <f>交易记录!G935</f>
        <v>0</v>
      </c>
      <c r="BQ77" s="30">
        <f t="shared" si="51"/>
        <v>0</v>
      </c>
    </row>
    <row r="78" spans="1:69" ht="15">
      <c r="A78" s="125">
        <f>'维护-日期'!A$6</f>
        <v>46269</v>
      </c>
      <c r="B78" s="7" t="s">
        <v>10</v>
      </c>
      <c r="C78" s="144">
        <f t="shared" si="52"/>
        <v>13.388</v>
      </c>
      <c r="D78" s="144">
        <f>ROUND(INDEX(持仓数据!$C$3:$AG$26,MATCH('计算过程-数据汇总'!B78,持仓数据!$B$3:$B$26,0),MATCH('计算过程-数据汇总'!A78,'维护-日期'!$B$2:$AF$2,0)),3)</f>
        <v>13.388</v>
      </c>
      <c r="E78" s="98">
        <f t="shared" si="53"/>
        <v>13.388</v>
      </c>
      <c r="F78" s="22">
        <f>持仓数据!F76</f>
        <v>8.6999999999999994E-2</v>
      </c>
      <c r="G78" s="97">
        <v>372</v>
      </c>
      <c r="H78" s="97">
        <v>372</v>
      </c>
      <c r="I78" s="64">
        <v>0</v>
      </c>
      <c r="J78" s="64">
        <v>0</v>
      </c>
      <c r="K78" s="21">
        <f>IF(持仓数据!F109="",0,持仓数据!F109)</f>
        <v>372</v>
      </c>
      <c r="L78" s="21">
        <f t="shared" si="54"/>
        <v>0</v>
      </c>
      <c r="M78" s="28">
        <f t="shared" si="38"/>
        <v>4980.3360000000002</v>
      </c>
      <c r="N78" s="28">
        <f t="shared" si="39"/>
        <v>0</v>
      </c>
      <c r="O78" s="28">
        <f t="shared" si="40"/>
        <v>0</v>
      </c>
      <c r="P78" s="28">
        <f t="shared" si="41"/>
        <v>0</v>
      </c>
      <c r="Q78" s="28">
        <f t="shared" si="55"/>
        <v>0</v>
      </c>
      <c r="R78" s="28">
        <f t="shared" si="42"/>
        <v>4980.3360000000002</v>
      </c>
      <c r="S78" s="28">
        <f t="shared" si="56"/>
        <v>0</v>
      </c>
      <c r="T78" s="28">
        <f t="shared" si="57"/>
        <v>0</v>
      </c>
      <c r="U78" s="28">
        <f t="shared" si="60"/>
        <v>0</v>
      </c>
      <c r="V78" s="28">
        <f t="shared" si="58"/>
        <v>0</v>
      </c>
      <c r="W78" s="118"/>
      <c r="X78" s="143">
        <f t="shared" si="59"/>
        <v>15.978999999999999</v>
      </c>
      <c r="Y78" s="120">
        <f>交易记录!G9</f>
        <v>8.6999999999999994E-2</v>
      </c>
      <c r="Z78" s="120">
        <f>交易记录!G40</f>
        <v>372</v>
      </c>
      <c r="AA78" s="30">
        <f t="shared" si="43"/>
        <v>0</v>
      </c>
      <c r="AB78" s="123">
        <f>交易记录!G73</f>
        <v>0</v>
      </c>
      <c r="AC78" s="123">
        <f>交易记录!G104</f>
        <v>0</v>
      </c>
      <c r="AD78" s="30">
        <f t="shared" si="35"/>
        <v>0</v>
      </c>
      <c r="AE78" s="120">
        <f>交易记录!G137</f>
        <v>0</v>
      </c>
      <c r="AF78" s="120">
        <f>交易记录!G168</f>
        <v>0</v>
      </c>
      <c r="AG78" s="30">
        <f t="shared" si="62"/>
        <v>0</v>
      </c>
      <c r="AH78" s="123">
        <f>交易记录!G201</f>
        <v>0</v>
      </c>
      <c r="AI78" s="123">
        <f>交易记录!G232</f>
        <v>0</v>
      </c>
      <c r="AJ78" s="30">
        <f t="shared" ref="AJ78:AJ141" si="65">IFERROR((AI78-$G78)*AH78,0)</f>
        <v>0</v>
      </c>
      <c r="AK78" s="120">
        <f>交易记录!G265</f>
        <v>0</v>
      </c>
      <c r="AL78" s="120">
        <f>交易记录!G296</f>
        <v>0</v>
      </c>
      <c r="AM78" s="30">
        <f t="shared" si="64"/>
        <v>0</v>
      </c>
      <c r="AN78" s="123">
        <f>交易记录!G329</f>
        <v>0</v>
      </c>
      <c r="AO78" s="123">
        <f>交易记录!G360</f>
        <v>0</v>
      </c>
      <c r="AP78" s="30">
        <f t="shared" si="61"/>
        <v>0</v>
      </c>
      <c r="AQ78" s="120">
        <f>交易记录!G393</f>
        <v>0</v>
      </c>
      <c r="AR78" s="120">
        <f>交易记录!G424</f>
        <v>0</v>
      </c>
      <c r="AS78" s="30">
        <f t="shared" si="63"/>
        <v>0</v>
      </c>
      <c r="AT78" s="123">
        <f>交易记录!G457</f>
        <v>0</v>
      </c>
      <c r="AU78" s="123">
        <f>交易记录!G488</f>
        <v>0</v>
      </c>
      <c r="AV78" s="30">
        <f t="shared" si="44"/>
        <v>0</v>
      </c>
      <c r="AW78" s="120">
        <f>交易记录!G521</f>
        <v>0</v>
      </c>
      <c r="AX78" s="120">
        <f>交易记录!G552</f>
        <v>0</v>
      </c>
      <c r="AY78" s="30">
        <f t="shared" si="45"/>
        <v>0</v>
      </c>
      <c r="AZ78" s="123">
        <f>交易记录!G585</f>
        <v>0</v>
      </c>
      <c r="BA78" s="123">
        <f>交易记录!G616</f>
        <v>0</v>
      </c>
      <c r="BB78" s="30">
        <f t="shared" si="46"/>
        <v>0</v>
      </c>
      <c r="BC78" s="120">
        <f>交易记录!G649</f>
        <v>0</v>
      </c>
      <c r="BD78" s="120">
        <f>交易记录!G680</f>
        <v>0</v>
      </c>
      <c r="BE78" s="30">
        <f t="shared" si="47"/>
        <v>0</v>
      </c>
      <c r="BF78" s="123">
        <f>交易记录!G713</f>
        <v>0</v>
      </c>
      <c r="BG78" s="123">
        <f>交易记录!G744</f>
        <v>0</v>
      </c>
      <c r="BH78" s="30">
        <f t="shared" si="48"/>
        <v>0</v>
      </c>
      <c r="BI78" s="120">
        <f>交易记录!G777</f>
        <v>0</v>
      </c>
      <c r="BJ78" s="120">
        <f>交易记录!G808</f>
        <v>0</v>
      </c>
      <c r="BK78" s="30">
        <f t="shared" si="49"/>
        <v>0</v>
      </c>
      <c r="BL78" s="123">
        <f>交易记录!G841</f>
        <v>0</v>
      </c>
      <c r="BM78" s="123">
        <f>交易记录!G872</f>
        <v>0</v>
      </c>
      <c r="BN78" s="30">
        <f t="shared" si="50"/>
        <v>0</v>
      </c>
      <c r="BO78" s="120">
        <f>交易记录!G905</f>
        <v>0</v>
      </c>
      <c r="BP78" s="120">
        <f>交易记录!G936</f>
        <v>0</v>
      </c>
      <c r="BQ78" s="30">
        <f t="shared" si="51"/>
        <v>0</v>
      </c>
    </row>
    <row r="79" spans="1:69" ht="15">
      <c r="A79" s="125">
        <f>'维护-日期'!A$6</f>
        <v>46269</v>
      </c>
      <c r="B79" s="7" t="s">
        <v>11</v>
      </c>
      <c r="C79" s="144">
        <f t="shared" si="52"/>
        <v>13.087</v>
      </c>
      <c r="D79" s="144">
        <f>ROUND(INDEX(持仓数据!$C$3:$AG$26,MATCH('计算过程-数据汇总'!B79,持仓数据!$B$3:$B$26,0),MATCH('计算过程-数据汇总'!A79,'维护-日期'!$B$2:$AF$2,0)),3)</f>
        <v>13.087</v>
      </c>
      <c r="E79" s="98">
        <f t="shared" si="53"/>
        <v>13.087</v>
      </c>
      <c r="F79" s="22">
        <f>持仓数据!F77</f>
        <v>8.6999999999999994E-2</v>
      </c>
      <c r="G79" s="97">
        <v>372</v>
      </c>
      <c r="H79" s="97">
        <v>372</v>
      </c>
      <c r="I79" s="64">
        <v>0</v>
      </c>
      <c r="J79" s="64">
        <v>0</v>
      </c>
      <c r="K79" s="21">
        <f>IF(持仓数据!F110="",0,持仓数据!F110)</f>
        <v>372</v>
      </c>
      <c r="L79" s="21">
        <f t="shared" si="54"/>
        <v>0</v>
      </c>
      <c r="M79" s="28">
        <f t="shared" si="38"/>
        <v>4868.3639999999996</v>
      </c>
      <c r="N79" s="28">
        <f t="shared" si="39"/>
        <v>0</v>
      </c>
      <c r="O79" s="28">
        <f t="shared" si="40"/>
        <v>0</v>
      </c>
      <c r="P79" s="28">
        <f t="shared" si="41"/>
        <v>0</v>
      </c>
      <c r="Q79" s="28">
        <f t="shared" si="55"/>
        <v>0</v>
      </c>
      <c r="R79" s="28">
        <f t="shared" si="42"/>
        <v>4868.3639999999996</v>
      </c>
      <c r="S79" s="28">
        <f t="shared" si="56"/>
        <v>0</v>
      </c>
      <c r="T79" s="28">
        <f t="shared" si="57"/>
        <v>0</v>
      </c>
      <c r="U79" s="28">
        <f t="shared" si="60"/>
        <v>0</v>
      </c>
      <c r="V79" s="28">
        <f t="shared" si="58"/>
        <v>0</v>
      </c>
      <c r="W79" s="118"/>
      <c r="X79" s="143">
        <f t="shared" si="59"/>
        <v>15.617000000000001</v>
      </c>
      <c r="Y79" s="120">
        <f>交易记录!G10</f>
        <v>8.6999999999999994E-2</v>
      </c>
      <c r="Z79" s="120">
        <f>交易记录!G41</f>
        <v>372</v>
      </c>
      <c r="AA79" s="30">
        <f t="shared" si="43"/>
        <v>0</v>
      </c>
      <c r="AB79" s="123">
        <f>交易记录!G74</f>
        <v>0</v>
      </c>
      <c r="AC79" s="123">
        <f>交易记录!G105</f>
        <v>0</v>
      </c>
      <c r="AD79" s="30">
        <f t="shared" si="35"/>
        <v>0</v>
      </c>
      <c r="AE79" s="120">
        <f>交易记录!G138</f>
        <v>0</v>
      </c>
      <c r="AF79" s="120">
        <f>交易记录!G169</f>
        <v>0</v>
      </c>
      <c r="AG79" s="30">
        <f t="shared" si="62"/>
        <v>0</v>
      </c>
      <c r="AH79" s="123">
        <f>交易记录!G202</f>
        <v>0</v>
      </c>
      <c r="AI79" s="123">
        <f>交易记录!G233</f>
        <v>0</v>
      </c>
      <c r="AJ79" s="30">
        <f t="shared" si="65"/>
        <v>0</v>
      </c>
      <c r="AK79" s="120">
        <f>交易记录!G266</f>
        <v>0</v>
      </c>
      <c r="AL79" s="120">
        <f>交易记录!G297</f>
        <v>0</v>
      </c>
      <c r="AM79" s="30">
        <f t="shared" si="64"/>
        <v>0</v>
      </c>
      <c r="AN79" s="123">
        <f>交易记录!G330</f>
        <v>0</v>
      </c>
      <c r="AO79" s="123">
        <f>交易记录!G361</f>
        <v>0</v>
      </c>
      <c r="AP79" s="30">
        <f t="shared" si="61"/>
        <v>0</v>
      </c>
      <c r="AQ79" s="120">
        <f>交易记录!G394</f>
        <v>0</v>
      </c>
      <c r="AR79" s="120">
        <f>交易记录!G425</f>
        <v>0</v>
      </c>
      <c r="AS79" s="30">
        <f t="shared" si="63"/>
        <v>0</v>
      </c>
      <c r="AT79" s="123">
        <f>交易记录!G458</f>
        <v>0</v>
      </c>
      <c r="AU79" s="123">
        <f>交易记录!G489</f>
        <v>0</v>
      </c>
      <c r="AV79" s="30">
        <f t="shared" si="44"/>
        <v>0</v>
      </c>
      <c r="AW79" s="120">
        <f>交易记录!G522</f>
        <v>0</v>
      </c>
      <c r="AX79" s="120">
        <f>交易记录!G553</f>
        <v>0</v>
      </c>
      <c r="AY79" s="30">
        <f t="shared" si="45"/>
        <v>0</v>
      </c>
      <c r="AZ79" s="123">
        <f>交易记录!G586</f>
        <v>0</v>
      </c>
      <c r="BA79" s="123">
        <f>交易记录!G617</f>
        <v>0</v>
      </c>
      <c r="BB79" s="30">
        <f t="shared" si="46"/>
        <v>0</v>
      </c>
      <c r="BC79" s="120">
        <f>交易记录!G650</f>
        <v>0</v>
      </c>
      <c r="BD79" s="120">
        <f>交易记录!G681</f>
        <v>0</v>
      </c>
      <c r="BE79" s="30">
        <f t="shared" si="47"/>
        <v>0</v>
      </c>
      <c r="BF79" s="123">
        <f>交易记录!G714</f>
        <v>0</v>
      </c>
      <c r="BG79" s="123">
        <f>交易记录!G745</f>
        <v>0</v>
      </c>
      <c r="BH79" s="30">
        <f t="shared" si="48"/>
        <v>0</v>
      </c>
      <c r="BI79" s="120">
        <f>交易记录!G778</f>
        <v>0</v>
      </c>
      <c r="BJ79" s="120">
        <f>交易记录!G809</f>
        <v>0</v>
      </c>
      <c r="BK79" s="30">
        <f t="shared" si="49"/>
        <v>0</v>
      </c>
      <c r="BL79" s="123">
        <f>交易记录!G842</f>
        <v>0</v>
      </c>
      <c r="BM79" s="123">
        <f>交易记录!G873</f>
        <v>0</v>
      </c>
      <c r="BN79" s="30">
        <f t="shared" si="50"/>
        <v>0</v>
      </c>
      <c r="BO79" s="120">
        <f>交易记录!G906</f>
        <v>0</v>
      </c>
      <c r="BP79" s="120">
        <f>交易记录!G937</f>
        <v>0</v>
      </c>
      <c r="BQ79" s="30">
        <f t="shared" si="51"/>
        <v>0</v>
      </c>
    </row>
    <row r="80" spans="1:69" ht="15">
      <c r="A80" s="125">
        <f>'维护-日期'!A$6</f>
        <v>46269</v>
      </c>
      <c r="B80" s="7" t="s">
        <v>12</v>
      </c>
      <c r="C80" s="144">
        <f t="shared" si="52"/>
        <v>12.95</v>
      </c>
      <c r="D80" s="144">
        <f>ROUND(INDEX(持仓数据!$C$3:$AG$26,MATCH('计算过程-数据汇总'!B80,持仓数据!$B$3:$B$26,0),MATCH('计算过程-数据汇总'!A80,'维护-日期'!$B$2:$AF$2,0)),3)</f>
        <v>12.95</v>
      </c>
      <c r="E80" s="98">
        <f t="shared" si="53"/>
        <v>12.95</v>
      </c>
      <c r="F80" s="22">
        <f>持仓数据!F78</f>
        <v>0.14499999999999999</v>
      </c>
      <c r="G80" s="97">
        <v>372</v>
      </c>
      <c r="H80" s="97">
        <v>372</v>
      </c>
      <c r="I80" s="64">
        <v>0</v>
      </c>
      <c r="J80" s="64">
        <v>0</v>
      </c>
      <c r="K80" s="21">
        <f>IF(持仓数据!F111="",0,持仓数据!F111)</f>
        <v>372</v>
      </c>
      <c r="L80" s="21">
        <f t="shared" si="54"/>
        <v>0</v>
      </c>
      <c r="M80" s="28">
        <f t="shared" si="38"/>
        <v>4817.3999999999996</v>
      </c>
      <c r="N80" s="28">
        <f t="shared" si="39"/>
        <v>0</v>
      </c>
      <c r="O80" s="28">
        <f t="shared" si="40"/>
        <v>0</v>
      </c>
      <c r="P80" s="28">
        <f t="shared" si="41"/>
        <v>0</v>
      </c>
      <c r="Q80" s="28">
        <f t="shared" si="55"/>
        <v>0</v>
      </c>
      <c r="R80" s="28">
        <f t="shared" si="42"/>
        <v>4817.3999999999996</v>
      </c>
      <c r="S80" s="28">
        <f t="shared" si="56"/>
        <v>0</v>
      </c>
      <c r="T80" s="28">
        <f t="shared" si="57"/>
        <v>0</v>
      </c>
      <c r="U80" s="28">
        <f t="shared" si="60"/>
        <v>0</v>
      </c>
      <c r="V80" s="28">
        <f t="shared" si="58"/>
        <v>0</v>
      </c>
      <c r="W80" s="118"/>
      <c r="X80" s="143">
        <f t="shared" si="59"/>
        <v>15.395</v>
      </c>
      <c r="Y80" s="120">
        <f>交易记录!G11</f>
        <v>0.14499999999999999</v>
      </c>
      <c r="Z80" s="120">
        <f>交易记录!G42</f>
        <v>372</v>
      </c>
      <c r="AA80" s="30">
        <f t="shared" si="43"/>
        <v>0</v>
      </c>
      <c r="AB80" s="123">
        <f>交易记录!G75</f>
        <v>0</v>
      </c>
      <c r="AC80" s="123">
        <f>交易记录!G106</f>
        <v>0</v>
      </c>
      <c r="AD80" s="30">
        <f t="shared" ref="AD80:AD143" si="66">IFERROR((AC80-$G80)*AB80,0)</f>
        <v>0</v>
      </c>
      <c r="AE80" s="120">
        <f>交易记录!G139</f>
        <v>0</v>
      </c>
      <c r="AF80" s="120">
        <f>交易记录!G170</f>
        <v>0</v>
      </c>
      <c r="AG80" s="30">
        <f t="shared" si="62"/>
        <v>0</v>
      </c>
      <c r="AH80" s="123">
        <f>交易记录!G203</f>
        <v>0</v>
      </c>
      <c r="AI80" s="123">
        <f>交易记录!G234</f>
        <v>0</v>
      </c>
      <c r="AJ80" s="30">
        <f t="shared" si="65"/>
        <v>0</v>
      </c>
      <c r="AK80" s="120">
        <f>交易记录!G267</f>
        <v>0</v>
      </c>
      <c r="AL80" s="120">
        <f>交易记录!G298</f>
        <v>0</v>
      </c>
      <c r="AM80" s="30">
        <f t="shared" si="64"/>
        <v>0</v>
      </c>
      <c r="AN80" s="123">
        <f>交易记录!G331</f>
        <v>0</v>
      </c>
      <c r="AO80" s="123">
        <f>交易记录!G362</f>
        <v>0</v>
      </c>
      <c r="AP80" s="30">
        <f t="shared" si="61"/>
        <v>0</v>
      </c>
      <c r="AQ80" s="120">
        <f>交易记录!G395</f>
        <v>0</v>
      </c>
      <c r="AR80" s="120">
        <f>交易记录!G426</f>
        <v>0</v>
      </c>
      <c r="AS80" s="30">
        <f t="shared" si="63"/>
        <v>0</v>
      </c>
      <c r="AT80" s="123">
        <f>交易记录!G459</f>
        <v>0</v>
      </c>
      <c r="AU80" s="123">
        <f>交易记录!G490</f>
        <v>0</v>
      </c>
      <c r="AV80" s="30">
        <f t="shared" si="44"/>
        <v>0</v>
      </c>
      <c r="AW80" s="120">
        <f>交易记录!G523</f>
        <v>0</v>
      </c>
      <c r="AX80" s="120">
        <f>交易记录!G554</f>
        <v>0</v>
      </c>
      <c r="AY80" s="30">
        <f t="shared" si="45"/>
        <v>0</v>
      </c>
      <c r="AZ80" s="123">
        <f>交易记录!G587</f>
        <v>0</v>
      </c>
      <c r="BA80" s="123">
        <f>交易记录!G618</f>
        <v>0</v>
      </c>
      <c r="BB80" s="30">
        <f t="shared" si="46"/>
        <v>0</v>
      </c>
      <c r="BC80" s="120">
        <f>交易记录!G651</f>
        <v>0</v>
      </c>
      <c r="BD80" s="120">
        <f>交易记录!G682</f>
        <v>0</v>
      </c>
      <c r="BE80" s="30">
        <f t="shared" si="47"/>
        <v>0</v>
      </c>
      <c r="BF80" s="123">
        <f>交易记录!G715</f>
        <v>0</v>
      </c>
      <c r="BG80" s="123">
        <f>交易记录!G746</f>
        <v>0</v>
      </c>
      <c r="BH80" s="30">
        <f t="shared" si="48"/>
        <v>0</v>
      </c>
      <c r="BI80" s="120">
        <f>交易记录!G779</f>
        <v>0</v>
      </c>
      <c r="BJ80" s="120">
        <f>交易记录!G810</f>
        <v>0</v>
      </c>
      <c r="BK80" s="30">
        <f t="shared" si="49"/>
        <v>0</v>
      </c>
      <c r="BL80" s="123">
        <f>交易记录!G843</f>
        <v>0</v>
      </c>
      <c r="BM80" s="123">
        <f>交易记录!G874</f>
        <v>0</v>
      </c>
      <c r="BN80" s="30">
        <f t="shared" si="50"/>
        <v>0</v>
      </c>
      <c r="BO80" s="120">
        <f>交易记录!G907</f>
        <v>0</v>
      </c>
      <c r="BP80" s="120">
        <f>交易记录!G938</f>
        <v>0</v>
      </c>
      <c r="BQ80" s="30">
        <f t="shared" si="51"/>
        <v>0</v>
      </c>
    </row>
    <row r="81" spans="1:69" ht="15">
      <c r="A81" s="125">
        <f>'维护-日期'!A$6</f>
        <v>46269</v>
      </c>
      <c r="B81" s="7" t="s">
        <v>13</v>
      </c>
      <c r="C81" s="144">
        <f t="shared" si="52"/>
        <v>13.266999999999999</v>
      </c>
      <c r="D81" s="144">
        <f>ROUND(INDEX(持仓数据!$C$3:$AG$26,MATCH('计算过程-数据汇总'!B81,持仓数据!$B$3:$B$26,0),MATCH('计算过程-数据汇总'!A81,'维护-日期'!$B$2:$AF$2,0)),3)</f>
        <v>13.266999999999999</v>
      </c>
      <c r="E81" s="98">
        <f t="shared" si="53"/>
        <v>13.266999999999999</v>
      </c>
      <c r="F81" s="22">
        <f>持仓数据!F79</f>
        <v>0.307</v>
      </c>
      <c r="G81" s="97">
        <v>372</v>
      </c>
      <c r="H81" s="97">
        <v>372</v>
      </c>
      <c r="I81" s="64">
        <v>0</v>
      </c>
      <c r="J81" s="64">
        <v>0</v>
      </c>
      <c r="K81" s="21">
        <f>IF(持仓数据!F112="",0,持仓数据!F112)</f>
        <v>372</v>
      </c>
      <c r="L81" s="21">
        <f t="shared" si="54"/>
        <v>0</v>
      </c>
      <c r="M81" s="28">
        <f t="shared" si="38"/>
        <v>4935.3239999999996</v>
      </c>
      <c r="N81" s="28">
        <f t="shared" si="39"/>
        <v>0</v>
      </c>
      <c r="O81" s="28">
        <f t="shared" si="40"/>
        <v>0</v>
      </c>
      <c r="P81" s="28">
        <f t="shared" si="41"/>
        <v>0</v>
      </c>
      <c r="Q81" s="28">
        <f t="shared" si="55"/>
        <v>0</v>
      </c>
      <c r="R81" s="28">
        <f t="shared" si="42"/>
        <v>4935.3239999999996</v>
      </c>
      <c r="S81" s="28">
        <f t="shared" si="56"/>
        <v>0</v>
      </c>
      <c r="T81" s="28">
        <f t="shared" si="57"/>
        <v>0</v>
      </c>
      <c r="U81" s="28">
        <f t="shared" si="60"/>
        <v>0</v>
      </c>
      <c r="V81" s="28">
        <f t="shared" si="58"/>
        <v>0</v>
      </c>
      <c r="W81" s="118"/>
      <c r="X81" s="143">
        <f t="shared" si="59"/>
        <v>15.613</v>
      </c>
      <c r="Y81" s="120">
        <f>交易记录!G12</f>
        <v>0.307</v>
      </c>
      <c r="Z81" s="120">
        <f>交易记录!G43</f>
        <v>372</v>
      </c>
      <c r="AA81" s="30">
        <f t="shared" si="43"/>
        <v>0</v>
      </c>
      <c r="AB81" s="123">
        <f>交易记录!G76</f>
        <v>0</v>
      </c>
      <c r="AC81" s="123">
        <f>交易记录!G107</f>
        <v>0</v>
      </c>
      <c r="AD81" s="30">
        <f t="shared" si="66"/>
        <v>0</v>
      </c>
      <c r="AE81" s="120">
        <f>交易记录!G140</f>
        <v>0</v>
      </c>
      <c r="AF81" s="120">
        <f>交易记录!G171</f>
        <v>0</v>
      </c>
      <c r="AG81" s="30">
        <f t="shared" si="62"/>
        <v>0</v>
      </c>
      <c r="AH81" s="123">
        <f>交易记录!G204</f>
        <v>0</v>
      </c>
      <c r="AI81" s="123">
        <f>交易记录!G235</f>
        <v>0</v>
      </c>
      <c r="AJ81" s="30">
        <f t="shared" si="65"/>
        <v>0</v>
      </c>
      <c r="AK81" s="120">
        <f>交易记录!G268</f>
        <v>0</v>
      </c>
      <c r="AL81" s="120">
        <f>交易记录!G299</f>
        <v>0</v>
      </c>
      <c r="AM81" s="30">
        <f t="shared" si="64"/>
        <v>0</v>
      </c>
      <c r="AN81" s="123">
        <f>交易记录!G332</f>
        <v>0</v>
      </c>
      <c r="AO81" s="123">
        <f>交易记录!G363</f>
        <v>0</v>
      </c>
      <c r="AP81" s="30">
        <f t="shared" si="61"/>
        <v>0</v>
      </c>
      <c r="AQ81" s="120">
        <f>交易记录!G396</f>
        <v>0</v>
      </c>
      <c r="AR81" s="120">
        <f>交易记录!G427</f>
        <v>0</v>
      </c>
      <c r="AS81" s="30">
        <f t="shared" si="63"/>
        <v>0</v>
      </c>
      <c r="AT81" s="123">
        <f>交易记录!G460</f>
        <v>0</v>
      </c>
      <c r="AU81" s="123">
        <f>交易记录!G491</f>
        <v>0</v>
      </c>
      <c r="AV81" s="30">
        <f t="shared" si="44"/>
        <v>0</v>
      </c>
      <c r="AW81" s="120">
        <f>交易记录!G524</f>
        <v>0</v>
      </c>
      <c r="AX81" s="120">
        <f>交易记录!G555</f>
        <v>0</v>
      </c>
      <c r="AY81" s="30">
        <f t="shared" si="45"/>
        <v>0</v>
      </c>
      <c r="AZ81" s="123">
        <f>交易记录!G588</f>
        <v>0</v>
      </c>
      <c r="BA81" s="123">
        <f>交易记录!G619</f>
        <v>0</v>
      </c>
      <c r="BB81" s="30">
        <f t="shared" si="46"/>
        <v>0</v>
      </c>
      <c r="BC81" s="120">
        <f>交易记录!G652</f>
        <v>0</v>
      </c>
      <c r="BD81" s="120">
        <f>交易记录!G683</f>
        <v>0</v>
      </c>
      <c r="BE81" s="30">
        <f t="shared" si="47"/>
        <v>0</v>
      </c>
      <c r="BF81" s="123">
        <f>交易记录!G716</f>
        <v>0</v>
      </c>
      <c r="BG81" s="123">
        <f>交易记录!G747</f>
        <v>0</v>
      </c>
      <c r="BH81" s="30">
        <f t="shared" si="48"/>
        <v>0</v>
      </c>
      <c r="BI81" s="120">
        <f>交易记录!G780</f>
        <v>0</v>
      </c>
      <c r="BJ81" s="120">
        <f>交易记录!G811</f>
        <v>0</v>
      </c>
      <c r="BK81" s="30">
        <f t="shared" si="49"/>
        <v>0</v>
      </c>
      <c r="BL81" s="123">
        <f>交易记录!G844</f>
        <v>0</v>
      </c>
      <c r="BM81" s="123">
        <f>交易记录!G875</f>
        <v>0</v>
      </c>
      <c r="BN81" s="30">
        <f t="shared" si="50"/>
        <v>0</v>
      </c>
      <c r="BO81" s="120">
        <f>交易记录!G908</f>
        <v>0</v>
      </c>
      <c r="BP81" s="120">
        <f>交易记录!G939</f>
        <v>0</v>
      </c>
      <c r="BQ81" s="30">
        <f t="shared" si="51"/>
        <v>0</v>
      </c>
    </row>
    <row r="82" spans="1:69" ht="15">
      <c r="A82" s="125">
        <f>'维护-日期'!A$6</f>
        <v>46269</v>
      </c>
      <c r="B82" s="7" t="s">
        <v>14</v>
      </c>
      <c r="C82" s="144">
        <f t="shared" si="52"/>
        <v>15.795999999999999</v>
      </c>
      <c r="D82" s="144">
        <f>ROUND(INDEX(持仓数据!$C$3:$AG$26,MATCH('计算过程-数据汇总'!B82,持仓数据!$B$3:$B$26,0),MATCH('计算过程-数据汇总'!A82,'维护-日期'!$B$2:$AF$2,0)),3)</f>
        <v>15.795999999999999</v>
      </c>
      <c r="E82" s="98">
        <f t="shared" si="53"/>
        <v>15.795999999999999</v>
      </c>
      <c r="F82" s="22">
        <f>持仓数据!F80</f>
        <v>0.42800000000000005</v>
      </c>
      <c r="G82" s="97">
        <v>372</v>
      </c>
      <c r="H82" s="97">
        <v>372</v>
      </c>
      <c r="I82" s="64">
        <v>0</v>
      </c>
      <c r="J82" s="64">
        <v>0</v>
      </c>
      <c r="K82" s="21">
        <f>IF(持仓数据!F113="",0,持仓数据!F113)</f>
        <v>372</v>
      </c>
      <c r="L82" s="21">
        <f t="shared" si="54"/>
        <v>0</v>
      </c>
      <c r="M82" s="28">
        <f t="shared" si="38"/>
        <v>5876.1120000000001</v>
      </c>
      <c r="N82" s="28">
        <f t="shared" si="39"/>
        <v>0</v>
      </c>
      <c r="O82" s="28">
        <f t="shared" si="40"/>
        <v>0</v>
      </c>
      <c r="P82" s="28">
        <f t="shared" si="41"/>
        <v>0</v>
      </c>
      <c r="Q82" s="28">
        <f t="shared" si="55"/>
        <v>0</v>
      </c>
      <c r="R82" s="28">
        <f t="shared" si="42"/>
        <v>5876.1120000000001</v>
      </c>
      <c r="S82" s="28">
        <f t="shared" si="56"/>
        <v>0</v>
      </c>
      <c r="T82" s="28">
        <f t="shared" si="57"/>
        <v>0</v>
      </c>
      <c r="U82" s="28">
        <f t="shared" si="60"/>
        <v>0</v>
      </c>
      <c r="V82" s="28">
        <f t="shared" si="58"/>
        <v>0</v>
      </c>
      <c r="W82" s="118"/>
      <c r="X82" s="143">
        <f t="shared" si="59"/>
        <v>18.527000000000001</v>
      </c>
      <c r="Y82" s="120">
        <f>交易记录!G13</f>
        <v>0.42800000000000005</v>
      </c>
      <c r="Z82" s="120">
        <f>交易记录!G44</f>
        <v>372</v>
      </c>
      <c r="AA82" s="30">
        <f t="shared" si="43"/>
        <v>0</v>
      </c>
      <c r="AB82" s="123">
        <f>交易记录!G77</f>
        <v>0</v>
      </c>
      <c r="AC82" s="123">
        <f>交易记录!G108</f>
        <v>0</v>
      </c>
      <c r="AD82" s="30">
        <f t="shared" si="66"/>
        <v>0</v>
      </c>
      <c r="AE82" s="120">
        <f>交易记录!G141</f>
        <v>0</v>
      </c>
      <c r="AF82" s="120">
        <f>交易记录!G172</f>
        <v>0</v>
      </c>
      <c r="AG82" s="30">
        <f t="shared" si="62"/>
        <v>0</v>
      </c>
      <c r="AH82" s="123">
        <f>交易记录!G205</f>
        <v>0</v>
      </c>
      <c r="AI82" s="123">
        <f>交易记录!G236</f>
        <v>0</v>
      </c>
      <c r="AJ82" s="30">
        <f t="shared" si="65"/>
        <v>0</v>
      </c>
      <c r="AK82" s="120">
        <f>交易记录!G269</f>
        <v>0</v>
      </c>
      <c r="AL82" s="120">
        <f>交易记录!G300</f>
        <v>0</v>
      </c>
      <c r="AM82" s="30">
        <f t="shared" si="64"/>
        <v>0</v>
      </c>
      <c r="AN82" s="123">
        <f>交易记录!G333</f>
        <v>0</v>
      </c>
      <c r="AO82" s="123">
        <f>交易记录!G364</f>
        <v>0</v>
      </c>
      <c r="AP82" s="30">
        <f t="shared" si="61"/>
        <v>0</v>
      </c>
      <c r="AQ82" s="120">
        <f>交易记录!G397</f>
        <v>0</v>
      </c>
      <c r="AR82" s="120">
        <f>交易记录!G428</f>
        <v>0</v>
      </c>
      <c r="AS82" s="30">
        <f t="shared" si="63"/>
        <v>0</v>
      </c>
      <c r="AT82" s="123">
        <f>交易记录!G461</f>
        <v>0</v>
      </c>
      <c r="AU82" s="123">
        <f>交易记录!G492</f>
        <v>0</v>
      </c>
      <c r="AV82" s="30">
        <f t="shared" si="44"/>
        <v>0</v>
      </c>
      <c r="AW82" s="120">
        <f>交易记录!G525</f>
        <v>0</v>
      </c>
      <c r="AX82" s="120">
        <f>交易记录!G556</f>
        <v>0</v>
      </c>
      <c r="AY82" s="30">
        <f t="shared" si="45"/>
        <v>0</v>
      </c>
      <c r="AZ82" s="123">
        <f>交易记录!G589</f>
        <v>0</v>
      </c>
      <c r="BA82" s="123">
        <f>交易记录!G620</f>
        <v>0</v>
      </c>
      <c r="BB82" s="30">
        <f t="shared" si="46"/>
        <v>0</v>
      </c>
      <c r="BC82" s="120">
        <f>交易记录!G653</f>
        <v>0</v>
      </c>
      <c r="BD82" s="120">
        <f>交易记录!G684</f>
        <v>0</v>
      </c>
      <c r="BE82" s="30">
        <f t="shared" si="47"/>
        <v>0</v>
      </c>
      <c r="BF82" s="123">
        <f>交易记录!G717</f>
        <v>0</v>
      </c>
      <c r="BG82" s="123">
        <f>交易记录!G748</f>
        <v>0</v>
      </c>
      <c r="BH82" s="30">
        <f t="shared" si="48"/>
        <v>0</v>
      </c>
      <c r="BI82" s="120">
        <f>交易记录!G781</f>
        <v>0</v>
      </c>
      <c r="BJ82" s="120">
        <f>交易记录!G812</f>
        <v>0</v>
      </c>
      <c r="BK82" s="30">
        <f t="shared" si="49"/>
        <v>0</v>
      </c>
      <c r="BL82" s="123">
        <f>交易记录!G845</f>
        <v>0</v>
      </c>
      <c r="BM82" s="123">
        <f>交易记录!G876</f>
        <v>0</v>
      </c>
      <c r="BN82" s="30">
        <f t="shared" si="50"/>
        <v>0</v>
      </c>
      <c r="BO82" s="120">
        <f>交易记录!G909</f>
        <v>0</v>
      </c>
      <c r="BP82" s="120">
        <f>交易记录!G940</f>
        <v>0</v>
      </c>
      <c r="BQ82" s="30">
        <f t="shared" si="51"/>
        <v>0</v>
      </c>
    </row>
    <row r="83" spans="1:69" ht="15">
      <c r="A83" s="125">
        <f>'维护-日期'!A$6</f>
        <v>46269</v>
      </c>
      <c r="B83" s="7" t="s">
        <v>15</v>
      </c>
      <c r="C83" s="144">
        <f t="shared" si="52"/>
        <v>19.308</v>
      </c>
      <c r="D83" s="144">
        <f>ROUND(INDEX(持仓数据!$C$3:$AG$26,MATCH('计算过程-数据汇总'!B83,持仓数据!$B$3:$B$26,0),MATCH('计算过程-数据汇总'!A83,'维护-日期'!$B$2:$AF$2,0)),3)</f>
        <v>19.308</v>
      </c>
      <c r="E83" s="98">
        <f t="shared" si="53"/>
        <v>19.308</v>
      </c>
      <c r="F83" s="22">
        <f>持仓数据!F81</f>
        <v>0.46100000000000002</v>
      </c>
      <c r="G83" s="97">
        <v>372</v>
      </c>
      <c r="H83" s="97">
        <v>372</v>
      </c>
      <c r="I83" s="64">
        <v>0</v>
      </c>
      <c r="J83" s="64">
        <v>0</v>
      </c>
      <c r="K83" s="21">
        <f>IF(持仓数据!F114="",0,持仓数据!F114)</f>
        <v>372</v>
      </c>
      <c r="L83" s="21">
        <f t="shared" si="54"/>
        <v>0</v>
      </c>
      <c r="M83" s="28">
        <f t="shared" si="38"/>
        <v>7182.576</v>
      </c>
      <c r="N83" s="28">
        <f t="shared" si="39"/>
        <v>0</v>
      </c>
      <c r="O83" s="28">
        <f t="shared" si="40"/>
        <v>0</v>
      </c>
      <c r="P83" s="28">
        <f t="shared" si="41"/>
        <v>0</v>
      </c>
      <c r="Q83" s="28">
        <f t="shared" si="55"/>
        <v>0</v>
      </c>
      <c r="R83" s="28">
        <f t="shared" si="42"/>
        <v>7182.576</v>
      </c>
      <c r="S83" s="28">
        <f t="shared" si="56"/>
        <v>0</v>
      </c>
      <c r="T83" s="28">
        <f t="shared" si="57"/>
        <v>0</v>
      </c>
      <c r="U83" s="28">
        <f t="shared" si="60"/>
        <v>0</v>
      </c>
      <c r="V83" s="28">
        <f t="shared" si="58"/>
        <v>0</v>
      </c>
      <c r="W83" s="118"/>
      <c r="X83" s="143">
        <f t="shared" si="59"/>
        <v>22.709</v>
      </c>
      <c r="Y83" s="120">
        <f>交易记录!G14</f>
        <v>0.46100000000000002</v>
      </c>
      <c r="Z83" s="120">
        <f>交易记录!G45</f>
        <v>372</v>
      </c>
      <c r="AA83" s="30">
        <f t="shared" si="43"/>
        <v>0</v>
      </c>
      <c r="AB83" s="123">
        <f>交易记录!G78</f>
        <v>0</v>
      </c>
      <c r="AC83" s="123">
        <f>交易记录!G109</f>
        <v>0</v>
      </c>
      <c r="AD83" s="30">
        <f t="shared" si="66"/>
        <v>0</v>
      </c>
      <c r="AE83" s="120">
        <f>交易记录!G142</f>
        <v>0</v>
      </c>
      <c r="AF83" s="120">
        <f>交易记录!G173</f>
        <v>0</v>
      </c>
      <c r="AG83" s="30">
        <f t="shared" si="62"/>
        <v>0</v>
      </c>
      <c r="AH83" s="123">
        <f>交易记录!G206</f>
        <v>0</v>
      </c>
      <c r="AI83" s="123">
        <f>交易记录!G237</f>
        <v>0</v>
      </c>
      <c r="AJ83" s="30">
        <f t="shared" si="65"/>
        <v>0</v>
      </c>
      <c r="AK83" s="120">
        <f>交易记录!G270</f>
        <v>0</v>
      </c>
      <c r="AL83" s="120">
        <f>交易记录!G301</f>
        <v>0</v>
      </c>
      <c r="AM83" s="30">
        <f t="shared" si="64"/>
        <v>0</v>
      </c>
      <c r="AN83" s="123">
        <f>交易记录!G334</f>
        <v>0</v>
      </c>
      <c r="AO83" s="123">
        <f>交易记录!G365</f>
        <v>0</v>
      </c>
      <c r="AP83" s="30">
        <f t="shared" si="61"/>
        <v>0</v>
      </c>
      <c r="AQ83" s="120">
        <f>交易记录!G398</f>
        <v>0</v>
      </c>
      <c r="AR83" s="120">
        <f>交易记录!G429</f>
        <v>0</v>
      </c>
      <c r="AS83" s="30">
        <f t="shared" si="63"/>
        <v>0</v>
      </c>
      <c r="AT83" s="123">
        <f>交易记录!G462</f>
        <v>0</v>
      </c>
      <c r="AU83" s="123">
        <f>交易记录!G493</f>
        <v>0</v>
      </c>
      <c r="AV83" s="30">
        <f t="shared" si="44"/>
        <v>0</v>
      </c>
      <c r="AW83" s="120">
        <f>交易记录!G526</f>
        <v>0</v>
      </c>
      <c r="AX83" s="120">
        <f>交易记录!G557</f>
        <v>0</v>
      </c>
      <c r="AY83" s="30">
        <f t="shared" si="45"/>
        <v>0</v>
      </c>
      <c r="AZ83" s="123">
        <f>交易记录!G590</f>
        <v>0</v>
      </c>
      <c r="BA83" s="123">
        <f>交易记录!G621</f>
        <v>0</v>
      </c>
      <c r="BB83" s="30">
        <f t="shared" si="46"/>
        <v>0</v>
      </c>
      <c r="BC83" s="120">
        <f>交易记录!G654</f>
        <v>0</v>
      </c>
      <c r="BD83" s="120">
        <f>交易记录!G685</f>
        <v>0</v>
      </c>
      <c r="BE83" s="30">
        <f t="shared" si="47"/>
        <v>0</v>
      </c>
      <c r="BF83" s="123">
        <f>交易记录!G718</f>
        <v>0</v>
      </c>
      <c r="BG83" s="123">
        <f>交易记录!G749</f>
        <v>0</v>
      </c>
      <c r="BH83" s="30">
        <f t="shared" si="48"/>
        <v>0</v>
      </c>
      <c r="BI83" s="120">
        <f>交易记录!G782</f>
        <v>0</v>
      </c>
      <c r="BJ83" s="120">
        <f>交易记录!G813</f>
        <v>0</v>
      </c>
      <c r="BK83" s="30">
        <f t="shared" si="49"/>
        <v>0</v>
      </c>
      <c r="BL83" s="123">
        <f>交易记录!G846</f>
        <v>0</v>
      </c>
      <c r="BM83" s="123">
        <f>交易记录!G877</f>
        <v>0</v>
      </c>
      <c r="BN83" s="30">
        <f t="shared" si="50"/>
        <v>0</v>
      </c>
      <c r="BO83" s="120">
        <f>交易记录!G910</f>
        <v>0</v>
      </c>
      <c r="BP83" s="120">
        <f>交易记录!G941</f>
        <v>0</v>
      </c>
      <c r="BQ83" s="30">
        <f t="shared" si="51"/>
        <v>0</v>
      </c>
    </row>
    <row r="84" spans="1:69" ht="15">
      <c r="A84" s="125">
        <f>'维护-日期'!A$6</f>
        <v>46269</v>
      </c>
      <c r="B84" s="7" t="s">
        <v>16</v>
      </c>
      <c r="C84" s="144">
        <f t="shared" si="52"/>
        <v>21.01</v>
      </c>
      <c r="D84" s="144">
        <f>ROUND(INDEX(持仓数据!$C$3:$AG$26,MATCH('计算过程-数据汇总'!B84,持仓数据!$B$3:$B$26,0),MATCH('计算过程-数据汇总'!A84,'维护-日期'!$B$2:$AF$2,0)),3)</f>
        <v>21.01</v>
      </c>
      <c r="E84" s="98">
        <f t="shared" si="53"/>
        <v>21.01</v>
      </c>
      <c r="F84" s="22">
        <f>持仓数据!F82</f>
        <v>0.46700000000000003</v>
      </c>
      <c r="G84" s="97">
        <v>372</v>
      </c>
      <c r="H84" s="97">
        <v>372</v>
      </c>
      <c r="I84" s="64">
        <v>0</v>
      </c>
      <c r="J84" s="64">
        <v>0</v>
      </c>
      <c r="K84" s="21">
        <f>IF(持仓数据!F115="",0,持仓数据!F115)</f>
        <v>372</v>
      </c>
      <c r="L84" s="21">
        <f t="shared" si="54"/>
        <v>0</v>
      </c>
      <c r="M84" s="28">
        <f t="shared" si="38"/>
        <v>7815.72</v>
      </c>
      <c r="N84" s="28">
        <f t="shared" si="39"/>
        <v>0</v>
      </c>
      <c r="O84" s="28">
        <f t="shared" si="40"/>
        <v>0</v>
      </c>
      <c r="P84" s="28">
        <f t="shared" si="41"/>
        <v>0</v>
      </c>
      <c r="Q84" s="28">
        <f t="shared" si="55"/>
        <v>0</v>
      </c>
      <c r="R84" s="28">
        <f t="shared" si="42"/>
        <v>7815.72</v>
      </c>
      <c r="S84" s="28">
        <f t="shared" si="56"/>
        <v>0</v>
      </c>
      <c r="T84" s="28">
        <f t="shared" si="57"/>
        <v>0</v>
      </c>
      <c r="U84" s="28">
        <f t="shared" si="60"/>
        <v>0</v>
      </c>
      <c r="V84" s="28">
        <f t="shared" si="58"/>
        <v>0</v>
      </c>
      <c r="W84" s="118"/>
      <c r="X84" s="143">
        <f t="shared" si="59"/>
        <v>24.745000000000001</v>
      </c>
      <c r="Y84" s="120">
        <f>交易记录!G15</f>
        <v>0.46700000000000003</v>
      </c>
      <c r="Z84" s="120">
        <f>交易记录!G46</f>
        <v>372</v>
      </c>
      <c r="AA84" s="30">
        <f t="shared" si="43"/>
        <v>0</v>
      </c>
      <c r="AB84" s="123">
        <f>交易记录!G79</f>
        <v>0</v>
      </c>
      <c r="AC84" s="123">
        <f>交易记录!G110</f>
        <v>0</v>
      </c>
      <c r="AD84" s="30">
        <f t="shared" si="66"/>
        <v>0</v>
      </c>
      <c r="AE84" s="120">
        <f>交易记录!G143</f>
        <v>0</v>
      </c>
      <c r="AF84" s="120">
        <f>交易记录!G174</f>
        <v>0</v>
      </c>
      <c r="AG84" s="30">
        <f t="shared" si="62"/>
        <v>0</v>
      </c>
      <c r="AH84" s="123">
        <f>交易记录!G207</f>
        <v>0</v>
      </c>
      <c r="AI84" s="123">
        <f>交易记录!G238</f>
        <v>0</v>
      </c>
      <c r="AJ84" s="30">
        <f t="shared" si="65"/>
        <v>0</v>
      </c>
      <c r="AK84" s="120">
        <f>交易记录!G271</f>
        <v>0</v>
      </c>
      <c r="AL84" s="120">
        <f>交易记录!G302</f>
        <v>0</v>
      </c>
      <c r="AM84" s="30">
        <f t="shared" si="64"/>
        <v>0</v>
      </c>
      <c r="AN84" s="123">
        <f>交易记录!G335</f>
        <v>0</v>
      </c>
      <c r="AO84" s="123">
        <f>交易记录!G366</f>
        <v>0</v>
      </c>
      <c r="AP84" s="30">
        <f t="shared" si="61"/>
        <v>0</v>
      </c>
      <c r="AQ84" s="120">
        <f>交易记录!G399</f>
        <v>0</v>
      </c>
      <c r="AR84" s="120">
        <f>交易记录!G430</f>
        <v>0</v>
      </c>
      <c r="AS84" s="30">
        <f t="shared" si="63"/>
        <v>0</v>
      </c>
      <c r="AT84" s="123">
        <f>交易记录!G463</f>
        <v>0</v>
      </c>
      <c r="AU84" s="123">
        <f>交易记录!G494</f>
        <v>0</v>
      </c>
      <c r="AV84" s="30">
        <f t="shared" si="44"/>
        <v>0</v>
      </c>
      <c r="AW84" s="120">
        <f>交易记录!G527</f>
        <v>0</v>
      </c>
      <c r="AX84" s="120">
        <f>交易记录!G558</f>
        <v>0</v>
      </c>
      <c r="AY84" s="30">
        <f t="shared" si="45"/>
        <v>0</v>
      </c>
      <c r="AZ84" s="123">
        <f>交易记录!G591</f>
        <v>0</v>
      </c>
      <c r="BA84" s="123">
        <f>交易记录!G622</f>
        <v>0</v>
      </c>
      <c r="BB84" s="30">
        <f t="shared" si="46"/>
        <v>0</v>
      </c>
      <c r="BC84" s="120">
        <f>交易记录!G655</f>
        <v>0</v>
      </c>
      <c r="BD84" s="120">
        <f>交易记录!G686</f>
        <v>0</v>
      </c>
      <c r="BE84" s="30">
        <f t="shared" si="47"/>
        <v>0</v>
      </c>
      <c r="BF84" s="123">
        <f>交易记录!G719</f>
        <v>0</v>
      </c>
      <c r="BG84" s="123">
        <f>交易记录!G750</f>
        <v>0</v>
      </c>
      <c r="BH84" s="30">
        <f t="shared" si="48"/>
        <v>0</v>
      </c>
      <c r="BI84" s="120">
        <f>交易记录!G783</f>
        <v>0</v>
      </c>
      <c r="BJ84" s="120">
        <f>交易记录!G814</f>
        <v>0</v>
      </c>
      <c r="BK84" s="30">
        <f t="shared" si="49"/>
        <v>0</v>
      </c>
      <c r="BL84" s="123">
        <f>交易记录!G847</f>
        <v>0</v>
      </c>
      <c r="BM84" s="123">
        <f>交易记录!G878</f>
        <v>0</v>
      </c>
      <c r="BN84" s="30">
        <f t="shared" si="50"/>
        <v>0</v>
      </c>
      <c r="BO84" s="120">
        <f>交易记录!G911</f>
        <v>0</v>
      </c>
      <c r="BP84" s="120">
        <f>交易记录!G942</f>
        <v>0</v>
      </c>
      <c r="BQ84" s="30">
        <f t="shared" si="51"/>
        <v>0</v>
      </c>
    </row>
    <row r="85" spans="1:69" ht="15">
      <c r="A85" s="125">
        <f>'维护-日期'!A$6</f>
        <v>46269</v>
      </c>
      <c r="B85" s="7" t="s">
        <v>17</v>
      </c>
      <c r="C85" s="144">
        <f t="shared" si="52"/>
        <v>21.329000000000001</v>
      </c>
      <c r="D85" s="144">
        <f>ROUND(INDEX(持仓数据!$C$3:$AG$26,MATCH('计算过程-数据汇总'!B85,持仓数据!$B$3:$B$26,0),MATCH('计算过程-数据汇总'!A85,'维护-日期'!$B$2:$AF$2,0)),3)</f>
        <v>21.329000000000001</v>
      </c>
      <c r="E85" s="98">
        <f t="shared" si="53"/>
        <v>21.329000000000001</v>
      </c>
      <c r="F85" s="22">
        <f>持仓数据!F83</f>
        <v>0.32100000000000001</v>
      </c>
      <c r="G85" s="97">
        <v>372</v>
      </c>
      <c r="H85" s="97">
        <v>372</v>
      </c>
      <c r="I85" s="64">
        <v>0</v>
      </c>
      <c r="J85" s="64">
        <v>0</v>
      </c>
      <c r="K85" s="21">
        <f>IF(持仓数据!F116="",0,持仓数据!F116)</f>
        <v>372</v>
      </c>
      <c r="L85" s="21">
        <f t="shared" si="54"/>
        <v>0</v>
      </c>
      <c r="M85" s="28">
        <f t="shared" si="38"/>
        <v>7934.3879999999999</v>
      </c>
      <c r="N85" s="28">
        <f t="shared" si="39"/>
        <v>0</v>
      </c>
      <c r="O85" s="28">
        <f t="shared" si="40"/>
        <v>0</v>
      </c>
      <c r="P85" s="28">
        <f t="shared" si="41"/>
        <v>0</v>
      </c>
      <c r="Q85" s="28">
        <f t="shared" si="55"/>
        <v>0</v>
      </c>
      <c r="R85" s="28">
        <f t="shared" si="42"/>
        <v>7934.3879999999999</v>
      </c>
      <c r="S85" s="28">
        <f t="shared" si="56"/>
        <v>0</v>
      </c>
      <c r="T85" s="28">
        <f t="shared" si="57"/>
        <v>0</v>
      </c>
      <c r="U85" s="28">
        <f t="shared" si="60"/>
        <v>0</v>
      </c>
      <c r="V85" s="28">
        <f t="shared" si="58"/>
        <v>0</v>
      </c>
      <c r="W85" s="118"/>
      <c r="X85" s="143">
        <f t="shared" si="59"/>
        <v>25.274000000000001</v>
      </c>
      <c r="Y85" s="120">
        <f>交易记录!G16</f>
        <v>0.32100000000000001</v>
      </c>
      <c r="Z85" s="120">
        <f>交易记录!G47</f>
        <v>372</v>
      </c>
      <c r="AA85" s="30">
        <f t="shared" si="43"/>
        <v>0</v>
      </c>
      <c r="AB85" s="123">
        <f>交易记录!G80</f>
        <v>0</v>
      </c>
      <c r="AC85" s="123">
        <f>交易记录!G111</f>
        <v>0</v>
      </c>
      <c r="AD85" s="30">
        <f t="shared" si="66"/>
        <v>0</v>
      </c>
      <c r="AE85" s="120">
        <f>交易记录!G144</f>
        <v>0</v>
      </c>
      <c r="AF85" s="120">
        <f>交易记录!G175</f>
        <v>0</v>
      </c>
      <c r="AG85" s="30">
        <f t="shared" si="62"/>
        <v>0</v>
      </c>
      <c r="AH85" s="123">
        <f>交易记录!G208</f>
        <v>0</v>
      </c>
      <c r="AI85" s="123">
        <f>交易记录!G239</f>
        <v>0</v>
      </c>
      <c r="AJ85" s="30">
        <f t="shared" si="65"/>
        <v>0</v>
      </c>
      <c r="AK85" s="120">
        <f>交易记录!G272</f>
        <v>0</v>
      </c>
      <c r="AL85" s="120">
        <f>交易记录!G303</f>
        <v>0</v>
      </c>
      <c r="AM85" s="30">
        <f t="shared" si="64"/>
        <v>0</v>
      </c>
      <c r="AN85" s="123">
        <f>交易记录!G336</f>
        <v>0</v>
      </c>
      <c r="AO85" s="123">
        <f>交易记录!G367</f>
        <v>0</v>
      </c>
      <c r="AP85" s="30">
        <f t="shared" si="61"/>
        <v>0</v>
      </c>
      <c r="AQ85" s="120">
        <f>交易记录!G400</f>
        <v>0</v>
      </c>
      <c r="AR85" s="120">
        <f>交易记录!G431</f>
        <v>0</v>
      </c>
      <c r="AS85" s="30">
        <f t="shared" si="63"/>
        <v>0</v>
      </c>
      <c r="AT85" s="123">
        <f>交易记录!G464</f>
        <v>0</v>
      </c>
      <c r="AU85" s="123">
        <f>交易记录!G495</f>
        <v>0</v>
      </c>
      <c r="AV85" s="30">
        <f t="shared" si="44"/>
        <v>0</v>
      </c>
      <c r="AW85" s="120">
        <f>交易记录!G528</f>
        <v>0</v>
      </c>
      <c r="AX85" s="120">
        <f>交易记录!G559</f>
        <v>0</v>
      </c>
      <c r="AY85" s="30">
        <f t="shared" si="45"/>
        <v>0</v>
      </c>
      <c r="AZ85" s="123">
        <f>交易记录!G592</f>
        <v>0</v>
      </c>
      <c r="BA85" s="123">
        <f>交易记录!G623</f>
        <v>0</v>
      </c>
      <c r="BB85" s="30">
        <f t="shared" si="46"/>
        <v>0</v>
      </c>
      <c r="BC85" s="120">
        <f>交易记录!G656</f>
        <v>0</v>
      </c>
      <c r="BD85" s="120">
        <f>交易记录!G687</f>
        <v>0</v>
      </c>
      <c r="BE85" s="30">
        <f t="shared" si="47"/>
        <v>0</v>
      </c>
      <c r="BF85" s="123">
        <f>交易记录!G720</f>
        <v>0</v>
      </c>
      <c r="BG85" s="123">
        <f>交易记录!G751</f>
        <v>0</v>
      </c>
      <c r="BH85" s="30">
        <f t="shared" si="48"/>
        <v>0</v>
      </c>
      <c r="BI85" s="120">
        <f>交易记录!G784</f>
        <v>0</v>
      </c>
      <c r="BJ85" s="120">
        <f>交易记录!G815</f>
        <v>0</v>
      </c>
      <c r="BK85" s="30">
        <f t="shared" si="49"/>
        <v>0</v>
      </c>
      <c r="BL85" s="123">
        <f>交易记录!G848</f>
        <v>0</v>
      </c>
      <c r="BM85" s="123">
        <f>交易记录!G879</f>
        <v>0</v>
      </c>
      <c r="BN85" s="30">
        <f t="shared" si="50"/>
        <v>0</v>
      </c>
      <c r="BO85" s="120">
        <f>交易记录!G912</f>
        <v>0</v>
      </c>
      <c r="BP85" s="120">
        <f>交易记录!G943</f>
        <v>0</v>
      </c>
      <c r="BQ85" s="30">
        <f t="shared" si="51"/>
        <v>0</v>
      </c>
    </row>
    <row r="86" spans="1:69" ht="15">
      <c r="A86" s="125">
        <f>'维护-日期'!A$6</f>
        <v>46269</v>
      </c>
      <c r="B86" s="7" t="s">
        <v>18</v>
      </c>
      <c r="C86" s="144">
        <f t="shared" si="52"/>
        <v>22.643999999999998</v>
      </c>
      <c r="D86" s="144">
        <f>ROUND(INDEX(持仓数据!$C$3:$AG$26,MATCH('计算过程-数据汇总'!B86,持仓数据!$B$3:$B$26,0),MATCH('计算过程-数据汇总'!A86,'维护-日期'!$B$2:$AF$2,0)),3)</f>
        <v>22.643999999999998</v>
      </c>
      <c r="E86" s="98">
        <f t="shared" si="53"/>
        <v>22.643999999999998</v>
      </c>
      <c r="F86" s="22">
        <f>持仓数据!F84</f>
        <v>7.8E-2</v>
      </c>
      <c r="G86" s="97">
        <v>372</v>
      </c>
      <c r="H86" s="97">
        <v>372</v>
      </c>
      <c r="I86" s="64">
        <v>0</v>
      </c>
      <c r="J86" s="64">
        <v>0</v>
      </c>
      <c r="K86" s="21">
        <f>IF(持仓数据!F117="",0,持仓数据!F117)</f>
        <v>372</v>
      </c>
      <c r="L86" s="21">
        <f t="shared" si="54"/>
        <v>0</v>
      </c>
      <c r="M86" s="28">
        <f t="shared" si="38"/>
        <v>8423.5679999999993</v>
      </c>
      <c r="N86" s="28">
        <f t="shared" si="39"/>
        <v>0</v>
      </c>
      <c r="O86" s="28">
        <f t="shared" si="40"/>
        <v>0</v>
      </c>
      <c r="P86" s="28">
        <f t="shared" si="41"/>
        <v>0</v>
      </c>
      <c r="Q86" s="28">
        <f t="shared" si="55"/>
        <v>0</v>
      </c>
      <c r="R86" s="28">
        <f t="shared" si="42"/>
        <v>8423.5679999999993</v>
      </c>
      <c r="S86" s="28">
        <f t="shared" si="56"/>
        <v>0</v>
      </c>
      <c r="T86" s="28">
        <f t="shared" si="57"/>
        <v>0</v>
      </c>
      <c r="U86" s="28">
        <f t="shared" si="60"/>
        <v>0</v>
      </c>
      <c r="V86" s="28">
        <f t="shared" si="58"/>
        <v>0</v>
      </c>
      <c r="W86" s="118"/>
      <c r="X86" s="143">
        <f t="shared" si="59"/>
        <v>27.094999999999999</v>
      </c>
      <c r="Y86" s="120">
        <f>交易记录!G17</f>
        <v>7.8E-2</v>
      </c>
      <c r="Z86" s="120">
        <f>交易记录!G48</f>
        <v>372</v>
      </c>
      <c r="AA86" s="30">
        <f t="shared" si="43"/>
        <v>0</v>
      </c>
      <c r="AB86" s="123">
        <f>交易记录!G81</f>
        <v>0</v>
      </c>
      <c r="AC86" s="123">
        <f>交易记录!G112</f>
        <v>0</v>
      </c>
      <c r="AD86" s="30">
        <f t="shared" si="66"/>
        <v>0</v>
      </c>
      <c r="AE86" s="120">
        <f>交易记录!G145</f>
        <v>0</v>
      </c>
      <c r="AF86" s="120">
        <f>交易记录!G176</f>
        <v>0</v>
      </c>
      <c r="AG86" s="30">
        <f t="shared" si="62"/>
        <v>0</v>
      </c>
      <c r="AH86" s="123">
        <f>交易记录!G209</f>
        <v>0</v>
      </c>
      <c r="AI86" s="123">
        <f>交易记录!G240</f>
        <v>0</v>
      </c>
      <c r="AJ86" s="30">
        <f t="shared" si="65"/>
        <v>0</v>
      </c>
      <c r="AK86" s="120">
        <f>交易记录!G273</f>
        <v>0</v>
      </c>
      <c r="AL86" s="120">
        <f>交易记录!G304</f>
        <v>0</v>
      </c>
      <c r="AM86" s="30">
        <f t="shared" si="64"/>
        <v>0</v>
      </c>
      <c r="AN86" s="123">
        <f>交易记录!G337</f>
        <v>0</v>
      </c>
      <c r="AO86" s="123">
        <f>交易记录!G368</f>
        <v>0</v>
      </c>
      <c r="AP86" s="30">
        <f t="shared" si="61"/>
        <v>0</v>
      </c>
      <c r="AQ86" s="120">
        <f>交易记录!G401</f>
        <v>0</v>
      </c>
      <c r="AR86" s="120">
        <f>交易记录!G432</f>
        <v>0</v>
      </c>
      <c r="AS86" s="30">
        <f t="shared" si="63"/>
        <v>0</v>
      </c>
      <c r="AT86" s="123">
        <f>交易记录!G465</f>
        <v>0</v>
      </c>
      <c r="AU86" s="123">
        <f>交易记录!G496</f>
        <v>0</v>
      </c>
      <c r="AV86" s="30">
        <f t="shared" si="44"/>
        <v>0</v>
      </c>
      <c r="AW86" s="120">
        <f>交易记录!G529</f>
        <v>0</v>
      </c>
      <c r="AX86" s="120">
        <f>交易记录!G560</f>
        <v>0</v>
      </c>
      <c r="AY86" s="30">
        <f t="shared" si="45"/>
        <v>0</v>
      </c>
      <c r="AZ86" s="123">
        <f>交易记录!G593</f>
        <v>0</v>
      </c>
      <c r="BA86" s="123">
        <f>交易记录!G624</f>
        <v>0</v>
      </c>
      <c r="BB86" s="30">
        <f t="shared" si="46"/>
        <v>0</v>
      </c>
      <c r="BC86" s="120">
        <f>交易记录!G657</f>
        <v>0</v>
      </c>
      <c r="BD86" s="120">
        <f>交易记录!G688</f>
        <v>0</v>
      </c>
      <c r="BE86" s="30">
        <f t="shared" si="47"/>
        <v>0</v>
      </c>
      <c r="BF86" s="123">
        <f>交易记录!G721</f>
        <v>0</v>
      </c>
      <c r="BG86" s="123">
        <f>交易记录!G752</f>
        <v>0</v>
      </c>
      <c r="BH86" s="30">
        <f t="shared" si="48"/>
        <v>0</v>
      </c>
      <c r="BI86" s="120">
        <f>交易记录!G785</f>
        <v>0</v>
      </c>
      <c r="BJ86" s="120">
        <f>交易记录!G816</f>
        <v>0</v>
      </c>
      <c r="BK86" s="30">
        <f t="shared" si="49"/>
        <v>0</v>
      </c>
      <c r="BL86" s="123">
        <f>交易记录!G849</f>
        <v>0</v>
      </c>
      <c r="BM86" s="123">
        <f>交易记录!G880</f>
        <v>0</v>
      </c>
      <c r="BN86" s="30">
        <f t="shared" si="50"/>
        <v>0</v>
      </c>
      <c r="BO86" s="120">
        <f>交易记录!G913</f>
        <v>0</v>
      </c>
      <c r="BP86" s="120">
        <f>交易记录!G944</f>
        <v>0</v>
      </c>
      <c r="BQ86" s="30">
        <f t="shared" si="51"/>
        <v>0</v>
      </c>
    </row>
    <row r="87" spans="1:69" ht="15">
      <c r="A87" s="125">
        <f>'维护-日期'!A$6</f>
        <v>46269</v>
      </c>
      <c r="B87" s="7" t="s">
        <v>19</v>
      </c>
      <c r="C87" s="144">
        <f t="shared" si="52"/>
        <v>22.904</v>
      </c>
      <c r="D87" s="144">
        <f>ROUND(INDEX(持仓数据!$C$3:$AG$26,MATCH('计算过程-数据汇总'!B87,持仓数据!$B$3:$B$26,0),MATCH('计算过程-数据汇总'!A87,'维护-日期'!$B$2:$AF$2,0)),3)</f>
        <v>22.904</v>
      </c>
      <c r="E87" s="98">
        <f t="shared" si="53"/>
        <v>22.904</v>
      </c>
      <c r="F87" s="22">
        <f>持仓数据!F85</f>
        <v>0.19500000000000001</v>
      </c>
      <c r="G87" s="97">
        <v>372</v>
      </c>
      <c r="H87" s="97">
        <v>372</v>
      </c>
      <c r="I87" s="64">
        <v>0</v>
      </c>
      <c r="J87" s="64">
        <v>0</v>
      </c>
      <c r="K87" s="21">
        <f>IF(持仓数据!F118="",0,持仓数据!F118)</f>
        <v>372</v>
      </c>
      <c r="L87" s="21">
        <f t="shared" si="54"/>
        <v>0</v>
      </c>
      <c r="M87" s="28">
        <f t="shared" si="38"/>
        <v>8520.2880000000005</v>
      </c>
      <c r="N87" s="28">
        <f t="shared" si="39"/>
        <v>0</v>
      </c>
      <c r="O87" s="28">
        <f t="shared" si="40"/>
        <v>0</v>
      </c>
      <c r="P87" s="28">
        <f t="shared" si="41"/>
        <v>0</v>
      </c>
      <c r="Q87" s="28">
        <f t="shared" si="55"/>
        <v>0</v>
      </c>
      <c r="R87" s="28">
        <f t="shared" si="42"/>
        <v>8520.2880000000005</v>
      </c>
      <c r="S87" s="28">
        <f t="shared" si="56"/>
        <v>0</v>
      </c>
      <c r="T87" s="28">
        <f t="shared" si="57"/>
        <v>0</v>
      </c>
      <c r="U87" s="28">
        <f t="shared" si="60"/>
        <v>0</v>
      </c>
      <c r="V87" s="28">
        <f t="shared" si="58"/>
        <v>0</v>
      </c>
      <c r="W87" s="118"/>
      <c r="X87" s="143">
        <f t="shared" si="59"/>
        <v>27.29</v>
      </c>
      <c r="Y87" s="120">
        <f>交易记录!G18</f>
        <v>0.19500000000000001</v>
      </c>
      <c r="Z87" s="120">
        <f>交易记录!G49</f>
        <v>372</v>
      </c>
      <c r="AA87" s="30">
        <f t="shared" si="43"/>
        <v>0</v>
      </c>
      <c r="AB87" s="123">
        <f>交易记录!G82</f>
        <v>0</v>
      </c>
      <c r="AC87" s="123">
        <f>交易记录!G113</f>
        <v>0</v>
      </c>
      <c r="AD87" s="30">
        <f t="shared" si="66"/>
        <v>0</v>
      </c>
      <c r="AE87" s="120">
        <f>交易记录!G146</f>
        <v>0</v>
      </c>
      <c r="AF87" s="120">
        <f>交易记录!G177</f>
        <v>0</v>
      </c>
      <c r="AG87" s="30">
        <f t="shared" si="62"/>
        <v>0</v>
      </c>
      <c r="AH87" s="123">
        <f>交易记录!G210</f>
        <v>0</v>
      </c>
      <c r="AI87" s="123">
        <f>交易记录!G241</f>
        <v>0</v>
      </c>
      <c r="AJ87" s="30">
        <f t="shared" si="65"/>
        <v>0</v>
      </c>
      <c r="AK87" s="120">
        <f>交易记录!G274</f>
        <v>0</v>
      </c>
      <c r="AL87" s="120">
        <f>交易记录!G305</f>
        <v>0</v>
      </c>
      <c r="AM87" s="30">
        <f t="shared" si="64"/>
        <v>0</v>
      </c>
      <c r="AN87" s="123">
        <f>交易记录!G338</f>
        <v>0</v>
      </c>
      <c r="AO87" s="123">
        <f>交易记录!G369</f>
        <v>0</v>
      </c>
      <c r="AP87" s="30">
        <f t="shared" si="61"/>
        <v>0</v>
      </c>
      <c r="AQ87" s="120">
        <f>交易记录!G402</f>
        <v>0</v>
      </c>
      <c r="AR87" s="120">
        <f>交易记录!G433</f>
        <v>0</v>
      </c>
      <c r="AS87" s="30">
        <f t="shared" si="63"/>
        <v>0</v>
      </c>
      <c r="AT87" s="123">
        <f>交易记录!G466</f>
        <v>0</v>
      </c>
      <c r="AU87" s="123">
        <f>交易记录!G497</f>
        <v>0</v>
      </c>
      <c r="AV87" s="30">
        <f t="shared" si="44"/>
        <v>0</v>
      </c>
      <c r="AW87" s="120">
        <f>交易记录!G530</f>
        <v>0</v>
      </c>
      <c r="AX87" s="120">
        <f>交易记录!G561</f>
        <v>0</v>
      </c>
      <c r="AY87" s="30">
        <f t="shared" si="45"/>
        <v>0</v>
      </c>
      <c r="AZ87" s="123">
        <f>交易记录!G594</f>
        <v>0</v>
      </c>
      <c r="BA87" s="123">
        <f>交易记录!G625</f>
        <v>0</v>
      </c>
      <c r="BB87" s="30">
        <f t="shared" si="46"/>
        <v>0</v>
      </c>
      <c r="BC87" s="120">
        <f>交易记录!G658</f>
        <v>0</v>
      </c>
      <c r="BD87" s="120">
        <f>交易记录!G689</f>
        <v>0</v>
      </c>
      <c r="BE87" s="30">
        <f t="shared" si="47"/>
        <v>0</v>
      </c>
      <c r="BF87" s="123">
        <f>交易记录!G722</f>
        <v>0</v>
      </c>
      <c r="BG87" s="123">
        <f>交易记录!G753</f>
        <v>0</v>
      </c>
      <c r="BH87" s="30">
        <f t="shared" si="48"/>
        <v>0</v>
      </c>
      <c r="BI87" s="120">
        <f>交易记录!G786</f>
        <v>0</v>
      </c>
      <c r="BJ87" s="120">
        <f>交易记录!G817</f>
        <v>0</v>
      </c>
      <c r="BK87" s="30">
        <f t="shared" si="49"/>
        <v>0</v>
      </c>
      <c r="BL87" s="123">
        <f>交易记录!G850</f>
        <v>0</v>
      </c>
      <c r="BM87" s="123">
        <f>交易记录!G881</f>
        <v>0</v>
      </c>
      <c r="BN87" s="30">
        <f t="shared" si="50"/>
        <v>0</v>
      </c>
      <c r="BO87" s="120">
        <f>交易记录!G914</f>
        <v>0</v>
      </c>
      <c r="BP87" s="120">
        <f>交易记录!G945</f>
        <v>0</v>
      </c>
      <c r="BQ87" s="30">
        <f t="shared" si="51"/>
        <v>0</v>
      </c>
    </row>
    <row r="88" spans="1:69" ht="15">
      <c r="A88" s="125">
        <f>'维护-日期'!A$6</f>
        <v>46269</v>
      </c>
      <c r="B88" s="7" t="s">
        <v>20</v>
      </c>
      <c r="C88" s="144">
        <f t="shared" si="52"/>
        <v>22.071000000000002</v>
      </c>
      <c r="D88" s="144">
        <f>ROUND(INDEX(持仓数据!$C$3:$AG$26,MATCH('计算过程-数据汇总'!B88,持仓数据!$B$3:$B$26,0),MATCH('计算过程-数据汇总'!A88,'维护-日期'!$B$2:$AF$2,0)),3)</f>
        <v>22.071000000000002</v>
      </c>
      <c r="E88" s="98">
        <f t="shared" si="53"/>
        <v>22.071000000000002</v>
      </c>
      <c r="F88" s="22">
        <f>持仓数据!F86</f>
        <v>0.34599999999999997</v>
      </c>
      <c r="G88" s="97">
        <v>372</v>
      </c>
      <c r="H88" s="97">
        <v>372</v>
      </c>
      <c r="I88" s="64">
        <v>0</v>
      </c>
      <c r="J88" s="64">
        <v>0</v>
      </c>
      <c r="K88" s="21">
        <f>IF(持仓数据!F119="",0,持仓数据!F119)</f>
        <v>372</v>
      </c>
      <c r="L88" s="21">
        <f t="shared" si="54"/>
        <v>0</v>
      </c>
      <c r="M88" s="28">
        <f t="shared" si="38"/>
        <v>8210.4120000000003</v>
      </c>
      <c r="N88" s="28">
        <f t="shared" si="39"/>
        <v>0</v>
      </c>
      <c r="O88" s="28">
        <f t="shared" si="40"/>
        <v>0</v>
      </c>
      <c r="P88" s="28">
        <f t="shared" si="41"/>
        <v>0</v>
      </c>
      <c r="Q88" s="28">
        <f t="shared" si="55"/>
        <v>0</v>
      </c>
      <c r="R88" s="28">
        <f t="shared" si="42"/>
        <v>8210.4120000000003</v>
      </c>
      <c r="S88" s="28">
        <f t="shared" si="56"/>
        <v>0</v>
      </c>
      <c r="T88" s="28">
        <f t="shared" si="57"/>
        <v>0</v>
      </c>
      <c r="U88" s="28">
        <f t="shared" si="60"/>
        <v>0</v>
      </c>
      <c r="V88" s="28">
        <f t="shared" si="58"/>
        <v>0</v>
      </c>
      <c r="W88" s="118"/>
      <c r="X88" s="143">
        <f t="shared" si="59"/>
        <v>26.138999999999999</v>
      </c>
      <c r="Y88" s="120">
        <f>交易记录!G19</f>
        <v>0.34599999999999997</v>
      </c>
      <c r="Z88" s="120">
        <f>交易记录!G50</f>
        <v>372</v>
      </c>
      <c r="AA88" s="30">
        <f t="shared" si="43"/>
        <v>0</v>
      </c>
      <c r="AB88" s="123">
        <f>交易记录!G83</f>
        <v>0</v>
      </c>
      <c r="AC88" s="123">
        <f>交易记录!G114</f>
        <v>0</v>
      </c>
      <c r="AD88" s="30">
        <f t="shared" si="66"/>
        <v>0</v>
      </c>
      <c r="AE88" s="120">
        <f>交易记录!G147</f>
        <v>0</v>
      </c>
      <c r="AF88" s="120">
        <f>交易记录!G178</f>
        <v>0</v>
      </c>
      <c r="AG88" s="30">
        <f t="shared" si="62"/>
        <v>0</v>
      </c>
      <c r="AH88" s="123">
        <f>交易记录!G211</f>
        <v>0</v>
      </c>
      <c r="AI88" s="123">
        <f>交易记录!G242</f>
        <v>0</v>
      </c>
      <c r="AJ88" s="30">
        <f t="shared" si="65"/>
        <v>0</v>
      </c>
      <c r="AK88" s="120">
        <f>交易记录!G275</f>
        <v>0</v>
      </c>
      <c r="AL88" s="120">
        <f>交易记录!G306</f>
        <v>0</v>
      </c>
      <c r="AM88" s="30">
        <f t="shared" si="64"/>
        <v>0</v>
      </c>
      <c r="AN88" s="123">
        <f>交易记录!G339</f>
        <v>0</v>
      </c>
      <c r="AO88" s="123">
        <f>交易记录!G370</f>
        <v>0</v>
      </c>
      <c r="AP88" s="30">
        <f t="shared" si="61"/>
        <v>0</v>
      </c>
      <c r="AQ88" s="120">
        <f>交易记录!G403</f>
        <v>0</v>
      </c>
      <c r="AR88" s="120">
        <f>交易记录!G434</f>
        <v>0</v>
      </c>
      <c r="AS88" s="30">
        <f t="shared" si="63"/>
        <v>0</v>
      </c>
      <c r="AT88" s="123">
        <f>交易记录!G467</f>
        <v>0</v>
      </c>
      <c r="AU88" s="123">
        <f>交易记录!G498</f>
        <v>0</v>
      </c>
      <c r="AV88" s="30">
        <f t="shared" si="44"/>
        <v>0</v>
      </c>
      <c r="AW88" s="120">
        <f>交易记录!G531</f>
        <v>0</v>
      </c>
      <c r="AX88" s="120">
        <f>交易记录!G562</f>
        <v>0</v>
      </c>
      <c r="AY88" s="30">
        <f t="shared" si="45"/>
        <v>0</v>
      </c>
      <c r="AZ88" s="123">
        <f>交易记录!G595</f>
        <v>0</v>
      </c>
      <c r="BA88" s="123">
        <f>交易记录!G626</f>
        <v>0</v>
      </c>
      <c r="BB88" s="30">
        <f t="shared" si="46"/>
        <v>0</v>
      </c>
      <c r="BC88" s="120">
        <f>交易记录!G659</f>
        <v>0</v>
      </c>
      <c r="BD88" s="120">
        <f>交易记录!G690</f>
        <v>0</v>
      </c>
      <c r="BE88" s="30">
        <f t="shared" si="47"/>
        <v>0</v>
      </c>
      <c r="BF88" s="123">
        <f>交易记录!G723</f>
        <v>0</v>
      </c>
      <c r="BG88" s="123">
        <f>交易记录!G754</f>
        <v>0</v>
      </c>
      <c r="BH88" s="30">
        <f t="shared" si="48"/>
        <v>0</v>
      </c>
      <c r="BI88" s="120">
        <f>交易记录!G787</f>
        <v>0</v>
      </c>
      <c r="BJ88" s="120">
        <f>交易记录!G818</f>
        <v>0</v>
      </c>
      <c r="BK88" s="30">
        <f t="shared" si="49"/>
        <v>0</v>
      </c>
      <c r="BL88" s="123">
        <f>交易记录!G851</f>
        <v>0</v>
      </c>
      <c r="BM88" s="123">
        <f>交易记录!G882</f>
        <v>0</v>
      </c>
      <c r="BN88" s="30">
        <f t="shared" si="50"/>
        <v>0</v>
      </c>
      <c r="BO88" s="120">
        <f>交易记录!G915</f>
        <v>0</v>
      </c>
      <c r="BP88" s="120">
        <f>交易记录!G946</f>
        <v>0</v>
      </c>
      <c r="BQ88" s="30">
        <f t="shared" si="51"/>
        <v>0</v>
      </c>
    </row>
    <row r="89" spans="1:69" ht="15">
      <c r="A89" s="125">
        <f>'维护-日期'!A$6</f>
        <v>46269</v>
      </c>
      <c r="B89" s="7" t="s">
        <v>21</v>
      </c>
      <c r="C89" s="144">
        <f t="shared" si="52"/>
        <v>22.087</v>
      </c>
      <c r="D89" s="144">
        <f>ROUND(INDEX(持仓数据!$C$3:$AG$26,MATCH('计算过程-数据汇总'!B89,持仓数据!$B$3:$B$26,0),MATCH('计算过程-数据汇总'!A89,'维护-日期'!$B$2:$AF$2,0)),3)</f>
        <v>22.087</v>
      </c>
      <c r="E89" s="98">
        <f t="shared" si="53"/>
        <v>22.087</v>
      </c>
      <c r="F89" s="22">
        <f>持仓数据!F87</f>
        <v>0.38</v>
      </c>
      <c r="G89" s="97">
        <v>372</v>
      </c>
      <c r="H89" s="97">
        <v>372</v>
      </c>
      <c r="I89" s="64">
        <v>0</v>
      </c>
      <c r="J89" s="64">
        <v>0</v>
      </c>
      <c r="K89" s="21">
        <f>IF(持仓数据!F120="",0,持仓数据!F120)</f>
        <v>372.00000000000006</v>
      </c>
      <c r="L89" s="21">
        <f t="shared" si="54"/>
        <v>0</v>
      </c>
      <c r="M89" s="28">
        <f t="shared" si="38"/>
        <v>8216.3639999999996</v>
      </c>
      <c r="N89" s="28">
        <f t="shared" si="39"/>
        <v>0</v>
      </c>
      <c r="O89" s="28">
        <f t="shared" si="40"/>
        <v>0</v>
      </c>
      <c r="P89" s="28">
        <f t="shared" si="41"/>
        <v>2.1600499167107046E-14</v>
      </c>
      <c r="Q89" s="28">
        <f t="shared" si="55"/>
        <v>0</v>
      </c>
      <c r="R89" s="28">
        <f t="shared" si="42"/>
        <v>8216.3640000000014</v>
      </c>
      <c r="S89" s="28">
        <f t="shared" si="56"/>
        <v>0</v>
      </c>
      <c r="T89" s="28">
        <f t="shared" si="57"/>
        <v>-1.2339000932115596E-12</v>
      </c>
      <c r="U89" s="28">
        <f t="shared" si="60"/>
        <v>0</v>
      </c>
      <c r="V89" s="28">
        <f t="shared" si="58"/>
        <v>0</v>
      </c>
      <c r="W89" s="118"/>
      <c r="X89" s="143">
        <f t="shared" si="59"/>
        <v>26.123999999999999</v>
      </c>
      <c r="Y89" s="120">
        <f>交易记录!G20</f>
        <v>0.38</v>
      </c>
      <c r="Z89" s="120">
        <f>交易记录!G51</f>
        <v>372</v>
      </c>
      <c r="AA89" s="30">
        <f t="shared" si="43"/>
        <v>0</v>
      </c>
      <c r="AB89" s="123">
        <f>交易记录!G84</f>
        <v>0</v>
      </c>
      <c r="AC89" s="123">
        <f>交易记录!G115</f>
        <v>0</v>
      </c>
      <c r="AD89" s="30">
        <f t="shared" si="66"/>
        <v>0</v>
      </c>
      <c r="AE89" s="120">
        <f>交易记录!G148</f>
        <v>0</v>
      </c>
      <c r="AF89" s="120">
        <f>交易记录!G179</f>
        <v>0</v>
      </c>
      <c r="AG89" s="30">
        <f t="shared" si="62"/>
        <v>0</v>
      </c>
      <c r="AH89" s="123">
        <f>交易记录!G212</f>
        <v>0</v>
      </c>
      <c r="AI89" s="123">
        <f>交易记录!G243</f>
        <v>0</v>
      </c>
      <c r="AJ89" s="30">
        <f t="shared" si="65"/>
        <v>0</v>
      </c>
      <c r="AK89" s="120">
        <f>交易记录!G276</f>
        <v>0</v>
      </c>
      <c r="AL89" s="120">
        <f>交易记录!G307</f>
        <v>0</v>
      </c>
      <c r="AM89" s="30">
        <f t="shared" si="64"/>
        <v>0</v>
      </c>
      <c r="AN89" s="123">
        <f>交易记录!G340</f>
        <v>0</v>
      </c>
      <c r="AO89" s="123">
        <f>交易记录!G371</f>
        <v>0</v>
      </c>
      <c r="AP89" s="30">
        <f t="shared" si="61"/>
        <v>0</v>
      </c>
      <c r="AQ89" s="120">
        <f>交易记录!G404</f>
        <v>0</v>
      </c>
      <c r="AR89" s="120">
        <f>交易记录!G435</f>
        <v>0</v>
      </c>
      <c r="AS89" s="30">
        <f t="shared" si="63"/>
        <v>0</v>
      </c>
      <c r="AT89" s="123">
        <f>交易记录!G468</f>
        <v>0</v>
      </c>
      <c r="AU89" s="123">
        <f>交易记录!G499</f>
        <v>0</v>
      </c>
      <c r="AV89" s="30">
        <f t="shared" si="44"/>
        <v>0</v>
      </c>
      <c r="AW89" s="120">
        <f>交易记录!G532</f>
        <v>0</v>
      </c>
      <c r="AX89" s="120">
        <f>交易记录!G563</f>
        <v>0</v>
      </c>
      <c r="AY89" s="30">
        <f t="shared" si="45"/>
        <v>0</v>
      </c>
      <c r="AZ89" s="123">
        <f>交易记录!G596</f>
        <v>0</v>
      </c>
      <c r="BA89" s="123">
        <f>交易记录!G627</f>
        <v>0</v>
      </c>
      <c r="BB89" s="30">
        <f t="shared" si="46"/>
        <v>0</v>
      </c>
      <c r="BC89" s="120">
        <f>交易记录!G660</f>
        <v>0</v>
      </c>
      <c r="BD89" s="120">
        <f>交易记录!G691</f>
        <v>0</v>
      </c>
      <c r="BE89" s="30">
        <f t="shared" si="47"/>
        <v>0</v>
      </c>
      <c r="BF89" s="123">
        <f>交易记录!G724</f>
        <v>0</v>
      </c>
      <c r="BG89" s="123">
        <f>交易记录!G755</f>
        <v>0</v>
      </c>
      <c r="BH89" s="30">
        <f t="shared" si="48"/>
        <v>0</v>
      </c>
      <c r="BI89" s="120">
        <f>交易记录!G788</f>
        <v>0</v>
      </c>
      <c r="BJ89" s="120">
        <f>交易记录!G819</f>
        <v>0</v>
      </c>
      <c r="BK89" s="30">
        <f t="shared" si="49"/>
        <v>0</v>
      </c>
      <c r="BL89" s="123">
        <f>交易记录!G852</f>
        <v>0</v>
      </c>
      <c r="BM89" s="123">
        <f>交易记录!G883</f>
        <v>0</v>
      </c>
      <c r="BN89" s="30">
        <f t="shared" si="50"/>
        <v>0</v>
      </c>
      <c r="BO89" s="120">
        <f>交易记录!G916</f>
        <v>0</v>
      </c>
      <c r="BP89" s="120">
        <f>交易记录!G947</f>
        <v>0</v>
      </c>
      <c r="BQ89" s="30">
        <f t="shared" si="51"/>
        <v>0</v>
      </c>
    </row>
    <row r="90" spans="1:69" ht="15">
      <c r="A90" s="125">
        <f>'维护-日期'!A$6</f>
        <v>46269</v>
      </c>
      <c r="B90" s="7" t="s">
        <v>22</v>
      </c>
      <c r="C90" s="144">
        <f t="shared" si="52"/>
        <v>23.077999999999999</v>
      </c>
      <c r="D90" s="144">
        <f>ROUND(INDEX(持仓数据!$C$3:$AG$26,MATCH('计算过程-数据汇总'!B90,持仓数据!$B$3:$B$26,0),MATCH('计算过程-数据汇总'!A90,'维护-日期'!$B$2:$AF$2,0)),3)</f>
        <v>23.077999999999999</v>
      </c>
      <c r="E90" s="98">
        <f t="shared" si="53"/>
        <v>23.077999999999999</v>
      </c>
      <c r="F90" s="22">
        <f>持仓数据!F88</f>
        <v>0.58600000000000008</v>
      </c>
      <c r="G90" s="97">
        <v>372</v>
      </c>
      <c r="H90" s="97">
        <v>372</v>
      </c>
      <c r="I90" s="64">
        <v>0</v>
      </c>
      <c r="J90" s="64">
        <v>0</v>
      </c>
      <c r="K90" s="21">
        <f>IF(持仓数据!F121="",0,持仓数据!F121)</f>
        <v>372</v>
      </c>
      <c r="L90" s="21">
        <f t="shared" si="54"/>
        <v>0</v>
      </c>
      <c r="M90" s="28">
        <f t="shared" si="38"/>
        <v>8585.0159999999996</v>
      </c>
      <c r="N90" s="28">
        <f t="shared" si="39"/>
        <v>0</v>
      </c>
      <c r="O90" s="28">
        <f t="shared" si="40"/>
        <v>0</v>
      </c>
      <c r="P90" s="28">
        <f t="shared" si="41"/>
        <v>0</v>
      </c>
      <c r="Q90" s="28">
        <f t="shared" si="55"/>
        <v>0</v>
      </c>
      <c r="R90" s="28">
        <f t="shared" si="42"/>
        <v>8585.0159999999996</v>
      </c>
      <c r="S90" s="28">
        <f t="shared" si="56"/>
        <v>0</v>
      </c>
      <c r="T90" s="28">
        <f t="shared" si="57"/>
        <v>0</v>
      </c>
      <c r="U90" s="28">
        <f t="shared" si="60"/>
        <v>0</v>
      </c>
      <c r="V90" s="28">
        <f t="shared" si="58"/>
        <v>0</v>
      </c>
      <c r="W90" s="118"/>
      <c r="X90" s="143">
        <f t="shared" si="59"/>
        <v>27.108000000000001</v>
      </c>
      <c r="Y90" s="120">
        <f>交易记录!G21</f>
        <v>0.58600000000000008</v>
      </c>
      <c r="Z90" s="120">
        <f>交易记录!G52</f>
        <v>372</v>
      </c>
      <c r="AA90" s="30">
        <f t="shared" si="43"/>
        <v>0</v>
      </c>
      <c r="AB90" s="123">
        <f>交易记录!G85</f>
        <v>0</v>
      </c>
      <c r="AC90" s="123">
        <f>交易记录!G116</f>
        <v>0</v>
      </c>
      <c r="AD90" s="30">
        <f t="shared" si="66"/>
        <v>0</v>
      </c>
      <c r="AE90" s="120">
        <f>交易记录!G149</f>
        <v>0</v>
      </c>
      <c r="AF90" s="120">
        <f>交易记录!G180</f>
        <v>0</v>
      </c>
      <c r="AG90" s="30">
        <f t="shared" si="62"/>
        <v>0</v>
      </c>
      <c r="AH90" s="123">
        <f>交易记录!G213</f>
        <v>0</v>
      </c>
      <c r="AI90" s="123">
        <f>交易记录!G244</f>
        <v>0</v>
      </c>
      <c r="AJ90" s="30">
        <f t="shared" si="65"/>
        <v>0</v>
      </c>
      <c r="AK90" s="120">
        <f>交易记录!G277</f>
        <v>0</v>
      </c>
      <c r="AL90" s="120">
        <f>交易记录!G308</f>
        <v>0</v>
      </c>
      <c r="AM90" s="30">
        <f t="shared" si="64"/>
        <v>0</v>
      </c>
      <c r="AN90" s="123">
        <f>交易记录!G341</f>
        <v>0</v>
      </c>
      <c r="AO90" s="123">
        <f>交易记录!G372</f>
        <v>0</v>
      </c>
      <c r="AP90" s="30">
        <f t="shared" si="61"/>
        <v>0</v>
      </c>
      <c r="AQ90" s="120">
        <f>交易记录!G405</f>
        <v>0</v>
      </c>
      <c r="AR90" s="120">
        <f>交易记录!G436</f>
        <v>0</v>
      </c>
      <c r="AS90" s="30">
        <f t="shared" si="63"/>
        <v>0</v>
      </c>
      <c r="AT90" s="123">
        <f>交易记录!G469</f>
        <v>0</v>
      </c>
      <c r="AU90" s="123">
        <f>交易记录!G500</f>
        <v>0</v>
      </c>
      <c r="AV90" s="30">
        <f t="shared" si="44"/>
        <v>0</v>
      </c>
      <c r="AW90" s="120">
        <f>交易记录!G533</f>
        <v>0</v>
      </c>
      <c r="AX90" s="120">
        <f>交易记录!G564</f>
        <v>0</v>
      </c>
      <c r="AY90" s="30">
        <f t="shared" si="45"/>
        <v>0</v>
      </c>
      <c r="AZ90" s="123">
        <f>交易记录!G597</f>
        <v>0</v>
      </c>
      <c r="BA90" s="123">
        <f>交易记录!G628</f>
        <v>0</v>
      </c>
      <c r="BB90" s="30">
        <f t="shared" si="46"/>
        <v>0</v>
      </c>
      <c r="BC90" s="120">
        <f>交易记录!G661</f>
        <v>0</v>
      </c>
      <c r="BD90" s="120">
        <f>交易记录!G692</f>
        <v>0</v>
      </c>
      <c r="BE90" s="30">
        <f t="shared" si="47"/>
        <v>0</v>
      </c>
      <c r="BF90" s="123">
        <f>交易记录!G725</f>
        <v>0</v>
      </c>
      <c r="BG90" s="123">
        <f>交易记录!G756</f>
        <v>0</v>
      </c>
      <c r="BH90" s="30">
        <f t="shared" si="48"/>
        <v>0</v>
      </c>
      <c r="BI90" s="120">
        <f>交易记录!G789</f>
        <v>0</v>
      </c>
      <c r="BJ90" s="120">
        <f>交易记录!G820</f>
        <v>0</v>
      </c>
      <c r="BK90" s="30">
        <f t="shared" si="49"/>
        <v>0</v>
      </c>
      <c r="BL90" s="123">
        <f>交易记录!G853</f>
        <v>0</v>
      </c>
      <c r="BM90" s="123">
        <f>交易记录!G884</f>
        <v>0</v>
      </c>
      <c r="BN90" s="30">
        <f t="shared" si="50"/>
        <v>0</v>
      </c>
      <c r="BO90" s="120">
        <f>交易记录!G917</f>
        <v>0</v>
      </c>
      <c r="BP90" s="120">
        <f>交易记录!G948</f>
        <v>0</v>
      </c>
      <c r="BQ90" s="30">
        <f t="shared" si="51"/>
        <v>0</v>
      </c>
    </row>
    <row r="91" spans="1:69" ht="15">
      <c r="A91" s="125">
        <f>'维护-日期'!A$6</f>
        <v>46269</v>
      </c>
      <c r="B91" s="7" t="s">
        <v>23</v>
      </c>
      <c r="C91" s="144">
        <f t="shared" si="52"/>
        <v>23.443000000000001</v>
      </c>
      <c r="D91" s="144">
        <f>ROUND(INDEX(持仓数据!$C$3:$AG$26,MATCH('计算过程-数据汇总'!B91,持仓数据!$B$3:$B$26,0),MATCH('计算过程-数据汇总'!A91,'维护-日期'!$B$2:$AF$2,0)),3)</f>
        <v>23.443000000000001</v>
      </c>
      <c r="E91" s="98">
        <f t="shared" si="53"/>
        <v>23.443000000000001</v>
      </c>
      <c r="F91" s="22">
        <f>持仓数据!F89</f>
        <v>0.63300000000000001</v>
      </c>
      <c r="G91" s="97">
        <v>372</v>
      </c>
      <c r="H91" s="97">
        <v>372</v>
      </c>
      <c r="I91" s="64">
        <v>0</v>
      </c>
      <c r="J91" s="64">
        <v>0</v>
      </c>
      <c r="K91" s="21">
        <f>IF(持仓数据!F122="",0,持仓数据!F122)</f>
        <v>372</v>
      </c>
      <c r="L91" s="21">
        <f t="shared" si="54"/>
        <v>0</v>
      </c>
      <c r="M91" s="28">
        <f t="shared" si="38"/>
        <v>8720.7960000000003</v>
      </c>
      <c r="N91" s="28">
        <f t="shared" si="39"/>
        <v>0</v>
      </c>
      <c r="O91" s="28">
        <f t="shared" si="40"/>
        <v>0</v>
      </c>
      <c r="P91" s="28">
        <f t="shared" si="41"/>
        <v>0</v>
      </c>
      <c r="Q91" s="28">
        <f t="shared" si="55"/>
        <v>0</v>
      </c>
      <c r="R91" s="28">
        <f t="shared" si="42"/>
        <v>8720.7960000000003</v>
      </c>
      <c r="S91" s="28">
        <f t="shared" si="56"/>
        <v>0</v>
      </c>
      <c r="T91" s="28">
        <f t="shared" si="57"/>
        <v>0</v>
      </c>
      <c r="U91" s="28">
        <f t="shared" si="60"/>
        <v>0</v>
      </c>
      <c r="V91" s="28">
        <f t="shared" si="58"/>
        <v>0</v>
      </c>
      <c r="W91" s="118"/>
      <c r="X91" s="143">
        <f t="shared" si="59"/>
        <v>27.498999999999999</v>
      </c>
      <c r="Y91" s="120">
        <f>交易记录!G22</f>
        <v>0.63300000000000001</v>
      </c>
      <c r="Z91" s="120">
        <f>交易记录!G53</f>
        <v>372</v>
      </c>
      <c r="AA91" s="30">
        <f t="shared" si="43"/>
        <v>0</v>
      </c>
      <c r="AB91" s="123">
        <f>交易记录!G86</f>
        <v>0</v>
      </c>
      <c r="AC91" s="123">
        <f>交易记录!G117</f>
        <v>0</v>
      </c>
      <c r="AD91" s="30">
        <f t="shared" si="66"/>
        <v>0</v>
      </c>
      <c r="AE91" s="120">
        <f>交易记录!G150</f>
        <v>0</v>
      </c>
      <c r="AF91" s="120">
        <f>交易记录!G181</f>
        <v>0</v>
      </c>
      <c r="AG91" s="30">
        <f t="shared" si="62"/>
        <v>0</v>
      </c>
      <c r="AH91" s="123">
        <f>交易记录!G214</f>
        <v>0</v>
      </c>
      <c r="AI91" s="123">
        <f>交易记录!G245</f>
        <v>0</v>
      </c>
      <c r="AJ91" s="30">
        <f t="shared" si="65"/>
        <v>0</v>
      </c>
      <c r="AK91" s="120">
        <f>交易记录!G278</f>
        <v>0</v>
      </c>
      <c r="AL91" s="120">
        <f>交易记录!G309</f>
        <v>0</v>
      </c>
      <c r="AM91" s="30">
        <f t="shared" si="64"/>
        <v>0</v>
      </c>
      <c r="AN91" s="123">
        <f>交易记录!G342</f>
        <v>0</v>
      </c>
      <c r="AO91" s="123">
        <f>交易记录!G373</f>
        <v>0</v>
      </c>
      <c r="AP91" s="30">
        <f t="shared" si="61"/>
        <v>0</v>
      </c>
      <c r="AQ91" s="120">
        <f>交易记录!G406</f>
        <v>0</v>
      </c>
      <c r="AR91" s="120">
        <f>交易记录!G437</f>
        <v>0</v>
      </c>
      <c r="AS91" s="30">
        <f t="shared" si="63"/>
        <v>0</v>
      </c>
      <c r="AT91" s="123">
        <f>交易记录!G470</f>
        <v>0</v>
      </c>
      <c r="AU91" s="123">
        <f>交易记录!G501</f>
        <v>0</v>
      </c>
      <c r="AV91" s="30">
        <f t="shared" si="44"/>
        <v>0</v>
      </c>
      <c r="AW91" s="120">
        <f>交易记录!G534</f>
        <v>0</v>
      </c>
      <c r="AX91" s="120">
        <f>交易记录!G565</f>
        <v>0</v>
      </c>
      <c r="AY91" s="30">
        <f t="shared" si="45"/>
        <v>0</v>
      </c>
      <c r="AZ91" s="123">
        <f>交易记录!G598</f>
        <v>0</v>
      </c>
      <c r="BA91" s="123">
        <f>交易记录!G629</f>
        <v>0</v>
      </c>
      <c r="BB91" s="30">
        <f t="shared" si="46"/>
        <v>0</v>
      </c>
      <c r="BC91" s="120">
        <f>交易记录!G662</f>
        <v>0</v>
      </c>
      <c r="BD91" s="120">
        <f>交易记录!G693</f>
        <v>0</v>
      </c>
      <c r="BE91" s="30">
        <f t="shared" si="47"/>
        <v>0</v>
      </c>
      <c r="BF91" s="123">
        <f>交易记录!G726</f>
        <v>0</v>
      </c>
      <c r="BG91" s="123">
        <f>交易记录!G757</f>
        <v>0</v>
      </c>
      <c r="BH91" s="30">
        <f t="shared" si="48"/>
        <v>0</v>
      </c>
      <c r="BI91" s="120">
        <f>交易记录!G790</f>
        <v>0</v>
      </c>
      <c r="BJ91" s="120">
        <f>交易记录!G821</f>
        <v>0</v>
      </c>
      <c r="BK91" s="30">
        <f t="shared" si="49"/>
        <v>0</v>
      </c>
      <c r="BL91" s="123">
        <f>交易记录!G854</f>
        <v>0</v>
      </c>
      <c r="BM91" s="123">
        <f>交易记录!G885</f>
        <v>0</v>
      </c>
      <c r="BN91" s="30">
        <f t="shared" si="50"/>
        <v>0</v>
      </c>
      <c r="BO91" s="120">
        <f>交易记录!G918</f>
        <v>0</v>
      </c>
      <c r="BP91" s="120">
        <f>交易记录!G949</f>
        <v>0</v>
      </c>
      <c r="BQ91" s="30">
        <f t="shared" si="51"/>
        <v>0</v>
      </c>
    </row>
    <row r="92" spans="1:69" ht="15">
      <c r="A92" s="125">
        <f>'维护-日期'!A$6</f>
        <v>46269</v>
      </c>
      <c r="B92" s="7" t="s">
        <v>24</v>
      </c>
      <c r="C92" s="144">
        <f t="shared" si="52"/>
        <v>23.85</v>
      </c>
      <c r="D92" s="144">
        <f>ROUND(INDEX(持仓数据!$C$3:$AG$26,MATCH('计算过程-数据汇总'!B92,持仓数据!$B$3:$B$26,0),MATCH('计算过程-数据汇总'!A92,'维护-日期'!$B$2:$AF$2,0)),3)</f>
        <v>23.85</v>
      </c>
      <c r="E92" s="98">
        <f t="shared" si="53"/>
        <v>23.85</v>
      </c>
      <c r="F92" s="22">
        <f>持仓数据!F90</f>
        <v>0.45400000000000001</v>
      </c>
      <c r="G92" s="97">
        <v>372</v>
      </c>
      <c r="H92" s="97">
        <v>372</v>
      </c>
      <c r="I92" s="64">
        <v>0</v>
      </c>
      <c r="J92" s="64">
        <v>0</v>
      </c>
      <c r="K92" s="21">
        <f>IF(持仓数据!F123="",0,持仓数据!F123)</f>
        <v>372</v>
      </c>
      <c r="L92" s="21">
        <f t="shared" si="54"/>
        <v>0</v>
      </c>
      <c r="M92" s="28">
        <f t="shared" si="38"/>
        <v>8872.2000000000007</v>
      </c>
      <c r="N92" s="28">
        <f t="shared" si="39"/>
        <v>0</v>
      </c>
      <c r="O92" s="28">
        <f t="shared" si="40"/>
        <v>0</v>
      </c>
      <c r="P92" s="28">
        <f t="shared" si="41"/>
        <v>0</v>
      </c>
      <c r="Q92" s="28">
        <f t="shared" si="55"/>
        <v>0</v>
      </c>
      <c r="R92" s="28">
        <f t="shared" si="42"/>
        <v>8872.2000000000007</v>
      </c>
      <c r="S92" s="28">
        <f t="shared" si="56"/>
        <v>0</v>
      </c>
      <c r="T92" s="28">
        <f t="shared" si="57"/>
        <v>0</v>
      </c>
      <c r="U92" s="28">
        <f t="shared" si="60"/>
        <v>0</v>
      </c>
      <c r="V92" s="28">
        <f t="shared" si="58"/>
        <v>0</v>
      </c>
      <c r="W92" s="118"/>
      <c r="X92" s="143">
        <f t="shared" si="59"/>
        <v>28.166</v>
      </c>
      <c r="Y92" s="120">
        <f>交易记录!G23</f>
        <v>0.45400000000000001</v>
      </c>
      <c r="Z92" s="120">
        <f>交易记录!G54</f>
        <v>372</v>
      </c>
      <c r="AA92" s="30">
        <f t="shared" si="43"/>
        <v>0</v>
      </c>
      <c r="AB92" s="123">
        <f>交易记录!G87</f>
        <v>0</v>
      </c>
      <c r="AC92" s="123">
        <f>交易记录!G118</f>
        <v>0</v>
      </c>
      <c r="AD92" s="30">
        <f t="shared" si="66"/>
        <v>0</v>
      </c>
      <c r="AE92" s="120">
        <f>交易记录!G151</f>
        <v>0</v>
      </c>
      <c r="AF92" s="120">
        <f>交易记录!G182</f>
        <v>0</v>
      </c>
      <c r="AG92" s="30">
        <f t="shared" si="62"/>
        <v>0</v>
      </c>
      <c r="AH92" s="123">
        <f>交易记录!G215</f>
        <v>0</v>
      </c>
      <c r="AI92" s="123">
        <f>交易记录!G246</f>
        <v>0</v>
      </c>
      <c r="AJ92" s="30">
        <f t="shared" si="65"/>
        <v>0</v>
      </c>
      <c r="AK92" s="120">
        <f>交易记录!G279</f>
        <v>0</v>
      </c>
      <c r="AL92" s="120">
        <f>交易记录!G310</f>
        <v>0</v>
      </c>
      <c r="AM92" s="30">
        <f t="shared" si="64"/>
        <v>0</v>
      </c>
      <c r="AN92" s="123">
        <f>交易记录!G343</f>
        <v>0</v>
      </c>
      <c r="AO92" s="123">
        <f>交易记录!G374</f>
        <v>0</v>
      </c>
      <c r="AP92" s="30">
        <f t="shared" si="61"/>
        <v>0</v>
      </c>
      <c r="AQ92" s="120">
        <f>交易记录!G407</f>
        <v>0</v>
      </c>
      <c r="AR92" s="120">
        <f>交易记录!G438</f>
        <v>0</v>
      </c>
      <c r="AS92" s="30">
        <f t="shared" si="63"/>
        <v>0</v>
      </c>
      <c r="AT92" s="123">
        <f>交易记录!G471</f>
        <v>0</v>
      </c>
      <c r="AU92" s="123">
        <f>交易记录!G502</f>
        <v>0</v>
      </c>
      <c r="AV92" s="30">
        <f t="shared" si="44"/>
        <v>0</v>
      </c>
      <c r="AW92" s="120">
        <f>交易记录!G535</f>
        <v>0</v>
      </c>
      <c r="AX92" s="120">
        <f>交易记录!G566</f>
        <v>0</v>
      </c>
      <c r="AY92" s="30">
        <f t="shared" si="45"/>
        <v>0</v>
      </c>
      <c r="AZ92" s="123">
        <f>交易记录!G599</f>
        <v>0</v>
      </c>
      <c r="BA92" s="123">
        <f>交易记录!G630</f>
        <v>0</v>
      </c>
      <c r="BB92" s="30">
        <f t="shared" si="46"/>
        <v>0</v>
      </c>
      <c r="BC92" s="120">
        <f>交易记录!G663</f>
        <v>0</v>
      </c>
      <c r="BD92" s="120">
        <f>交易记录!G694</f>
        <v>0</v>
      </c>
      <c r="BE92" s="30">
        <f t="shared" si="47"/>
        <v>0</v>
      </c>
      <c r="BF92" s="123">
        <f>交易记录!G727</f>
        <v>0</v>
      </c>
      <c r="BG92" s="123">
        <f>交易记录!G758</f>
        <v>0</v>
      </c>
      <c r="BH92" s="30">
        <f t="shared" si="48"/>
        <v>0</v>
      </c>
      <c r="BI92" s="120">
        <f>交易记录!G791</f>
        <v>0</v>
      </c>
      <c r="BJ92" s="120">
        <f>交易记录!G822</f>
        <v>0</v>
      </c>
      <c r="BK92" s="30">
        <f t="shared" si="49"/>
        <v>0</v>
      </c>
      <c r="BL92" s="123">
        <f>交易记录!G855</f>
        <v>0</v>
      </c>
      <c r="BM92" s="123">
        <f>交易记录!G886</f>
        <v>0</v>
      </c>
      <c r="BN92" s="30">
        <f t="shared" si="50"/>
        <v>0</v>
      </c>
      <c r="BO92" s="120">
        <f>交易记录!G919</f>
        <v>0</v>
      </c>
      <c r="BP92" s="120">
        <f>交易记录!G950</f>
        <v>0</v>
      </c>
      <c r="BQ92" s="30">
        <f t="shared" si="51"/>
        <v>0</v>
      </c>
    </row>
    <row r="93" spans="1:69" ht="15">
      <c r="A93" s="125">
        <f>'维护-日期'!A$6</f>
        <v>46269</v>
      </c>
      <c r="B93" s="7" t="s">
        <v>25</v>
      </c>
      <c r="C93" s="144">
        <f t="shared" si="52"/>
        <v>24.105</v>
      </c>
      <c r="D93" s="144">
        <f>ROUND(INDEX(持仓数据!$C$3:$AG$26,MATCH('计算过程-数据汇总'!B93,持仓数据!$B$3:$B$26,0),MATCH('计算过程-数据汇总'!A93,'维护-日期'!$B$2:$AF$2,0)),3)</f>
        <v>24.105</v>
      </c>
      <c r="E93" s="98">
        <f t="shared" si="53"/>
        <v>24.105</v>
      </c>
      <c r="F93" s="22">
        <f>持仓数据!F91</f>
        <v>1.1160000000000001</v>
      </c>
      <c r="G93" s="97">
        <v>372</v>
      </c>
      <c r="H93" s="97">
        <v>372</v>
      </c>
      <c r="I93" s="64">
        <v>0</v>
      </c>
      <c r="J93" s="64">
        <v>0</v>
      </c>
      <c r="K93" s="21">
        <f>IF(持仓数据!F124="",0,持仓数据!F124)</f>
        <v>372</v>
      </c>
      <c r="L93" s="21">
        <f t="shared" si="54"/>
        <v>0</v>
      </c>
      <c r="M93" s="28">
        <f t="shared" si="38"/>
        <v>8967.06</v>
      </c>
      <c r="N93" s="28">
        <f t="shared" si="39"/>
        <v>0</v>
      </c>
      <c r="O93" s="28">
        <f t="shared" si="40"/>
        <v>0</v>
      </c>
      <c r="P93" s="28">
        <f t="shared" si="41"/>
        <v>0</v>
      </c>
      <c r="Q93" s="28">
        <f t="shared" si="55"/>
        <v>0</v>
      </c>
      <c r="R93" s="28">
        <f t="shared" si="42"/>
        <v>8967.06</v>
      </c>
      <c r="S93" s="28">
        <f t="shared" si="56"/>
        <v>0</v>
      </c>
      <c r="T93" s="28">
        <f t="shared" si="57"/>
        <v>0</v>
      </c>
      <c r="U93" s="28">
        <f t="shared" si="60"/>
        <v>0</v>
      </c>
      <c r="V93" s="28">
        <f t="shared" si="58"/>
        <v>0</v>
      </c>
      <c r="W93" s="118"/>
      <c r="X93" s="143">
        <f t="shared" si="59"/>
        <v>27.81</v>
      </c>
      <c r="Y93" s="120">
        <f>交易记录!G24</f>
        <v>1.1160000000000001</v>
      </c>
      <c r="Z93" s="120">
        <f>交易记录!G55</f>
        <v>372</v>
      </c>
      <c r="AA93" s="30">
        <f t="shared" si="43"/>
        <v>0</v>
      </c>
      <c r="AB93" s="123">
        <f>交易记录!G88</f>
        <v>0</v>
      </c>
      <c r="AC93" s="123">
        <f>交易记录!G119</f>
        <v>0</v>
      </c>
      <c r="AD93" s="30">
        <f t="shared" si="66"/>
        <v>0</v>
      </c>
      <c r="AE93" s="120">
        <f>交易记录!G152</f>
        <v>0</v>
      </c>
      <c r="AF93" s="120">
        <f>交易记录!G183</f>
        <v>0</v>
      </c>
      <c r="AG93" s="30">
        <f t="shared" si="62"/>
        <v>0</v>
      </c>
      <c r="AH93" s="123">
        <f>交易记录!G216</f>
        <v>0</v>
      </c>
      <c r="AI93" s="123">
        <f>交易记录!G247</f>
        <v>0</v>
      </c>
      <c r="AJ93" s="30">
        <f t="shared" si="65"/>
        <v>0</v>
      </c>
      <c r="AK93" s="120">
        <f>交易记录!G280</f>
        <v>0</v>
      </c>
      <c r="AL93" s="120">
        <f>交易记录!G311</f>
        <v>0</v>
      </c>
      <c r="AM93" s="30">
        <f t="shared" si="64"/>
        <v>0</v>
      </c>
      <c r="AN93" s="123">
        <f>交易记录!G344</f>
        <v>0</v>
      </c>
      <c r="AO93" s="123">
        <f>交易记录!G375</f>
        <v>0</v>
      </c>
      <c r="AP93" s="30">
        <f t="shared" si="61"/>
        <v>0</v>
      </c>
      <c r="AQ93" s="120">
        <f>交易记录!G408</f>
        <v>0</v>
      </c>
      <c r="AR93" s="120">
        <f>交易记录!G439</f>
        <v>0</v>
      </c>
      <c r="AS93" s="30">
        <f t="shared" si="63"/>
        <v>0</v>
      </c>
      <c r="AT93" s="123">
        <f>交易记录!G472</f>
        <v>0</v>
      </c>
      <c r="AU93" s="123">
        <f>交易记录!G503</f>
        <v>0</v>
      </c>
      <c r="AV93" s="30">
        <f t="shared" si="44"/>
        <v>0</v>
      </c>
      <c r="AW93" s="120">
        <f>交易记录!G536</f>
        <v>0</v>
      </c>
      <c r="AX93" s="120">
        <f>交易记录!G567</f>
        <v>0</v>
      </c>
      <c r="AY93" s="30">
        <f t="shared" si="45"/>
        <v>0</v>
      </c>
      <c r="AZ93" s="123">
        <f>交易记录!G600</f>
        <v>0</v>
      </c>
      <c r="BA93" s="123">
        <f>交易记录!G631</f>
        <v>0</v>
      </c>
      <c r="BB93" s="30">
        <f t="shared" si="46"/>
        <v>0</v>
      </c>
      <c r="BC93" s="120">
        <f>交易记录!G664</f>
        <v>0</v>
      </c>
      <c r="BD93" s="120">
        <f>交易记录!G695</f>
        <v>0</v>
      </c>
      <c r="BE93" s="30">
        <f t="shared" si="47"/>
        <v>0</v>
      </c>
      <c r="BF93" s="123">
        <f>交易记录!G728</f>
        <v>0</v>
      </c>
      <c r="BG93" s="123">
        <f>交易记录!G759</f>
        <v>0</v>
      </c>
      <c r="BH93" s="30">
        <f t="shared" si="48"/>
        <v>0</v>
      </c>
      <c r="BI93" s="120">
        <f>交易记录!G792</f>
        <v>0</v>
      </c>
      <c r="BJ93" s="120">
        <f>交易记录!G823</f>
        <v>0</v>
      </c>
      <c r="BK93" s="30">
        <f t="shared" si="49"/>
        <v>0</v>
      </c>
      <c r="BL93" s="123">
        <f>交易记录!G856</f>
        <v>0</v>
      </c>
      <c r="BM93" s="123">
        <f>交易记录!G887</f>
        <v>0</v>
      </c>
      <c r="BN93" s="30">
        <f t="shared" si="50"/>
        <v>0</v>
      </c>
      <c r="BO93" s="120">
        <f>交易记录!G920</f>
        <v>0</v>
      </c>
      <c r="BP93" s="120">
        <f>交易记录!G951</f>
        <v>0</v>
      </c>
      <c r="BQ93" s="30">
        <f t="shared" si="51"/>
        <v>0</v>
      </c>
    </row>
    <row r="94" spans="1:69" ht="15">
      <c r="A94" s="125">
        <f>'维护-日期'!A$6</f>
        <v>46269</v>
      </c>
      <c r="B94" s="7" t="s">
        <v>26</v>
      </c>
      <c r="C94" s="144">
        <f t="shared" si="52"/>
        <v>24.047999999999998</v>
      </c>
      <c r="D94" s="144">
        <f>ROUND(INDEX(持仓数据!$C$3:$AG$26,MATCH('计算过程-数据汇总'!B94,持仓数据!$B$3:$B$26,0),MATCH('计算过程-数据汇总'!A94,'维护-日期'!$B$2:$AF$2,0)),3)</f>
        <v>24.047999999999998</v>
      </c>
      <c r="E94" s="98">
        <f t="shared" si="53"/>
        <v>24.047999999999998</v>
      </c>
      <c r="F94" s="22">
        <f>持仓数据!F92</f>
        <v>1</v>
      </c>
      <c r="G94" s="97">
        <v>372</v>
      </c>
      <c r="H94" s="97">
        <v>372</v>
      </c>
      <c r="I94" s="64">
        <v>0</v>
      </c>
      <c r="J94" s="64">
        <v>0</v>
      </c>
      <c r="K94" s="21">
        <f>IF(持仓数据!F125="",0,持仓数据!F125)</f>
        <v>372</v>
      </c>
      <c r="L94" s="21">
        <f t="shared" si="54"/>
        <v>0</v>
      </c>
      <c r="M94" s="28">
        <f t="shared" si="38"/>
        <v>8945.8559999999998</v>
      </c>
      <c r="N94" s="28">
        <f t="shared" si="39"/>
        <v>0</v>
      </c>
      <c r="O94" s="28">
        <f t="shared" si="40"/>
        <v>0</v>
      </c>
      <c r="P94" s="28">
        <f t="shared" si="41"/>
        <v>0</v>
      </c>
      <c r="Q94" s="28">
        <f t="shared" si="55"/>
        <v>0</v>
      </c>
      <c r="R94" s="28">
        <f t="shared" si="42"/>
        <v>8945.8559999999998</v>
      </c>
      <c r="S94" s="28">
        <f t="shared" si="56"/>
        <v>0</v>
      </c>
      <c r="T94" s="28">
        <f t="shared" si="57"/>
        <v>0</v>
      </c>
      <c r="U94" s="28">
        <f t="shared" si="60"/>
        <v>0</v>
      </c>
      <c r="V94" s="28">
        <f t="shared" si="58"/>
        <v>0</v>
      </c>
      <c r="W94" s="118"/>
      <c r="X94" s="143">
        <f t="shared" si="59"/>
        <v>27.858000000000001</v>
      </c>
      <c r="Y94" s="120">
        <f>交易记录!G25</f>
        <v>1</v>
      </c>
      <c r="Z94" s="120">
        <f>交易记录!G56</f>
        <v>372</v>
      </c>
      <c r="AA94" s="30">
        <f t="shared" si="43"/>
        <v>0</v>
      </c>
      <c r="AB94" s="123">
        <f>交易记录!G89</f>
        <v>0</v>
      </c>
      <c r="AC94" s="123">
        <f>交易记录!G120</f>
        <v>0</v>
      </c>
      <c r="AD94" s="30">
        <f t="shared" si="66"/>
        <v>0</v>
      </c>
      <c r="AE94" s="120">
        <f>交易记录!G153</f>
        <v>0</v>
      </c>
      <c r="AF94" s="120">
        <f>交易记录!G184</f>
        <v>0</v>
      </c>
      <c r="AG94" s="30">
        <f t="shared" si="62"/>
        <v>0</v>
      </c>
      <c r="AH94" s="123">
        <f>交易记录!G217</f>
        <v>0</v>
      </c>
      <c r="AI94" s="123">
        <f>交易记录!G248</f>
        <v>0</v>
      </c>
      <c r="AJ94" s="30">
        <f t="shared" si="65"/>
        <v>0</v>
      </c>
      <c r="AK94" s="120">
        <f>交易记录!G281</f>
        <v>0</v>
      </c>
      <c r="AL94" s="120">
        <f>交易记录!G312</f>
        <v>0</v>
      </c>
      <c r="AM94" s="30">
        <f t="shared" si="64"/>
        <v>0</v>
      </c>
      <c r="AN94" s="123">
        <f>交易记录!G345</f>
        <v>0</v>
      </c>
      <c r="AO94" s="123">
        <f>交易记录!G376</f>
        <v>0</v>
      </c>
      <c r="AP94" s="30">
        <f t="shared" si="61"/>
        <v>0</v>
      </c>
      <c r="AQ94" s="120">
        <f>交易记录!G409</f>
        <v>0</v>
      </c>
      <c r="AR94" s="120">
        <f>交易记录!G440</f>
        <v>0</v>
      </c>
      <c r="AS94" s="30">
        <f t="shared" si="63"/>
        <v>0</v>
      </c>
      <c r="AT94" s="123">
        <f>交易记录!G473</f>
        <v>0</v>
      </c>
      <c r="AU94" s="123">
        <f>交易记录!G504</f>
        <v>0</v>
      </c>
      <c r="AV94" s="30">
        <f t="shared" si="44"/>
        <v>0</v>
      </c>
      <c r="AW94" s="120">
        <f>交易记录!G537</f>
        <v>0</v>
      </c>
      <c r="AX94" s="120">
        <f>交易记录!G568</f>
        <v>0</v>
      </c>
      <c r="AY94" s="30">
        <f t="shared" si="45"/>
        <v>0</v>
      </c>
      <c r="AZ94" s="123">
        <f>交易记录!G601</f>
        <v>0</v>
      </c>
      <c r="BA94" s="123">
        <f>交易记录!G632</f>
        <v>0</v>
      </c>
      <c r="BB94" s="30">
        <f t="shared" si="46"/>
        <v>0</v>
      </c>
      <c r="BC94" s="120">
        <f>交易记录!G665</f>
        <v>0</v>
      </c>
      <c r="BD94" s="120">
        <f>交易记录!G696</f>
        <v>0</v>
      </c>
      <c r="BE94" s="30">
        <f t="shared" si="47"/>
        <v>0</v>
      </c>
      <c r="BF94" s="123">
        <f>交易记录!G729</f>
        <v>0</v>
      </c>
      <c r="BG94" s="123">
        <f>交易记录!G760</f>
        <v>0</v>
      </c>
      <c r="BH94" s="30">
        <f t="shared" si="48"/>
        <v>0</v>
      </c>
      <c r="BI94" s="120">
        <f>交易记录!G793</f>
        <v>0</v>
      </c>
      <c r="BJ94" s="120">
        <f>交易记录!G824</f>
        <v>0</v>
      </c>
      <c r="BK94" s="30">
        <f t="shared" si="49"/>
        <v>0</v>
      </c>
      <c r="BL94" s="123">
        <f>交易记录!G857</f>
        <v>0</v>
      </c>
      <c r="BM94" s="123">
        <f>交易记录!G888</f>
        <v>0</v>
      </c>
      <c r="BN94" s="30">
        <f t="shared" si="50"/>
        <v>0</v>
      </c>
      <c r="BO94" s="120">
        <f>交易记录!G921</f>
        <v>0</v>
      </c>
      <c r="BP94" s="120">
        <f>交易记录!G952</f>
        <v>0</v>
      </c>
      <c r="BQ94" s="30">
        <f t="shared" si="51"/>
        <v>0</v>
      </c>
    </row>
    <row r="95" spans="1:69" ht="15">
      <c r="A95" s="125">
        <f>'维护-日期'!A$6</f>
        <v>46269</v>
      </c>
      <c r="B95" s="7" t="s">
        <v>27</v>
      </c>
      <c r="C95" s="144">
        <f t="shared" si="52"/>
        <v>22.594000000000001</v>
      </c>
      <c r="D95" s="144">
        <f>ROUND(INDEX(持仓数据!$C$3:$AG$26,MATCH('计算过程-数据汇总'!B95,持仓数据!$B$3:$B$26,0),MATCH('计算过程-数据汇总'!A95,'维护-日期'!$B$2:$AF$2,0)),3)</f>
        <v>22.594000000000001</v>
      </c>
      <c r="E95" s="98">
        <f t="shared" si="53"/>
        <v>22.594000000000001</v>
      </c>
      <c r="F95" s="22">
        <f>持仓数据!F93</f>
        <v>0.95199999999999996</v>
      </c>
      <c r="G95" s="97">
        <v>372</v>
      </c>
      <c r="H95" s="97">
        <v>372</v>
      </c>
      <c r="I95" s="64">
        <v>0</v>
      </c>
      <c r="J95" s="64">
        <v>0</v>
      </c>
      <c r="K95" s="21">
        <f>IF(持仓数据!F126="",0,持仓数据!F126)</f>
        <v>372</v>
      </c>
      <c r="L95" s="21">
        <f t="shared" si="54"/>
        <v>0</v>
      </c>
      <c r="M95" s="28">
        <f t="shared" si="38"/>
        <v>8404.9680000000008</v>
      </c>
      <c r="N95" s="28">
        <f t="shared" si="39"/>
        <v>0</v>
      </c>
      <c r="O95" s="28">
        <f t="shared" si="40"/>
        <v>0</v>
      </c>
      <c r="P95" s="28">
        <f t="shared" si="41"/>
        <v>0</v>
      </c>
      <c r="Q95" s="28">
        <f t="shared" si="55"/>
        <v>0</v>
      </c>
      <c r="R95" s="28">
        <f t="shared" si="42"/>
        <v>8404.9680000000008</v>
      </c>
      <c r="S95" s="28">
        <f t="shared" si="56"/>
        <v>0</v>
      </c>
      <c r="T95" s="28">
        <f t="shared" si="57"/>
        <v>0</v>
      </c>
      <c r="U95" s="28">
        <f t="shared" si="60"/>
        <v>0</v>
      </c>
      <c r="V95" s="28">
        <f t="shared" si="58"/>
        <v>0</v>
      </c>
      <c r="W95" s="118"/>
      <c r="X95" s="143">
        <f t="shared" si="59"/>
        <v>26.161000000000001</v>
      </c>
      <c r="Y95" s="120">
        <f>交易记录!G26</f>
        <v>0.95199999999999996</v>
      </c>
      <c r="Z95" s="120">
        <f>交易记录!G57</f>
        <v>372</v>
      </c>
      <c r="AA95" s="30">
        <f t="shared" si="43"/>
        <v>0</v>
      </c>
      <c r="AB95" s="123">
        <f>交易记录!G90</f>
        <v>0</v>
      </c>
      <c r="AC95" s="123">
        <f>交易记录!G121</f>
        <v>0</v>
      </c>
      <c r="AD95" s="30">
        <f t="shared" si="66"/>
        <v>0</v>
      </c>
      <c r="AE95" s="120">
        <f>交易记录!G154</f>
        <v>0</v>
      </c>
      <c r="AF95" s="120">
        <f>交易记录!G185</f>
        <v>0</v>
      </c>
      <c r="AG95" s="30">
        <f t="shared" si="62"/>
        <v>0</v>
      </c>
      <c r="AH95" s="123">
        <f>交易记录!G218</f>
        <v>0</v>
      </c>
      <c r="AI95" s="123">
        <f>交易记录!G249</f>
        <v>0</v>
      </c>
      <c r="AJ95" s="30">
        <f t="shared" si="65"/>
        <v>0</v>
      </c>
      <c r="AK95" s="120">
        <f>交易记录!G282</f>
        <v>0</v>
      </c>
      <c r="AL95" s="120">
        <f>交易记录!G313</f>
        <v>0</v>
      </c>
      <c r="AM95" s="30">
        <f t="shared" si="64"/>
        <v>0</v>
      </c>
      <c r="AN95" s="123">
        <f>交易记录!G346</f>
        <v>0</v>
      </c>
      <c r="AO95" s="123">
        <f>交易记录!G377</f>
        <v>0</v>
      </c>
      <c r="AP95" s="30">
        <f t="shared" si="61"/>
        <v>0</v>
      </c>
      <c r="AQ95" s="120">
        <f>交易记录!G410</f>
        <v>0</v>
      </c>
      <c r="AR95" s="120">
        <f>交易记录!G441</f>
        <v>0</v>
      </c>
      <c r="AS95" s="30">
        <f t="shared" si="63"/>
        <v>0</v>
      </c>
      <c r="AT95" s="123">
        <f>交易记录!G474</f>
        <v>0</v>
      </c>
      <c r="AU95" s="123">
        <f>交易记录!G505</f>
        <v>0</v>
      </c>
      <c r="AV95" s="30">
        <f t="shared" si="44"/>
        <v>0</v>
      </c>
      <c r="AW95" s="120">
        <f>交易记录!G538</f>
        <v>0</v>
      </c>
      <c r="AX95" s="120">
        <f>交易记录!G569</f>
        <v>0</v>
      </c>
      <c r="AY95" s="30">
        <f t="shared" si="45"/>
        <v>0</v>
      </c>
      <c r="AZ95" s="123">
        <f>交易记录!G602</f>
        <v>0</v>
      </c>
      <c r="BA95" s="123">
        <f>交易记录!G633</f>
        <v>0</v>
      </c>
      <c r="BB95" s="30">
        <f t="shared" si="46"/>
        <v>0</v>
      </c>
      <c r="BC95" s="120">
        <f>交易记录!G666</f>
        <v>0</v>
      </c>
      <c r="BD95" s="120">
        <f>交易记录!G697</f>
        <v>0</v>
      </c>
      <c r="BE95" s="30">
        <f t="shared" si="47"/>
        <v>0</v>
      </c>
      <c r="BF95" s="123">
        <f>交易记录!G730</f>
        <v>0</v>
      </c>
      <c r="BG95" s="123">
        <f>交易记录!G761</f>
        <v>0</v>
      </c>
      <c r="BH95" s="30">
        <f t="shared" si="48"/>
        <v>0</v>
      </c>
      <c r="BI95" s="120">
        <f>交易记录!G794</f>
        <v>0</v>
      </c>
      <c r="BJ95" s="120">
        <f>交易记录!G825</f>
        <v>0</v>
      </c>
      <c r="BK95" s="30">
        <f t="shared" si="49"/>
        <v>0</v>
      </c>
      <c r="BL95" s="123">
        <f>交易记录!G858</f>
        <v>0</v>
      </c>
      <c r="BM95" s="123">
        <f>交易记录!G889</f>
        <v>0</v>
      </c>
      <c r="BN95" s="30">
        <f t="shared" si="50"/>
        <v>0</v>
      </c>
      <c r="BO95" s="120">
        <f>交易记录!G922</f>
        <v>0</v>
      </c>
      <c r="BP95" s="120">
        <f>交易记录!G953</f>
        <v>0</v>
      </c>
      <c r="BQ95" s="30">
        <f t="shared" si="51"/>
        <v>0</v>
      </c>
    </row>
    <row r="96" spans="1:69" ht="15">
      <c r="A96" s="125">
        <f>'维护-日期'!A$6</f>
        <v>46269</v>
      </c>
      <c r="B96" s="7" t="s">
        <v>28</v>
      </c>
      <c r="C96" s="144">
        <f t="shared" si="52"/>
        <v>19.387</v>
      </c>
      <c r="D96" s="144">
        <f>ROUND(INDEX(持仓数据!$C$3:$AG$26,MATCH('计算过程-数据汇总'!B96,持仓数据!$B$3:$B$26,0),MATCH('计算过程-数据汇总'!A96,'维护-日期'!$B$2:$AF$2,0)),3)</f>
        <v>19.387</v>
      </c>
      <c r="E96" s="98">
        <f t="shared" si="53"/>
        <v>19.387</v>
      </c>
      <c r="F96" s="22">
        <f>持仓数据!F94</f>
        <v>0.84300000000000008</v>
      </c>
      <c r="G96" s="97">
        <v>372</v>
      </c>
      <c r="H96" s="97">
        <v>372</v>
      </c>
      <c r="I96" s="64">
        <v>0</v>
      </c>
      <c r="J96" s="64">
        <v>0</v>
      </c>
      <c r="K96" s="21">
        <f>IF(持仓数据!F127="",0,持仓数据!F127)</f>
        <v>371.99999999999994</v>
      </c>
      <c r="L96" s="21">
        <f t="shared" si="54"/>
        <v>0</v>
      </c>
      <c r="M96" s="28">
        <f t="shared" si="38"/>
        <v>7211.9639999999999</v>
      </c>
      <c r="N96" s="28">
        <f t="shared" si="39"/>
        <v>0</v>
      </c>
      <c r="O96" s="28">
        <f t="shared" si="40"/>
        <v>0</v>
      </c>
      <c r="P96" s="28">
        <f t="shared" si="41"/>
        <v>-4.7919002099661161E-14</v>
      </c>
      <c r="Q96" s="28">
        <f t="shared" si="55"/>
        <v>0</v>
      </c>
      <c r="R96" s="28">
        <f t="shared" si="42"/>
        <v>7211.963999999999</v>
      </c>
      <c r="S96" s="28">
        <f t="shared" si="56"/>
        <v>0</v>
      </c>
      <c r="T96" s="28">
        <f t="shared" si="57"/>
        <v>1.0541043593548239E-12</v>
      </c>
      <c r="U96" s="28">
        <f t="shared" si="60"/>
        <v>0</v>
      </c>
      <c r="V96" s="28">
        <f t="shared" si="58"/>
        <v>0</v>
      </c>
      <c r="W96" s="118"/>
      <c r="X96" s="143">
        <f t="shared" si="59"/>
        <v>22.420999999999999</v>
      </c>
      <c r="Y96" s="120">
        <f>交易记录!G27</f>
        <v>0.84300000000000008</v>
      </c>
      <c r="Z96" s="120">
        <f>交易记录!G58</f>
        <v>372</v>
      </c>
      <c r="AA96" s="30">
        <f t="shared" si="43"/>
        <v>0</v>
      </c>
      <c r="AB96" s="123">
        <f>交易记录!G91</f>
        <v>0</v>
      </c>
      <c r="AC96" s="123">
        <f>交易记录!G122</f>
        <v>0</v>
      </c>
      <c r="AD96" s="30">
        <f t="shared" si="66"/>
        <v>0</v>
      </c>
      <c r="AE96" s="120">
        <f>交易记录!G155</f>
        <v>0</v>
      </c>
      <c r="AF96" s="120">
        <f>交易记录!G186</f>
        <v>0</v>
      </c>
      <c r="AG96" s="30">
        <f t="shared" si="62"/>
        <v>0</v>
      </c>
      <c r="AH96" s="123">
        <f>交易记录!G219</f>
        <v>0</v>
      </c>
      <c r="AI96" s="123">
        <f>交易记录!G250</f>
        <v>0</v>
      </c>
      <c r="AJ96" s="30">
        <f t="shared" si="65"/>
        <v>0</v>
      </c>
      <c r="AK96" s="120">
        <f>交易记录!G283</f>
        <v>0</v>
      </c>
      <c r="AL96" s="120">
        <f>交易记录!G314</f>
        <v>0</v>
      </c>
      <c r="AM96" s="30">
        <f t="shared" si="64"/>
        <v>0</v>
      </c>
      <c r="AN96" s="123">
        <f>交易记录!G347</f>
        <v>0</v>
      </c>
      <c r="AO96" s="123">
        <f>交易记录!G378</f>
        <v>0</v>
      </c>
      <c r="AP96" s="30">
        <f t="shared" si="61"/>
        <v>0</v>
      </c>
      <c r="AQ96" s="120">
        <f>交易记录!G411</f>
        <v>0</v>
      </c>
      <c r="AR96" s="120">
        <f>交易记录!G442</f>
        <v>0</v>
      </c>
      <c r="AS96" s="30">
        <f t="shared" si="63"/>
        <v>0</v>
      </c>
      <c r="AT96" s="123">
        <f>交易记录!G475</f>
        <v>0</v>
      </c>
      <c r="AU96" s="123">
        <f>交易记录!G506</f>
        <v>0</v>
      </c>
      <c r="AV96" s="30">
        <f t="shared" si="44"/>
        <v>0</v>
      </c>
      <c r="AW96" s="120">
        <f>交易记录!G539</f>
        <v>0</v>
      </c>
      <c r="AX96" s="120">
        <f>交易记录!G570</f>
        <v>0</v>
      </c>
      <c r="AY96" s="30">
        <f t="shared" si="45"/>
        <v>0</v>
      </c>
      <c r="AZ96" s="123">
        <f>交易记录!G603</f>
        <v>0</v>
      </c>
      <c r="BA96" s="123">
        <f>交易记录!G634</f>
        <v>0</v>
      </c>
      <c r="BB96" s="30">
        <f t="shared" si="46"/>
        <v>0</v>
      </c>
      <c r="BC96" s="120">
        <f>交易记录!G667</f>
        <v>0</v>
      </c>
      <c r="BD96" s="120">
        <f>交易记录!G698</f>
        <v>0</v>
      </c>
      <c r="BE96" s="30">
        <f t="shared" si="47"/>
        <v>0</v>
      </c>
      <c r="BF96" s="123">
        <f>交易记录!G731</f>
        <v>0</v>
      </c>
      <c r="BG96" s="123">
        <f>交易记录!G762</f>
        <v>0</v>
      </c>
      <c r="BH96" s="30">
        <f t="shared" si="48"/>
        <v>0</v>
      </c>
      <c r="BI96" s="120">
        <f>交易记录!G795</f>
        <v>0</v>
      </c>
      <c r="BJ96" s="120">
        <f>交易记录!G826</f>
        <v>0</v>
      </c>
      <c r="BK96" s="30">
        <f t="shared" si="49"/>
        <v>0</v>
      </c>
      <c r="BL96" s="123">
        <f>交易记录!G859</f>
        <v>0</v>
      </c>
      <c r="BM96" s="123">
        <f>交易记录!G890</f>
        <v>0</v>
      </c>
      <c r="BN96" s="30">
        <f t="shared" si="50"/>
        <v>0</v>
      </c>
      <c r="BO96" s="120">
        <f>交易记录!G923</f>
        <v>0</v>
      </c>
      <c r="BP96" s="120">
        <f>交易记录!G954</f>
        <v>0</v>
      </c>
      <c r="BQ96" s="30">
        <f t="shared" si="51"/>
        <v>0</v>
      </c>
    </row>
    <row r="97" spans="1:69" ht="15">
      <c r="A97" s="125">
        <f>'维护-日期'!A$6</f>
        <v>46269</v>
      </c>
      <c r="B97" s="7" t="s">
        <v>29</v>
      </c>
      <c r="C97" s="144">
        <f t="shared" si="52"/>
        <v>16.963000000000001</v>
      </c>
      <c r="D97" s="144">
        <f>ROUND(INDEX(持仓数据!$C$3:$AG$26,MATCH('计算过程-数据汇总'!B97,持仓数据!$B$3:$B$26,0),MATCH('计算过程-数据汇总'!A97,'维护-日期'!$B$2:$AF$2,0)),3)</f>
        <v>16.963000000000001</v>
      </c>
      <c r="E97" s="98">
        <f t="shared" si="53"/>
        <v>16.963000000000001</v>
      </c>
      <c r="F97" s="22">
        <f>持仓数据!F95</f>
        <v>0.33299999999999996</v>
      </c>
      <c r="G97" s="97">
        <v>372</v>
      </c>
      <c r="H97" s="97">
        <v>372</v>
      </c>
      <c r="I97" s="64">
        <v>0</v>
      </c>
      <c r="J97" s="64">
        <v>0</v>
      </c>
      <c r="K97" s="21">
        <f>IF(持仓数据!F128="",0,持仓数据!F128)</f>
        <v>372</v>
      </c>
      <c r="L97" s="21">
        <f t="shared" si="54"/>
        <v>0</v>
      </c>
      <c r="M97" s="28">
        <f t="shared" si="38"/>
        <v>6310.2360000000008</v>
      </c>
      <c r="N97" s="28">
        <f t="shared" si="39"/>
        <v>0</v>
      </c>
      <c r="O97" s="28">
        <f t="shared" si="40"/>
        <v>0</v>
      </c>
      <c r="P97" s="28">
        <f t="shared" si="41"/>
        <v>0</v>
      </c>
      <c r="Q97" s="28">
        <f t="shared" si="55"/>
        <v>0</v>
      </c>
      <c r="R97" s="28">
        <f t="shared" si="42"/>
        <v>6310.2360000000008</v>
      </c>
      <c r="S97" s="28">
        <f t="shared" si="56"/>
        <v>0</v>
      </c>
      <c r="T97" s="28">
        <f t="shared" si="57"/>
        <v>0</v>
      </c>
      <c r="U97" s="28">
        <f t="shared" si="60"/>
        <v>0</v>
      </c>
      <c r="V97" s="28">
        <f t="shared" si="58"/>
        <v>0</v>
      </c>
      <c r="W97" s="118"/>
      <c r="X97" s="143">
        <f t="shared" si="59"/>
        <v>20.023</v>
      </c>
      <c r="Y97" s="120">
        <f>交易记录!G28</f>
        <v>0.33299999999999996</v>
      </c>
      <c r="Z97" s="120">
        <f>交易记录!G59</f>
        <v>372</v>
      </c>
      <c r="AA97" s="30">
        <f t="shared" si="43"/>
        <v>0</v>
      </c>
      <c r="AB97" s="123">
        <f>交易记录!G92</f>
        <v>0</v>
      </c>
      <c r="AC97" s="123">
        <f>交易记录!G123</f>
        <v>0</v>
      </c>
      <c r="AD97" s="30">
        <f t="shared" si="66"/>
        <v>0</v>
      </c>
      <c r="AE97" s="120">
        <f>交易记录!G156</f>
        <v>0</v>
      </c>
      <c r="AF97" s="120">
        <f>交易记录!G187</f>
        <v>0</v>
      </c>
      <c r="AG97" s="30">
        <f t="shared" si="62"/>
        <v>0</v>
      </c>
      <c r="AH97" s="123">
        <f>交易记录!G220</f>
        <v>0</v>
      </c>
      <c r="AI97" s="123">
        <f>交易记录!G251</f>
        <v>0</v>
      </c>
      <c r="AJ97" s="30">
        <f t="shared" si="65"/>
        <v>0</v>
      </c>
      <c r="AK97" s="120">
        <f>交易记录!G284</f>
        <v>0</v>
      </c>
      <c r="AL97" s="120">
        <f>交易记录!G315</f>
        <v>0</v>
      </c>
      <c r="AM97" s="30">
        <f t="shared" si="64"/>
        <v>0</v>
      </c>
      <c r="AN97" s="123">
        <f>交易记录!G348</f>
        <v>0</v>
      </c>
      <c r="AO97" s="123">
        <f>交易记录!G379</f>
        <v>0</v>
      </c>
      <c r="AP97" s="30">
        <f t="shared" si="61"/>
        <v>0</v>
      </c>
      <c r="AQ97" s="120">
        <f>交易记录!G412</f>
        <v>0</v>
      </c>
      <c r="AR97" s="120">
        <f>交易记录!G443</f>
        <v>0</v>
      </c>
      <c r="AS97" s="30">
        <f t="shared" si="63"/>
        <v>0</v>
      </c>
      <c r="AT97" s="123">
        <f>交易记录!G476</f>
        <v>0</v>
      </c>
      <c r="AU97" s="123">
        <f>交易记录!G507</f>
        <v>0</v>
      </c>
      <c r="AV97" s="30">
        <f t="shared" si="44"/>
        <v>0</v>
      </c>
      <c r="AW97" s="120">
        <f>交易记录!G540</f>
        <v>0</v>
      </c>
      <c r="AX97" s="120">
        <f>交易记录!G571</f>
        <v>0</v>
      </c>
      <c r="AY97" s="30">
        <f t="shared" si="45"/>
        <v>0</v>
      </c>
      <c r="AZ97" s="123">
        <f>交易记录!G604</f>
        <v>0</v>
      </c>
      <c r="BA97" s="123">
        <f>交易记录!G635</f>
        <v>0</v>
      </c>
      <c r="BB97" s="30">
        <f t="shared" si="46"/>
        <v>0</v>
      </c>
      <c r="BC97" s="120">
        <f>交易记录!G668</f>
        <v>0</v>
      </c>
      <c r="BD97" s="120">
        <f>交易记录!G699</f>
        <v>0</v>
      </c>
      <c r="BE97" s="30">
        <f t="shared" si="47"/>
        <v>0</v>
      </c>
      <c r="BF97" s="123">
        <f>交易记录!G732</f>
        <v>0</v>
      </c>
      <c r="BG97" s="123">
        <f>交易记录!G763</f>
        <v>0</v>
      </c>
      <c r="BH97" s="30">
        <f t="shared" si="48"/>
        <v>0</v>
      </c>
      <c r="BI97" s="120">
        <f>交易记录!G796</f>
        <v>0</v>
      </c>
      <c r="BJ97" s="120">
        <f>交易记录!G827</f>
        <v>0</v>
      </c>
      <c r="BK97" s="30">
        <f t="shared" si="49"/>
        <v>0</v>
      </c>
      <c r="BL97" s="123">
        <f>交易记录!G860</f>
        <v>0</v>
      </c>
      <c r="BM97" s="123">
        <f>交易记录!G891</f>
        <v>0</v>
      </c>
      <c r="BN97" s="30">
        <f t="shared" si="50"/>
        <v>0</v>
      </c>
      <c r="BO97" s="120">
        <f>交易记录!G924</f>
        <v>0</v>
      </c>
      <c r="BP97" s="120">
        <f>交易记录!G955</f>
        <v>0</v>
      </c>
      <c r="BQ97" s="30">
        <f t="shared" si="51"/>
        <v>0</v>
      </c>
    </row>
    <row r="98" spans="1:69" ht="15">
      <c r="A98" s="125">
        <f>'维护-日期'!A$7</f>
        <v>46270</v>
      </c>
      <c r="B98" s="7" t="s">
        <v>6</v>
      </c>
      <c r="C98" s="144">
        <f t="shared" si="52"/>
        <v>16.931000000000001</v>
      </c>
      <c r="D98" s="144">
        <f>ROUND(INDEX(持仓数据!$C$3:$AG$26,MATCH('计算过程-数据汇总'!B98,持仓数据!$B$3:$B$26,0),MATCH('计算过程-数据汇总'!A98,'维护-日期'!$B$2:$AF$2,0)),3)</f>
        <v>16.931000000000001</v>
      </c>
      <c r="E98" s="98">
        <f t="shared" si="53"/>
        <v>16.931000000000001</v>
      </c>
      <c r="F98" s="22">
        <f>持仓数据!G72</f>
        <v>0.1</v>
      </c>
      <c r="G98" s="97">
        <v>372</v>
      </c>
      <c r="H98" s="97">
        <v>372</v>
      </c>
      <c r="I98" s="64">
        <v>0</v>
      </c>
      <c r="J98" s="64">
        <v>0</v>
      </c>
      <c r="K98" s="21">
        <f>IF(持仓数据!G105="",0,持仓数据!G105)</f>
        <v>372</v>
      </c>
      <c r="L98" s="21">
        <f t="shared" si="54"/>
        <v>0</v>
      </c>
      <c r="M98" s="28">
        <f t="shared" si="38"/>
        <v>6298.3320000000003</v>
      </c>
      <c r="N98" s="28">
        <f t="shared" si="39"/>
        <v>0</v>
      </c>
      <c r="O98" s="28">
        <f t="shared" si="40"/>
        <v>0</v>
      </c>
      <c r="P98" s="28">
        <f t="shared" si="41"/>
        <v>0</v>
      </c>
      <c r="Q98" s="28">
        <f t="shared" si="55"/>
        <v>0</v>
      </c>
      <c r="R98" s="28">
        <f t="shared" si="42"/>
        <v>6298.3320000000003</v>
      </c>
      <c r="S98" s="28">
        <f t="shared" si="56"/>
        <v>0</v>
      </c>
      <c r="T98" s="28">
        <f t="shared" si="57"/>
        <v>0</v>
      </c>
      <c r="U98" s="28">
        <f t="shared" si="60"/>
        <v>0</v>
      </c>
      <c r="V98" s="28">
        <f t="shared" si="58"/>
        <v>0</v>
      </c>
      <c r="W98" s="118"/>
      <c r="X98" s="143">
        <f t="shared" si="59"/>
        <v>20.216999999999999</v>
      </c>
      <c r="Y98" s="121">
        <f>交易记录!H5</f>
        <v>0.1</v>
      </c>
      <c r="Z98" s="121">
        <f>交易记录!H36</f>
        <v>372</v>
      </c>
      <c r="AA98" s="30">
        <f t="shared" si="43"/>
        <v>0</v>
      </c>
      <c r="AB98" s="124">
        <f>交易记录!H69</f>
        <v>0</v>
      </c>
      <c r="AC98" s="124">
        <f>交易记录!H100</f>
        <v>0</v>
      </c>
      <c r="AD98" s="30">
        <f t="shared" si="66"/>
        <v>0</v>
      </c>
      <c r="AE98" s="121">
        <f>交易记录!H133</f>
        <v>0</v>
      </c>
      <c r="AF98" s="121">
        <f>交易记录!H164</f>
        <v>0</v>
      </c>
      <c r="AG98" s="30">
        <f t="shared" si="62"/>
        <v>0</v>
      </c>
      <c r="AH98" s="124">
        <f>交易记录!H197</f>
        <v>0</v>
      </c>
      <c r="AI98" s="124">
        <f>交易记录!H228</f>
        <v>0</v>
      </c>
      <c r="AJ98" s="30">
        <f t="shared" si="65"/>
        <v>0</v>
      </c>
      <c r="AK98" s="121">
        <f>交易记录!H261</f>
        <v>0</v>
      </c>
      <c r="AL98" s="121">
        <f>交易记录!H292</f>
        <v>0</v>
      </c>
      <c r="AM98" s="30">
        <f t="shared" si="64"/>
        <v>0</v>
      </c>
      <c r="AN98" s="124">
        <f>交易记录!H325</f>
        <v>0</v>
      </c>
      <c r="AO98" s="124">
        <f>交易记录!H356</f>
        <v>0</v>
      </c>
      <c r="AP98" s="30">
        <f t="shared" si="61"/>
        <v>0</v>
      </c>
      <c r="AQ98" s="121">
        <f>交易记录!H389</f>
        <v>0</v>
      </c>
      <c r="AR98" s="121">
        <f>交易记录!H420</f>
        <v>0</v>
      </c>
      <c r="AS98" s="30">
        <f t="shared" si="63"/>
        <v>0</v>
      </c>
      <c r="AT98" s="124">
        <f>交易记录!H453</f>
        <v>0</v>
      </c>
      <c r="AU98" s="124">
        <f>交易记录!H484</f>
        <v>0</v>
      </c>
      <c r="AV98" s="30">
        <f t="shared" si="44"/>
        <v>0</v>
      </c>
      <c r="AW98" s="121">
        <f>交易记录!H517</f>
        <v>0</v>
      </c>
      <c r="AX98" s="121">
        <f>交易记录!H548</f>
        <v>0</v>
      </c>
      <c r="AY98" s="30">
        <f t="shared" si="45"/>
        <v>0</v>
      </c>
      <c r="AZ98" s="124">
        <f>交易记录!H581</f>
        <v>0</v>
      </c>
      <c r="BA98" s="124">
        <f>交易记录!H612</f>
        <v>0</v>
      </c>
      <c r="BB98" s="30">
        <f t="shared" si="46"/>
        <v>0</v>
      </c>
      <c r="BC98" s="121">
        <f>交易记录!H645</f>
        <v>0</v>
      </c>
      <c r="BD98" s="121">
        <f>交易记录!H676</f>
        <v>0</v>
      </c>
      <c r="BE98" s="30">
        <f t="shared" si="47"/>
        <v>0</v>
      </c>
      <c r="BF98" s="124">
        <f>交易记录!H709</f>
        <v>0</v>
      </c>
      <c r="BG98" s="124">
        <f>交易记录!H740</f>
        <v>0</v>
      </c>
      <c r="BH98" s="30">
        <f t="shared" si="48"/>
        <v>0</v>
      </c>
      <c r="BI98" s="121">
        <f>交易记录!H773</f>
        <v>0</v>
      </c>
      <c r="BJ98" s="121">
        <f>交易记录!H804</f>
        <v>0</v>
      </c>
      <c r="BK98" s="30">
        <f t="shared" si="49"/>
        <v>0</v>
      </c>
      <c r="BL98" s="124">
        <f>交易记录!H837</f>
        <v>0</v>
      </c>
      <c r="BM98" s="124">
        <f>交易记录!H868</f>
        <v>0</v>
      </c>
      <c r="BN98" s="30">
        <f t="shared" si="50"/>
        <v>0</v>
      </c>
      <c r="BO98" s="121">
        <f>交易记录!H901</f>
        <v>0</v>
      </c>
      <c r="BP98" s="121">
        <f>交易记录!H932</f>
        <v>0</v>
      </c>
      <c r="BQ98" s="30">
        <f t="shared" si="51"/>
        <v>0</v>
      </c>
    </row>
    <row r="99" spans="1:69" ht="15">
      <c r="A99" s="125">
        <f>'维护-日期'!A$7</f>
        <v>46270</v>
      </c>
      <c r="B99" s="7" t="s">
        <v>7</v>
      </c>
      <c r="C99" s="144">
        <f t="shared" si="52"/>
        <v>15.778</v>
      </c>
      <c r="D99" s="144">
        <f>ROUND(INDEX(持仓数据!$C$3:$AG$26,MATCH('计算过程-数据汇总'!B99,持仓数据!$B$3:$B$26,0),MATCH('计算过程-数据汇总'!A99,'维护-日期'!$B$2:$AF$2,0)),3)</f>
        <v>15.778</v>
      </c>
      <c r="E99" s="98">
        <f t="shared" si="53"/>
        <v>15.778</v>
      </c>
      <c r="F99" s="22">
        <f>持仓数据!G73</f>
        <v>9.5000000000000001E-2</v>
      </c>
      <c r="G99" s="97">
        <v>372</v>
      </c>
      <c r="H99" s="97">
        <v>372</v>
      </c>
      <c r="I99" s="64">
        <v>0</v>
      </c>
      <c r="J99" s="64">
        <v>0</v>
      </c>
      <c r="K99" s="21">
        <f>IF(持仓数据!G106="",0,持仓数据!G106)</f>
        <v>372.00000000000006</v>
      </c>
      <c r="L99" s="21">
        <f t="shared" si="54"/>
        <v>0</v>
      </c>
      <c r="M99" s="28">
        <f t="shared" si="38"/>
        <v>5869.4160000000002</v>
      </c>
      <c r="N99" s="28">
        <f t="shared" si="39"/>
        <v>0</v>
      </c>
      <c r="O99" s="28">
        <f t="shared" si="40"/>
        <v>0</v>
      </c>
      <c r="P99" s="28">
        <f t="shared" si="41"/>
        <v>5.4001247917767615E-15</v>
      </c>
      <c r="Q99" s="28">
        <f t="shared" si="55"/>
        <v>0</v>
      </c>
      <c r="R99" s="28">
        <f t="shared" si="42"/>
        <v>5869.4160000000011</v>
      </c>
      <c r="S99" s="28">
        <f t="shared" si="56"/>
        <v>0</v>
      </c>
      <c r="T99" s="28">
        <f t="shared" si="57"/>
        <v>-8.9147533799405209E-13</v>
      </c>
      <c r="U99" s="28">
        <f t="shared" si="60"/>
        <v>0</v>
      </c>
      <c r="V99" s="28">
        <f t="shared" si="58"/>
        <v>0</v>
      </c>
      <c r="W99" s="118"/>
      <c r="X99" s="143">
        <f t="shared" si="59"/>
        <v>18.838999999999999</v>
      </c>
      <c r="Y99" s="121">
        <f>交易记录!H6</f>
        <v>9.5000000000000001E-2</v>
      </c>
      <c r="Z99" s="121">
        <f>交易记录!H37</f>
        <v>372</v>
      </c>
      <c r="AA99" s="30">
        <f t="shared" si="43"/>
        <v>0</v>
      </c>
      <c r="AB99" s="124">
        <f>交易记录!H70</f>
        <v>0</v>
      </c>
      <c r="AC99" s="124">
        <f>交易记录!H101</f>
        <v>0</v>
      </c>
      <c r="AD99" s="30">
        <f t="shared" si="66"/>
        <v>0</v>
      </c>
      <c r="AE99" s="121">
        <f>交易记录!H134</f>
        <v>0</v>
      </c>
      <c r="AF99" s="121">
        <f>交易记录!H165</f>
        <v>0</v>
      </c>
      <c r="AG99" s="30">
        <f t="shared" si="62"/>
        <v>0</v>
      </c>
      <c r="AH99" s="124">
        <f>交易记录!H198</f>
        <v>0</v>
      </c>
      <c r="AI99" s="124">
        <f>交易记录!H229</f>
        <v>0</v>
      </c>
      <c r="AJ99" s="30">
        <f t="shared" si="65"/>
        <v>0</v>
      </c>
      <c r="AK99" s="121">
        <f>交易记录!H262</f>
        <v>0</v>
      </c>
      <c r="AL99" s="121">
        <f>交易记录!H293</f>
        <v>0</v>
      </c>
      <c r="AM99" s="30">
        <f t="shared" si="64"/>
        <v>0</v>
      </c>
      <c r="AN99" s="124">
        <f>交易记录!H326</f>
        <v>0</v>
      </c>
      <c r="AO99" s="124">
        <f>交易记录!H357</f>
        <v>0</v>
      </c>
      <c r="AP99" s="30">
        <f t="shared" si="61"/>
        <v>0</v>
      </c>
      <c r="AQ99" s="121">
        <f>交易记录!H390</f>
        <v>0</v>
      </c>
      <c r="AR99" s="121">
        <f>交易记录!H421</f>
        <v>0</v>
      </c>
      <c r="AS99" s="30">
        <f t="shared" si="63"/>
        <v>0</v>
      </c>
      <c r="AT99" s="124">
        <f>交易记录!H454</f>
        <v>0</v>
      </c>
      <c r="AU99" s="124">
        <f>交易记录!H485</f>
        <v>0</v>
      </c>
      <c r="AV99" s="30">
        <f t="shared" si="44"/>
        <v>0</v>
      </c>
      <c r="AW99" s="121">
        <f>交易记录!H518</f>
        <v>0</v>
      </c>
      <c r="AX99" s="121">
        <f>交易记录!H549</f>
        <v>0</v>
      </c>
      <c r="AY99" s="30">
        <f t="shared" si="45"/>
        <v>0</v>
      </c>
      <c r="AZ99" s="124">
        <f>交易记录!H582</f>
        <v>0</v>
      </c>
      <c r="BA99" s="124">
        <f>交易记录!H613</f>
        <v>0</v>
      </c>
      <c r="BB99" s="30">
        <f t="shared" si="46"/>
        <v>0</v>
      </c>
      <c r="BC99" s="121">
        <f>交易记录!H646</f>
        <v>0</v>
      </c>
      <c r="BD99" s="121">
        <f>交易记录!H677</f>
        <v>0</v>
      </c>
      <c r="BE99" s="30">
        <f t="shared" si="47"/>
        <v>0</v>
      </c>
      <c r="BF99" s="124">
        <f>交易记录!H710</f>
        <v>0</v>
      </c>
      <c r="BG99" s="124">
        <f>交易记录!H741</f>
        <v>0</v>
      </c>
      <c r="BH99" s="30">
        <f t="shared" si="48"/>
        <v>0</v>
      </c>
      <c r="BI99" s="121">
        <f>交易记录!H774</f>
        <v>0</v>
      </c>
      <c r="BJ99" s="121">
        <f>交易记录!H805</f>
        <v>0</v>
      </c>
      <c r="BK99" s="30">
        <f t="shared" si="49"/>
        <v>0</v>
      </c>
      <c r="BL99" s="124">
        <f>交易记录!H838</f>
        <v>0</v>
      </c>
      <c r="BM99" s="124">
        <f>交易记录!H869</f>
        <v>0</v>
      </c>
      <c r="BN99" s="30">
        <f t="shared" si="50"/>
        <v>0</v>
      </c>
      <c r="BO99" s="121">
        <f>交易记录!H902</f>
        <v>0</v>
      </c>
      <c r="BP99" s="121">
        <f>交易记录!H933</f>
        <v>0</v>
      </c>
      <c r="BQ99" s="30">
        <f t="shared" si="51"/>
        <v>0</v>
      </c>
    </row>
    <row r="100" spans="1:69" ht="15">
      <c r="A100" s="125">
        <f>'维护-日期'!A$7</f>
        <v>46270</v>
      </c>
      <c r="B100" s="7" t="s">
        <v>8</v>
      </c>
      <c r="C100" s="144">
        <f t="shared" si="52"/>
        <v>14.811999999999999</v>
      </c>
      <c r="D100" s="144">
        <f>ROUND(INDEX(持仓数据!$C$3:$AG$26,MATCH('计算过程-数据汇总'!B100,持仓数据!$B$3:$B$26,0),MATCH('计算过程-数据汇总'!A100,'维护-日期'!$B$2:$AF$2,0)),3)</f>
        <v>14.811999999999999</v>
      </c>
      <c r="E100" s="98">
        <f t="shared" si="53"/>
        <v>14.811999999999999</v>
      </c>
      <c r="F100" s="22">
        <f>持仓数据!G74</f>
        <v>8.5999999999999993E-2</v>
      </c>
      <c r="G100" s="97">
        <v>372</v>
      </c>
      <c r="H100" s="97">
        <v>372</v>
      </c>
      <c r="I100" s="64">
        <v>0</v>
      </c>
      <c r="J100" s="64">
        <v>0</v>
      </c>
      <c r="K100" s="21">
        <f>IF(持仓数据!G107="",0,持仓数据!G107)</f>
        <v>372</v>
      </c>
      <c r="L100" s="21">
        <f t="shared" si="54"/>
        <v>0</v>
      </c>
      <c r="M100" s="28">
        <f t="shared" si="38"/>
        <v>5510.0639999999994</v>
      </c>
      <c r="N100" s="28">
        <f t="shared" si="39"/>
        <v>0</v>
      </c>
      <c r="O100" s="28">
        <f t="shared" si="40"/>
        <v>0</v>
      </c>
      <c r="P100" s="28">
        <f t="shared" si="41"/>
        <v>0</v>
      </c>
      <c r="Q100" s="28">
        <f t="shared" si="55"/>
        <v>0</v>
      </c>
      <c r="R100" s="28">
        <f t="shared" si="42"/>
        <v>5510.0639999999994</v>
      </c>
      <c r="S100" s="28">
        <f t="shared" si="56"/>
        <v>0</v>
      </c>
      <c r="T100" s="28">
        <f t="shared" si="57"/>
        <v>0</v>
      </c>
      <c r="U100" s="28">
        <f t="shared" si="60"/>
        <v>0</v>
      </c>
      <c r="V100" s="28">
        <f t="shared" si="58"/>
        <v>0</v>
      </c>
      <c r="W100" s="118"/>
      <c r="X100" s="143">
        <f t="shared" si="59"/>
        <v>17.687999999999999</v>
      </c>
      <c r="Y100" s="121">
        <f>交易记录!H7</f>
        <v>8.5999999999999993E-2</v>
      </c>
      <c r="Z100" s="121">
        <f>交易记录!H38</f>
        <v>372</v>
      </c>
      <c r="AA100" s="30">
        <f t="shared" si="43"/>
        <v>0</v>
      </c>
      <c r="AB100" s="124">
        <f>交易记录!H71</f>
        <v>0</v>
      </c>
      <c r="AC100" s="124">
        <f>交易记录!H102</f>
        <v>0</v>
      </c>
      <c r="AD100" s="30">
        <f t="shared" si="66"/>
        <v>0</v>
      </c>
      <c r="AE100" s="121">
        <f>交易记录!H135</f>
        <v>0</v>
      </c>
      <c r="AF100" s="121">
        <f>交易记录!H166</f>
        <v>0</v>
      </c>
      <c r="AG100" s="30">
        <f t="shared" si="62"/>
        <v>0</v>
      </c>
      <c r="AH100" s="124">
        <f>交易记录!H199</f>
        <v>0</v>
      </c>
      <c r="AI100" s="124">
        <f>交易记录!H230</f>
        <v>0</v>
      </c>
      <c r="AJ100" s="30">
        <f t="shared" si="65"/>
        <v>0</v>
      </c>
      <c r="AK100" s="121">
        <f>交易记录!H263</f>
        <v>0</v>
      </c>
      <c r="AL100" s="121">
        <f>交易记录!H294</f>
        <v>0</v>
      </c>
      <c r="AM100" s="30">
        <f t="shared" si="64"/>
        <v>0</v>
      </c>
      <c r="AN100" s="124">
        <f>交易记录!H327</f>
        <v>0</v>
      </c>
      <c r="AO100" s="124">
        <f>交易记录!H358</f>
        <v>0</v>
      </c>
      <c r="AP100" s="30">
        <f t="shared" si="61"/>
        <v>0</v>
      </c>
      <c r="AQ100" s="121">
        <f>交易记录!H391</f>
        <v>0</v>
      </c>
      <c r="AR100" s="121">
        <f>交易记录!H422</f>
        <v>0</v>
      </c>
      <c r="AS100" s="30">
        <f t="shared" si="63"/>
        <v>0</v>
      </c>
      <c r="AT100" s="124">
        <f>交易记录!H455</f>
        <v>0</v>
      </c>
      <c r="AU100" s="124">
        <f>交易记录!H486</f>
        <v>0</v>
      </c>
      <c r="AV100" s="30">
        <f t="shared" si="44"/>
        <v>0</v>
      </c>
      <c r="AW100" s="121">
        <f>交易记录!H519</f>
        <v>0</v>
      </c>
      <c r="AX100" s="121">
        <f>交易记录!H550</f>
        <v>0</v>
      </c>
      <c r="AY100" s="30">
        <f t="shared" si="45"/>
        <v>0</v>
      </c>
      <c r="AZ100" s="124">
        <f>交易记录!H583</f>
        <v>0</v>
      </c>
      <c r="BA100" s="124">
        <f>交易记录!H614</f>
        <v>0</v>
      </c>
      <c r="BB100" s="30">
        <f t="shared" si="46"/>
        <v>0</v>
      </c>
      <c r="BC100" s="121">
        <f>交易记录!H647</f>
        <v>0</v>
      </c>
      <c r="BD100" s="121">
        <f>交易记录!H678</f>
        <v>0</v>
      </c>
      <c r="BE100" s="30">
        <f t="shared" si="47"/>
        <v>0</v>
      </c>
      <c r="BF100" s="124">
        <f>交易记录!H711</f>
        <v>0</v>
      </c>
      <c r="BG100" s="124">
        <f>交易记录!H742</f>
        <v>0</v>
      </c>
      <c r="BH100" s="30">
        <f t="shared" si="48"/>
        <v>0</v>
      </c>
      <c r="BI100" s="121">
        <f>交易记录!H775</f>
        <v>0</v>
      </c>
      <c r="BJ100" s="121">
        <f>交易记录!H806</f>
        <v>0</v>
      </c>
      <c r="BK100" s="30">
        <f t="shared" si="49"/>
        <v>0</v>
      </c>
      <c r="BL100" s="124">
        <f>交易记录!H839</f>
        <v>0</v>
      </c>
      <c r="BM100" s="124">
        <f>交易记录!H870</f>
        <v>0</v>
      </c>
      <c r="BN100" s="30">
        <f t="shared" si="50"/>
        <v>0</v>
      </c>
      <c r="BO100" s="121">
        <f>交易记录!H903</f>
        <v>0</v>
      </c>
      <c r="BP100" s="121">
        <f>交易记录!H934</f>
        <v>0</v>
      </c>
      <c r="BQ100" s="30">
        <f t="shared" si="51"/>
        <v>0</v>
      </c>
    </row>
    <row r="101" spans="1:69" ht="15">
      <c r="A101" s="125">
        <f>'维护-日期'!A$7</f>
        <v>46270</v>
      </c>
      <c r="B101" s="7" t="s">
        <v>9</v>
      </c>
      <c r="C101" s="144">
        <f t="shared" si="52"/>
        <v>13.836</v>
      </c>
      <c r="D101" s="144">
        <f>ROUND(INDEX(持仓数据!$C$3:$AG$26,MATCH('计算过程-数据汇总'!B101,持仓数据!$B$3:$B$26,0),MATCH('计算过程-数据汇总'!A101,'维护-日期'!$B$2:$AF$2,0)),3)</f>
        <v>13.836</v>
      </c>
      <c r="E101" s="98">
        <f t="shared" si="53"/>
        <v>13.836</v>
      </c>
      <c r="F101" s="22">
        <f>持仓数据!G75</f>
        <v>7.7000000000000013E-2</v>
      </c>
      <c r="G101" s="97">
        <v>372</v>
      </c>
      <c r="H101" s="97">
        <v>372</v>
      </c>
      <c r="I101" s="64">
        <v>0</v>
      </c>
      <c r="J101" s="64">
        <v>0</v>
      </c>
      <c r="K101" s="21">
        <f>IF(持仓数据!G108="",0,持仓数据!G108)</f>
        <v>372</v>
      </c>
      <c r="L101" s="21">
        <f t="shared" si="54"/>
        <v>0</v>
      </c>
      <c r="M101" s="28">
        <f t="shared" si="38"/>
        <v>5146.9920000000002</v>
      </c>
      <c r="N101" s="28">
        <f t="shared" si="39"/>
        <v>0</v>
      </c>
      <c r="O101" s="28">
        <f t="shared" si="40"/>
        <v>0</v>
      </c>
      <c r="P101" s="28">
        <f t="shared" si="41"/>
        <v>0</v>
      </c>
      <c r="Q101" s="28">
        <f t="shared" si="55"/>
        <v>0</v>
      </c>
      <c r="R101" s="28">
        <f t="shared" si="42"/>
        <v>5146.9920000000002</v>
      </c>
      <c r="S101" s="28">
        <f t="shared" si="56"/>
        <v>0</v>
      </c>
      <c r="T101" s="28">
        <f t="shared" si="57"/>
        <v>0</v>
      </c>
      <c r="U101" s="28">
        <f t="shared" si="60"/>
        <v>0</v>
      </c>
      <c r="V101" s="28">
        <f t="shared" si="58"/>
        <v>0</v>
      </c>
      <c r="W101" s="118"/>
      <c r="X101" s="143">
        <f t="shared" si="59"/>
        <v>16.526</v>
      </c>
      <c r="Y101" s="121">
        <f>交易记录!H8</f>
        <v>7.7000000000000013E-2</v>
      </c>
      <c r="Z101" s="121">
        <f>交易记录!H39</f>
        <v>372</v>
      </c>
      <c r="AA101" s="30">
        <f t="shared" si="43"/>
        <v>0</v>
      </c>
      <c r="AB101" s="124">
        <f>交易记录!H72</f>
        <v>0</v>
      </c>
      <c r="AC101" s="124">
        <f>交易记录!H103</f>
        <v>0</v>
      </c>
      <c r="AD101" s="30">
        <f t="shared" si="66"/>
        <v>0</v>
      </c>
      <c r="AE101" s="121">
        <f>交易记录!H136</f>
        <v>0</v>
      </c>
      <c r="AF101" s="121">
        <f>交易记录!H167</f>
        <v>0</v>
      </c>
      <c r="AG101" s="30">
        <f t="shared" si="62"/>
        <v>0</v>
      </c>
      <c r="AH101" s="124">
        <f>交易记录!H200</f>
        <v>0</v>
      </c>
      <c r="AI101" s="124">
        <f>交易记录!H231</f>
        <v>0</v>
      </c>
      <c r="AJ101" s="30">
        <f t="shared" si="65"/>
        <v>0</v>
      </c>
      <c r="AK101" s="121">
        <f>交易记录!H264</f>
        <v>0</v>
      </c>
      <c r="AL101" s="121">
        <f>交易记录!H295</f>
        <v>0</v>
      </c>
      <c r="AM101" s="30">
        <f t="shared" si="64"/>
        <v>0</v>
      </c>
      <c r="AN101" s="124">
        <f>交易记录!H328</f>
        <v>0</v>
      </c>
      <c r="AO101" s="124">
        <f>交易记录!H359</f>
        <v>0</v>
      </c>
      <c r="AP101" s="30">
        <f t="shared" si="61"/>
        <v>0</v>
      </c>
      <c r="AQ101" s="121">
        <f>交易记录!H392</f>
        <v>0</v>
      </c>
      <c r="AR101" s="121">
        <f>交易记录!H423</f>
        <v>0</v>
      </c>
      <c r="AS101" s="30">
        <f t="shared" si="63"/>
        <v>0</v>
      </c>
      <c r="AT101" s="124">
        <f>交易记录!H456</f>
        <v>0</v>
      </c>
      <c r="AU101" s="124">
        <f>交易记录!H487</f>
        <v>0</v>
      </c>
      <c r="AV101" s="30">
        <f t="shared" si="44"/>
        <v>0</v>
      </c>
      <c r="AW101" s="121">
        <f>交易记录!H520</f>
        <v>0</v>
      </c>
      <c r="AX101" s="121">
        <f>交易记录!H551</f>
        <v>0</v>
      </c>
      <c r="AY101" s="30">
        <f t="shared" si="45"/>
        <v>0</v>
      </c>
      <c r="AZ101" s="124">
        <f>交易记录!H584</f>
        <v>0</v>
      </c>
      <c r="BA101" s="124">
        <f>交易记录!H615</f>
        <v>0</v>
      </c>
      <c r="BB101" s="30">
        <f t="shared" si="46"/>
        <v>0</v>
      </c>
      <c r="BC101" s="121">
        <f>交易记录!H648</f>
        <v>0</v>
      </c>
      <c r="BD101" s="121">
        <f>交易记录!H679</f>
        <v>0</v>
      </c>
      <c r="BE101" s="30">
        <f t="shared" si="47"/>
        <v>0</v>
      </c>
      <c r="BF101" s="124">
        <f>交易记录!H712</f>
        <v>0</v>
      </c>
      <c r="BG101" s="124">
        <f>交易记录!H743</f>
        <v>0</v>
      </c>
      <c r="BH101" s="30">
        <f t="shared" si="48"/>
        <v>0</v>
      </c>
      <c r="BI101" s="121">
        <f>交易记录!H776</f>
        <v>0</v>
      </c>
      <c r="BJ101" s="121">
        <f>交易记录!H807</f>
        <v>0</v>
      </c>
      <c r="BK101" s="30">
        <f t="shared" si="49"/>
        <v>0</v>
      </c>
      <c r="BL101" s="124">
        <f>交易记录!H840</f>
        <v>0</v>
      </c>
      <c r="BM101" s="124">
        <f>交易记录!H871</f>
        <v>0</v>
      </c>
      <c r="BN101" s="30">
        <f t="shared" si="50"/>
        <v>0</v>
      </c>
      <c r="BO101" s="121">
        <f>交易记录!H904</f>
        <v>0</v>
      </c>
      <c r="BP101" s="121">
        <f>交易记录!H935</f>
        <v>0</v>
      </c>
      <c r="BQ101" s="30">
        <f t="shared" si="51"/>
        <v>0</v>
      </c>
    </row>
    <row r="102" spans="1:69" ht="15">
      <c r="A102" s="125">
        <f>'维护-日期'!A$7</f>
        <v>46270</v>
      </c>
      <c r="B102" s="7" t="s">
        <v>10</v>
      </c>
      <c r="C102" s="144">
        <f t="shared" si="52"/>
        <v>13.28</v>
      </c>
      <c r="D102" s="144">
        <f>ROUND(INDEX(持仓数据!$C$3:$AG$26,MATCH('计算过程-数据汇总'!B102,持仓数据!$B$3:$B$26,0),MATCH('计算过程-数据汇总'!A102,'维护-日期'!$B$2:$AF$2,0)),3)</f>
        <v>13.28</v>
      </c>
      <c r="E102" s="98">
        <f t="shared" si="53"/>
        <v>13.28</v>
      </c>
      <c r="F102" s="22">
        <f>持仓数据!G76</f>
        <v>7.5000000000000011E-2</v>
      </c>
      <c r="G102" s="97">
        <v>372</v>
      </c>
      <c r="H102" s="97">
        <v>372</v>
      </c>
      <c r="I102" s="64">
        <v>0</v>
      </c>
      <c r="J102" s="64">
        <v>0</v>
      </c>
      <c r="K102" s="21">
        <f>IF(持仓数据!G109="",0,持仓数据!G109)</f>
        <v>372</v>
      </c>
      <c r="L102" s="21">
        <f t="shared" si="54"/>
        <v>0</v>
      </c>
      <c r="M102" s="28">
        <f t="shared" si="38"/>
        <v>4940.16</v>
      </c>
      <c r="N102" s="28">
        <f t="shared" si="39"/>
        <v>0</v>
      </c>
      <c r="O102" s="28">
        <f t="shared" si="40"/>
        <v>0</v>
      </c>
      <c r="P102" s="28">
        <f t="shared" si="41"/>
        <v>0</v>
      </c>
      <c r="Q102" s="28">
        <f t="shared" si="55"/>
        <v>0</v>
      </c>
      <c r="R102" s="28">
        <f t="shared" si="42"/>
        <v>4940.16</v>
      </c>
      <c r="S102" s="28">
        <f t="shared" si="56"/>
        <v>0</v>
      </c>
      <c r="T102" s="28">
        <f t="shared" si="57"/>
        <v>0</v>
      </c>
      <c r="U102" s="28">
        <f t="shared" si="60"/>
        <v>0</v>
      </c>
      <c r="V102" s="28">
        <f t="shared" si="58"/>
        <v>0</v>
      </c>
      <c r="W102" s="118"/>
      <c r="X102" s="143">
        <f t="shared" si="59"/>
        <v>15.861000000000001</v>
      </c>
      <c r="Y102" s="121">
        <f>交易记录!H9</f>
        <v>7.5000000000000011E-2</v>
      </c>
      <c r="Z102" s="121">
        <f>交易记录!H40</f>
        <v>372</v>
      </c>
      <c r="AA102" s="30">
        <f t="shared" si="43"/>
        <v>0</v>
      </c>
      <c r="AB102" s="124">
        <f>交易记录!H73</f>
        <v>0</v>
      </c>
      <c r="AC102" s="124">
        <f>交易记录!H104</f>
        <v>0</v>
      </c>
      <c r="AD102" s="30">
        <f t="shared" si="66"/>
        <v>0</v>
      </c>
      <c r="AE102" s="121">
        <f>交易记录!H137</f>
        <v>0</v>
      </c>
      <c r="AF102" s="121">
        <f>交易记录!H168</f>
        <v>0</v>
      </c>
      <c r="AG102" s="30">
        <f t="shared" si="62"/>
        <v>0</v>
      </c>
      <c r="AH102" s="124">
        <f>交易记录!H201</f>
        <v>0</v>
      </c>
      <c r="AI102" s="124">
        <f>交易记录!H232</f>
        <v>0</v>
      </c>
      <c r="AJ102" s="30">
        <f t="shared" si="65"/>
        <v>0</v>
      </c>
      <c r="AK102" s="121">
        <f>交易记录!H265</f>
        <v>0</v>
      </c>
      <c r="AL102" s="121">
        <f>交易记录!H296</f>
        <v>0</v>
      </c>
      <c r="AM102" s="30">
        <f t="shared" si="64"/>
        <v>0</v>
      </c>
      <c r="AN102" s="124">
        <f>交易记录!H329</f>
        <v>0</v>
      </c>
      <c r="AO102" s="124">
        <f>交易记录!H360</f>
        <v>0</v>
      </c>
      <c r="AP102" s="30">
        <f t="shared" si="61"/>
        <v>0</v>
      </c>
      <c r="AQ102" s="121">
        <f>交易记录!H393</f>
        <v>0</v>
      </c>
      <c r="AR102" s="121">
        <f>交易记录!H424</f>
        <v>0</v>
      </c>
      <c r="AS102" s="30">
        <f t="shared" si="63"/>
        <v>0</v>
      </c>
      <c r="AT102" s="124">
        <f>交易记录!H457</f>
        <v>0</v>
      </c>
      <c r="AU102" s="124">
        <f>交易记录!H488</f>
        <v>0</v>
      </c>
      <c r="AV102" s="30">
        <f t="shared" si="44"/>
        <v>0</v>
      </c>
      <c r="AW102" s="121">
        <f>交易记录!H521</f>
        <v>0</v>
      </c>
      <c r="AX102" s="121">
        <f>交易记录!H552</f>
        <v>0</v>
      </c>
      <c r="AY102" s="30">
        <f t="shared" si="45"/>
        <v>0</v>
      </c>
      <c r="AZ102" s="124">
        <f>交易记录!H585</f>
        <v>0</v>
      </c>
      <c r="BA102" s="124">
        <f>交易记录!H616</f>
        <v>0</v>
      </c>
      <c r="BB102" s="30">
        <f t="shared" si="46"/>
        <v>0</v>
      </c>
      <c r="BC102" s="121">
        <f>交易记录!H649</f>
        <v>0</v>
      </c>
      <c r="BD102" s="121">
        <f>交易记录!H680</f>
        <v>0</v>
      </c>
      <c r="BE102" s="30">
        <f t="shared" si="47"/>
        <v>0</v>
      </c>
      <c r="BF102" s="124">
        <f>交易记录!H713</f>
        <v>0</v>
      </c>
      <c r="BG102" s="124">
        <f>交易记录!H744</f>
        <v>0</v>
      </c>
      <c r="BH102" s="30">
        <f t="shared" si="48"/>
        <v>0</v>
      </c>
      <c r="BI102" s="121">
        <f>交易记录!H777</f>
        <v>0</v>
      </c>
      <c r="BJ102" s="121">
        <f>交易记录!H808</f>
        <v>0</v>
      </c>
      <c r="BK102" s="30">
        <f t="shared" si="49"/>
        <v>0</v>
      </c>
      <c r="BL102" s="124">
        <f>交易记录!H841</f>
        <v>0</v>
      </c>
      <c r="BM102" s="124">
        <f>交易记录!H872</f>
        <v>0</v>
      </c>
      <c r="BN102" s="30">
        <f t="shared" si="50"/>
        <v>0</v>
      </c>
      <c r="BO102" s="121">
        <f>交易记录!H905</f>
        <v>0</v>
      </c>
      <c r="BP102" s="121">
        <f>交易记录!H936</f>
        <v>0</v>
      </c>
      <c r="BQ102" s="30">
        <f t="shared" si="51"/>
        <v>0</v>
      </c>
    </row>
    <row r="103" spans="1:69" ht="15">
      <c r="A103" s="125">
        <f>'维护-日期'!A$7</f>
        <v>46270</v>
      </c>
      <c r="B103" s="7" t="s">
        <v>11</v>
      </c>
      <c r="C103" s="144">
        <f t="shared" si="52"/>
        <v>12.787000000000001</v>
      </c>
      <c r="D103" s="144">
        <f>ROUND(INDEX(持仓数据!$C$3:$AG$26,MATCH('计算过程-数据汇总'!B103,持仓数据!$B$3:$B$26,0),MATCH('计算过程-数据汇总'!A103,'维护-日期'!$B$2:$AF$2,0)),3)</f>
        <v>12.787000000000001</v>
      </c>
      <c r="E103" s="98">
        <f t="shared" si="53"/>
        <v>12.787000000000001</v>
      </c>
      <c r="F103" s="22">
        <f>持仓数据!G77</f>
        <v>7.5000000000000011E-2</v>
      </c>
      <c r="G103" s="97">
        <v>372</v>
      </c>
      <c r="H103" s="97">
        <v>372</v>
      </c>
      <c r="I103" s="64">
        <v>0</v>
      </c>
      <c r="J103" s="64">
        <v>0</v>
      </c>
      <c r="K103" s="21">
        <f>IF(持仓数据!G110="",0,持仓数据!G110)</f>
        <v>372</v>
      </c>
      <c r="L103" s="21">
        <f t="shared" si="54"/>
        <v>0</v>
      </c>
      <c r="M103" s="28">
        <f t="shared" si="38"/>
        <v>4756.7640000000001</v>
      </c>
      <c r="N103" s="28">
        <f t="shared" si="39"/>
        <v>0</v>
      </c>
      <c r="O103" s="28">
        <f t="shared" si="40"/>
        <v>0</v>
      </c>
      <c r="P103" s="28">
        <f t="shared" si="41"/>
        <v>0</v>
      </c>
      <c r="Q103" s="28">
        <f t="shared" si="55"/>
        <v>0</v>
      </c>
      <c r="R103" s="28">
        <f t="shared" si="42"/>
        <v>4756.7640000000001</v>
      </c>
      <c r="S103" s="28">
        <f t="shared" si="56"/>
        <v>0</v>
      </c>
      <c r="T103" s="28">
        <f t="shared" si="57"/>
        <v>0</v>
      </c>
      <c r="U103" s="28">
        <f t="shared" si="60"/>
        <v>0</v>
      </c>
      <c r="V103" s="28">
        <f t="shared" si="58"/>
        <v>0</v>
      </c>
      <c r="W103" s="118"/>
      <c r="X103" s="143">
        <f t="shared" si="59"/>
        <v>15.269</v>
      </c>
      <c r="Y103" s="121">
        <f>交易记录!H10</f>
        <v>7.5000000000000011E-2</v>
      </c>
      <c r="Z103" s="121">
        <f>交易记录!H41</f>
        <v>372</v>
      </c>
      <c r="AA103" s="30">
        <f t="shared" si="43"/>
        <v>0</v>
      </c>
      <c r="AB103" s="124">
        <f>交易记录!H74</f>
        <v>0</v>
      </c>
      <c r="AC103" s="124">
        <f>交易记录!H105</f>
        <v>0</v>
      </c>
      <c r="AD103" s="30">
        <f t="shared" si="66"/>
        <v>0</v>
      </c>
      <c r="AE103" s="121">
        <f>交易记录!H138</f>
        <v>0</v>
      </c>
      <c r="AF103" s="121">
        <f>交易记录!H169</f>
        <v>0</v>
      </c>
      <c r="AG103" s="30">
        <f t="shared" si="62"/>
        <v>0</v>
      </c>
      <c r="AH103" s="124">
        <f>交易记录!H202</f>
        <v>0</v>
      </c>
      <c r="AI103" s="124">
        <f>交易记录!H233</f>
        <v>0</v>
      </c>
      <c r="AJ103" s="30">
        <f t="shared" si="65"/>
        <v>0</v>
      </c>
      <c r="AK103" s="121">
        <f>交易记录!H266</f>
        <v>0</v>
      </c>
      <c r="AL103" s="121">
        <f>交易记录!H297</f>
        <v>0</v>
      </c>
      <c r="AM103" s="30">
        <f t="shared" si="64"/>
        <v>0</v>
      </c>
      <c r="AN103" s="124">
        <f>交易记录!H330</f>
        <v>0</v>
      </c>
      <c r="AO103" s="124">
        <f>交易记录!H361</f>
        <v>0</v>
      </c>
      <c r="AP103" s="30">
        <f t="shared" si="61"/>
        <v>0</v>
      </c>
      <c r="AQ103" s="121">
        <f>交易记录!H394</f>
        <v>0</v>
      </c>
      <c r="AR103" s="121">
        <f>交易记录!H425</f>
        <v>0</v>
      </c>
      <c r="AS103" s="30">
        <f t="shared" si="63"/>
        <v>0</v>
      </c>
      <c r="AT103" s="124">
        <f>交易记录!H458</f>
        <v>0</v>
      </c>
      <c r="AU103" s="124">
        <f>交易记录!H489</f>
        <v>0</v>
      </c>
      <c r="AV103" s="30">
        <f t="shared" si="44"/>
        <v>0</v>
      </c>
      <c r="AW103" s="121">
        <f>交易记录!H522</f>
        <v>0</v>
      </c>
      <c r="AX103" s="121">
        <f>交易记录!H553</f>
        <v>0</v>
      </c>
      <c r="AY103" s="30">
        <f t="shared" si="45"/>
        <v>0</v>
      </c>
      <c r="AZ103" s="124">
        <f>交易记录!H586</f>
        <v>0</v>
      </c>
      <c r="BA103" s="124">
        <f>交易记录!H617</f>
        <v>0</v>
      </c>
      <c r="BB103" s="30">
        <f t="shared" si="46"/>
        <v>0</v>
      </c>
      <c r="BC103" s="121">
        <f>交易记录!H650</f>
        <v>0</v>
      </c>
      <c r="BD103" s="121">
        <f>交易记录!H681</f>
        <v>0</v>
      </c>
      <c r="BE103" s="30">
        <f t="shared" si="47"/>
        <v>0</v>
      </c>
      <c r="BF103" s="124">
        <f>交易记录!H714</f>
        <v>0</v>
      </c>
      <c r="BG103" s="124">
        <f>交易记录!H745</f>
        <v>0</v>
      </c>
      <c r="BH103" s="30">
        <f t="shared" si="48"/>
        <v>0</v>
      </c>
      <c r="BI103" s="121">
        <f>交易记录!H778</f>
        <v>0</v>
      </c>
      <c r="BJ103" s="121">
        <f>交易记录!H809</f>
        <v>0</v>
      </c>
      <c r="BK103" s="30">
        <f t="shared" si="49"/>
        <v>0</v>
      </c>
      <c r="BL103" s="124">
        <f>交易记录!H842</f>
        <v>0</v>
      </c>
      <c r="BM103" s="124">
        <f>交易记录!H873</f>
        <v>0</v>
      </c>
      <c r="BN103" s="30">
        <f t="shared" si="50"/>
        <v>0</v>
      </c>
      <c r="BO103" s="121">
        <f>交易记录!H906</f>
        <v>0</v>
      </c>
      <c r="BP103" s="121">
        <f>交易记录!H937</f>
        <v>0</v>
      </c>
      <c r="BQ103" s="30">
        <f t="shared" si="51"/>
        <v>0</v>
      </c>
    </row>
    <row r="104" spans="1:69" ht="15">
      <c r="A104" s="125">
        <f>'维护-日期'!A$7</f>
        <v>46270</v>
      </c>
      <c r="B104" s="7" t="s">
        <v>12</v>
      </c>
      <c r="C104" s="144">
        <f t="shared" si="52"/>
        <v>12.55</v>
      </c>
      <c r="D104" s="144">
        <f>ROUND(INDEX(持仓数据!$C$3:$AG$26,MATCH('计算过程-数据汇总'!B104,持仓数据!$B$3:$B$26,0),MATCH('计算过程-数据汇总'!A104,'维护-日期'!$B$2:$AF$2,0)),3)</f>
        <v>12.55</v>
      </c>
      <c r="E104" s="98">
        <f t="shared" si="53"/>
        <v>12.55</v>
      </c>
      <c r="F104" s="22">
        <f>持仓数据!G78</f>
        <v>0.106</v>
      </c>
      <c r="G104" s="97">
        <v>372</v>
      </c>
      <c r="H104" s="97">
        <v>372</v>
      </c>
      <c r="I104" s="64">
        <v>0</v>
      </c>
      <c r="J104" s="64">
        <v>0</v>
      </c>
      <c r="K104" s="21">
        <f>IF(持仓数据!G111="",0,持仓数据!G111)</f>
        <v>372.00000000000006</v>
      </c>
      <c r="L104" s="21">
        <f t="shared" si="54"/>
        <v>0</v>
      </c>
      <c r="M104" s="28">
        <f t="shared" si="38"/>
        <v>4668.6000000000004</v>
      </c>
      <c r="N104" s="28">
        <f t="shared" si="39"/>
        <v>0</v>
      </c>
      <c r="O104" s="28">
        <f t="shared" si="40"/>
        <v>0</v>
      </c>
      <c r="P104" s="28">
        <f t="shared" si="41"/>
        <v>6.0254023992456494E-15</v>
      </c>
      <c r="Q104" s="28">
        <f t="shared" si="55"/>
        <v>0</v>
      </c>
      <c r="R104" s="28">
        <f t="shared" si="42"/>
        <v>4668.6000000000013</v>
      </c>
      <c r="S104" s="28">
        <f t="shared" si="56"/>
        <v>0</v>
      </c>
      <c r="T104" s="28">
        <f t="shared" si="57"/>
        <v>-7.0735950430389498E-13</v>
      </c>
      <c r="U104" s="28">
        <f t="shared" si="60"/>
        <v>0</v>
      </c>
      <c r="V104" s="28">
        <f t="shared" si="58"/>
        <v>0</v>
      </c>
      <c r="W104" s="118"/>
      <c r="X104" s="143">
        <f t="shared" si="59"/>
        <v>14.954000000000001</v>
      </c>
      <c r="Y104" s="121">
        <f>交易记录!H11</f>
        <v>0.106</v>
      </c>
      <c r="Z104" s="121">
        <f>交易记录!H42</f>
        <v>372</v>
      </c>
      <c r="AA104" s="30">
        <f t="shared" si="43"/>
        <v>0</v>
      </c>
      <c r="AB104" s="124">
        <f>交易记录!H75</f>
        <v>0</v>
      </c>
      <c r="AC104" s="124">
        <f>交易记录!H106</f>
        <v>0</v>
      </c>
      <c r="AD104" s="30">
        <f t="shared" si="66"/>
        <v>0</v>
      </c>
      <c r="AE104" s="121">
        <f>交易记录!H139</f>
        <v>0</v>
      </c>
      <c r="AF104" s="121">
        <f>交易记录!H170</f>
        <v>0</v>
      </c>
      <c r="AG104" s="30">
        <f t="shared" si="62"/>
        <v>0</v>
      </c>
      <c r="AH104" s="124">
        <f>交易记录!H203</f>
        <v>0</v>
      </c>
      <c r="AI104" s="124">
        <f>交易记录!H234</f>
        <v>0</v>
      </c>
      <c r="AJ104" s="30">
        <f t="shared" si="65"/>
        <v>0</v>
      </c>
      <c r="AK104" s="121">
        <f>交易记录!H267</f>
        <v>0</v>
      </c>
      <c r="AL104" s="121">
        <f>交易记录!H298</f>
        <v>0</v>
      </c>
      <c r="AM104" s="30">
        <f t="shared" si="64"/>
        <v>0</v>
      </c>
      <c r="AN104" s="124">
        <f>交易记录!H331</f>
        <v>0</v>
      </c>
      <c r="AO104" s="124">
        <f>交易记录!H362</f>
        <v>0</v>
      </c>
      <c r="AP104" s="30">
        <f t="shared" si="61"/>
        <v>0</v>
      </c>
      <c r="AQ104" s="121">
        <f>交易记录!H395</f>
        <v>0</v>
      </c>
      <c r="AR104" s="121">
        <f>交易记录!H426</f>
        <v>0</v>
      </c>
      <c r="AS104" s="30">
        <f t="shared" si="63"/>
        <v>0</v>
      </c>
      <c r="AT104" s="124">
        <f>交易记录!H459</f>
        <v>0</v>
      </c>
      <c r="AU104" s="124">
        <f>交易记录!H490</f>
        <v>0</v>
      </c>
      <c r="AV104" s="30">
        <f t="shared" si="44"/>
        <v>0</v>
      </c>
      <c r="AW104" s="121">
        <f>交易记录!H523</f>
        <v>0</v>
      </c>
      <c r="AX104" s="121">
        <f>交易记录!H554</f>
        <v>0</v>
      </c>
      <c r="AY104" s="30">
        <f t="shared" si="45"/>
        <v>0</v>
      </c>
      <c r="AZ104" s="124">
        <f>交易记录!H587</f>
        <v>0</v>
      </c>
      <c r="BA104" s="124">
        <f>交易记录!H618</f>
        <v>0</v>
      </c>
      <c r="BB104" s="30">
        <f t="shared" si="46"/>
        <v>0</v>
      </c>
      <c r="BC104" s="121">
        <f>交易记录!H651</f>
        <v>0</v>
      </c>
      <c r="BD104" s="121">
        <f>交易记录!H682</f>
        <v>0</v>
      </c>
      <c r="BE104" s="30">
        <f t="shared" si="47"/>
        <v>0</v>
      </c>
      <c r="BF104" s="124">
        <f>交易记录!H715</f>
        <v>0</v>
      </c>
      <c r="BG104" s="124">
        <f>交易记录!H746</f>
        <v>0</v>
      </c>
      <c r="BH104" s="30">
        <f t="shared" si="48"/>
        <v>0</v>
      </c>
      <c r="BI104" s="121">
        <f>交易记录!H779</f>
        <v>0</v>
      </c>
      <c r="BJ104" s="121">
        <f>交易记录!H810</f>
        <v>0</v>
      </c>
      <c r="BK104" s="30">
        <f t="shared" si="49"/>
        <v>0</v>
      </c>
      <c r="BL104" s="124">
        <f>交易记录!H843</f>
        <v>0</v>
      </c>
      <c r="BM104" s="124">
        <f>交易记录!H874</f>
        <v>0</v>
      </c>
      <c r="BN104" s="30">
        <f t="shared" si="50"/>
        <v>0</v>
      </c>
      <c r="BO104" s="121">
        <f>交易记录!H907</f>
        <v>0</v>
      </c>
      <c r="BP104" s="121">
        <f>交易记录!H938</f>
        <v>0</v>
      </c>
      <c r="BQ104" s="30">
        <f t="shared" si="51"/>
        <v>0</v>
      </c>
    </row>
    <row r="105" spans="1:69" ht="15">
      <c r="A105" s="125">
        <f>'维护-日期'!A$7</f>
        <v>46270</v>
      </c>
      <c r="B105" s="7" t="s">
        <v>13</v>
      </c>
      <c r="C105" s="144">
        <f t="shared" si="52"/>
        <v>12.419</v>
      </c>
      <c r="D105" s="144">
        <f>ROUND(INDEX(持仓数据!$C$3:$AG$26,MATCH('计算过程-数据汇总'!B105,持仓数据!$B$3:$B$26,0),MATCH('计算过程-数据汇总'!A105,'维护-日期'!$B$2:$AF$2,0)),3)</f>
        <v>12.419</v>
      </c>
      <c r="E105" s="98">
        <f t="shared" si="53"/>
        <v>12.419</v>
      </c>
      <c r="F105" s="22">
        <f>持仓数据!G79</f>
        <v>0.11600000000000001</v>
      </c>
      <c r="G105" s="97">
        <v>372</v>
      </c>
      <c r="H105" s="97">
        <v>372</v>
      </c>
      <c r="I105" s="64">
        <v>0</v>
      </c>
      <c r="J105" s="64">
        <v>0</v>
      </c>
      <c r="K105" s="21">
        <f>IF(持仓数据!G112="",0,持仓数据!G112)</f>
        <v>372</v>
      </c>
      <c r="L105" s="21">
        <f t="shared" si="54"/>
        <v>0</v>
      </c>
      <c r="M105" s="28">
        <f t="shared" si="38"/>
        <v>4619.8680000000004</v>
      </c>
      <c r="N105" s="28">
        <f t="shared" si="39"/>
        <v>0</v>
      </c>
      <c r="O105" s="28">
        <f t="shared" si="40"/>
        <v>0</v>
      </c>
      <c r="P105" s="28">
        <f t="shared" si="41"/>
        <v>0</v>
      </c>
      <c r="Q105" s="28">
        <f t="shared" si="55"/>
        <v>0</v>
      </c>
      <c r="R105" s="28">
        <f t="shared" si="42"/>
        <v>4619.8680000000004</v>
      </c>
      <c r="S105" s="28">
        <f t="shared" si="56"/>
        <v>0</v>
      </c>
      <c r="T105" s="28">
        <f t="shared" si="57"/>
        <v>0</v>
      </c>
      <c r="U105" s="28">
        <f t="shared" si="60"/>
        <v>0</v>
      </c>
      <c r="V105" s="28">
        <f t="shared" si="58"/>
        <v>0</v>
      </c>
      <c r="W105" s="118"/>
      <c r="X105" s="143">
        <f t="shared" si="59"/>
        <v>14.787000000000001</v>
      </c>
      <c r="Y105" s="121">
        <f>交易记录!H12</f>
        <v>0.11600000000000001</v>
      </c>
      <c r="Z105" s="121">
        <f>交易记录!H43</f>
        <v>372</v>
      </c>
      <c r="AA105" s="30">
        <f t="shared" si="43"/>
        <v>0</v>
      </c>
      <c r="AB105" s="124">
        <f>交易记录!H76</f>
        <v>0</v>
      </c>
      <c r="AC105" s="124">
        <f>交易记录!H107</f>
        <v>0</v>
      </c>
      <c r="AD105" s="30">
        <f t="shared" si="66"/>
        <v>0</v>
      </c>
      <c r="AE105" s="121">
        <f>交易记录!H140</f>
        <v>0</v>
      </c>
      <c r="AF105" s="121">
        <f>交易记录!H171</f>
        <v>0</v>
      </c>
      <c r="AG105" s="30">
        <f t="shared" si="62"/>
        <v>0</v>
      </c>
      <c r="AH105" s="124">
        <f>交易记录!H204</f>
        <v>0</v>
      </c>
      <c r="AI105" s="124">
        <f>交易记录!H235</f>
        <v>0</v>
      </c>
      <c r="AJ105" s="30">
        <f t="shared" si="65"/>
        <v>0</v>
      </c>
      <c r="AK105" s="121">
        <f>交易记录!H268</f>
        <v>0</v>
      </c>
      <c r="AL105" s="121">
        <f>交易记录!H299</f>
        <v>0</v>
      </c>
      <c r="AM105" s="30">
        <f t="shared" si="64"/>
        <v>0</v>
      </c>
      <c r="AN105" s="124">
        <f>交易记录!H332</f>
        <v>0</v>
      </c>
      <c r="AO105" s="124">
        <f>交易记录!H363</f>
        <v>0</v>
      </c>
      <c r="AP105" s="30">
        <f t="shared" si="61"/>
        <v>0</v>
      </c>
      <c r="AQ105" s="121">
        <f>交易记录!H396</f>
        <v>0</v>
      </c>
      <c r="AR105" s="121">
        <f>交易记录!H427</f>
        <v>0</v>
      </c>
      <c r="AS105" s="30">
        <f t="shared" si="63"/>
        <v>0</v>
      </c>
      <c r="AT105" s="124">
        <f>交易记录!H460</f>
        <v>0</v>
      </c>
      <c r="AU105" s="124">
        <f>交易记录!H491</f>
        <v>0</v>
      </c>
      <c r="AV105" s="30">
        <f t="shared" si="44"/>
        <v>0</v>
      </c>
      <c r="AW105" s="121">
        <f>交易记录!H524</f>
        <v>0</v>
      </c>
      <c r="AX105" s="121">
        <f>交易记录!H555</f>
        <v>0</v>
      </c>
      <c r="AY105" s="30">
        <f t="shared" si="45"/>
        <v>0</v>
      </c>
      <c r="AZ105" s="124">
        <f>交易记录!H588</f>
        <v>0</v>
      </c>
      <c r="BA105" s="124">
        <f>交易记录!H619</f>
        <v>0</v>
      </c>
      <c r="BB105" s="30">
        <f t="shared" si="46"/>
        <v>0</v>
      </c>
      <c r="BC105" s="121">
        <f>交易记录!H652</f>
        <v>0</v>
      </c>
      <c r="BD105" s="121">
        <f>交易记录!H683</f>
        <v>0</v>
      </c>
      <c r="BE105" s="30">
        <f t="shared" si="47"/>
        <v>0</v>
      </c>
      <c r="BF105" s="124">
        <f>交易记录!H716</f>
        <v>0</v>
      </c>
      <c r="BG105" s="124">
        <f>交易记录!H747</f>
        <v>0</v>
      </c>
      <c r="BH105" s="30">
        <f t="shared" si="48"/>
        <v>0</v>
      </c>
      <c r="BI105" s="121">
        <f>交易记录!H780</f>
        <v>0</v>
      </c>
      <c r="BJ105" s="121">
        <f>交易记录!H811</f>
        <v>0</v>
      </c>
      <c r="BK105" s="30">
        <f t="shared" si="49"/>
        <v>0</v>
      </c>
      <c r="BL105" s="124">
        <f>交易记录!H844</f>
        <v>0</v>
      </c>
      <c r="BM105" s="124">
        <f>交易记录!H875</f>
        <v>0</v>
      </c>
      <c r="BN105" s="30">
        <f t="shared" si="50"/>
        <v>0</v>
      </c>
      <c r="BO105" s="121">
        <f>交易记录!H908</f>
        <v>0</v>
      </c>
      <c r="BP105" s="121">
        <f>交易记录!H939</f>
        <v>0</v>
      </c>
      <c r="BQ105" s="30">
        <f t="shared" si="51"/>
        <v>0</v>
      </c>
    </row>
    <row r="106" spans="1:69" ht="15">
      <c r="A106" s="125">
        <f>'维护-日期'!A$7</f>
        <v>46270</v>
      </c>
      <c r="B106" s="7" t="s">
        <v>14</v>
      </c>
      <c r="C106" s="144">
        <f t="shared" si="52"/>
        <v>13.66</v>
      </c>
      <c r="D106" s="144">
        <f>ROUND(INDEX(持仓数据!$C$3:$AG$26,MATCH('计算过程-数据汇总'!B106,持仓数据!$B$3:$B$26,0),MATCH('计算过程-数据汇总'!A106,'维护-日期'!$B$2:$AF$2,0)),3)</f>
        <v>13.66</v>
      </c>
      <c r="E106" s="98">
        <f t="shared" si="53"/>
        <v>13.66</v>
      </c>
      <c r="F106" s="22">
        <f>持仓数据!G80</f>
        <v>0.122</v>
      </c>
      <c r="G106" s="97">
        <v>372</v>
      </c>
      <c r="H106" s="97">
        <v>372</v>
      </c>
      <c r="I106" s="64">
        <v>0</v>
      </c>
      <c r="J106" s="64">
        <v>0</v>
      </c>
      <c r="K106" s="21">
        <f>IF(持仓数据!G113="",0,持仓数据!G113)</f>
        <v>372</v>
      </c>
      <c r="L106" s="21">
        <f t="shared" si="54"/>
        <v>0</v>
      </c>
      <c r="M106" s="28">
        <f t="shared" si="38"/>
        <v>5081.5200000000004</v>
      </c>
      <c r="N106" s="28">
        <f t="shared" si="39"/>
        <v>0</v>
      </c>
      <c r="O106" s="28">
        <f t="shared" si="40"/>
        <v>0</v>
      </c>
      <c r="P106" s="28">
        <f t="shared" si="41"/>
        <v>0</v>
      </c>
      <c r="Q106" s="28">
        <f t="shared" si="55"/>
        <v>0</v>
      </c>
      <c r="R106" s="28">
        <f t="shared" si="42"/>
        <v>5081.5200000000004</v>
      </c>
      <c r="S106" s="28">
        <f t="shared" si="56"/>
        <v>0</v>
      </c>
      <c r="T106" s="28">
        <f t="shared" si="57"/>
        <v>0</v>
      </c>
      <c r="U106" s="28">
        <f t="shared" si="60"/>
        <v>0</v>
      </c>
      <c r="V106" s="28">
        <f t="shared" si="58"/>
        <v>0</v>
      </c>
      <c r="W106" s="118"/>
      <c r="X106" s="143">
        <f t="shared" si="59"/>
        <v>16.27</v>
      </c>
      <c r="Y106" s="121">
        <f>交易记录!H13</f>
        <v>0.122</v>
      </c>
      <c r="Z106" s="121">
        <f>交易记录!H44</f>
        <v>372</v>
      </c>
      <c r="AA106" s="30">
        <f t="shared" si="43"/>
        <v>0</v>
      </c>
      <c r="AB106" s="124">
        <f>交易记录!H77</f>
        <v>0</v>
      </c>
      <c r="AC106" s="124">
        <f>交易记录!H108</f>
        <v>0</v>
      </c>
      <c r="AD106" s="30">
        <f t="shared" si="66"/>
        <v>0</v>
      </c>
      <c r="AE106" s="121">
        <f>交易记录!H141</f>
        <v>0</v>
      </c>
      <c r="AF106" s="121">
        <f>交易记录!H172</f>
        <v>0</v>
      </c>
      <c r="AG106" s="30">
        <f t="shared" si="62"/>
        <v>0</v>
      </c>
      <c r="AH106" s="124">
        <f>交易记录!H205</f>
        <v>0</v>
      </c>
      <c r="AI106" s="124">
        <f>交易记录!H236</f>
        <v>0</v>
      </c>
      <c r="AJ106" s="30">
        <f t="shared" si="65"/>
        <v>0</v>
      </c>
      <c r="AK106" s="121">
        <f>交易记录!H269</f>
        <v>0</v>
      </c>
      <c r="AL106" s="121">
        <f>交易记录!H300</f>
        <v>0</v>
      </c>
      <c r="AM106" s="30">
        <f t="shared" si="64"/>
        <v>0</v>
      </c>
      <c r="AN106" s="124">
        <f>交易记录!H333</f>
        <v>0</v>
      </c>
      <c r="AO106" s="124">
        <f>交易记录!H364</f>
        <v>0</v>
      </c>
      <c r="AP106" s="30">
        <f t="shared" si="61"/>
        <v>0</v>
      </c>
      <c r="AQ106" s="121">
        <f>交易记录!H397</f>
        <v>0</v>
      </c>
      <c r="AR106" s="121">
        <f>交易记录!H428</f>
        <v>0</v>
      </c>
      <c r="AS106" s="30">
        <f t="shared" si="63"/>
        <v>0</v>
      </c>
      <c r="AT106" s="124">
        <f>交易记录!H461</f>
        <v>0</v>
      </c>
      <c r="AU106" s="124">
        <f>交易记录!H492</f>
        <v>0</v>
      </c>
      <c r="AV106" s="30">
        <f t="shared" si="44"/>
        <v>0</v>
      </c>
      <c r="AW106" s="121">
        <f>交易记录!H525</f>
        <v>0</v>
      </c>
      <c r="AX106" s="121">
        <f>交易记录!H556</f>
        <v>0</v>
      </c>
      <c r="AY106" s="30">
        <f t="shared" si="45"/>
        <v>0</v>
      </c>
      <c r="AZ106" s="124">
        <f>交易记录!H589</f>
        <v>0</v>
      </c>
      <c r="BA106" s="124">
        <f>交易记录!H620</f>
        <v>0</v>
      </c>
      <c r="BB106" s="30">
        <f t="shared" si="46"/>
        <v>0</v>
      </c>
      <c r="BC106" s="121">
        <f>交易记录!H653</f>
        <v>0</v>
      </c>
      <c r="BD106" s="121">
        <f>交易记录!H684</f>
        <v>0</v>
      </c>
      <c r="BE106" s="30">
        <f t="shared" si="47"/>
        <v>0</v>
      </c>
      <c r="BF106" s="124">
        <f>交易记录!H717</f>
        <v>0</v>
      </c>
      <c r="BG106" s="124">
        <f>交易记录!H748</f>
        <v>0</v>
      </c>
      <c r="BH106" s="30">
        <f t="shared" si="48"/>
        <v>0</v>
      </c>
      <c r="BI106" s="121">
        <f>交易记录!H781</f>
        <v>0</v>
      </c>
      <c r="BJ106" s="121">
        <f>交易记录!H812</f>
        <v>0</v>
      </c>
      <c r="BK106" s="30">
        <f t="shared" si="49"/>
        <v>0</v>
      </c>
      <c r="BL106" s="124">
        <f>交易记录!H845</f>
        <v>0</v>
      </c>
      <c r="BM106" s="124">
        <f>交易记录!H876</f>
        <v>0</v>
      </c>
      <c r="BN106" s="30">
        <f t="shared" si="50"/>
        <v>0</v>
      </c>
      <c r="BO106" s="121">
        <f>交易记录!H909</f>
        <v>0</v>
      </c>
      <c r="BP106" s="121">
        <f>交易记录!H940</f>
        <v>0</v>
      </c>
      <c r="BQ106" s="30">
        <f t="shared" si="51"/>
        <v>0</v>
      </c>
    </row>
    <row r="107" spans="1:69" ht="15">
      <c r="A107" s="125">
        <f>'维护-日期'!A$7</f>
        <v>46270</v>
      </c>
      <c r="B107" s="7" t="s">
        <v>15</v>
      </c>
      <c r="C107" s="144">
        <f t="shared" si="52"/>
        <v>16.832999999999998</v>
      </c>
      <c r="D107" s="144">
        <f>ROUND(INDEX(持仓数据!$C$3:$AG$26,MATCH('计算过程-数据汇总'!B107,持仓数据!$B$3:$B$26,0),MATCH('计算过程-数据汇总'!A107,'维护-日期'!$B$2:$AF$2,0)),3)</f>
        <v>16.832999999999998</v>
      </c>
      <c r="E107" s="98">
        <f t="shared" si="53"/>
        <v>16.832999999999998</v>
      </c>
      <c r="F107" s="22">
        <f>持仓数据!G81</f>
        <v>0.127</v>
      </c>
      <c r="G107" s="97">
        <v>372</v>
      </c>
      <c r="H107" s="97">
        <v>372</v>
      </c>
      <c r="I107" s="64">
        <v>0</v>
      </c>
      <c r="J107" s="64">
        <v>0</v>
      </c>
      <c r="K107" s="21">
        <f>IF(持仓数据!G114="",0,持仓数据!G114)</f>
        <v>372</v>
      </c>
      <c r="L107" s="21">
        <f t="shared" si="54"/>
        <v>0</v>
      </c>
      <c r="M107" s="28">
        <f t="shared" si="38"/>
        <v>6261.8759999999993</v>
      </c>
      <c r="N107" s="28">
        <f t="shared" si="39"/>
        <v>0</v>
      </c>
      <c r="O107" s="28">
        <f t="shared" si="40"/>
        <v>0</v>
      </c>
      <c r="P107" s="28">
        <f t="shared" si="41"/>
        <v>0</v>
      </c>
      <c r="Q107" s="28">
        <f t="shared" si="55"/>
        <v>0</v>
      </c>
      <c r="R107" s="28">
        <f t="shared" si="42"/>
        <v>6261.8759999999993</v>
      </c>
      <c r="S107" s="28">
        <f t="shared" si="56"/>
        <v>0</v>
      </c>
      <c r="T107" s="28">
        <f t="shared" si="57"/>
        <v>0</v>
      </c>
      <c r="U107" s="28">
        <f t="shared" si="60"/>
        <v>0</v>
      </c>
      <c r="V107" s="28">
        <f t="shared" si="58"/>
        <v>0</v>
      </c>
      <c r="W107" s="118"/>
      <c r="X107" s="143">
        <f t="shared" si="59"/>
        <v>20.073</v>
      </c>
      <c r="Y107" s="121">
        <f>交易记录!H14</f>
        <v>0.127</v>
      </c>
      <c r="Z107" s="121">
        <f>交易记录!H45</f>
        <v>372</v>
      </c>
      <c r="AA107" s="30">
        <f t="shared" si="43"/>
        <v>0</v>
      </c>
      <c r="AB107" s="124">
        <f>交易记录!H78</f>
        <v>0</v>
      </c>
      <c r="AC107" s="124">
        <f>交易记录!H109</f>
        <v>0</v>
      </c>
      <c r="AD107" s="30">
        <f t="shared" si="66"/>
        <v>0</v>
      </c>
      <c r="AE107" s="121">
        <f>交易记录!H142</f>
        <v>0</v>
      </c>
      <c r="AF107" s="121">
        <f>交易记录!H173</f>
        <v>0</v>
      </c>
      <c r="AG107" s="30">
        <f t="shared" si="62"/>
        <v>0</v>
      </c>
      <c r="AH107" s="124">
        <f>交易记录!H206</f>
        <v>0</v>
      </c>
      <c r="AI107" s="124">
        <f>交易记录!H237</f>
        <v>0</v>
      </c>
      <c r="AJ107" s="30">
        <f t="shared" si="65"/>
        <v>0</v>
      </c>
      <c r="AK107" s="121">
        <f>交易记录!H270</f>
        <v>0</v>
      </c>
      <c r="AL107" s="121">
        <f>交易记录!H301</f>
        <v>0</v>
      </c>
      <c r="AM107" s="30">
        <f t="shared" si="64"/>
        <v>0</v>
      </c>
      <c r="AN107" s="124">
        <f>交易记录!H334</f>
        <v>0</v>
      </c>
      <c r="AO107" s="124">
        <f>交易记录!H365</f>
        <v>0</v>
      </c>
      <c r="AP107" s="30">
        <f t="shared" si="61"/>
        <v>0</v>
      </c>
      <c r="AQ107" s="121">
        <f>交易记录!H398</f>
        <v>0</v>
      </c>
      <c r="AR107" s="121">
        <f>交易记录!H429</f>
        <v>0</v>
      </c>
      <c r="AS107" s="30">
        <f t="shared" si="63"/>
        <v>0</v>
      </c>
      <c r="AT107" s="124">
        <f>交易记录!H462</f>
        <v>0</v>
      </c>
      <c r="AU107" s="124">
        <f>交易记录!H493</f>
        <v>0</v>
      </c>
      <c r="AV107" s="30">
        <f t="shared" si="44"/>
        <v>0</v>
      </c>
      <c r="AW107" s="121">
        <f>交易记录!H526</f>
        <v>0</v>
      </c>
      <c r="AX107" s="121">
        <f>交易记录!H557</f>
        <v>0</v>
      </c>
      <c r="AY107" s="30">
        <f t="shared" si="45"/>
        <v>0</v>
      </c>
      <c r="AZ107" s="124">
        <f>交易记录!H590</f>
        <v>0</v>
      </c>
      <c r="BA107" s="124">
        <f>交易记录!H621</f>
        <v>0</v>
      </c>
      <c r="BB107" s="30">
        <f t="shared" si="46"/>
        <v>0</v>
      </c>
      <c r="BC107" s="121">
        <f>交易记录!H654</f>
        <v>0</v>
      </c>
      <c r="BD107" s="121">
        <f>交易记录!H685</f>
        <v>0</v>
      </c>
      <c r="BE107" s="30">
        <f t="shared" si="47"/>
        <v>0</v>
      </c>
      <c r="BF107" s="124">
        <f>交易记录!H718</f>
        <v>0</v>
      </c>
      <c r="BG107" s="124">
        <f>交易记录!H749</f>
        <v>0</v>
      </c>
      <c r="BH107" s="30">
        <f t="shared" si="48"/>
        <v>0</v>
      </c>
      <c r="BI107" s="121">
        <f>交易记录!H782</f>
        <v>0</v>
      </c>
      <c r="BJ107" s="121">
        <f>交易记录!H813</f>
        <v>0</v>
      </c>
      <c r="BK107" s="30">
        <f t="shared" si="49"/>
        <v>0</v>
      </c>
      <c r="BL107" s="124">
        <f>交易记录!H846</f>
        <v>0</v>
      </c>
      <c r="BM107" s="124">
        <f>交易记录!H877</f>
        <v>0</v>
      </c>
      <c r="BN107" s="30">
        <f t="shared" si="50"/>
        <v>0</v>
      </c>
      <c r="BO107" s="121">
        <f>交易记录!H910</f>
        <v>0</v>
      </c>
      <c r="BP107" s="121">
        <f>交易记录!H941</f>
        <v>0</v>
      </c>
      <c r="BQ107" s="30">
        <f t="shared" si="51"/>
        <v>0</v>
      </c>
    </row>
    <row r="108" spans="1:69" ht="15">
      <c r="A108" s="125">
        <f>'维护-日期'!A$7</f>
        <v>46270</v>
      </c>
      <c r="B108" s="7" t="s">
        <v>16</v>
      </c>
      <c r="C108" s="144">
        <f t="shared" si="52"/>
        <v>18.838999999999999</v>
      </c>
      <c r="D108" s="144">
        <f>ROUND(INDEX(持仓数据!$C$3:$AG$26,MATCH('计算过程-数据汇总'!B108,持仓数据!$B$3:$B$26,0),MATCH('计算过程-数据汇总'!A108,'维护-日期'!$B$2:$AF$2,0)),3)</f>
        <v>18.838999999999999</v>
      </c>
      <c r="E108" s="98">
        <f t="shared" si="53"/>
        <v>18.838999999999999</v>
      </c>
      <c r="F108" s="22">
        <f>持仓数据!G82</f>
        <v>0.128</v>
      </c>
      <c r="G108" s="97">
        <v>372</v>
      </c>
      <c r="H108" s="97">
        <v>372</v>
      </c>
      <c r="I108" s="64">
        <v>0</v>
      </c>
      <c r="J108" s="64">
        <v>0</v>
      </c>
      <c r="K108" s="21">
        <f>IF(持仓数据!G115="",0,持仓数据!G115)</f>
        <v>372</v>
      </c>
      <c r="L108" s="21">
        <f t="shared" si="54"/>
        <v>0</v>
      </c>
      <c r="M108" s="28">
        <f t="shared" si="38"/>
        <v>7008.1079999999993</v>
      </c>
      <c r="N108" s="28">
        <f t="shared" si="39"/>
        <v>0</v>
      </c>
      <c r="O108" s="28">
        <f t="shared" si="40"/>
        <v>0</v>
      </c>
      <c r="P108" s="28">
        <f t="shared" si="41"/>
        <v>0</v>
      </c>
      <c r="Q108" s="28">
        <f t="shared" si="55"/>
        <v>0</v>
      </c>
      <c r="R108" s="28">
        <f t="shared" si="42"/>
        <v>7008.1079999999993</v>
      </c>
      <c r="S108" s="28">
        <f t="shared" si="56"/>
        <v>0</v>
      </c>
      <c r="T108" s="28">
        <f t="shared" si="57"/>
        <v>0</v>
      </c>
      <c r="U108" s="28">
        <f t="shared" si="60"/>
        <v>0</v>
      </c>
      <c r="V108" s="28">
        <f t="shared" si="58"/>
        <v>0</v>
      </c>
      <c r="W108" s="118"/>
      <c r="X108" s="143">
        <f t="shared" si="59"/>
        <v>22.478999999999999</v>
      </c>
      <c r="Y108" s="121">
        <f>交易记录!H15</f>
        <v>0.128</v>
      </c>
      <c r="Z108" s="121">
        <f>交易记录!H46</f>
        <v>372</v>
      </c>
      <c r="AA108" s="30">
        <f t="shared" si="43"/>
        <v>0</v>
      </c>
      <c r="AB108" s="124">
        <f>交易记录!H79</f>
        <v>0</v>
      </c>
      <c r="AC108" s="124">
        <f>交易记录!H110</f>
        <v>0</v>
      </c>
      <c r="AD108" s="30">
        <f t="shared" si="66"/>
        <v>0</v>
      </c>
      <c r="AE108" s="121">
        <f>交易记录!H143</f>
        <v>0</v>
      </c>
      <c r="AF108" s="121">
        <f>交易记录!H174</f>
        <v>0</v>
      </c>
      <c r="AG108" s="30">
        <f t="shared" si="62"/>
        <v>0</v>
      </c>
      <c r="AH108" s="124">
        <f>交易记录!H207</f>
        <v>0</v>
      </c>
      <c r="AI108" s="124">
        <f>交易记录!H238</f>
        <v>0</v>
      </c>
      <c r="AJ108" s="30">
        <f t="shared" si="65"/>
        <v>0</v>
      </c>
      <c r="AK108" s="121">
        <f>交易记录!H271</f>
        <v>0</v>
      </c>
      <c r="AL108" s="121">
        <f>交易记录!H302</f>
        <v>0</v>
      </c>
      <c r="AM108" s="30">
        <f t="shared" si="64"/>
        <v>0</v>
      </c>
      <c r="AN108" s="124">
        <f>交易记录!H335</f>
        <v>0</v>
      </c>
      <c r="AO108" s="124">
        <f>交易记录!H366</f>
        <v>0</v>
      </c>
      <c r="AP108" s="30">
        <f t="shared" si="61"/>
        <v>0</v>
      </c>
      <c r="AQ108" s="121">
        <f>交易记录!H399</f>
        <v>0</v>
      </c>
      <c r="AR108" s="121">
        <f>交易记录!H430</f>
        <v>0</v>
      </c>
      <c r="AS108" s="30">
        <f t="shared" si="63"/>
        <v>0</v>
      </c>
      <c r="AT108" s="124">
        <f>交易记录!H463</f>
        <v>0</v>
      </c>
      <c r="AU108" s="124">
        <f>交易记录!H494</f>
        <v>0</v>
      </c>
      <c r="AV108" s="30">
        <f t="shared" si="44"/>
        <v>0</v>
      </c>
      <c r="AW108" s="121">
        <f>交易记录!H527</f>
        <v>0</v>
      </c>
      <c r="AX108" s="121">
        <f>交易记录!H558</f>
        <v>0</v>
      </c>
      <c r="AY108" s="30">
        <f t="shared" si="45"/>
        <v>0</v>
      </c>
      <c r="AZ108" s="124">
        <f>交易记录!H591</f>
        <v>0</v>
      </c>
      <c r="BA108" s="124">
        <f>交易记录!H622</f>
        <v>0</v>
      </c>
      <c r="BB108" s="30">
        <f t="shared" si="46"/>
        <v>0</v>
      </c>
      <c r="BC108" s="121">
        <f>交易记录!H655</f>
        <v>0</v>
      </c>
      <c r="BD108" s="121">
        <f>交易记录!H686</f>
        <v>0</v>
      </c>
      <c r="BE108" s="30">
        <f t="shared" si="47"/>
        <v>0</v>
      </c>
      <c r="BF108" s="124">
        <f>交易记录!H719</f>
        <v>0</v>
      </c>
      <c r="BG108" s="124">
        <f>交易记录!H750</f>
        <v>0</v>
      </c>
      <c r="BH108" s="30">
        <f t="shared" si="48"/>
        <v>0</v>
      </c>
      <c r="BI108" s="121">
        <f>交易记录!H783</f>
        <v>0</v>
      </c>
      <c r="BJ108" s="121">
        <f>交易记录!H814</f>
        <v>0</v>
      </c>
      <c r="BK108" s="30">
        <f t="shared" si="49"/>
        <v>0</v>
      </c>
      <c r="BL108" s="124">
        <f>交易记录!H847</f>
        <v>0</v>
      </c>
      <c r="BM108" s="124">
        <f>交易记录!H878</f>
        <v>0</v>
      </c>
      <c r="BN108" s="30">
        <f t="shared" si="50"/>
        <v>0</v>
      </c>
      <c r="BO108" s="121">
        <f>交易记录!H911</f>
        <v>0</v>
      </c>
      <c r="BP108" s="121">
        <f>交易记录!H942</f>
        <v>0</v>
      </c>
      <c r="BQ108" s="30">
        <f t="shared" si="51"/>
        <v>0</v>
      </c>
    </row>
    <row r="109" spans="1:69" ht="15">
      <c r="A109" s="125">
        <f>'维护-日期'!A$7</f>
        <v>46270</v>
      </c>
      <c r="B109" s="7" t="s">
        <v>17</v>
      </c>
      <c r="C109" s="144">
        <f t="shared" si="52"/>
        <v>19.346</v>
      </c>
      <c r="D109" s="144">
        <f>ROUND(INDEX(持仓数据!$C$3:$AG$26,MATCH('计算过程-数据汇总'!B109,持仓数据!$B$3:$B$26,0),MATCH('计算过程-数据汇总'!A109,'维护-日期'!$B$2:$AF$2,0)),3)</f>
        <v>19.346</v>
      </c>
      <c r="E109" s="98">
        <f t="shared" si="53"/>
        <v>19.346</v>
      </c>
      <c r="F109" s="22">
        <f>持仓数据!G83</f>
        <v>0.13</v>
      </c>
      <c r="G109" s="97">
        <v>372</v>
      </c>
      <c r="H109" s="97">
        <v>372</v>
      </c>
      <c r="I109" s="64">
        <v>0</v>
      </c>
      <c r="J109" s="64">
        <v>0</v>
      </c>
      <c r="K109" s="21">
        <f>IF(持仓数据!G116="",0,持仓数据!G116)</f>
        <v>372</v>
      </c>
      <c r="L109" s="21">
        <f t="shared" si="54"/>
        <v>0</v>
      </c>
      <c r="M109" s="28">
        <f t="shared" si="38"/>
        <v>7196.7120000000004</v>
      </c>
      <c r="N109" s="28">
        <f t="shared" si="39"/>
        <v>0</v>
      </c>
      <c r="O109" s="28">
        <f t="shared" si="40"/>
        <v>0</v>
      </c>
      <c r="P109" s="28">
        <f t="shared" si="41"/>
        <v>0</v>
      </c>
      <c r="Q109" s="28">
        <f t="shared" si="55"/>
        <v>0</v>
      </c>
      <c r="R109" s="28">
        <f t="shared" si="42"/>
        <v>7196.7120000000004</v>
      </c>
      <c r="S109" s="28">
        <f t="shared" si="56"/>
        <v>0</v>
      </c>
      <c r="T109" s="28">
        <f t="shared" si="57"/>
        <v>0</v>
      </c>
      <c r="U109" s="28">
        <f t="shared" si="60"/>
        <v>0</v>
      </c>
      <c r="V109" s="28">
        <f t="shared" si="58"/>
        <v>0</v>
      </c>
      <c r="W109" s="118"/>
      <c r="X109" s="143">
        <f t="shared" si="59"/>
        <v>23.085000000000001</v>
      </c>
      <c r="Y109" s="121">
        <f>交易记录!H16</f>
        <v>0.13</v>
      </c>
      <c r="Z109" s="121">
        <f>交易记录!H47</f>
        <v>372</v>
      </c>
      <c r="AA109" s="30">
        <f t="shared" si="43"/>
        <v>0</v>
      </c>
      <c r="AB109" s="124">
        <f>交易记录!H80</f>
        <v>0</v>
      </c>
      <c r="AC109" s="124">
        <f>交易记录!H111</f>
        <v>0</v>
      </c>
      <c r="AD109" s="30">
        <f t="shared" si="66"/>
        <v>0</v>
      </c>
      <c r="AE109" s="121">
        <f>交易记录!H144</f>
        <v>0</v>
      </c>
      <c r="AF109" s="121">
        <f>交易记录!H175</f>
        <v>0</v>
      </c>
      <c r="AG109" s="30">
        <f t="shared" si="62"/>
        <v>0</v>
      </c>
      <c r="AH109" s="124">
        <f>交易记录!H208</f>
        <v>0</v>
      </c>
      <c r="AI109" s="124">
        <f>交易记录!H239</f>
        <v>0</v>
      </c>
      <c r="AJ109" s="30">
        <f t="shared" si="65"/>
        <v>0</v>
      </c>
      <c r="AK109" s="121">
        <f>交易记录!H272</f>
        <v>0</v>
      </c>
      <c r="AL109" s="121">
        <f>交易记录!H303</f>
        <v>0</v>
      </c>
      <c r="AM109" s="30">
        <f t="shared" si="64"/>
        <v>0</v>
      </c>
      <c r="AN109" s="124">
        <f>交易记录!H336</f>
        <v>0</v>
      </c>
      <c r="AO109" s="124">
        <f>交易记录!H367</f>
        <v>0</v>
      </c>
      <c r="AP109" s="30">
        <f t="shared" si="61"/>
        <v>0</v>
      </c>
      <c r="AQ109" s="121">
        <f>交易记录!H400</f>
        <v>0</v>
      </c>
      <c r="AR109" s="121">
        <f>交易记录!H431</f>
        <v>0</v>
      </c>
      <c r="AS109" s="30">
        <f t="shared" si="63"/>
        <v>0</v>
      </c>
      <c r="AT109" s="124">
        <f>交易记录!H464</f>
        <v>0</v>
      </c>
      <c r="AU109" s="124">
        <f>交易记录!H495</f>
        <v>0</v>
      </c>
      <c r="AV109" s="30">
        <f t="shared" si="44"/>
        <v>0</v>
      </c>
      <c r="AW109" s="121">
        <f>交易记录!H528</f>
        <v>0</v>
      </c>
      <c r="AX109" s="121">
        <f>交易记录!H559</f>
        <v>0</v>
      </c>
      <c r="AY109" s="30">
        <f t="shared" si="45"/>
        <v>0</v>
      </c>
      <c r="AZ109" s="124">
        <f>交易记录!H592</f>
        <v>0</v>
      </c>
      <c r="BA109" s="124">
        <f>交易记录!H623</f>
        <v>0</v>
      </c>
      <c r="BB109" s="30">
        <f t="shared" si="46"/>
        <v>0</v>
      </c>
      <c r="BC109" s="121">
        <f>交易记录!H656</f>
        <v>0</v>
      </c>
      <c r="BD109" s="121">
        <f>交易记录!H687</f>
        <v>0</v>
      </c>
      <c r="BE109" s="30">
        <f t="shared" si="47"/>
        <v>0</v>
      </c>
      <c r="BF109" s="124">
        <f>交易记录!H720</f>
        <v>0</v>
      </c>
      <c r="BG109" s="124">
        <f>交易记录!H751</f>
        <v>0</v>
      </c>
      <c r="BH109" s="30">
        <f t="shared" si="48"/>
        <v>0</v>
      </c>
      <c r="BI109" s="121">
        <f>交易记录!H784</f>
        <v>0</v>
      </c>
      <c r="BJ109" s="121">
        <f>交易记录!H815</f>
        <v>0</v>
      </c>
      <c r="BK109" s="30">
        <f t="shared" si="49"/>
        <v>0</v>
      </c>
      <c r="BL109" s="124">
        <f>交易记录!H848</f>
        <v>0</v>
      </c>
      <c r="BM109" s="124">
        <f>交易记录!H879</f>
        <v>0</v>
      </c>
      <c r="BN109" s="30">
        <f t="shared" si="50"/>
        <v>0</v>
      </c>
      <c r="BO109" s="121">
        <f>交易记录!H912</f>
        <v>0</v>
      </c>
      <c r="BP109" s="121">
        <f>交易记录!H943</f>
        <v>0</v>
      </c>
      <c r="BQ109" s="30">
        <f t="shared" si="51"/>
        <v>0</v>
      </c>
    </row>
    <row r="110" spans="1:69" ht="15">
      <c r="A110" s="125">
        <f>'维护-日期'!A$7</f>
        <v>46270</v>
      </c>
      <c r="B110" s="7" t="s">
        <v>18</v>
      </c>
      <c r="C110" s="144">
        <f t="shared" si="52"/>
        <v>20.166</v>
      </c>
      <c r="D110" s="144">
        <f>ROUND(INDEX(持仓数据!$C$3:$AG$26,MATCH('计算过程-数据汇总'!B110,持仓数据!$B$3:$B$26,0),MATCH('计算过程-数据汇总'!A110,'维护-日期'!$B$2:$AF$2,0)),3)</f>
        <v>20.166</v>
      </c>
      <c r="E110" s="98">
        <f t="shared" si="53"/>
        <v>20.166</v>
      </c>
      <c r="F110" s="22">
        <f>持仓数据!G84</f>
        <v>6.0999999999999999E-2</v>
      </c>
      <c r="G110" s="97">
        <v>372</v>
      </c>
      <c r="H110" s="97">
        <v>372</v>
      </c>
      <c r="I110" s="64">
        <v>0</v>
      </c>
      <c r="J110" s="64">
        <v>0</v>
      </c>
      <c r="K110" s="21">
        <f>IF(持仓数据!G117="",0,持仓数据!G117)</f>
        <v>372</v>
      </c>
      <c r="L110" s="21">
        <f t="shared" si="54"/>
        <v>0</v>
      </c>
      <c r="M110" s="28">
        <f t="shared" si="38"/>
        <v>7501.7520000000004</v>
      </c>
      <c r="N110" s="28">
        <f t="shared" si="39"/>
        <v>0</v>
      </c>
      <c r="O110" s="28">
        <f t="shared" si="40"/>
        <v>0</v>
      </c>
      <c r="P110" s="28">
        <f t="shared" si="41"/>
        <v>0</v>
      </c>
      <c r="Q110" s="28">
        <f t="shared" si="55"/>
        <v>0</v>
      </c>
      <c r="R110" s="28">
        <f t="shared" si="42"/>
        <v>7501.7520000000004</v>
      </c>
      <c r="S110" s="28">
        <f t="shared" si="56"/>
        <v>0</v>
      </c>
      <c r="T110" s="28">
        <f t="shared" si="57"/>
        <v>0</v>
      </c>
      <c r="U110" s="28">
        <f t="shared" si="60"/>
        <v>0</v>
      </c>
      <c r="V110" s="28">
        <f t="shared" si="58"/>
        <v>0</v>
      </c>
      <c r="W110" s="118"/>
      <c r="X110" s="143">
        <f t="shared" si="59"/>
        <v>24.138000000000002</v>
      </c>
      <c r="Y110" s="121">
        <f>交易记录!H17</f>
        <v>6.0999999999999999E-2</v>
      </c>
      <c r="Z110" s="121">
        <f>交易记录!H48</f>
        <v>372</v>
      </c>
      <c r="AA110" s="30">
        <f t="shared" si="43"/>
        <v>0</v>
      </c>
      <c r="AB110" s="124">
        <f>交易记录!H81</f>
        <v>0</v>
      </c>
      <c r="AC110" s="124">
        <f>交易记录!H112</f>
        <v>0</v>
      </c>
      <c r="AD110" s="30">
        <f t="shared" si="66"/>
        <v>0</v>
      </c>
      <c r="AE110" s="121">
        <f>交易记录!H145</f>
        <v>0</v>
      </c>
      <c r="AF110" s="121">
        <f>交易记录!H176</f>
        <v>0</v>
      </c>
      <c r="AG110" s="30">
        <f t="shared" si="62"/>
        <v>0</v>
      </c>
      <c r="AH110" s="124">
        <f>交易记录!H209</f>
        <v>0</v>
      </c>
      <c r="AI110" s="124">
        <f>交易记录!H240</f>
        <v>0</v>
      </c>
      <c r="AJ110" s="30">
        <f t="shared" si="65"/>
        <v>0</v>
      </c>
      <c r="AK110" s="121">
        <f>交易记录!H273</f>
        <v>0</v>
      </c>
      <c r="AL110" s="121">
        <f>交易记录!H304</f>
        <v>0</v>
      </c>
      <c r="AM110" s="30">
        <f t="shared" si="64"/>
        <v>0</v>
      </c>
      <c r="AN110" s="124">
        <f>交易记录!H337</f>
        <v>0</v>
      </c>
      <c r="AO110" s="124">
        <f>交易记录!H368</f>
        <v>0</v>
      </c>
      <c r="AP110" s="30">
        <f t="shared" si="61"/>
        <v>0</v>
      </c>
      <c r="AQ110" s="121">
        <f>交易记录!H401</f>
        <v>0</v>
      </c>
      <c r="AR110" s="121">
        <f>交易记录!H432</f>
        <v>0</v>
      </c>
      <c r="AS110" s="30">
        <f t="shared" si="63"/>
        <v>0</v>
      </c>
      <c r="AT110" s="124">
        <f>交易记录!H465</f>
        <v>0</v>
      </c>
      <c r="AU110" s="124">
        <f>交易记录!H496</f>
        <v>0</v>
      </c>
      <c r="AV110" s="30">
        <f t="shared" si="44"/>
        <v>0</v>
      </c>
      <c r="AW110" s="121">
        <f>交易记录!H529</f>
        <v>0</v>
      </c>
      <c r="AX110" s="121">
        <f>交易记录!H560</f>
        <v>0</v>
      </c>
      <c r="AY110" s="30">
        <f t="shared" si="45"/>
        <v>0</v>
      </c>
      <c r="AZ110" s="124">
        <f>交易记录!H593</f>
        <v>0</v>
      </c>
      <c r="BA110" s="124">
        <f>交易记录!H624</f>
        <v>0</v>
      </c>
      <c r="BB110" s="30">
        <f t="shared" si="46"/>
        <v>0</v>
      </c>
      <c r="BC110" s="121">
        <f>交易记录!H657</f>
        <v>0</v>
      </c>
      <c r="BD110" s="121">
        <f>交易记录!H688</f>
        <v>0</v>
      </c>
      <c r="BE110" s="30">
        <f t="shared" si="47"/>
        <v>0</v>
      </c>
      <c r="BF110" s="124">
        <f>交易记录!H721</f>
        <v>0</v>
      </c>
      <c r="BG110" s="124">
        <f>交易记录!H752</f>
        <v>0</v>
      </c>
      <c r="BH110" s="30">
        <f t="shared" si="48"/>
        <v>0</v>
      </c>
      <c r="BI110" s="121">
        <f>交易记录!H785</f>
        <v>0</v>
      </c>
      <c r="BJ110" s="121">
        <f>交易记录!H816</f>
        <v>0</v>
      </c>
      <c r="BK110" s="30">
        <f t="shared" si="49"/>
        <v>0</v>
      </c>
      <c r="BL110" s="124">
        <f>交易记录!H849</f>
        <v>0</v>
      </c>
      <c r="BM110" s="124">
        <f>交易记录!H880</f>
        <v>0</v>
      </c>
      <c r="BN110" s="30">
        <f t="shared" si="50"/>
        <v>0</v>
      </c>
      <c r="BO110" s="121">
        <f>交易记录!H913</f>
        <v>0</v>
      </c>
      <c r="BP110" s="121">
        <f>交易记录!H944</f>
        <v>0</v>
      </c>
      <c r="BQ110" s="30">
        <f t="shared" si="51"/>
        <v>0</v>
      </c>
    </row>
    <row r="111" spans="1:69" ht="15">
      <c r="A111" s="125">
        <f>'维护-日期'!A$7</f>
        <v>46270</v>
      </c>
      <c r="B111" s="7" t="s">
        <v>19</v>
      </c>
      <c r="C111" s="144">
        <f t="shared" si="52"/>
        <v>21.004999999999999</v>
      </c>
      <c r="D111" s="144">
        <f>ROUND(INDEX(持仓数据!$C$3:$AG$26,MATCH('计算过程-数据汇总'!B111,持仓数据!$B$3:$B$26,0),MATCH('计算过程-数据汇总'!A111,'维护-日期'!$B$2:$AF$2,0)),3)</f>
        <v>21.004999999999999</v>
      </c>
      <c r="E111" s="98">
        <f t="shared" si="53"/>
        <v>21.004999999999999</v>
      </c>
      <c r="F111" s="22">
        <f>持仓数据!G85</f>
        <v>8.1000000000000003E-2</v>
      </c>
      <c r="G111" s="97">
        <v>372</v>
      </c>
      <c r="H111" s="97">
        <v>372</v>
      </c>
      <c r="I111" s="64">
        <v>0</v>
      </c>
      <c r="J111" s="64">
        <v>0</v>
      </c>
      <c r="K111" s="21">
        <f>IF(持仓数据!G118="",0,持仓数据!G118)</f>
        <v>372</v>
      </c>
      <c r="L111" s="21">
        <f t="shared" si="54"/>
        <v>0</v>
      </c>
      <c r="M111" s="28">
        <f t="shared" si="38"/>
        <v>7813.86</v>
      </c>
      <c r="N111" s="28">
        <f t="shared" si="39"/>
        <v>0</v>
      </c>
      <c r="O111" s="28">
        <f t="shared" si="40"/>
        <v>0</v>
      </c>
      <c r="P111" s="28">
        <f t="shared" si="41"/>
        <v>0</v>
      </c>
      <c r="Q111" s="28">
        <f t="shared" si="55"/>
        <v>0</v>
      </c>
      <c r="R111" s="28">
        <f t="shared" si="42"/>
        <v>7813.86</v>
      </c>
      <c r="S111" s="28">
        <f t="shared" si="56"/>
        <v>0</v>
      </c>
      <c r="T111" s="28">
        <f t="shared" si="57"/>
        <v>0</v>
      </c>
      <c r="U111" s="28">
        <f t="shared" si="60"/>
        <v>0</v>
      </c>
      <c r="V111" s="28">
        <f t="shared" si="58"/>
        <v>0</v>
      </c>
      <c r="W111" s="118"/>
      <c r="X111" s="143">
        <f t="shared" si="59"/>
        <v>25.125</v>
      </c>
      <c r="Y111" s="121">
        <f>交易记录!H18</f>
        <v>8.1000000000000003E-2</v>
      </c>
      <c r="Z111" s="121">
        <f>交易记录!H49</f>
        <v>372</v>
      </c>
      <c r="AA111" s="30">
        <f t="shared" si="43"/>
        <v>0</v>
      </c>
      <c r="AB111" s="124">
        <f>交易记录!H82</f>
        <v>0</v>
      </c>
      <c r="AC111" s="124">
        <f>交易记录!H113</f>
        <v>0</v>
      </c>
      <c r="AD111" s="30">
        <f t="shared" si="66"/>
        <v>0</v>
      </c>
      <c r="AE111" s="121">
        <f>交易记录!H146</f>
        <v>0</v>
      </c>
      <c r="AF111" s="121">
        <f>交易记录!H177</f>
        <v>0</v>
      </c>
      <c r="AG111" s="30">
        <f t="shared" si="62"/>
        <v>0</v>
      </c>
      <c r="AH111" s="124">
        <f>交易记录!H210</f>
        <v>0</v>
      </c>
      <c r="AI111" s="124">
        <f>交易记录!H241</f>
        <v>0</v>
      </c>
      <c r="AJ111" s="30">
        <f t="shared" si="65"/>
        <v>0</v>
      </c>
      <c r="AK111" s="121">
        <f>交易记录!H274</f>
        <v>0</v>
      </c>
      <c r="AL111" s="121">
        <f>交易记录!H305</f>
        <v>0</v>
      </c>
      <c r="AM111" s="30">
        <f t="shared" si="64"/>
        <v>0</v>
      </c>
      <c r="AN111" s="124">
        <f>交易记录!H338</f>
        <v>0</v>
      </c>
      <c r="AO111" s="124">
        <f>交易记录!H369</f>
        <v>0</v>
      </c>
      <c r="AP111" s="30">
        <f t="shared" si="61"/>
        <v>0</v>
      </c>
      <c r="AQ111" s="121">
        <f>交易记录!H402</f>
        <v>0</v>
      </c>
      <c r="AR111" s="121">
        <f>交易记录!H433</f>
        <v>0</v>
      </c>
      <c r="AS111" s="30">
        <f t="shared" si="63"/>
        <v>0</v>
      </c>
      <c r="AT111" s="124">
        <f>交易记录!H466</f>
        <v>0</v>
      </c>
      <c r="AU111" s="124">
        <f>交易记录!H497</f>
        <v>0</v>
      </c>
      <c r="AV111" s="30">
        <f t="shared" si="44"/>
        <v>0</v>
      </c>
      <c r="AW111" s="121">
        <f>交易记录!H530</f>
        <v>0</v>
      </c>
      <c r="AX111" s="121">
        <f>交易记录!H561</f>
        <v>0</v>
      </c>
      <c r="AY111" s="30">
        <f t="shared" si="45"/>
        <v>0</v>
      </c>
      <c r="AZ111" s="124">
        <f>交易记录!H594</f>
        <v>0</v>
      </c>
      <c r="BA111" s="124">
        <f>交易记录!H625</f>
        <v>0</v>
      </c>
      <c r="BB111" s="30">
        <f t="shared" si="46"/>
        <v>0</v>
      </c>
      <c r="BC111" s="121">
        <f>交易记录!H658</f>
        <v>0</v>
      </c>
      <c r="BD111" s="121">
        <f>交易记录!H689</f>
        <v>0</v>
      </c>
      <c r="BE111" s="30">
        <f t="shared" si="47"/>
        <v>0</v>
      </c>
      <c r="BF111" s="124">
        <f>交易记录!H722</f>
        <v>0</v>
      </c>
      <c r="BG111" s="124">
        <f>交易记录!H753</f>
        <v>0</v>
      </c>
      <c r="BH111" s="30">
        <f t="shared" si="48"/>
        <v>0</v>
      </c>
      <c r="BI111" s="121">
        <f>交易记录!H786</f>
        <v>0</v>
      </c>
      <c r="BJ111" s="121">
        <f>交易记录!H817</f>
        <v>0</v>
      </c>
      <c r="BK111" s="30">
        <f t="shared" si="49"/>
        <v>0</v>
      </c>
      <c r="BL111" s="124">
        <f>交易记录!H850</f>
        <v>0</v>
      </c>
      <c r="BM111" s="124">
        <f>交易记录!H881</f>
        <v>0</v>
      </c>
      <c r="BN111" s="30">
        <f t="shared" si="50"/>
        <v>0</v>
      </c>
      <c r="BO111" s="121">
        <f>交易记录!H914</f>
        <v>0</v>
      </c>
      <c r="BP111" s="121">
        <f>交易记录!H945</f>
        <v>0</v>
      </c>
      <c r="BQ111" s="30">
        <f t="shared" si="51"/>
        <v>0</v>
      </c>
    </row>
    <row r="112" spans="1:69" ht="15">
      <c r="A112" s="125">
        <f>'维护-日期'!A$7</f>
        <v>46270</v>
      </c>
      <c r="B112" s="7" t="s">
        <v>20</v>
      </c>
      <c r="C112" s="144">
        <f t="shared" si="52"/>
        <v>20.777000000000001</v>
      </c>
      <c r="D112" s="144">
        <f>ROUND(INDEX(持仓数据!$C$3:$AG$26,MATCH('计算过程-数据汇总'!B112,持仓数据!$B$3:$B$26,0),MATCH('计算过程-数据汇总'!A112,'维护-日期'!$B$2:$AF$2,0)),3)</f>
        <v>20.777000000000001</v>
      </c>
      <c r="E112" s="98">
        <f t="shared" si="53"/>
        <v>20.777000000000001</v>
      </c>
      <c r="F112" s="22">
        <f>持仓数据!G86</f>
        <v>0.13</v>
      </c>
      <c r="G112" s="97">
        <v>372</v>
      </c>
      <c r="H112" s="97">
        <v>372</v>
      </c>
      <c r="I112" s="64">
        <v>0</v>
      </c>
      <c r="J112" s="64">
        <v>0</v>
      </c>
      <c r="K112" s="21">
        <f>IF(持仓数据!G119="",0,持仓数据!G119)</f>
        <v>372</v>
      </c>
      <c r="L112" s="21">
        <f t="shared" si="54"/>
        <v>0</v>
      </c>
      <c r="M112" s="28">
        <f t="shared" si="38"/>
        <v>7729.0440000000008</v>
      </c>
      <c r="N112" s="28">
        <f t="shared" si="39"/>
        <v>0</v>
      </c>
      <c r="O112" s="28">
        <f t="shared" si="40"/>
        <v>0</v>
      </c>
      <c r="P112" s="28">
        <f t="shared" si="41"/>
        <v>0</v>
      </c>
      <c r="Q112" s="28">
        <f t="shared" si="55"/>
        <v>0</v>
      </c>
      <c r="R112" s="28">
        <f t="shared" si="42"/>
        <v>7729.0440000000008</v>
      </c>
      <c r="S112" s="28">
        <f t="shared" si="56"/>
        <v>0</v>
      </c>
      <c r="T112" s="28">
        <f t="shared" si="57"/>
        <v>0</v>
      </c>
      <c r="U112" s="28">
        <f t="shared" si="60"/>
        <v>0</v>
      </c>
      <c r="V112" s="28">
        <f t="shared" si="58"/>
        <v>0</v>
      </c>
      <c r="W112" s="118"/>
      <c r="X112" s="143">
        <f t="shared" si="59"/>
        <v>24.802</v>
      </c>
      <c r="Y112" s="121">
        <f>交易记录!H19</f>
        <v>0.13</v>
      </c>
      <c r="Z112" s="121">
        <f>交易记录!H50</f>
        <v>372</v>
      </c>
      <c r="AA112" s="30">
        <f t="shared" si="43"/>
        <v>0</v>
      </c>
      <c r="AB112" s="124">
        <f>交易记录!H83</f>
        <v>0</v>
      </c>
      <c r="AC112" s="124">
        <f>交易记录!H114</f>
        <v>0</v>
      </c>
      <c r="AD112" s="30">
        <f t="shared" si="66"/>
        <v>0</v>
      </c>
      <c r="AE112" s="121">
        <f>交易记录!H147</f>
        <v>0</v>
      </c>
      <c r="AF112" s="121">
        <f>交易记录!H178</f>
        <v>0</v>
      </c>
      <c r="AG112" s="30">
        <f t="shared" si="62"/>
        <v>0</v>
      </c>
      <c r="AH112" s="124">
        <f>交易记录!H211</f>
        <v>0</v>
      </c>
      <c r="AI112" s="124">
        <f>交易记录!H242</f>
        <v>0</v>
      </c>
      <c r="AJ112" s="30">
        <f t="shared" si="65"/>
        <v>0</v>
      </c>
      <c r="AK112" s="121">
        <f>交易记录!H275</f>
        <v>0</v>
      </c>
      <c r="AL112" s="121">
        <f>交易记录!H306</f>
        <v>0</v>
      </c>
      <c r="AM112" s="30">
        <f t="shared" si="64"/>
        <v>0</v>
      </c>
      <c r="AN112" s="124">
        <f>交易记录!H339</f>
        <v>0</v>
      </c>
      <c r="AO112" s="124">
        <f>交易记录!H370</f>
        <v>0</v>
      </c>
      <c r="AP112" s="30">
        <f t="shared" si="61"/>
        <v>0</v>
      </c>
      <c r="AQ112" s="121">
        <f>交易记录!H403</f>
        <v>0</v>
      </c>
      <c r="AR112" s="121">
        <f>交易记录!H434</f>
        <v>0</v>
      </c>
      <c r="AS112" s="30">
        <f t="shared" si="63"/>
        <v>0</v>
      </c>
      <c r="AT112" s="124">
        <f>交易记录!H467</f>
        <v>0</v>
      </c>
      <c r="AU112" s="124">
        <f>交易记录!H498</f>
        <v>0</v>
      </c>
      <c r="AV112" s="30">
        <f t="shared" si="44"/>
        <v>0</v>
      </c>
      <c r="AW112" s="121">
        <f>交易记录!H531</f>
        <v>0</v>
      </c>
      <c r="AX112" s="121">
        <f>交易记录!H562</f>
        <v>0</v>
      </c>
      <c r="AY112" s="30">
        <f t="shared" si="45"/>
        <v>0</v>
      </c>
      <c r="AZ112" s="124">
        <f>交易记录!H595</f>
        <v>0</v>
      </c>
      <c r="BA112" s="124">
        <f>交易记录!H626</f>
        <v>0</v>
      </c>
      <c r="BB112" s="30">
        <f t="shared" si="46"/>
        <v>0</v>
      </c>
      <c r="BC112" s="121">
        <f>交易记录!H659</f>
        <v>0</v>
      </c>
      <c r="BD112" s="121">
        <f>交易记录!H690</f>
        <v>0</v>
      </c>
      <c r="BE112" s="30">
        <f t="shared" si="47"/>
        <v>0</v>
      </c>
      <c r="BF112" s="124">
        <f>交易记录!H723</f>
        <v>0</v>
      </c>
      <c r="BG112" s="124">
        <f>交易记录!H754</f>
        <v>0</v>
      </c>
      <c r="BH112" s="30">
        <f t="shared" si="48"/>
        <v>0</v>
      </c>
      <c r="BI112" s="121">
        <f>交易记录!H787</f>
        <v>0</v>
      </c>
      <c r="BJ112" s="121">
        <f>交易记录!H818</f>
        <v>0</v>
      </c>
      <c r="BK112" s="30">
        <f t="shared" si="49"/>
        <v>0</v>
      </c>
      <c r="BL112" s="124">
        <f>交易记录!H851</f>
        <v>0</v>
      </c>
      <c r="BM112" s="124">
        <f>交易记录!H882</f>
        <v>0</v>
      </c>
      <c r="BN112" s="30">
        <f t="shared" si="50"/>
        <v>0</v>
      </c>
      <c r="BO112" s="121">
        <f>交易记录!H915</f>
        <v>0</v>
      </c>
      <c r="BP112" s="121">
        <f>交易记录!H946</f>
        <v>0</v>
      </c>
      <c r="BQ112" s="30">
        <f t="shared" si="51"/>
        <v>0</v>
      </c>
    </row>
    <row r="113" spans="1:69" ht="15">
      <c r="A113" s="125">
        <f>'维护-日期'!A$7</f>
        <v>46270</v>
      </c>
      <c r="B113" s="7" t="s">
        <v>21</v>
      </c>
      <c r="C113" s="144">
        <f t="shared" si="52"/>
        <v>20.858000000000001</v>
      </c>
      <c r="D113" s="144">
        <f>ROUND(INDEX(持仓数据!$C$3:$AG$26,MATCH('计算过程-数据汇总'!B113,持仓数据!$B$3:$B$26,0),MATCH('计算过程-数据汇总'!A113,'维护-日期'!$B$2:$AF$2,0)),3)</f>
        <v>20.858000000000001</v>
      </c>
      <c r="E113" s="98">
        <f t="shared" si="53"/>
        <v>20.858000000000001</v>
      </c>
      <c r="F113" s="22">
        <f>持仓数据!G87</f>
        <v>0.13</v>
      </c>
      <c r="G113" s="97">
        <v>372</v>
      </c>
      <c r="H113" s="97">
        <v>372</v>
      </c>
      <c r="I113" s="64">
        <v>0</v>
      </c>
      <c r="J113" s="64">
        <v>0</v>
      </c>
      <c r="K113" s="21">
        <f>IF(持仓数据!G120="",0,持仓数据!G120)</f>
        <v>372</v>
      </c>
      <c r="L113" s="21">
        <f t="shared" si="54"/>
        <v>0</v>
      </c>
      <c r="M113" s="28">
        <f t="shared" si="38"/>
        <v>7759.1760000000004</v>
      </c>
      <c r="N113" s="28">
        <f t="shared" si="39"/>
        <v>0</v>
      </c>
      <c r="O113" s="28">
        <f t="shared" si="40"/>
        <v>0</v>
      </c>
      <c r="P113" s="28">
        <f t="shared" si="41"/>
        <v>0</v>
      </c>
      <c r="Q113" s="28">
        <f t="shared" si="55"/>
        <v>0</v>
      </c>
      <c r="R113" s="28">
        <f t="shared" si="42"/>
        <v>7759.1760000000004</v>
      </c>
      <c r="S113" s="28">
        <f t="shared" si="56"/>
        <v>0</v>
      </c>
      <c r="T113" s="28">
        <f t="shared" si="57"/>
        <v>0</v>
      </c>
      <c r="U113" s="28">
        <f t="shared" si="60"/>
        <v>0</v>
      </c>
      <c r="V113" s="28">
        <f t="shared" si="58"/>
        <v>0</v>
      </c>
      <c r="W113" s="118"/>
      <c r="X113" s="143">
        <f t="shared" si="59"/>
        <v>24.9</v>
      </c>
      <c r="Y113" s="121">
        <f>交易记录!H20</f>
        <v>0.13</v>
      </c>
      <c r="Z113" s="121">
        <f>交易记录!H51</f>
        <v>372</v>
      </c>
      <c r="AA113" s="30">
        <f t="shared" si="43"/>
        <v>0</v>
      </c>
      <c r="AB113" s="124">
        <f>交易记录!H84</f>
        <v>0</v>
      </c>
      <c r="AC113" s="124">
        <f>交易记录!H115</f>
        <v>0</v>
      </c>
      <c r="AD113" s="30">
        <f t="shared" si="66"/>
        <v>0</v>
      </c>
      <c r="AE113" s="121">
        <f>交易记录!H148</f>
        <v>0</v>
      </c>
      <c r="AF113" s="121">
        <f>交易记录!H179</f>
        <v>0</v>
      </c>
      <c r="AG113" s="30">
        <f t="shared" si="62"/>
        <v>0</v>
      </c>
      <c r="AH113" s="124">
        <f>交易记录!H212</f>
        <v>0</v>
      </c>
      <c r="AI113" s="124">
        <f>交易记录!H243</f>
        <v>0</v>
      </c>
      <c r="AJ113" s="30">
        <f t="shared" si="65"/>
        <v>0</v>
      </c>
      <c r="AK113" s="121">
        <f>交易记录!H276</f>
        <v>0</v>
      </c>
      <c r="AL113" s="121">
        <f>交易记录!H307</f>
        <v>0</v>
      </c>
      <c r="AM113" s="30">
        <f t="shared" si="64"/>
        <v>0</v>
      </c>
      <c r="AN113" s="124">
        <f>交易记录!H340</f>
        <v>0</v>
      </c>
      <c r="AO113" s="124">
        <f>交易记录!H371</f>
        <v>0</v>
      </c>
      <c r="AP113" s="30">
        <f t="shared" si="61"/>
        <v>0</v>
      </c>
      <c r="AQ113" s="121">
        <f>交易记录!H404</f>
        <v>0</v>
      </c>
      <c r="AR113" s="121">
        <f>交易记录!H435</f>
        <v>0</v>
      </c>
      <c r="AS113" s="30">
        <f t="shared" si="63"/>
        <v>0</v>
      </c>
      <c r="AT113" s="124">
        <f>交易记录!H468</f>
        <v>0</v>
      </c>
      <c r="AU113" s="124">
        <f>交易记录!H499</f>
        <v>0</v>
      </c>
      <c r="AV113" s="30">
        <f t="shared" si="44"/>
        <v>0</v>
      </c>
      <c r="AW113" s="121">
        <f>交易记录!H532</f>
        <v>0</v>
      </c>
      <c r="AX113" s="121">
        <f>交易记录!H563</f>
        <v>0</v>
      </c>
      <c r="AY113" s="30">
        <f t="shared" si="45"/>
        <v>0</v>
      </c>
      <c r="AZ113" s="124">
        <f>交易记录!H596</f>
        <v>0</v>
      </c>
      <c r="BA113" s="124">
        <f>交易记录!H627</f>
        <v>0</v>
      </c>
      <c r="BB113" s="30">
        <f t="shared" si="46"/>
        <v>0</v>
      </c>
      <c r="BC113" s="121">
        <f>交易记录!H660</f>
        <v>0</v>
      </c>
      <c r="BD113" s="121">
        <f>交易记录!H691</f>
        <v>0</v>
      </c>
      <c r="BE113" s="30">
        <f t="shared" si="47"/>
        <v>0</v>
      </c>
      <c r="BF113" s="124">
        <f>交易记录!H724</f>
        <v>0</v>
      </c>
      <c r="BG113" s="124">
        <f>交易记录!H755</f>
        <v>0</v>
      </c>
      <c r="BH113" s="30">
        <f t="shared" si="48"/>
        <v>0</v>
      </c>
      <c r="BI113" s="121">
        <f>交易记录!H788</f>
        <v>0</v>
      </c>
      <c r="BJ113" s="121">
        <f>交易记录!H819</f>
        <v>0</v>
      </c>
      <c r="BK113" s="30">
        <f t="shared" si="49"/>
        <v>0</v>
      </c>
      <c r="BL113" s="124">
        <f>交易记录!H852</f>
        <v>0</v>
      </c>
      <c r="BM113" s="124">
        <f>交易记录!H883</f>
        <v>0</v>
      </c>
      <c r="BN113" s="30">
        <f t="shared" si="50"/>
        <v>0</v>
      </c>
      <c r="BO113" s="121">
        <f>交易记录!H916</f>
        <v>0</v>
      </c>
      <c r="BP113" s="121">
        <f>交易记录!H947</f>
        <v>0</v>
      </c>
      <c r="BQ113" s="30">
        <f t="shared" si="51"/>
        <v>0</v>
      </c>
    </row>
    <row r="114" spans="1:69" ht="15">
      <c r="A114" s="125">
        <f>'维护-日期'!A$7</f>
        <v>46270</v>
      </c>
      <c r="B114" s="7" t="s">
        <v>22</v>
      </c>
      <c r="C114" s="144">
        <f t="shared" si="52"/>
        <v>21.905999999999999</v>
      </c>
      <c r="D114" s="144">
        <f>ROUND(INDEX(持仓数据!$C$3:$AG$26,MATCH('计算过程-数据汇总'!B114,持仓数据!$B$3:$B$26,0),MATCH('计算过程-数据汇总'!A114,'维护-日期'!$B$2:$AF$2,0)),3)</f>
        <v>21.905999999999999</v>
      </c>
      <c r="E114" s="98">
        <f t="shared" si="53"/>
        <v>21.905999999999999</v>
      </c>
      <c r="F114" s="22">
        <f>持仓数据!G88</f>
        <v>0.10200000000000001</v>
      </c>
      <c r="G114" s="97">
        <v>372</v>
      </c>
      <c r="H114" s="97">
        <v>372</v>
      </c>
      <c r="I114" s="64">
        <v>0</v>
      </c>
      <c r="J114" s="64">
        <v>0</v>
      </c>
      <c r="K114" s="21">
        <f>IF(持仓数据!G121="",0,持仓数据!G121)</f>
        <v>372</v>
      </c>
      <c r="L114" s="21">
        <f t="shared" si="54"/>
        <v>0</v>
      </c>
      <c r="M114" s="28">
        <f t="shared" si="38"/>
        <v>8149.0319999999992</v>
      </c>
      <c r="N114" s="28">
        <f t="shared" si="39"/>
        <v>0</v>
      </c>
      <c r="O114" s="28">
        <f t="shared" si="40"/>
        <v>0</v>
      </c>
      <c r="P114" s="28">
        <f t="shared" si="41"/>
        <v>0</v>
      </c>
      <c r="Q114" s="28">
        <f t="shared" si="55"/>
        <v>0</v>
      </c>
      <c r="R114" s="28">
        <f t="shared" si="42"/>
        <v>8149.0319999999992</v>
      </c>
      <c r="S114" s="28">
        <f t="shared" si="56"/>
        <v>0</v>
      </c>
      <c r="T114" s="28">
        <f t="shared" si="57"/>
        <v>0</v>
      </c>
      <c r="U114" s="28">
        <f t="shared" si="60"/>
        <v>0</v>
      </c>
      <c r="V114" s="28">
        <f t="shared" si="58"/>
        <v>0</v>
      </c>
      <c r="W114" s="118"/>
      <c r="X114" s="143">
        <f t="shared" si="59"/>
        <v>26.184999999999999</v>
      </c>
      <c r="Y114" s="121">
        <f>交易记录!H21</f>
        <v>0.10200000000000001</v>
      </c>
      <c r="Z114" s="121">
        <f>交易记录!H52</f>
        <v>372</v>
      </c>
      <c r="AA114" s="30">
        <f t="shared" si="43"/>
        <v>0</v>
      </c>
      <c r="AB114" s="124">
        <f>交易记录!H85</f>
        <v>0</v>
      </c>
      <c r="AC114" s="124">
        <f>交易记录!H116</f>
        <v>0</v>
      </c>
      <c r="AD114" s="30">
        <f t="shared" si="66"/>
        <v>0</v>
      </c>
      <c r="AE114" s="121">
        <f>交易记录!H149</f>
        <v>0</v>
      </c>
      <c r="AF114" s="121">
        <f>交易记录!H180</f>
        <v>0</v>
      </c>
      <c r="AG114" s="30">
        <f t="shared" si="62"/>
        <v>0</v>
      </c>
      <c r="AH114" s="124">
        <f>交易记录!H213</f>
        <v>0</v>
      </c>
      <c r="AI114" s="124">
        <f>交易记录!H244</f>
        <v>0</v>
      </c>
      <c r="AJ114" s="30">
        <f t="shared" si="65"/>
        <v>0</v>
      </c>
      <c r="AK114" s="121">
        <f>交易记录!H277</f>
        <v>0</v>
      </c>
      <c r="AL114" s="121">
        <f>交易记录!H308</f>
        <v>0</v>
      </c>
      <c r="AM114" s="30">
        <f t="shared" si="64"/>
        <v>0</v>
      </c>
      <c r="AN114" s="124">
        <f>交易记录!H341</f>
        <v>0</v>
      </c>
      <c r="AO114" s="124">
        <f>交易记录!H372</f>
        <v>0</v>
      </c>
      <c r="AP114" s="30">
        <f t="shared" si="61"/>
        <v>0</v>
      </c>
      <c r="AQ114" s="121">
        <f>交易记录!H405</f>
        <v>0</v>
      </c>
      <c r="AR114" s="121">
        <f>交易记录!H436</f>
        <v>0</v>
      </c>
      <c r="AS114" s="30">
        <f t="shared" si="63"/>
        <v>0</v>
      </c>
      <c r="AT114" s="124">
        <f>交易记录!H469</f>
        <v>0</v>
      </c>
      <c r="AU114" s="124">
        <f>交易记录!H500</f>
        <v>0</v>
      </c>
      <c r="AV114" s="30">
        <f t="shared" si="44"/>
        <v>0</v>
      </c>
      <c r="AW114" s="121">
        <f>交易记录!H533</f>
        <v>0</v>
      </c>
      <c r="AX114" s="121">
        <f>交易记录!H564</f>
        <v>0</v>
      </c>
      <c r="AY114" s="30">
        <f t="shared" si="45"/>
        <v>0</v>
      </c>
      <c r="AZ114" s="124">
        <f>交易记录!H597</f>
        <v>0</v>
      </c>
      <c r="BA114" s="124">
        <f>交易记录!H628</f>
        <v>0</v>
      </c>
      <c r="BB114" s="30">
        <f t="shared" si="46"/>
        <v>0</v>
      </c>
      <c r="BC114" s="121">
        <f>交易记录!H661</f>
        <v>0</v>
      </c>
      <c r="BD114" s="121">
        <f>交易记录!H692</f>
        <v>0</v>
      </c>
      <c r="BE114" s="30">
        <f t="shared" si="47"/>
        <v>0</v>
      </c>
      <c r="BF114" s="124">
        <f>交易记录!H725</f>
        <v>0</v>
      </c>
      <c r="BG114" s="124">
        <f>交易记录!H756</f>
        <v>0</v>
      </c>
      <c r="BH114" s="30">
        <f t="shared" si="48"/>
        <v>0</v>
      </c>
      <c r="BI114" s="121">
        <f>交易记录!H789</f>
        <v>0</v>
      </c>
      <c r="BJ114" s="121">
        <f>交易记录!H820</f>
        <v>0</v>
      </c>
      <c r="BK114" s="30">
        <f t="shared" si="49"/>
        <v>0</v>
      </c>
      <c r="BL114" s="124">
        <f>交易记录!H853</f>
        <v>0</v>
      </c>
      <c r="BM114" s="124">
        <f>交易记录!H884</f>
        <v>0</v>
      </c>
      <c r="BN114" s="30">
        <f t="shared" si="50"/>
        <v>0</v>
      </c>
      <c r="BO114" s="121">
        <f>交易记录!H917</f>
        <v>0</v>
      </c>
      <c r="BP114" s="121">
        <f>交易记录!H948</f>
        <v>0</v>
      </c>
      <c r="BQ114" s="30">
        <f t="shared" si="51"/>
        <v>0</v>
      </c>
    </row>
    <row r="115" spans="1:69" ht="15">
      <c r="A115" s="125">
        <f>'维护-日期'!A$7</f>
        <v>46270</v>
      </c>
      <c r="B115" s="7" t="s">
        <v>23</v>
      </c>
      <c r="C115" s="144">
        <f t="shared" si="52"/>
        <v>22.69</v>
      </c>
      <c r="D115" s="144">
        <f>ROUND(INDEX(持仓数据!$C$3:$AG$26,MATCH('计算过程-数据汇总'!B115,持仓数据!$B$3:$B$26,0),MATCH('计算过程-数据汇总'!A115,'维护-日期'!$B$2:$AF$2,0)),3)</f>
        <v>22.69</v>
      </c>
      <c r="E115" s="98">
        <f t="shared" si="53"/>
        <v>22.69</v>
      </c>
      <c r="F115" s="22">
        <f>持仓数据!G89</f>
        <v>0.127</v>
      </c>
      <c r="G115" s="97">
        <v>372</v>
      </c>
      <c r="H115" s="97">
        <v>372</v>
      </c>
      <c r="I115" s="64">
        <v>0</v>
      </c>
      <c r="J115" s="64">
        <v>0</v>
      </c>
      <c r="K115" s="21">
        <f>IF(持仓数据!G122="",0,持仓数据!G122)</f>
        <v>372</v>
      </c>
      <c r="L115" s="21">
        <f t="shared" si="54"/>
        <v>0</v>
      </c>
      <c r="M115" s="28">
        <f t="shared" si="38"/>
        <v>8440.68</v>
      </c>
      <c r="N115" s="28">
        <f t="shared" si="39"/>
        <v>0</v>
      </c>
      <c r="O115" s="28">
        <f t="shared" si="40"/>
        <v>0</v>
      </c>
      <c r="P115" s="28">
        <f t="shared" si="41"/>
        <v>0</v>
      </c>
      <c r="Q115" s="28">
        <f t="shared" si="55"/>
        <v>0</v>
      </c>
      <c r="R115" s="28">
        <f t="shared" si="42"/>
        <v>8440.68</v>
      </c>
      <c r="S115" s="28">
        <f t="shared" si="56"/>
        <v>0</v>
      </c>
      <c r="T115" s="28">
        <f t="shared" si="57"/>
        <v>0</v>
      </c>
      <c r="U115" s="28">
        <f t="shared" si="60"/>
        <v>0</v>
      </c>
      <c r="V115" s="28">
        <f t="shared" si="58"/>
        <v>0</v>
      </c>
      <c r="W115" s="118"/>
      <c r="X115" s="143">
        <f t="shared" si="59"/>
        <v>27.100999999999999</v>
      </c>
      <c r="Y115" s="121">
        <f>交易记录!H22</f>
        <v>0.127</v>
      </c>
      <c r="Z115" s="121">
        <f>交易记录!H53</f>
        <v>372</v>
      </c>
      <c r="AA115" s="30">
        <f t="shared" si="43"/>
        <v>0</v>
      </c>
      <c r="AB115" s="124">
        <f>交易记录!H86</f>
        <v>0</v>
      </c>
      <c r="AC115" s="124">
        <f>交易记录!H117</f>
        <v>0</v>
      </c>
      <c r="AD115" s="30">
        <f t="shared" si="66"/>
        <v>0</v>
      </c>
      <c r="AE115" s="121">
        <f>交易记录!H150</f>
        <v>0</v>
      </c>
      <c r="AF115" s="121">
        <f>交易记录!H181</f>
        <v>0</v>
      </c>
      <c r="AG115" s="30">
        <f t="shared" si="62"/>
        <v>0</v>
      </c>
      <c r="AH115" s="124">
        <f>交易记录!H214</f>
        <v>0</v>
      </c>
      <c r="AI115" s="124">
        <f>交易记录!H245</f>
        <v>0</v>
      </c>
      <c r="AJ115" s="30">
        <f t="shared" si="65"/>
        <v>0</v>
      </c>
      <c r="AK115" s="121">
        <f>交易记录!H278</f>
        <v>0</v>
      </c>
      <c r="AL115" s="121">
        <f>交易记录!H309</f>
        <v>0</v>
      </c>
      <c r="AM115" s="30">
        <f t="shared" si="64"/>
        <v>0</v>
      </c>
      <c r="AN115" s="124">
        <f>交易记录!H342</f>
        <v>0</v>
      </c>
      <c r="AO115" s="124">
        <f>交易记录!H373</f>
        <v>0</v>
      </c>
      <c r="AP115" s="30">
        <f t="shared" si="61"/>
        <v>0</v>
      </c>
      <c r="AQ115" s="121">
        <f>交易记录!H406</f>
        <v>0</v>
      </c>
      <c r="AR115" s="121">
        <f>交易记录!H437</f>
        <v>0</v>
      </c>
      <c r="AS115" s="30">
        <f t="shared" si="63"/>
        <v>0</v>
      </c>
      <c r="AT115" s="124">
        <f>交易记录!H470</f>
        <v>0</v>
      </c>
      <c r="AU115" s="124">
        <f>交易记录!H501</f>
        <v>0</v>
      </c>
      <c r="AV115" s="30">
        <f t="shared" si="44"/>
        <v>0</v>
      </c>
      <c r="AW115" s="121">
        <f>交易记录!H534</f>
        <v>0</v>
      </c>
      <c r="AX115" s="121">
        <f>交易记录!H565</f>
        <v>0</v>
      </c>
      <c r="AY115" s="30">
        <f t="shared" si="45"/>
        <v>0</v>
      </c>
      <c r="AZ115" s="124">
        <f>交易记录!H598</f>
        <v>0</v>
      </c>
      <c r="BA115" s="124">
        <f>交易记录!H629</f>
        <v>0</v>
      </c>
      <c r="BB115" s="30">
        <f t="shared" si="46"/>
        <v>0</v>
      </c>
      <c r="BC115" s="121">
        <f>交易记录!H662</f>
        <v>0</v>
      </c>
      <c r="BD115" s="121">
        <f>交易记录!H693</f>
        <v>0</v>
      </c>
      <c r="BE115" s="30">
        <f t="shared" si="47"/>
        <v>0</v>
      </c>
      <c r="BF115" s="124">
        <f>交易记录!H726</f>
        <v>0</v>
      </c>
      <c r="BG115" s="124">
        <f>交易记录!H757</f>
        <v>0</v>
      </c>
      <c r="BH115" s="30">
        <f t="shared" si="48"/>
        <v>0</v>
      </c>
      <c r="BI115" s="121">
        <f>交易记录!H790</f>
        <v>0</v>
      </c>
      <c r="BJ115" s="121">
        <f>交易记录!H821</f>
        <v>0</v>
      </c>
      <c r="BK115" s="30">
        <f t="shared" si="49"/>
        <v>0</v>
      </c>
      <c r="BL115" s="124">
        <f>交易记录!H854</f>
        <v>0</v>
      </c>
      <c r="BM115" s="124">
        <f>交易记录!H885</f>
        <v>0</v>
      </c>
      <c r="BN115" s="30">
        <f t="shared" si="50"/>
        <v>0</v>
      </c>
      <c r="BO115" s="121">
        <f>交易记录!H918</f>
        <v>0</v>
      </c>
      <c r="BP115" s="121">
        <f>交易记录!H949</f>
        <v>0</v>
      </c>
      <c r="BQ115" s="30">
        <f t="shared" si="51"/>
        <v>0</v>
      </c>
    </row>
    <row r="116" spans="1:69" ht="15">
      <c r="A116" s="125">
        <f>'维护-日期'!A$7</f>
        <v>46270</v>
      </c>
      <c r="B116" s="7" t="s">
        <v>24</v>
      </c>
      <c r="C116" s="144">
        <f t="shared" si="52"/>
        <v>23.346</v>
      </c>
      <c r="D116" s="144">
        <f>ROUND(INDEX(持仓数据!$C$3:$AG$26,MATCH('计算过程-数据汇总'!B116,持仓数据!$B$3:$B$26,0),MATCH('计算过程-数据汇总'!A116,'维护-日期'!$B$2:$AF$2,0)),3)</f>
        <v>23.346</v>
      </c>
      <c r="E116" s="98">
        <f t="shared" si="53"/>
        <v>23.346</v>
      </c>
      <c r="F116" s="22">
        <f>持仓数据!G90</f>
        <v>0.128</v>
      </c>
      <c r="G116" s="97">
        <v>372</v>
      </c>
      <c r="H116" s="97">
        <v>372</v>
      </c>
      <c r="I116" s="64">
        <v>0</v>
      </c>
      <c r="J116" s="64">
        <v>0</v>
      </c>
      <c r="K116" s="21">
        <f>IF(持仓数据!G123="",0,持仓数据!G123)</f>
        <v>372</v>
      </c>
      <c r="L116" s="21">
        <f t="shared" si="54"/>
        <v>0</v>
      </c>
      <c r="M116" s="28">
        <f t="shared" si="38"/>
        <v>8684.7119999999995</v>
      </c>
      <c r="N116" s="28">
        <f t="shared" si="39"/>
        <v>0</v>
      </c>
      <c r="O116" s="28">
        <f t="shared" si="40"/>
        <v>0</v>
      </c>
      <c r="P116" s="28">
        <f t="shared" si="41"/>
        <v>0</v>
      </c>
      <c r="Q116" s="28">
        <f t="shared" si="55"/>
        <v>0</v>
      </c>
      <c r="R116" s="28">
        <f t="shared" si="42"/>
        <v>8684.7119999999995</v>
      </c>
      <c r="S116" s="28">
        <f t="shared" si="56"/>
        <v>0</v>
      </c>
      <c r="T116" s="28">
        <f t="shared" si="57"/>
        <v>0</v>
      </c>
      <c r="U116" s="28">
        <f t="shared" si="60"/>
        <v>0</v>
      </c>
      <c r="V116" s="28">
        <f t="shared" si="58"/>
        <v>0</v>
      </c>
      <c r="W116" s="118"/>
      <c r="X116" s="143">
        <f t="shared" si="59"/>
        <v>27.887</v>
      </c>
      <c r="Y116" s="121">
        <f>交易记录!H23</f>
        <v>0.128</v>
      </c>
      <c r="Z116" s="121">
        <f>交易记录!H54</f>
        <v>372</v>
      </c>
      <c r="AA116" s="30">
        <f t="shared" si="43"/>
        <v>0</v>
      </c>
      <c r="AB116" s="124">
        <f>交易记录!H87</f>
        <v>0</v>
      </c>
      <c r="AC116" s="124">
        <f>交易记录!H118</f>
        <v>0</v>
      </c>
      <c r="AD116" s="30">
        <f t="shared" si="66"/>
        <v>0</v>
      </c>
      <c r="AE116" s="121">
        <f>交易记录!H151</f>
        <v>0</v>
      </c>
      <c r="AF116" s="121">
        <f>交易记录!H182</f>
        <v>0</v>
      </c>
      <c r="AG116" s="30">
        <f t="shared" si="62"/>
        <v>0</v>
      </c>
      <c r="AH116" s="124">
        <f>交易记录!H215</f>
        <v>0</v>
      </c>
      <c r="AI116" s="124">
        <f>交易记录!H246</f>
        <v>0</v>
      </c>
      <c r="AJ116" s="30">
        <f t="shared" si="65"/>
        <v>0</v>
      </c>
      <c r="AK116" s="121">
        <f>交易记录!H279</f>
        <v>0</v>
      </c>
      <c r="AL116" s="121">
        <f>交易记录!H310</f>
        <v>0</v>
      </c>
      <c r="AM116" s="30">
        <f t="shared" si="64"/>
        <v>0</v>
      </c>
      <c r="AN116" s="124">
        <f>交易记录!H343</f>
        <v>0</v>
      </c>
      <c r="AO116" s="124">
        <f>交易记录!H374</f>
        <v>0</v>
      </c>
      <c r="AP116" s="30">
        <f t="shared" si="61"/>
        <v>0</v>
      </c>
      <c r="AQ116" s="121">
        <f>交易记录!H407</f>
        <v>0</v>
      </c>
      <c r="AR116" s="121">
        <f>交易记录!H438</f>
        <v>0</v>
      </c>
      <c r="AS116" s="30">
        <f t="shared" si="63"/>
        <v>0</v>
      </c>
      <c r="AT116" s="124">
        <f>交易记录!H471</f>
        <v>0</v>
      </c>
      <c r="AU116" s="124">
        <f>交易记录!H502</f>
        <v>0</v>
      </c>
      <c r="AV116" s="30">
        <f t="shared" si="44"/>
        <v>0</v>
      </c>
      <c r="AW116" s="121">
        <f>交易记录!H535</f>
        <v>0</v>
      </c>
      <c r="AX116" s="121">
        <f>交易记录!H566</f>
        <v>0</v>
      </c>
      <c r="AY116" s="30">
        <f t="shared" si="45"/>
        <v>0</v>
      </c>
      <c r="AZ116" s="124">
        <f>交易记录!H599</f>
        <v>0</v>
      </c>
      <c r="BA116" s="124">
        <f>交易记录!H630</f>
        <v>0</v>
      </c>
      <c r="BB116" s="30">
        <f t="shared" si="46"/>
        <v>0</v>
      </c>
      <c r="BC116" s="121">
        <f>交易记录!H663</f>
        <v>0</v>
      </c>
      <c r="BD116" s="121">
        <f>交易记录!H694</f>
        <v>0</v>
      </c>
      <c r="BE116" s="30">
        <f t="shared" si="47"/>
        <v>0</v>
      </c>
      <c r="BF116" s="124">
        <f>交易记录!H727</f>
        <v>0</v>
      </c>
      <c r="BG116" s="124">
        <f>交易记录!H758</f>
        <v>0</v>
      </c>
      <c r="BH116" s="30">
        <f t="shared" si="48"/>
        <v>0</v>
      </c>
      <c r="BI116" s="121">
        <f>交易记录!H791</f>
        <v>0</v>
      </c>
      <c r="BJ116" s="121">
        <f>交易记录!H822</f>
        <v>0</v>
      </c>
      <c r="BK116" s="30">
        <f t="shared" si="49"/>
        <v>0</v>
      </c>
      <c r="BL116" s="124">
        <f>交易记录!H855</f>
        <v>0</v>
      </c>
      <c r="BM116" s="124">
        <f>交易记录!H886</f>
        <v>0</v>
      </c>
      <c r="BN116" s="30">
        <f t="shared" si="50"/>
        <v>0</v>
      </c>
      <c r="BO116" s="121">
        <f>交易记录!H919</f>
        <v>0</v>
      </c>
      <c r="BP116" s="121">
        <f>交易记录!H950</f>
        <v>0</v>
      </c>
      <c r="BQ116" s="30">
        <f t="shared" si="51"/>
        <v>0</v>
      </c>
    </row>
    <row r="117" spans="1:69" ht="15">
      <c r="A117" s="125">
        <f>'维护-日期'!A$7</f>
        <v>46270</v>
      </c>
      <c r="B117" s="7" t="s">
        <v>25</v>
      </c>
      <c r="C117" s="144">
        <f t="shared" si="52"/>
        <v>23.771999999999998</v>
      </c>
      <c r="D117" s="144">
        <f>ROUND(INDEX(持仓数据!$C$3:$AG$26,MATCH('计算过程-数据汇总'!B117,持仓数据!$B$3:$B$26,0),MATCH('计算过程-数据汇总'!A117,'维护-日期'!$B$2:$AF$2,0)),3)</f>
        <v>23.771999999999998</v>
      </c>
      <c r="E117" s="98">
        <f t="shared" si="53"/>
        <v>23.771999999999998</v>
      </c>
      <c r="F117" s="22">
        <f>持仓数据!G91</f>
        <v>0.22399999999999998</v>
      </c>
      <c r="G117" s="97">
        <v>372</v>
      </c>
      <c r="H117" s="97">
        <v>372</v>
      </c>
      <c r="I117" s="64">
        <v>0</v>
      </c>
      <c r="J117" s="64">
        <v>0</v>
      </c>
      <c r="K117" s="21">
        <f>IF(持仓数据!G124="",0,持仓数据!G124)</f>
        <v>372</v>
      </c>
      <c r="L117" s="21">
        <f t="shared" si="54"/>
        <v>0</v>
      </c>
      <c r="M117" s="28">
        <f t="shared" si="38"/>
        <v>8843.1839999999993</v>
      </c>
      <c r="N117" s="28">
        <f t="shared" si="39"/>
        <v>0</v>
      </c>
      <c r="O117" s="28">
        <f t="shared" si="40"/>
        <v>0</v>
      </c>
      <c r="P117" s="28">
        <f t="shared" si="41"/>
        <v>0</v>
      </c>
      <c r="Q117" s="28">
        <f t="shared" si="55"/>
        <v>0</v>
      </c>
      <c r="R117" s="28">
        <f t="shared" si="42"/>
        <v>8843.1839999999993</v>
      </c>
      <c r="S117" s="28">
        <f t="shared" si="56"/>
        <v>0</v>
      </c>
      <c r="T117" s="28">
        <f t="shared" si="57"/>
        <v>0</v>
      </c>
      <c r="U117" s="28">
        <f t="shared" si="60"/>
        <v>0</v>
      </c>
      <c r="V117" s="28">
        <f t="shared" si="58"/>
        <v>0</v>
      </c>
      <c r="W117" s="118"/>
      <c r="X117" s="143">
        <f t="shared" si="59"/>
        <v>28.302</v>
      </c>
      <c r="Y117" s="121">
        <f>交易记录!H24</f>
        <v>0.22399999999999998</v>
      </c>
      <c r="Z117" s="121">
        <f>交易记录!H55</f>
        <v>372</v>
      </c>
      <c r="AA117" s="30">
        <f t="shared" si="43"/>
        <v>0</v>
      </c>
      <c r="AB117" s="124">
        <f>交易记录!H88</f>
        <v>0</v>
      </c>
      <c r="AC117" s="124">
        <f>交易记录!H119</f>
        <v>0</v>
      </c>
      <c r="AD117" s="30">
        <f t="shared" si="66"/>
        <v>0</v>
      </c>
      <c r="AE117" s="121">
        <f>交易记录!H152</f>
        <v>0</v>
      </c>
      <c r="AF117" s="121">
        <f>交易记录!H183</f>
        <v>0</v>
      </c>
      <c r="AG117" s="30">
        <f t="shared" si="62"/>
        <v>0</v>
      </c>
      <c r="AH117" s="124">
        <f>交易记录!H216</f>
        <v>0</v>
      </c>
      <c r="AI117" s="124">
        <f>交易记录!H247</f>
        <v>0</v>
      </c>
      <c r="AJ117" s="30">
        <f t="shared" si="65"/>
        <v>0</v>
      </c>
      <c r="AK117" s="121">
        <f>交易记录!H280</f>
        <v>0</v>
      </c>
      <c r="AL117" s="121">
        <f>交易记录!H311</f>
        <v>0</v>
      </c>
      <c r="AM117" s="30">
        <f t="shared" si="64"/>
        <v>0</v>
      </c>
      <c r="AN117" s="124">
        <f>交易记录!H344</f>
        <v>0</v>
      </c>
      <c r="AO117" s="124">
        <f>交易记录!H375</f>
        <v>0</v>
      </c>
      <c r="AP117" s="30">
        <f t="shared" si="61"/>
        <v>0</v>
      </c>
      <c r="AQ117" s="121">
        <f>交易记录!H408</f>
        <v>0</v>
      </c>
      <c r="AR117" s="121">
        <f>交易记录!H439</f>
        <v>0</v>
      </c>
      <c r="AS117" s="30">
        <f t="shared" si="63"/>
        <v>0</v>
      </c>
      <c r="AT117" s="124">
        <f>交易记录!H472</f>
        <v>0</v>
      </c>
      <c r="AU117" s="124">
        <f>交易记录!H503</f>
        <v>0</v>
      </c>
      <c r="AV117" s="30">
        <f t="shared" si="44"/>
        <v>0</v>
      </c>
      <c r="AW117" s="121">
        <f>交易记录!H536</f>
        <v>0</v>
      </c>
      <c r="AX117" s="121">
        <f>交易记录!H567</f>
        <v>0</v>
      </c>
      <c r="AY117" s="30">
        <f t="shared" si="45"/>
        <v>0</v>
      </c>
      <c r="AZ117" s="124">
        <f>交易记录!H600</f>
        <v>0</v>
      </c>
      <c r="BA117" s="124">
        <f>交易记录!H631</f>
        <v>0</v>
      </c>
      <c r="BB117" s="30">
        <f t="shared" si="46"/>
        <v>0</v>
      </c>
      <c r="BC117" s="121">
        <f>交易记录!H664</f>
        <v>0</v>
      </c>
      <c r="BD117" s="121">
        <f>交易记录!H695</f>
        <v>0</v>
      </c>
      <c r="BE117" s="30">
        <f t="shared" si="47"/>
        <v>0</v>
      </c>
      <c r="BF117" s="124">
        <f>交易记录!H728</f>
        <v>0</v>
      </c>
      <c r="BG117" s="124">
        <f>交易记录!H759</f>
        <v>0</v>
      </c>
      <c r="BH117" s="30">
        <f t="shared" si="48"/>
        <v>0</v>
      </c>
      <c r="BI117" s="121">
        <f>交易记录!H792</f>
        <v>0</v>
      </c>
      <c r="BJ117" s="121">
        <f>交易记录!H823</f>
        <v>0</v>
      </c>
      <c r="BK117" s="30">
        <f t="shared" si="49"/>
        <v>0</v>
      </c>
      <c r="BL117" s="124">
        <f>交易记录!H856</f>
        <v>0</v>
      </c>
      <c r="BM117" s="124">
        <f>交易记录!H887</f>
        <v>0</v>
      </c>
      <c r="BN117" s="30">
        <f t="shared" si="50"/>
        <v>0</v>
      </c>
      <c r="BO117" s="121">
        <f>交易记录!H920</f>
        <v>0</v>
      </c>
      <c r="BP117" s="121">
        <f>交易记录!H951</f>
        <v>0</v>
      </c>
      <c r="BQ117" s="30">
        <f t="shared" si="51"/>
        <v>0</v>
      </c>
    </row>
    <row r="118" spans="1:69" ht="15">
      <c r="A118" s="125">
        <f>'维护-日期'!A$7</f>
        <v>46270</v>
      </c>
      <c r="B118" s="7" t="s">
        <v>26</v>
      </c>
      <c r="C118" s="144">
        <f t="shared" si="52"/>
        <v>23.515000000000001</v>
      </c>
      <c r="D118" s="144">
        <f>ROUND(INDEX(持仓数据!$C$3:$AG$26,MATCH('计算过程-数据汇总'!B118,持仓数据!$B$3:$B$26,0),MATCH('计算过程-数据汇总'!A118,'维护-日期'!$B$2:$AF$2,0)),3)</f>
        <v>23.515000000000001</v>
      </c>
      <c r="E118" s="98">
        <f t="shared" si="53"/>
        <v>23.515000000000001</v>
      </c>
      <c r="F118" s="22">
        <f>持仓数据!G92</f>
        <v>0.16399999999999998</v>
      </c>
      <c r="G118" s="97">
        <v>372</v>
      </c>
      <c r="H118" s="97">
        <v>372</v>
      </c>
      <c r="I118" s="64">
        <v>0</v>
      </c>
      <c r="J118" s="64">
        <v>0</v>
      </c>
      <c r="K118" s="21">
        <f>IF(持仓数据!G125="",0,持仓数据!G125)</f>
        <v>372</v>
      </c>
      <c r="L118" s="21">
        <f t="shared" si="54"/>
        <v>0</v>
      </c>
      <c r="M118" s="28">
        <f t="shared" si="38"/>
        <v>8747.58</v>
      </c>
      <c r="N118" s="28">
        <f t="shared" si="39"/>
        <v>0</v>
      </c>
      <c r="O118" s="28">
        <f t="shared" si="40"/>
        <v>0</v>
      </c>
      <c r="P118" s="28">
        <f t="shared" si="41"/>
        <v>0</v>
      </c>
      <c r="Q118" s="28">
        <f t="shared" si="55"/>
        <v>0</v>
      </c>
      <c r="R118" s="28">
        <f t="shared" si="42"/>
        <v>8747.58</v>
      </c>
      <c r="S118" s="28">
        <f t="shared" si="56"/>
        <v>0</v>
      </c>
      <c r="T118" s="28">
        <f t="shared" si="57"/>
        <v>0</v>
      </c>
      <c r="U118" s="28">
        <f t="shared" si="60"/>
        <v>0</v>
      </c>
      <c r="V118" s="28">
        <f t="shared" si="58"/>
        <v>0</v>
      </c>
      <c r="W118" s="118"/>
      <c r="X118" s="143">
        <f t="shared" si="59"/>
        <v>28.053999999999998</v>
      </c>
      <c r="Y118" s="121">
        <f>交易记录!H25</f>
        <v>0.16399999999999998</v>
      </c>
      <c r="Z118" s="121">
        <f>交易记录!H56</f>
        <v>372</v>
      </c>
      <c r="AA118" s="30">
        <f t="shared" si="43"/>
        <v>0</v>
      </c>
      <c r="AB118" s="124">
        <f>交易记录!H89</f>
        <v>0</v>
      </c>
      <c r="AC118" s="124">
        <f>交易记录!H120</f>
        <v>0</v>
      </c>
      <c r="AD118" s="30">
        <f t="shared" si="66"/>
        <v>0</v>
      </c>
      <c r="AE118" s="121">
        <f>交易记录!H153</f>
        <v>0</v>
      </c>
      <c r="AF118" s="121">
        <f>交易记录!H184</f>
        <v>0</v>
      </c>
      <c r="AG118" s="30">
        <f t="shared" si="62"/>
        <v>0</v>
      </c>
      <c r="AH118" s="124">
        <f>交易记录!H217</f>
        <v>0</v>
      </c>
      <c r="AI118" s="124">
        <f>交易记录!H248</f>
        <v>0</v>
      </c>
      <c r="AJ118" s="30">
        <f t="shared" si="65"/>
        <v>0</v>
      </c>
      <c r="AK118" s="121">
        <f>交易记录!H281</f>
        <v>0</v>
      </c>
      <c r="AL118" s="121">
        <f>交易记录!H312</f>
        <v>0</v>
      </c>
      <c r="AM118" s="30">
        <f t="shared" si="64"/>
        <v>0</v>
      </c>
      <c r="AN118" s="124">
        <f>交易记录!H345</f>
        <v>0</v>
      </c>
      <c r="AO118" s="124">
        <f>交易记录!H376</f>
        <v>0</v>
      </c>
      <c r="AP118" s="30">
        <f t="shared" si="61"/>
        <v>0</v>
      </c>
      <c r="AQ118" s="121">
        <f>交易记录!H409</f>
        <v>0</v>
      </c>
      <c r="AR118" s="121">
        <f>交易记录!H440</f>
        <v>0</v>
      </c>
      <c r="AS118" s="30">
        <f t="shared" si="63"/>
        <v>0</v>
      </c>
      <c r="AT118" s="124">
        <f>交易记录!H473</f>
        <v>0</v>
      </c>
      <c r="AU118" s="124">
        <f>交易记录!H504</f>
        <v>0</v>
      </c>
      <c r="AV118" s="30">
        <f t="shared" si="44"/>
        <v>0</v>
      </c>
      <c r="AW118" s="121">
        <f>交易记录!H537</f>
        <v>0</v>
      </c>
      <c r="AX118" s="121">
        <f>交易记录!H568</f>
        <v>0</v>
      </c>
      <c r="AY118" s="30">
        <f t="shared" si="45"/>
        <v>0</v>
      </c>
      <c r="AZ118" s="124">
        <f>交易记录!H601</f>
        <v>0</v>
      </c>
      <c r="BA118" s="124">
        <f>交易记录!H632</f>
        <v>0</v>
      </c>
      <c r="BB118" s="30">
        <f t="shared" si="46"/>
        <v>0</v>
      </c>
      <c r="BC118" s="121">
        <f>交易记录!H665</f>
        <v>0</v>
      </c>
      <c r="BD118" s="121">
        <f>交易记录!H696</f>
        <v>0</v>
      </c>
      <c r="BE118" s="30">
        <f t="shared" si="47"/>
        <v>0</v>
      </c>
      <c r="BF118" s="124">
        <f>交易记录!H729</f>
        <v>0</v>
      </c>
      <c r="BG118" s="124">
        <f>交易记录!H760</f>
        <v>0</v>
      </c>
      <c r="BH118" s="30">
        <f t="shared" si="48"/>
        <v>0</v>
      </c>
      <c r="BI118" s="121">
        <f>交易记录!H793</f>
        <v>0</v>
      </c>
      <c r="BJ118" s="121">
        <f>交易记录!H824</f>
        <v>0</v>
      </c>
      <c r="BK118" s="30">
        <f t="shared" si="49"/>
        <v>0</v>
      </c>
      <c r="BL118" s="124">
        <f>交易记录!H857</f>
        <v>0</v>
      </c>
      <c r="BM118" s="124">
        <f>交易记录!H888</f>
        <v>0</v>
      </c>
      <c r="BN118" s="30">
        <f t="shared" si="50"/>
        <v>0</v>
      </c>
      <c r="BO118" s="121">
        <f>交易记录!H921</f>
        <v>0</v>
      </c>
      <c r="BP118" s="121">
        <f>交易记录!H952</f>
        <v>0</v>
      </c>
      <c r="BQ118" s="30">
        <f t="shared" si="51"/>
        <v>0</v>
      </c>
    </row>
    <row r="119" spans="1:69" ht="15">
      <c r="A119" s="125">
        <f>'维护-日期'!A$7</f>
        <v>46270</v>
      </c>
      <c r="B119" s="7" t="s">
        <v>27</v>
      </c>
      <c r="C119" s="144">
        <f t="shared" si="52"/>
        <v>22.122</v>
      </c>
      <c r="D119" s="144">
        <f>ROUND(INDEX(持仓数据!$C$3:$AG$26,MATCH('计算过程-数据汇总'!B119,持仓数据!$B$3:$B$26,0),MATCH('计算过程-数据汇总'!A119,'维护-日期'!$B$2:$AF$2,0)),3)</f>
        <v>22.122</v>
      </c>
      <c r="E119" s="98">
        <f t="shared" si="53"/>
        <v>22.122</v>
      </c>
      <c r="F119" s="22">
        <f>持仓数据!G93</f>
        <v>0.15200000000000002</v>
      </c>
      <c r="G119" s="97">
        <v>372</v>
      </c>
      <c r="H119" s="97">
        <v>372</v>
      </c>
      <c r="I119" s="64">
        <v>0</v>
      </c>
      <c r="J119" s="64">
        <v>0</v>
      </c>
      <c r="K119" s="21">
        <f>IF(持仓数据!G126="",0,持仓数据!G126)</f>
        <v>372</v>
      </c>
      <c r="L119" s="21">
        <f t="shared" si="54"/>
        <v>0</v>
      </c>
      <c r="M119" s="28">
        <f t="shared" si="38"/>
        <v>8229.384</v>
      </c>
      <c r="N119" s="28">
        <f t="shared" si="39"/>
        <v>0</v>
      </c>
      <c r="O119" s="28">
        <f t="shared" si="40"/>
        <v>0</v>
      </c>
      <c r="P119" s="28">
        <f t="shared" si="41"/>
        <v>0</v>
      </c>
      <c r="Q119" s="28">
        <f t="shared" si="55"/>
        <v>0</v>
      </c>
      <c r="R119" s="28">
        <f t="shared" si="42"/>
        <v>8229.384</v>
      </c>
      <c r="S119" s="28">
        <f t="shared" si="56"/>
        <v>0</v>
      </c>
      <c r="T119" s="28">
        <f t="shared" si="57"/>
        <v>0</v>
      </c>
      <c r="U119" s="28">
        <f t="shared" si="60"/>
        <v>0</v>
      </c>
      <c r="V119" s="28">
        <f t="shared" si="58"/>
        <v>0</v>
      </c>
      <c r="W119" s="118"/>
      <c r="X119" s="143">
        <f t="shared" si="59"/>
        <v>26.393999999999998</v>
      </c>
      <c r="Y119" s="121">
        <f>交易记录!H26</f>
        <v>0.15200000000000002</v>
      </c>
      <c r="Z119" s="121">
        <f>交易记录!H57</f>
        <v>372</v>
      </c>
      <c r="AA119" s="30">
        <f t="shared" si="43"/>
        <v>0</v>
      </c>
      <c r="AB119" s="124">
        <f>交易记录!H90</f>
        <v>0</v>
      </c>
      <c r="AC119" s="124">
        <f>交易记录!H121</f>
        <v>0</v>
      </c>
      <c r="AD119" s="30">
        <f t="shared" si="66"/>
        <v>0</v>
      </c>
      <c r="AE119" s="121">
        <f>交易记录!H154</f>
        <v>0</v>
      </c>
      <c r="AF119" s="121">
        <f>交易记录!H185</f>
        <v>0</v>
      </c>
      <c r="AG119" s="30">
        <f t="shared" si="62"/>
        <v>0</v>
      </c>
      <c r="AH119" s="124">
        <f>交易记录!H218</f>
        <v>0</v>
      </c>
      <c r="AI119" s="124">
        <f>交易记录!H249</f>
        <v>0</v>
      </c>
      <c r="AJ119" s="30">
        <f t="shared" si="65"/>
        <v>0</v>
      </c>
      <c r="AK119" s="121">
        <f>交易记录!H282</f>
        <v>0</v>
      </c>
      <c r="AL119" s="121">
        <f>交易记录!H313</f>
        <v>0</v>
      </c>
      <c r="AM119" s="30">
        <f t="shared" si="64"/>
        <v>0</v>
      </c>
      <c r="AN119" s="124">
        <f>交易记录!H346</f>
        <v>0</v>
      </c>
      <c r="AO119" s="124">
        <f>交易记录!H377</f>
        <v>0</v>
      </c>
      <c r="AP119" s="30">
        <f t="shared" si="61"/>
        <v>0</v>
      </c>
      <c r="AQ119" s="121">
        <f>交易记录!H410</f>
        <v>0</v>
      </c>
      <c r="AR119" s="121">
        <f>交易记录!H441</f>
        <v>0</v>
      </c>
      <c r="AS119" s="30">
        <f t="shared" si="63"/>
        <v>0</v>
      </c>
      <c r="AT119" s="124">
        <f>交易记录!H474</f>
        <v>0</v>
      </c>
      <c r="AU119" s="124">
        <f>交易记录!H505</f>
        <v>0</v>
      </c>
      <c r="AV119" s="30">
        <f t="shared" si="44"/>
        <v>0</v>
      </c>
      <c r="AW119" s="121">
        <f>交易记录!H538</f>
        <v>0</v>
      </c>
      <c r="AX119" s="121">
        <f>交易记录!H569</f>
        <v>0</v>
      </c>
      <c r="AY119" s="30">
        <f t="shared" si="45"/>
        <v>0</v>
      </c>
      <c r="AZ119" s="124">
        <f>交易记录!H602</f>
        <v>0</v>
      </c>
      <c r="BA119" s="124">
        <f>交易记录!H633</f>
        <v>0</v>
      </c>
      <c r="BB119" s="30">
        <f t="shared" si="46"/>
        <v>0</v>
      </c>
      <c r="BC119" s="121">
        <f>交易记录!H666</f>
        <v>0</v>
      </c>
      <c r="BD119" s="121">
        <f>交易记录!H697</f>
        <v>0</v>
      </c>
      <c r="BE119" s="30">
        <f t="shared" si="47"/>
        <v>0</v>
      </c>
      <c r="BF119" s="124">
        <f>交易记录!H730</f>
        <v>0</v>
      </c>
      <c r="BG119" s="124">
        <f>交易记录!H761</f>
        <v>0</v>
      </c>
      <c r="BH119" s="30">
        <f t="shared" si="48"/>
        <v>0</v>
      </c>
      <c r="BI119" s="121">
        <f>交易记录!H794</f>
        <v>0</v>
      </c>
      <c r="BJ119" s="121">
        <f>交易记录!H825</f>
        <v>0</v>
      </c>
      <c r="BK119" s="30">
        <f t="shared" si="49"/>
        <v>0</v>
      </c>
      <c r="BL119" s="124">
        <f>交易记录!H858</f>
        <v>0</v>
      </c>
      <c r="BM119" s="124">
        <f>交易记录!H889</f>
        <v>0</v>
      </c>
      <c r="BN119" s="30">
        <f t="shared" si="50"/>
        <v>0</v>
      </c>
      <c r="BO119" s="121">
        <f>交易记录!H922</f>
        <v>0</v>
      </c>
      <c r="BP119" s="121">
        <f>交易记录!H953</f>
        <v>0</v>
      </c>
      <c r="BQ119" s="30">
        <f t="shared" si="51"/>
        <v>0</v>
      </c>
    </row>
    <row r="120" spans="1:69" ht="15">
      <c r="A120" s="125">
        <f>'维护-日期'!A$7</f>
        <v>46270</v>
      </c>
      <c r="B120" s="7" t="s">
        <v>28</v>
      </c>
      <c r="C120" s="144">
        <f t="shared" si="52"/>
        <v>19.263000000000002</v>
      </c>
      <c r="D120" s="144">
        <f>ROUND(INDEX(持仓数据!$C$3:$AG$26,MATCH('计算过程-数据汇总'!B120,持仓数据!$B$3:$B$26,0),MATCH('计算过程-数据汇总'!A120,'维护-日期'!$B$2:$AF$2,0)),3)</f>
        <v>19.263000000000002</v>
      </c>
      <c r="E120" s="98">
        <f t="shared" si="53"/>
        <v>19.263000000000002</v>
      </c>
      <c r="F120" s="22">
        <f>持仓数据!G94</f>
        <v>0.111</v>
      </c>
      <c r="G120" s="97">
        <v>372</v>
      </c>
      <c r="H120" s="97">
        <v>372</v>
      </c>
      <c r="I120" s="64">
        <v>0</v>
      </c>
      <c r="J120" s="64">
        <v>0</v>
      </c>
      <c r="K120" s="21">
        <f>IF(持仓数据!G127="",0,持仓数据!G127)</f>
        <v>372</v>
      </c>
      <c r="L120" s="21">
        <f t="shared" si="54"/>
        <v>0</v>
      </c>
      <c r="M120" s="28">
        <f t="shared" si="38"/>
        <v>7165.8360000000002</v>
      </c>
      <c r="N120" s="28">
        <f t="shared" si="39"/>
        <v>0</v>
      </c>
      <c r="O120" s="28">
        <f t="shared" si="40"/>
        <v>0</v>
      </c>
      <c r="P120" s="28">
        <f t="shared" si="41"/>
        <v>0</v>
      </c>
      <c r="Q120" s="28">
        <f t="shared" si="55"/>
        <v>0</v>
      </c>
      <c r="R120" s="28">
        <f t="shared" si="42"/>
        <v>7165.8360000000002</v>
      </c>
      <c r="S120" s="28">
        <f t="shared" si="56"/>
        <v>0</v>
      </c>
      <c r="T120" s="28">
        <f t="shared" si="57"/>
        <v>0</v>
      </c>
      <c r="U120" s="28">
        <f t="shared" si="60"/>
        <v>0</v>
      </c>
      <c r="V120" s="28">
        <f t="shared" si="58"/>
        <v>0</v>
      </c>
      <c r="W120" s="118"/>
      <c r="X120" s="143">
        <f t="shared" si="59"/>
        <v>23.004999999999999</v>
      </c>
      <c r="Y120" s="121">
        <f>交易记录!H27</f>
        <v>0.111</v>
      </c>
      <c r="Z120" s="121">
        <f>交易记录!H58</f>
        <v>372</v>
      </c>
      <c r="AA120" s="30">
        <f t="shared" si="43"/>
        <v>0</v>
      </c>
      <c r="AB120" s="124">
        <f>交易记录!H91</f>
        <v>0</v>
      </c>
      <c r="AC120" s="124">
        <f>交易记录!H122</f>
        <v>0</v>
      </c>
      <c r="AD120" s="30">
        <f t="shared" si="66"/>
        <v>0</v>
      </c>
      <c r="AE120" s="121">
        <f>交易记录!H155</f>
        <v>0</v>
      </c>
      <c r="AF120" s="121">
        <f>交易记录!H186</f>
        <v>0</v>
      </c>
      <c r="AG120" s="30">
        <f t="shared" si="62"/>
        <v>0</v>
      </c>
      <c r="AH120" s="124">
        <f>交易记录!H219</f>
        <v>0</v>
      </c>
      <c r="AI120" s="124">
        <f>交易记录!H250</f>
        <v>0</v>
      </c>
      <c r="AJ120" s="30">
        <f t="shared" si="65"/>
        <v>0</v>
      </c>
      <c r="AK120" s="121">
        <f>交易记录!H283</f>
        <v>0</v>
      </c>
      <c r="AL120" s="121">
        <f>交易记录!H314</f>
        <v>0</v>
      </c>
      <c r="AM120" s="30">
        <f t="shared" si="64"/>
        <v>0</v>
      </c>
      <c r="AN120" s="124">
        <f>交易记录!H347</f>
        <v>0</v>
      </c>
      <c r="AO120" s="124">
        <f>交易记录!H378</f>
        <v>0</v>
      </c>
      <c r="AP120" s="30">
        <f t="shared" si="61"/>
        <v>0</v>
      </c>
      <c r="AQ120" s="121">
        <f>交易记录!H411</f>
        <v>0</v>
      </c>
      <c r="AR120" s="121">
        <f>交易记录!H442</f>
        <v>0</v>
      </c>
      <c r="AS120" s="30">
        <f t="shared" si="63"/>
        <v>0</v>
      </c>
      <c r="AT120" s="124">
        <f>交易记录!H475</f>
        <v>0</v>
      </c>
      <c r="AU120" s="124">
        <f>交易记录!H506</f>
        <v>0</v>
      </c>
      <c r="AV120" s="30">
        <f t="shared" si="44"/>
        <v>0</v>
      </c>
      <c r="AW120" s="121">
        <f>交易记录!H539</f>
        <v>0</v>
      </c>
      <c r="AX120" s="121">
        <f>交易记录!H570</f>
        <v>0</v>
      </c>
      <c r="AY120" s="30">
        <f t="shared" si="45"/>
        <v>0</v>
      </c>
      <c r="AZ120" s="124">
        <f>交易记录!H603</f>
        <v>0</v>
      </c>
      <c r="BA120" s="124">
        <f>交易记录!H634</f>
        <v>0</v>
      </c>
      <c r="BB120" s="30">
        <f t="shared" si="46"/>
        <v>0</v>
      </c>
      <c r="BC120" s="121">
        <f>交易记录!H667</f>
        <v>0</v>
      </c>
      <c r="BD120" s="121">
        <f>交易记录!H698</f>
        <v>0</v>
      </c>
      <c r="BE120" s="30">
        <f t="shared" si="47"/>
        <v>0</v>
      </c>
      <c r="BF120" s="124">
        <f>交易记录!H731</f>
        <v>0</v>
      </c>
      <c r="BG120" s="124">
        <f>交易记录!H762</f>
        <v>0</v>
      </c>
      <c r="BH120" s="30">
        <f t="shared" si="48"/>
        <v>0</v>
      </c>
      <c r="BI120" s="121">
        <f>交易记录!H795</f>
        <v>0</v>
      </c>
      <c r="BJ120" s="121">
        <f>交易记录!H826</f>
        <v>0</v>
      </c>
      <c r="BK120" s="30">
        <f t="shared" si="49"/>
        <v>0</v>
      </c>
      <c r="BL120" s="124">
        <f>交易记录!H859</f>
        <v>0</v>
      </c>
      <c r="BM120" s="124">
        <f>交易记录!H890</f>
        <v>0</v>
      </c>
      <c r="BN120" s="30">
        <f t="shared" si="50"/>
        <v>0</v>
      </c>
      <c r="BO120" s="121">
        <f>交易记录!H923</f>
        <v>0</v>
      </c>
      <c r="BP120" s="121">
        <f>交易记录!H954</f>
        <v>0</v>
      </c>
      <c r="BQ120" s="30">
        <f t="shared" si="51"/>
        <v>0</v>
      </c>
    </row>
    <row r="121" spans="1:69" ht="15">
      <c r="A121" s="125">
        <f>'维护-日期'!A$7</f>
        <v>46270</v>
      </c>
      <c r="B121" s="7" t="s">
        <v>29</v>
      </c>
      <c r="C121" s="144">
        <f t="shared" si="52"/>
        <v>16.701000000000001</v>
      </c>
      <c r="D121" s="144">
        <f>ROUND(INDEX(持仓数据!$C$3:$AG$26,MATCH('计算过程-数据汇总'!B121,持仓数据!$B$3:$B$26,0),MATCH('计算过程-数据汇总'!A121,'维护-日期'!$B$2:$AF$2,0)),3)</f>
        <v>16.701000000000001</v>
      </c>
      <c r="E121" s="98">
        <f t="shared" si="53"/>
        <v>16.701000000000001</v>
      </c>
      <c r="F121" s="22">
        <f>持仓数据!G95</f>
        <v>9.2999999999999999E-2</v>
      </c>
      <c r="G121" s="97">
        <v>372</v>
      </c>
      <c r="H121" s="97">
        <v>372</v>
      </c>
      <c r="I121" s="64">
        <v>0</v>
      </c>
      <c r="J121" s="64">
        <v>0</v>
      </c>
      <c r="K121" s="21">
        <f>IF(持仓数据!G128="",0,持仓数据!G128)</f>
        <v>371.99999999999994</v>
      </c>
      <c r="L121" s="21">
        <f t="shared" si="54"/>
        <v>0</v>
      </c>
      <c r="M121" s="28">
        <f t="shared" si="38"/>
        <v>6212.7719999999999</v>
      </c>
      <c r="N121" s="28">
        <f t="shared" si="39"/>
        <v>0</v>
      </c>
      <c r="O121" s="28">
        <f t="shared" si="40"/>
        <v>0</v>
      </c>
      <c r="P121" s="28">
        <f t="shared" si="41"/>
        <v>-5.2864379540551453E-15</v>
      </c>
      <c r="Q121" s="28">
        <f t="shared" si="55"/>
        <v>0</v>
      </c>
      <c r="R121" s="28">
        <f t="shared" si="42"/>
        <v>6212.771999999999</v>
      </c>
      <c r="S121" s="28">
        <f t="shared" si="56"/>
        <v>0</v>
      </c>
      <c r="T121" s="28">
        <f t="shared" si="57"/>
        <v>9.4405550044029954E-13</v>
      </c>
      <c r="U121" s="28">
        <f t="shared" si="60"/>
        <v>0</v>
      </c>
      <c r="V121" s="28">
        <f t="shared" si="58"/>
        <v>0</v>
      </c>
      <c r="W121" s="118"/>
      <c r="X121" s="143">
        <f t="shared" si="59"/>
        <v>19.948</v>
      </c>
      <c r="Y121" s="121">
        <f>交易记录!H28</f>
        <v>9.2999999999999999E-2</v>
      </c>
      <c r="Z121" s="121">
        <f>交易记录!H59</f>
        <v>372</v>
      </c>
      <c r="AA121" s="30">
        <f t="shared" si="43"/>
        <v>0</v>
      </c>
      <c r="AB121" s="124">
        <f>交易记录!H92</f>
        <v>0</v>
      </c>
      <c r="AC121" s="124">
        <f>交易记录!H123</f>
        <v>0</v>
      </c>
      <c r="AD121" s="30">
        <f t="shared" si="66"/>
        <v>0</v>
      </c>
      <c r="AE121" s="121">
        <f>交易记录!H156</f>
        <v>0</v>
      </c>
      <c r="AF121" s="121">
        <f>交易记录!H187</f>
        <v>0</v>
      </c>
      <c r="AG121" s="30">
        <f t="shared" si="62"/>
        <v>0</v>
      </c>
      <c r="AH121" s="124">
        <f>交易记录!H220</f>
        <v>0</v>
      </c>
      <c r="AI121" s="124">
        <f>交易记录!H251</f>
        <v>0</v>
      </c>
      <c r="AJ121" s="30">
        <f t="shared" si="65"/>
        <v>0</v>
      </c>
      <c r="AK121" s="121">
        <f>交易记录!H284</f>
        <v>0</v>
      </c>
      <c r="AL121" s="121">
        <f>交易记录!H315</f>
        <v>0</v>
      </c>
      <c r="AM121" s="30">
        <f t="shared" si="64"/>
        <v>0</v>
      </c>
      <c r="AN121" s="124">
        <f>交易记录!H348</f>
        <v>0</v>
      </c>
      <c r="AO121" s="124">
        <f>交易记录!H379</f>
        <v>0</v>
      </c>
      <c r="AP121" s="30">
        <f t="shared" si="61"/>
        <v>0</v>
      </c>
      <c r="AQ121" s="121">
        <f>交易记录!H412</f>
        <v>0</v>
      </c>
      <c r="AR121" s="121">
        <f>交易记录!H443</f>
        <v>0</v>
      </c>
      <c r="AS121" s="30">
        <f t="shared" si="63"/>
        <v>0</v>
      </c>
      <c r="AT121" s="124">
        <f>交易记录!H476</f>
        <v>0</v>
      </c>
      <c r="AU121" s="124">
        <f>交易记录!H507</f>
        <v>0</v>
      </c>
      <c r="AV121" s="30">
        <f t="shared" si="44"/>
        <v>0</v>
      </c>
      <c r="AW121" s="121">
        <f>交易记录!H540</f>
        <v>0</v>
      </c>
      <c r="AX121" s="121">
        <f>交易记录!H571</f>
        <v>0</v>
      </c>
      <c r="AY121" s="30">
        <f t="shared" si="45"/>
        <v>0</v>
      </c>
      <c r="AZ121" s="124">
        <f>交易记录!H604</f>
        <v>0</v>
      </c>
      <c r="BA121" s="124">
        <f>交易记录!H635</f>
        <v>0</v>
      </c>
      <c r="BB121" s="30">
        <f t="shared" si="46"/>
        <v>0</v>
      </c>
      <c r="BC121" s="121">
        <f>交易记录!H668</f>
        <v>0</v>
      </c>
      <c r="BD121" s="121">
        <f>交易记录!H699</f>
        <v>0</v>
      </c>
      <c r="BE121" s="30">
        <f t="shared" si="47"/>
        <v>0</v>
      </c>
      <c r="BF121" s="124">
        <f>交易记录!H732</f>
        <v>0</v>
      </c>
      <c r="BG121" s="124">
        <f>交易记录!H763</f>
        <v>0</v>
      </c>
      <c r="BH121" s="30">
        <f t="shared" si="48"/>
        <v>0</v>
      </c>
      <c r="BI121" s="121">
        <f>交易记录!H796</f>
        <v>0</v>
      </c>
      <c r="BJ121" s="121">
        <f>交易记录!H827</f>
        <v>0</v>
      </c>
      <c r="BK121" s="30">
        <f t="shared" si="49"/>
        <v>0</v>
      </c>
      <c r="BL121" s="124">
        <f>交易记录!H860</f>
        <v>0</v>
      </c>
      <c r="BM121" s="124">
        <f>交易记录!H891</f>
        <v>0</v>
      </c>
      <c r="BN121" s="30">
        <f t="shared" si="50"/>
        <v>0</v>
      </c>
      <c r="BO121" s="121">
        <f>交易记录!H924</f>
        <v>0</v>
      </c>
      <c r="BP121" s="121">
        <f>交易记录!H955</f>
        <v>0</v>
      </c>
      <c r="BQ121" s="30">
        <f t="shared" si="51"/>
        <v>0</v>
      </c>
    </row>
    <row r="122" spans="1:69" ht="15">
      <c r="A122" s="125">
        <f>'维护-日期'!A$8</f>
        <v>46271</v>
      </c>
      <c r="B122" s="7" t="s">
        <v>6</v>
      </c>
      <c r="C122" s="144">
        <f t="shared" si="52"/>
        <v>16.931000000000001</v>
      </c>
      <c r="D122" s="144">
        <f>ROUND(INDEX(持仓数据!$C$3:$AG$26,MATCH('计算过程-数据汇总'!B122,持仓数据!$B$3:$B$26,0),MATCH('计算过程-数据汇总'!A122,'维护-日期'!$B$2:$AF$2,0)),3)</f>
        <v>16.931000000000001</v>
      </c>
      <c r="E122" s="98">
        <f t="shared" si="53"/>
        <v>16.931000000000001</v>
      </c>
      <c r="F122" s="22">
        <f>持仓数据!H72</f>
        <v>0.1</v>
      </c>
      <c r="G122" s="97">
        <v>372</v>
      </c>
      <c r="H122" s="97">
        <v>372</v>
      </c>
      <c r="I122" s="64">
        <v>0</v>
      </c>
      <c r="J122" s="64">
        <v>0</v>
      </c>
      <c r="K122" s="21">
        <f>IF(持仓数据!H105="",0,持仓数据!H105)</f>
        <v>372</v>
      </c>
      <c r="L122" s="21">
        <f t="shared" si="54"/>
        <v>0</v>
      </c>
      <c r="M122" s="28">
        <f t="shared" si="38"/>
        <v>6298.3320000000003</v>
      </c>
      <c r="N122" s="28">
        <f t="shared" si="39"/>
        <v>0</v>
      </c>
      <c r="O122" s="28">
        <f t="shared" si="40"/>
        <v>0</v>
      </c>
      <c r="P122" s="28">
        <f t="shared" si="41"/>
        <v>0</v>
      </c>
      <c r="Q122" s="28">
        <f t="shared" si="55"/>
        <v>0</v>
      </c>
      <c r="R122" s="28">
        <f t="shared" si="42"/>
        <v>6298.3320000000003</v>
      </c>
      <c r="S122" s="28">
        <f t="shared" si="56"/>
        <v>0</v>
      </c>
      <c r="T122" s="28">
        <f t="shared" si="57"/>
        <v>0</v>
      </c>
      <c r="U122" s="28">
        <f t="shared" si="60"/>
        <v>0</v>
      </c>
      <c r="V122" s="28">
        <f t="shared" si="58"/>
        <v>0</v>
      </c>
      <c r="W122" s="118"/>
      <c r="X122" s="143">
        <f t="shared" si="59"/>
        <v>20.216999999999999</v>
      </c>
      <c r="Y122" s="121">
        <f>交易记录!I5</f>
        <v>0.1</v>
      </c>
      <c r="Z122" s="121">
        <f>交易记录!I36</f>
        <v>372</v>
      </c>
      <c r="AA122" s="30">
        <f t="shared" si="43"/>
        <v>0</v>
      </c>
      <c r="AB122" s="124">
        <f>交易记录!I69</f>
        <v>0</v>
      </c>
      <c r="AC122" s="124">
        <f>交易记录!I100</f>
        <v>0</v>
      </c>
      <c r="AD122" s="30">
        <f t="shared" si="66"/>
        <v>0</v>
      </c>
      <c r="AE122" s="121">
        <f>交易记录!I133</f>
        <v>0</v>
      </c>
      <c r="AF122" s="121">
        <f>交易记录!I164</f>
        <v>0</v>
      </c>
      <c r="AG122" s="30">
        <f t="shared" si="62"/>
        <v>0</v>
      </c>
      <c r="AH122" s="124">
        <f>交易记录!I197</f>
        <v>0</v>
      </c>
      <c r="AI122" s="124">
        <f>交易记录!I228</f>
        <v>0</v>
      </c>
      <c r="AJ122" s="30">
        <f t="shared" si="65"/>
        <v>0</v>
      </c>
      <c r="AK122" s="121">
        <f>交易记录!I261</f>
        <v>0</v>
      </c>
      <c r="AL122" s="121">
        <f>交易记录!I292</f>
        <v>0</v>
      </c>
      <c r="AM122" s="30">
        <f t="shared" si="64"/>
        <v>0</v>
      </c>
      <c r="AN122" s="124">
        <f>交易记录!I325</f>
        <v>0</v>
      </c>
      <c r="AO122" s="124">
        <f>交易记录!I356</f>
        <v>0</v>
      </c>
      <c r="AP122" s="30">
        <f t="shared" si="61"/>
        <v>0</v>
      </c>
      <c r="AQ122" s="121">
        <f>交易记录!I389</f>
        <v>0</v>
      </c>
      <c r="AR122" s="121">
        <f>交易记录!I420</f>
        <v>0</v>
      </c>
      <c r="AS122" s="30">
        <f t="shared" si="63"/>
        <v>0</v>
      </c>
      <c r="AT122" s="124">
        <f>交易记录!I453</f>
        <v>0</v>
      </c>
      <c r="AU122" s="124">
        <f>交易记录!I484</f>
        <v>0</v>
      </c>
      <c r="AV122" s="30">
        <f t="shared" si="44"/>
        <v>0</v>
      </c>
      <c r="AW122" s="121">
        <f>交易记录!I517</f>
        <v>0</v>
      </c>
      <c r="AX122" s="121">
        <f>交易记录!I548</f>
        <v>0</v>
      </c>
      <c r="AY122" s="30">
        <f t="shared" si="45"/>
        <v>0</v>
      </c>
      <c r="AZ122" s="124">
        <f>交易记录!I581</f>
        <v>0</v>
      </c>
      <c r="BA122" s="124">
        <f>交易记录!I612</f>
        <v>0</v>
      </c>
      <c r="BB122" s="30">
        <f t="shared" si="46"/>
        <v>0</v>
      </c>
      <c r="BC122" s="121">
        <f>交易记录!I645</f>
        <v>0</v>
      </c>
      <c r="BD122" s="121">
        <f>交易记录!I676</f>
        <v>0</v>
      </c>
      <c r="BE122" s="30">
        <f t="shared" si="47"/>
        <v>0</v>
      </c>
      <c r="BF122" s="124">
        <f>交易记录!I709</f>
        <v>0</v>
      </c>
      <c r="BG122" s="124">
        <f>交易记录!I740</f>
        <v>0</v>
      </c>
      <c r="BH122" s="30">
        <f t="shared" si="48"/>
        <v>0</v>
      </c>
      <c r="BI122" s="121">
        <f>交易记录!I773</f>
        <v>0</v>
      </c>
      <c r="BJ122" s="121">
        <f>交易记录!I804</f>
        <v>0</v>
      </c>
      <c r="BK122" s="30">
        <f t="shared" si="49"/>
        <v>0</v>
      </c>
      <c r="BL122" s="124">
        <f>交易记录!I837</f>
        <v>0</v>
      </c>
      <c r="BM122" s="124">
        <f>交易记录!I868</f>
        <v>0</v>
      </c>
      <c r="BN122" s="30">
        <f t="shared" si="50"/>
        <v>0</v>
      </c>
      <c r="BO122" s="121">
        <f>交易记录!I901</f>
        <v>0</v>
      </c>
      <c r="BP122" s="121">
        <f>交易记录!I932</f>
        <v>0</v>
      </c>
      <c r="BQ122" s="30">
        <f t="shared" si="51"/>
        <v>0</v>
      </c>
    </row>
    <row r="123" spans="1:69" ht="15">
      <c r="A123" s="125">
        <f>'维护-日期'!A$8</f>
        <v>46271</v>
      </c>
      <c r="B123" s="7" t="s">
        <v>7</v>
      </c>
      <c r="C123" s="144">
        <f t="shared" si="52"/>
        <v>15.778</v>
      </c>
      <c r="D123" s="144">
        <f>ROUND(INDEX(持仓数据!$C$3:$AG$26,MATCH('计算过程-数据汇总'!B123,持仓数据!$B$3:$B$26,0),MATCH('计算过程-数据汇总'!A123,'维护-日期'!$B$2:$AF$2,0)),3)</f>
        <v>15.778</v>
      </c>
      <c r="E123" s="98">
        <f t="shared" si="53"/>
        <v>15.778</v>
      </c>
      <c r="F123" s="22">
        <f>持仓数据!H73</f>
        <v>9.5000000000000001E-2</v>
      </c>
      <c r="G123" s="97">
        <v>372</v>
      </c>
      <c r="H123" s="97">
        <v>372</v>
      </c>
      <c r="I123" s="64">
        <v>0</v>
      </c>
      <c r="J123" s="64">
        <v>0</v>
      </c>
      <c r="K123" s="21">
        <f>IF(持仓数据!H106="",0,持仓数据!H106)</f>
        <v>372.00000000000006</v>
      </c>
      <c r="L123" s="21">
        <f t="shared" si="54"/>
        <v>0</v>
      </c>
      <c r="M123" s="28">
        <f t="shared" si="38"/>
        <v>5869.4160000000002</v>
      </c>
      <c r="N123" s="28">
        <f t="shared" si="39"/>
        <v>0</v>
      </c>
      <c r="O123" s="28">
        <f t="shared" si="40"/>
        <v>0</v>
      </c>
      <c r="P123" s="28">
        <f t="shared" si="41"/>
        <v>5.4001247917767615E-15</v>
      </c>
      <c r="Q123" s="28">
        <f t="shared" si="55"/>
        <v>0</v>
      </c>
      <c r="R123" s="28">
        <f t="shared" si="42"/>
        <v>5869.4160000000011</v>
      </c>
      <c r="S123" s="28">
        <f t="shared" si="56"/>
        <v>0</v>
      </c>
      <c r="T123" s="28">
        <f t="shared" si="57"/>
        <v>-8.9147533799405209E-13</v>
      </c>
      <c r="U123" s="28">
        <f t="shared" si="60"/>
        <v>0</v>
      </c>
      <c r="V123" s="28">
        <f t="shared" si="58"/>
        <v>0</v>
      </c>
      <c r="W123" s="118"/>
      <c r="X123" s="143">
        <f t="shared" si="59"/>
        <v>18.838999999999999</v>
      </c>
      <c r="Y123" s="121">
        <f>交易记录!I6</f>
        <v>9.5000000000000001E-2</v>
      </c>
      <c r="Z123" s="121">
        <f>交易记录!I37</f>
        <v>372</v>
      </c>
      <c r="AA123" s="30">
        <f t="shared" si="43"/>
        <v>0</v>
      </c>
      <c r="AB123" s="124">
        <f>交易记录!I70</f>
        <v>0</v>
      </c>
      <c r="AC123" s="124">
        <f>交易记录!I101</f>
        <v>0</v>
      </c>
      <c r="AD123" s="30">
        <f t="shared" si="66"/>
        <v>0</v>
      </c>
      <c r="AE123" s="121">
        <f>交易记录!I134</f>
        <v>0</v>
      </c>
      <c r="AF123" s="121">
        <f>交易记录!I165</f>
        <v>0</v>
      </c>
      <c r="AG123" s="30">
        <f t="shared" si="62"/>
        <v>0</v>
      </c>
      <c r="AH123" s="124">
        <f>交易记录!I198</f>
        <v>0</v>
      </c>
      <c r="AI123" s="124">
        <f>交易记录!I229</f>
        <v>0</v>
      </c>
      <c r="AJ123" s="30">
        <f t="shared" si="65"/>
        <v>0</v>
      </c>
      <c r="AK123" s="121">
        <f>交易记录!I262</f>
        <v>0</v>
      </c>
      <c r="AL123" s="121">
        <f>交易记录!I293</f>
        <v>0</v>
      </c>
      <c r="AM123" s="30">
        <f t="shared" si="64"/>
        <v>0</v>
      </c>
      <c r="AN123" s="124">
        <f>交易记录!I326</f>
        <v>0</v>
      </c>
      <c r="AO123" s="124">
        <f>交易记录!I357</f>
        <v>0</v>
      </c>
      <c r="AP123" s="30">
        <f t="shared" si="61"/>
        <v>0</v>
      </c>
      <c r="AQ123" s="121">
        <f>交易记录!I390</f>
        <v>0</v>
      </c>
      <c r="AR123" s="121">
        <f>交易记录!I421</f>
        <v>0</v>
      </c>
      <c r="AS123" s="30">
        <f t="shared" si="63"/>
        <v>0</v>
      </c>
      <c r="AT123" s="124">
        <f>交易记录!I454</f>
        <v>0</v>
      </c>
      <c r="AU123" s="124">
        <f>交易记录!I485</f>
        <v>0</v>
      </c>
      <c r="AV123" s="30">
        <f t="shared" si="44"/>
        <v>0</v>
      </c>
      <c r="AW123" s="121">
        <f>交易记录!I518</f>
        <v>0</v>
      </c>
      <c r="AX123" s="121">
        <f>交易记录!I549</f>
        <v>0</v>
      </c>
      <c r="AY123" s="30">
        <f t="shared" si="45"/>
        <v>0</v>
      </c>
      <c r="AZ123" s="124">
        <f>交易记录!I582</f>
        <v>0</v>
      </c>
      <c r="BA123" s="124">
        <f>交易记录!I613</f>
        <v>0</v>
      </c>
      <c r="BB123" s="30">
        <f t="shared" si="46"/>
        <v>0</v>
      </c>
      <c r="BC123" s="121">
        <f>交易记录!I646</f>
        <v>0</v>
      </c>
      <c r="BD123" s="121">
        <f>交易记录!I677</f>
        <v>0</v>
      </c>
      <c r="BE123" s="30">
        <f t="shared" si="47"/>
        <v>0</v>
      </c>
      <c r="BF123" s="124">
        <f>交易记录!I710</f>
        <v>0</v>
      </c>
      <c r="BG123" s="124">
        <f>交易记录!I741</f>
        <v>0</v>
      </c>
      <c r="BH123" s="30">
        <f t="shared" si="48"/>
        <v>0</v>
      </c>
      <c r="BI123" s="121">
        <f>交易记录!I774</f>
        <v>0</v>
      </c>
      <c r="BJ123" s="121">
        <f>交易记录!I805</f>
        <v>0</v>
      </c>
      <c r="BK123" s="30">
        <f t="shared" si="49"/>
        <v>0</v>
      </c>
      <c r="BL123" s="124">
        <f>交易记录!I838</f>
        <v>0</v>
      </c>
      <c r="BM123" s="124">
        <f>交易记录!I869</f>
        <v>0</v>
      </c>
      <c r="BN123" s="30">
        <f t="shared" si="50"/>
        <v>0</v>
      </c>
      <c r="BO123" s="121">
        <f>交易记录!I902</f>
        <v>0</v>
      </c>
      <c r="BP123" s="121">
        <f>交易记录!I933</f>
        <v>0</v>
      </c>
      <c r="BQ123" s="30">
        <f t="shared" si="51"/>
        <v>0</v>
      </c>
    </row>
    <row r="124" spans="1:69" ht="15">
      <c r="A124" s="125">
        <f>'维护-日期'!A$8</f>
        <v>46271</v>
      </c>
      <c r="B124" s="7" t="s">
        <v>8</v>
      </c>
      <c r="C124" s="144">
        <f t="shared" si="52"/>
        <v>14.811999999999999</v>
      </c>
      <c r="D124" s="144">
        <f>ROUND(INDEX(持仓数据!$C$3:$AG$26,MATCH('计算过程-数据汇总'!B124,持仓数据!$B$3:$B$26,0),MATCH('计算过程-数据汇总'!A124,'维护-日期'!$B$2:$AF$2,0)),3)</f>
        <v>14.811999999999999</v>
      </c>
      <c r="E124" s="98">
        <f t="shared" si="53"/>
        <v>14.811999999999999</v>
      </c>
      <c r="F124" s="22">
        <f>持仓数据!H74</f>
        <v>8.5999999999999993E-2</v>
      </c>
      <c r="G124" s="97">
        <v>372</v>
      </c>
      <c r="H124" s="97">
        <v>372</v>
      </c>
      <c r="I124" s="64">
        <v>0</v>
      </c>
      <c r="J124" s="64">
        <v>0</v>
      </c>
      <c r="K124" s="21">
        <f>IF(持仓数据!H107="",0,持仓数据!H107)</f>
        <v>372</v>
      </c>
      <c r="L124" s="21">
        <f t="shared" si="54"/>
        <v>0</v>
      </c>
      <c r="M124" s="28">
        <f t="shared" si="38"/>
        <v>5510.0639999999994</v>
      </c>
      <c r="N124" s="28">
        <f t="shared" si="39"/>
        <v>0</v>
      </c>
      <c r="O124" s="28">
        <f t="shared" si="40"/>
        <v>0</v>
      </c>
      <c r="P124" s="28">
        <f t="shared" si="41"/>
        <v>0</v>
      </c>
      <c r="Q124" s="28">
        <f t="shared" si="55"/>
        <v>0</v>
      </c>
      <c r="R124" s="28">
        <f t="shared" si="42"/>
        <v>5510.0639999999994</v>
      </c>
      <c r="S124" s="28">
        <f t="shared" si="56"/>
        <v>0</v>
      </c>
      <c r="T124" s="28">
        <f t="shared" si="57"/>
        <v>0</v>
      </c>
      <c r="U124" s="28">
        <f t="shared" si="60"/>
        <v>0</v>
      </c>
      <c r="V124" s="28">
        <f t="shared" si="58"/>
        <v>0</v>
      </c>
      <c r="W124" s="118"/>
      <c r="X124" s="143">
        <f t="shared" si="59"/>
        <v>17.687999999999999</v>
      </c>
      <c r="Y124" s="121">
        <f>交易记录!I7</f>
        <v>8.5999999999999993E-2</v>
      </c>
      <c r="Z124" s="121">
        <f>交易记录!I38</f>
        <v>372</v>
      </c>
      <c r="AA124" s="30">
        <f t="shared" si="43"/>
        <v>0</v>
      </c>
      <c r="AB124" s="124">
        <f>交易记录!I71</f>
        <v>0</v>
      </c>
      <c r="AC124" s="124">
        <f>交易记录!I102</f>
        <v>0</v>
      </c>
      <c r="AD124" s="30">
        <f t="shared" si="66"/>
        <v>0</v>
      </c>
      <c r="AE124" s="121">
        <f>交易记录!I135</f>
        <v>0</v>
      </c>
      <c r="AF124" s="121">
        <f>交易记录!I166</f>
        <v>0</v>
      </c>
      <c r="AG124" s="30">
        <f t="shared" si="62"/>
        <v>0</v>
      </c>
      <c r="AH124" s="124">
        <f>交易记录!I199</f>
        <v>0</v>
      </c>
      <c r="AI124" s="124">
        <f>交易记录!I230</f>
        <v>0</v>
      </c>
      <c r="AJ124" s="30">
        <f t="shared" si="65"/>
        <v>0</v>
      </c>
      <c r="AK124" s="121">
        <f>交易记录!I263</f>
        <v>0</v>
      </c>
      <c r="AL124" s="121">
        <f>交易记录!I294</f>
        <v>0</v>
      </c>
      <c r="AM124" s="30">
        <f t="shared" si="64"/>
        <v>0</v>
      </c>
      <c r="AN124" s="124">
        <f>交易记录!I327</f>
        <v>0</v>
      </c>
      <c r="AO124" s="124">
        <f>交易记录!I358</f>
        <v>0</v>
      </c>
      <c r="AP124" s="30">
        <f t="shared" si="61"/>
        <v>0</v>
      </c>
      <c r="AQ124" s="121">
        <f>交易记录!I391</f>
        <v>0</v>
      </c>
      <c r="AR124" s="121">
        <f>交易记录!I422</f>
        <v>0</v>
      </c>
      <c r="AS124" s="30">
        <f t="shared" si="63"/>
        <v>0</v>
      </c>
      <c r="AT124" s="124">
        <f>交易记录!I455</f>
        <v>0</v>
      </c>
      <c r="AU124" s="124">
        <f>交易记录!I486</f>
        <v>0</v>
      </c>
      <c r="AV124" s="30">
        <f t="shared" si="44"/>
        <v>0</v>
      </c>
      <c r="AW124" s="121">
        <f>交易记录!I519</f>
        <v>0</v>
      </c>
      <c r="AX124" s="121">
        <f>交易记录!I550</f>
        <v>0</v>
      </c>
      <c r="AY124" s="30">
        <f t="shared" si="45"/>
        <v>0</v>
      </c>
      <c r="AZ124" s="124">
        <f>交易记录!I583</f>
        <v>0</v>
      </c>
      <c r="BA124" s="124">
        <f>交易记录!I614</f>
        <v>0</v>
      </c>
      <c r="BB124" s="30">
        <f t="shared" si="46"/>
        <v>0</v>
      </c>
      <c r="BC124" s="121">
        <f>交易记录!I647</f>
        <v>0</v>
      </c>
      <c r="BD124" s="121">
        <f>交易记录!I678</f>
        <v>0</v>
      </c>
      <c r="BE124" s="30">
        <f t="shared" si="47"/>
        <v>0</v>
      </c>
      <c r="BF124" s="124">
        <f>交易记录!I711</f>
        <v>0</v>
      </c>
      <c r="BG124" s="124">
        <f>交易记录!I742</f>
        <v>0</v>
      </c>
      <c r="BH124" s="30">
        <f t="shared" si="48"/>
        <v>0</v>
      </c>
      <c r="BI124" s="121">
        <f>交易记录!I775</f>
        <v>0</v>
      </c>
      <c r="BJ124" s="121">
        <f>交易记录!I806</f>
        <v>0</v>
      </c>
      <c r="BK124" s="30">
        <f t="shared" si="49"/>
        <v>0</v>
      </c>
      <c r="BL124" s="124">
        <f>交易记录!I839</f>
        <v>0</v>
      </c>
      <c r="BM124" s="124">
        <f>交易记录!I870</f>
        <v>0</v>
      </c>
      <c r="BN124" s="30">
        <f t="shared" si="50"/>
        <v>0</v>
      </c>
      <c r="BO124" s="121">
        <f>交易记录!I903</f>
        <v>0</v>
      </c>
      <c r="BP124" s="121">
        <f>交易记录!I934</f>
        <v>0</v>
      </c>
      <c r="BQ124" s="30">
        <f t="shared" si="51"/>
        <v>0</v>
      </c>
    </row>
    <row r="125" spans="1:69" ht="15">
      <c r="A125" s="125">
        <f>'维护-日期'!A$8</f>
        <v>46271</v>
      </c>
      <c r="B125" s="7" t="s">
        <v>9</v>
      </c>
      <c r="C125" s="144">
        <f t="shared" si="52"/>
        <v>13.836</v>
      </c>
      <c r="D125" s="144">
        <f>ROUND(INDEX(持仓数据!$C$3:$AG$26,MATCH('计算过程-数据汇总'!B125,持仓数据!$B$3:$B$26,0),MATCH('计算过程-数据汇总'!A125,'维护-日期'!$B$2:$AF$2,0)),3)</f>
        <v>13.836</v>
      </c>
      <c r="E125" s="98">
        <f t="shared" si="53"/>
        <v>13.836</v>
      </c>
      <c r="F125" s="22">
        <f>持仓数据!H75</f>
        <v>7.7000000000000013E-2</v>
      </c>
      <c r="G125" s="97">
        <v>372</v>
      </c>
      <c r="H125" s="97">
        <v>372</v>
      </c>
      <c r="I125" s="64">
        <v>0</v>
      </c>
      <c r="J125" s="64">
        <v>0</v>
      </c>
      <c r="K125" s="21">
        <f>IF(持仓数据!H108="",0,持仓数据!H108)</f>
        <v>372</v>
      </c>
      <c r="L125" s="21">
        <f t="shared" si="54"/>
        <v>0</v>
      </c>
      <c r="M125" s="28">
        <f t="shared" si="38"/>
        <v>5146.9920000000002</v>
      </c>
      <c r="N125" s="28">
        <f t="shared" si="39"/>
        <v>0</v>
      </c>
      <c r="O125" s="28">
        <f t="shared" si="40"/>
        <v>0</v>
      </c>
      <c r="P125" s="28">
        <f t="shared" si="41"/>
        <v>0</v>
      </c>
      <c r="Q125" s="28">
        <f t="shared" si="55"/>
        <v>0</v>
      </c>
      <c r="R125" s="28">
        <f t="shared" si="42"/>
        <v>5146.9920000000002</v>
      </c>
      <c r="S125" s="28">
        <f t="shared" si="56"/>
        <v>0</v>
      </c>
      <c r="T125" s="28">
        <f t="shared" si="57"/>
        <v>0</v>
      </c>
      <c r="U125" s="28">
        <f t="shared" si="60"/>
        <v>0</v>
      </c>
      <c r="V125" s="28">
        <f t="shared" si="58"/>
        <v>0</v>
      </c>
      <c r="W125" s="118"/>
      <c r="X125" s="143">
        <f t="shared" si="59"/>
        <v>16.526</v>
      </c>
      <c r="Y125" s="121">
        <f>交易记录!I8</f>
        <v>7.7000000000000013E-2</v>
      </c>
      <c r="Z125" s="121">
        <f>交易记录!I39</f>
        <v>372</v>
      </c>
      <c r="AA125" s="30">
        <f t="shared" si="43"/>
        <v>0</v>
      </c>
      <c r="AB125" s="124">
        <f>交易记录!I72</f>
        <v>0</v>
      </c>
      <c r="AC125" s="124">
        <f>交易记录!I103</f>
        <v>0</v>
      </c>
      <c r="AD125" s="30">
        <f t="shared" si="66"/>
        <v>0</v>
      </c>
      <c r="AE125" s="121">
        <f>交易记录!I136</f>
        <v>0</v>
      </c>
      <c r="AF125" s="121">
        <f>交易记录!I167</f>
        <v>0</v>
      </c>
      <c r="AG125" s="30">
        <f t="shared" si="62"/>
        <v>0</v>
      </c>
      <c r="AH125" s="124">
        <f>交易记录!I200</f>
        <v>0</v>
      </c>
      <c r="AI125" s="124">
        <f>交易记录!I231</f>
        <v>0</v>
      </c>
      <c r="AJ125" s="30">
        <f t="shared" si="65"/>
        <v>0</v>
      </c>
      <c r="AK125" s="121">
        <f>交易记录!I264</f>
        <v>0</v>
      </c>
      <c r="AL125" s="121">
        <f>交易记录!I295</f>
        <v>0</v>
      </c>
      <c r="AM125" s="30">
        <f t="shared" si="64"/>
        <v>0</v>
      </c>
      <c r="AN125" s="124">
        <f>交易记录!I328</f>
        <v>0</v>
      </c>
      <c r="AO125" s="124">
        <f>交易记录!I359</f>
        <v>0</v>
      </c>
      <c r="AP125" s="30">
        <f t="shared" si="61"/>
        <v>0</v>
      </c>
      <c r="AQ125" s="121">
        <f>交易记录!I392</f>
        <v>0</v>
      </c>
      <c r="AR125" s="121">
        <f>交易记录!I423</f>
        <v>0</v>
      </c>
      <c r="AS125" s="30">
        <f t="shared" si="63"/>
        <v>0</v>
      </c>
      <c r="AT125" s="124">
        <f>交易记录!I456</f>
        <v>0</v>
      </c>
      <c r="AU125" s="124">
        <f>交易记录!I487</f>
        <v>0</v>
      </c>
      <c r="AV125" s="30">
        <f t="shared" si="44"/>
        <v>0</v>
      </c>
      <c r="AW125" s="121">
        <f>交易记录!I520</f>
        <v>0</v>
      </c>
      <c r="AX125" s="121">
        <f>交易记录!I551</f>
        <v>0</v>
      </c>
      <c r="AY125" s="30">
        <f t="shared" si="45"/>
        <v>0</v>
      </c>
      <c r="AZ125" s="124">
        <f>交易记录!I584</f>
        <v>0</v>
      </c>
      <c r="BA125" s="124">
        <f>交易记录!I615</f>
        <v>0</v>
      </c>
      <c r="BB125" s="30">
        <f t="shared" si="46"/>
        <v>0</v>
      </c>
      <c r="BC125" s="121">
        <f>交易记录!I648</f>
        <v>0</v>
      </c>
      <c r="BD125" s="121">
        <f>交易记录!I679</f>
        <v>0</v>
      </c>
      <c r="BE125" s="30">
        <f t="shared" si="47"/>
        <v>0</v>
      </c>
      <c r="BF125" s="124">
        <f>交易记录!I712</f>
        <v>0</v>
      </c>
      <c r="BG125" s="124">
        <f>交易记录!I743</f>
        <v>0</v>
      </c>
      <c r="BH125" s="30">
        <f t="shared" si="48"/>
        <v>0</v>
      </c>
      <c r="BI125" s="121">
        <f>交易记录!I776</f>
        <v>0</v>
      </c>
      <c r="BJ125" s="121">
        <f>交易记录!I807</f>
        <v>0</v>
      </c>
      <c r="BK125" s="30">
        <f t="shared" si="49"/>
        <v>0</v>
      </c>
      <c r="BL125" s="124">
        <f>交易记录!I840</f>
        <v>0</v>
      </c>
      <c r="BM125" s="124">
        <f>交易记录!I871</f>
        <v>0</v>
      </c>
      <c r="BN125" s="30">
        <f t="shared" si="50"/>
        <v>0</v>
      </c>
      <c r="BO125" s="121">
        <f>交易记录!I904</f>
        <v>0</v>
      </c>
      <c r="BP125" s="121">
        <f>交易记录!I935</f>
        <v>0</v>
      </c>
      <c r="BQ125" s="30">
        <f t="shared" si="51"/>
        <v>0</v>
      </c>
    </row>
    <row r="126" spans="1:69" ht="15">
      <c r="A126" s="125">
        <f>'维护-日期'!A$8</f>
        <v>46271</v>
      </c>
      <c r="B126" s="7" t="s">
        <v>10</v>
      </c>
      <c r="C126" s="144">
        <f t="shared" si="52"/>
        <v>13.28</v>
      </c>
      <c r="D126" s="144">
        <f>ROUND(INDEX(持仓数据!$C$3:$AG$26,MATCH('计算过程-数据汇总'!B126,持仓数据!$B$3:$B$26,0),MATCH('计算过程-数据汇总'!A126,'维护-日期'!$B$2:$AF$2,0)),3)</f>
        <v>13.28</v>
      </c>
      <c r="E126" s="98">
        <f t="shared" si="53"/>
        <v>13.28</v>
      </c>
      <c r="F126" s="22">
        <f>持仓数据!H76</f>
        <v>7.5000000000000011E-2</v>
      </c>
      <c r="G126" s="97">
        <v>372</v>
      </c>
      <c r="H126" s="97">
        <v>372</v>
      </c>
      <c r="I126" s="64">
        <v>0</v>
      </c>
      <c r="J126" s="64">
        <v>0</v>
      </c>
      <c r="K126" s="21">
        <f>IF(持仓数据!H109="",0,持仓数据!H109)</f>
        <v>372</v>
      </c>
      <c r="L126" s="21">
        <f t="shared" si="54"/>
        <v>0</v>
      </c>
      <c r="M126" s="28">
        <f t="shared" si="38"/>
        <v>4940.16</v>
      </c>
      <c r="N126" s="28">
        <f t="shared" si="39"/>
        <v>0</v>
      </c>
      <c r="O126" s="28">
        <f t="shared" si="40"/>
        <v>0</v>
      </c>
      <c r="P126" s="28">
        <f t="shared" si="41"/>
        <v>0</v>
      </c>
      <c r="Q126" s="28">
        <f t="shared" si="55"/>
        <v>0</v>
      </c>
      <c r="R126" s="28">
        <f t="shared" si="42"/>
        <v>4940.16</v>
      </c>
      <c r="S126" s="28">
        <f t="shared" si="56"/>
        <v>0</v>
      </c>
      <c r="T126" s="28">
        <f t="shared" si="57"/>
        <v>0</v>
      </c>
      <c r="U126" s="28">
        <f t="shared" si="60"/>
        <v>0</v>
      </c>
      <c r="V126" s="28">
        <f t="shared" si="58"/>
        <v>0</v>
      </c>
      <c r="W126" s="118"/>
      <c r="X126" s="143">
        <f t="shared" si="59"/>
        <v>15.861000000000001</v>
      </c>
      <c r="Y126" s="121">
        <f>交易记录!I9</f>
        <v>7.5000000000000011E-2</v>
      </c>
      <c r="Z126" s="121">
        <f>交易记录!I40</f>
        <v>372</v>
      </c>
      <c r="AA126" s="30">
        <f t="shared" si="43"/>
        <v>0</v>
      </c>
      <c r="AB126" s="124">
        <f>交易记录!I73</f>
        <v>0</v>
      </c>
      <c r="AC126" s="124">
        <f>交易记录!I104</f>
        <v>0</v>
      </c>
      <c r="AD126" s="30">
        <f t="shared" si="66"/>
        <v>0</v>
      </c>
      <c r="AE126" s="121">
        <f>交易记录!I137</f>
        <v>0</v>
      </c>
      <c r="AF126" s="121">
        <f>交易记录!I168</f>
        <v>0</v>
      </c>
      <c r="AG126" s="30">
        <f t="shared" si="62"/>
        <v>0</v>
      </c>
      <c r="AH126" s="124">
        <f>交易记录!I201</f>
        <v>0</v>
      </c>
      <c r="AI126" s="124">
        <f>交易记录!I232</f>
        <v>0</v>
      </c>
      <c r="AJ126" s="30">
        <f t="shared" si="65"/>
        <v>0</v>
      </c>
      <c r="AK126" s="121">
        <f>交易记录!I265</f>
        <v>0</v>
      </c>
      <c r="AL126" s="121">
        <f>交易记录!I296</f>
        <v>0</v>
      </c>
      <c r="AM126" s="30">
        <f t="shared" si="64"/>
        <v>0</v>
      </c>
      <c r="AN126" s="124">
        <f>交易记录!I329</f>
        <v>0</v>
      </c>
      <c r="AO126" s="124">
        <f>交易记录!I360</f>
        <v>0</v>
      </c>
      <c r="AP126" s="30">
        <f t="shared" si="61"/>
        <v>0</v>
      </c>
      <c r="AQ126" s="121">
        <f>交易记录!I393</f>
        <v>0</v>
      </c>
      <c r="AR126" s="121">
        <f>交易记录!I424</f>
        <v>0</v>
      </c>
      <c r="AS126" s="30">
        <f t="shared" si="63"/>
        <v>0</v>
      </c>
      <c r="AT126" s="124">
        <f>交易记录!I457</f>
        <v>0</v>
      </c>
      <c r="AU126" s="124">
        <f>交易记录!I488</f>
        <v>0</v>
      </c>
      <c r="AV126" s="30">
        <f t="shared" si="44"/>
        <v>0</v>
      </c>
      <c r="AW126" s="121">
        <f>交易记录!I521</f>
        <v>0</v>
      </c>
      <c r="AX126" s="121">
        <f>交易记录!I552</f>
        <v>0</v>
      </c>
      <c r="AY126" s="30">
        <f t="shared" si="45"/>
        <v>0</v>
      </c>
      <c r="AZ126" s="124">
        <f>交易记录!I585</f>
        <v>0</v>
      </c>
      <c r="BA126" s="124">
        <f>交易记录!I616</f>
        <v>0</v>
      </c>
      <c r="BB126" s="30">
        <f t="shared" si="46"/>
        <v>0</v>
      </c>
      <c r="BC126" s="121">
        <f>交易记录!I649</f>
        <v>0</v>
      </c>
      <c r="BD126" s="121">
        <f>交易记录!I680</f>
        <v>0</v>
      </c>
      <c r="BE126" s="30">
        <f t="shared" si="47"/>
        <v>0</v>
      </c>
      <c r="BF126" s="124">
        <f>交易记录!I713</f>
        <v>0</v>
      </c>
      <c r="BG126" s="124">
        <f>交易记录!I744</f>
        <v>0</v>
      </c>
      <c r="BH126" s="30">
        <f t="shared" si="48"/>
        <v>0</v>
      </c>
      <c r="BI126" s="121">
        <f>交易记录!I777</f>
        <v>0</v>
      </c>
      <c r="BJ126" s="121">
        <f>交易记录!I808</f>
        <v>0</v>
      </c>
      <c r="BK126" s="30">
        <f t="shared" si="49"/>
        <v>0</v>
      </c>
      <c r="BL126" s="124">
        <f>交易记录!I841</f>
        <v>0</v>
      </c>
      <c r="BM126" s="124">
        <f>交易记录!I872</f>
        <v>0</v>
      </c>
      <c r="BN126" s="30">
        <f t="shared" si="50"/>
        <v>0</v>
      </c>
      <c r="BO126" s="121">
        <f>交易记录!I905</f>
        <v>0</v>
      </c>
      <c r="BP126" s="121">
        <f>交易记录!I936</f>
        <v>0</v>
      </c>
      <c r="BQ126" s="30">
        <f t="shared" si="51"/>
        <v>0</v>
      </c>
    </row>
    <row r="127" spans="1:69" ht="15">
      <c r="A127" s="125">
        <f>'维护-日期'!A$8</f>
        <v>46271</v>
      </c>
      <c r="B127" s="7" t="s">
        <v>11</v>
      </c>
      <c r="C127" s="144">
        <f t="shared" si="52"/>
        <v>12.787000000000001</v>
      </c>
      <c r="D127" s="144">
        <f>ROUND(INDEX(持仓数据!$C$3:$AG$26,MATCH('计算过程-数据汇总'!B127,持仓数据!$B$3:$B$26,0),MATCH('计算过程-数据汇总'!A127,'维护-日期'!$B$2:$AF$2,0)),3)</f>
        <v>12.787000000000001</v>
      </c>
      <c r="E127" s="98">
        <f t="shared" si="53"/>
        <v>12.787000000000001</v>
      </c>
      <c r="F127" s="22">
        <f>持仓数据!H77</f>
        <v>7.5000000000000011E-2</v>
      </c>
      <c r="G127" s="97">
        <v>372</v>
      </c>
      <c r="H127" s="97">
        <v>372</v>
      </c>
      <c r="I127" s="64">
        <v>0</v>
      </c>
      <c r="J127" s="64">
        <v>0</v>
      </c>
      <c r="K127" s="21">
        <f>IF(持仓数据!H110="",0,持仓数据!H110)</f>
        <v>372</v>
      </c>
      <c r="L127" s="21">
        <f t="shared" si="54"/>
        <v>0</v>
      </c>
      <c r="M127" s="28">
        <f t="shared" si="38"/>
        <v>4756.7640000000001</v>
      </c>
      <c r="N127" s="28">
        <f t="shared" si="39"/>
        <v>0</v>
      </c>
      <c r="O127" s="28">
        <f t="shared" si="40"/>
        <v>0</v>
      </c>
      <c r="P127" s="28">
        <f t="shared" si="41"/>
        <v>0</v>
      </c>
      <c r="Q127" s="28">
        <f t="shared" si="55"/>
        <v>0</v>
      </c>
      <c r="R127" s="28">
        <f t="shared" si="42"/>
        <v>4756.7640000000001</v>
      </c>
      <c r="S127" s="28">
        <f t="shared" si="56"/>
        <v>0</v>
      </c>
      <c r="T127" s="28">
        <f t="shared" si="57"/>
        <v>0</v>
      </c>
      <c r="U127" s="28">
        <f t="shared" si="60"/>
        <v>0</v>
      </c>
      <c r="V127" s="28">
        <f t="shared" si="58"/>
        <v>0</v>
      </c>
      <c r="W127" s="118"/>
      <c r="X127" s="143">
        <f t="shared" si="59"/>
        <v>15.269</v>
      </c>
      <c r="Y127" s="121">
        <f>交易记录!I10</f>
        <v>7.5000000000000011E-2</v>
      </c>
      <c r="Z127" s="121">
        <f>交易记录!I41</f>
        <v>372</v>
      </c>
      <c r="AA127" s="30">
        <f t="shared" si="43"/>
        <v>0</v>
      </c>
      <c r="AB127" s="124">
        <f>交易记录!I74</f>
        <v>0</v>
      </c>
      <c r="AC127" s="124">
        <f>交易记录!I105</f>
        <v>0</v>
      </c>
      <c r="AD127" s="30">
        <f t="shared" si="66"/>
        <v>0</v>
      </c>
      <c r="AE127" s="121">
        <f>交易记录!I138</f>
        <v>0</v>
      </c>
      <c r="AF127" s="121">
        <f>交易记录!I169</f>
        <v>0</v>
      </c>
      <c r="AG127" s="30">
        <f t="shared" si="62"/>
        <v>0</v>
      </c>
      <c r="AH127" s="124">
        <f>交易记录!I202</f>
        <v>0</v>
      </c>
      <c r="AI127" s="124">
        <f>交易记录!I233</f>
        <v>0</v>
      </c>
      <c r="AJ127" s="30">
        <f t="shared" si="65"/>
        <v>0</v>
      </c>
      <c r="AK127" s="121">
        <f>交易记录!I266</f>
        <v>0</v>
      </c>
      <c r="AL127" s="121">
        <f>交易记录!I297</f>
        <v>0</v>
      </c>
      <c r="AM127" s="30">
        <f t="shared" si="64"/>
        <v>0</v>
      </c>
      <c r="AN127" s="124">
        <f>交易记录!I330</f>
        <v>0</v>
      </c>
      <c r="AO127" s="124">
        <f>交易记录!I361</f>
        <v>0</v>
      </c>
      <c r="AP127" s="30">
        <f t="shared" si="61"/>
        <v>0</v>
      </c>
      <c r="AQ127" s="121">
        <f>交易记录!I394</f>
        <v>0</v>
      </c>
      <c r="AR127" s="121">
        <f>交易记录!I425</f>
        <v>0</v>
      </c>
      <c r="AS127" s="30">
        <f t="shared" si="63"/>
        <v>0</v>
      </c>
      <c r="AT127" s="124">
        <f>交易记录!I458</f>
        <v>0</v>
      </c>
      <c r="AU127" s="124">
        <f>交易记录!I489</f>
        <v>0</v>
      </c>
      <c r="AV127" s="30">
        <f t="shared" si="44"/>
        <v>0</v>
      </c>
      <c r="AW127" s="121">
        <f>交易记录!I522</f>
        <v>0</v>
      </c>
      <c r="AX127" s="121">
        <f>交易记录!I553</f>
        <v>0</v>
      </c>
      <c r="AY127" s="30">
        <f t="shared" si="45"/>
        <v>0</v>
      </c>
      <c r="AZ127" s="124">
        <f>交易记录!I586</f>
        <v>0</v>
      </c>
      <c r="BA127" s="124">
        <f>交易记录!I617</f>
        <v>0</v>
      </c>
      <c r="BB127" s="30">
        <f t="shared" si="46"/>
        <v>0</v>
      </c>
      <c r="BC127" s="121">
        <f>交易记录!I650</f>
        <v>0</v>
      </c>
      <c r="BD127" s="121">
        <f>交易记录!I681</f>
        <v>0</v>
      </c>
      <c r="BE127" s="30">
        <f t="shared" si="47"/>
        <v>0</v>
      </c>
      <c r="BF127" s="124">
        <f>交易记录!I714</f>
        <v>0</v>
      </c>
      <c r="BG127" s="124">
        <f>交易记录!I745</f>
        <v>0</v>
      </c>
      <c r="BH127" s="30">
        <f t="shared" si="48"/>
        <v>0</v>
      </c>
      <c r="BI127" s="121">
        <f>交易记录!I778</f>
        <v>0</v>
      </c>
      <c r="BJ127" s="121">
        <f>交易记录!I809</f>
        <v>0</v>
      </c>
      <c r="BK127" s="30">
        <f t="shared" si="49"/>
        <v>0</v>
      </c>
      <c r="BL127" s="124">
        <f>交易记录!I842</f>
        <v>0</v>
      </c>
      <c r="BM127" s="124">
        <f>交易记录!I873</f>
        <v>0</v>
      </c>
      <c r="BN127" s="30">
        <f t="shared" si="50"/>
        <v>0</v>
      </c>
      <c r="BO127" s="121">
        <f>交易记录!I906</f>
        <v>0</v>
      </c>
      <c r="BP127" s="121">
        <f>交易记录!I937</f>
        <v>0</v>
      </c>
      <c r="BQ127" s="30">
        <f t="shared" si="51"/>
        <v>0</v>
      </c>
    </row>
    <row r="128" spans="1:69" ht="15">
      <c r="A128" s="125">
        <f>'维护-日期'!A$8</f>
        <v>46271</v>
      </c>
      <c r="B128" s="7" t="s">
        <v>12</v>
      </c>
      <c r="C128" s="144">
        <f t="shared" si="52"/>
        <v>12.55</v>
      </c>
      <c r="D128" s="144">
        <f>ROUND(INDEX(持仓数据!$C$3:$AG$26,MATCH('计算过程-数据汇总'!B128,持仓数据!$B$3:$B$26,0),MATCH('计算过程-数据汇总'!A128,'维护-日期'!$B$2:$AF$2,0)),3)</f>
        <v>12.55</v>
      </c>
      <c r="E128" s="98">
        <f t="shared" si="53"/>
        <v>12.55</v>
      </c>
      <c r="F128" s="22">
        <f>持仓数据!H78</f>
        <v>0.106</v>
      </c>
      <c r="G128" s="97">
        <v>372</v>
      </c>
      <c r="H128" s="97">
        <v>372</v>
      </c>
      <c r="I128" s="64">
        <v>0</v>
      </c>
      <c r="J128" s="64">
        <v>0</v>
      </c>
      <c r="K128" s="21">
        <f>IF(持仓数据!H111="",0,持仓数据!H111)</f>
        <v>372.00000000000006</v>
      </c>
      <c r="L128" s="21">
        <f t="shared" si="54"/>
        <v>0</v>
      </c>
      <c r="M128" s="28">
        <f t="shared" si="38"/>
        <v>4668.6000000000004</v>
      </c>
      <c r="N128" s="28">
        <f t="shared" si="39"/>
        <v>0</v>
      </c>
      <c r="O128" s="28">
        <f t="shared" si="40"/>
        <v>0</v>
      </c>
      <c r="P128" s="28">
        <f t="shared" si="41"/>
        <v>6.0254023992456494E-15</v>
      </c>
      <c r="Q128" s="28">
        <f t="shared" si="55"/>
        <v>0</v>
      </c>
      <c r="R128" s="28">
        <f t="shared" si="42"/>
        <v>4668.6000000000013</v>
      </c>
      <c r="S128" s="28">
        <f t="shared" si="56"/>
        <v>0</v>
      </c>
      <c r="T128" s="28">
        <f t="shared" si="57"/>
        <v>-7.0735950430389498E-13</v>
      </c>
      <c r="U128" s="28">
        <f t="shared" si="60"/>
        <v>0</v>
      </c>
      <c r="V128" s="28">
        <f t="shared" si="58"/>
        <v>0</v>
      </c>
      <c r="W128" s="118"/>
      <c r="X128" s="143">
        <f t="shared" si="59"/>
        <v>14.954000000000001</v>
      </c>
      <c r="Y128" s="121">
        <f>交易记录!I11</f>
        <v>0.106</v>
      </c>
      <c r="Z128" s="121">
        <f>交易记录!I42</f>
        <v>372</v>
      </c>
      <c r="AA128" s="30">
        <f t="shared" si="43"/>
        <v>0</v>
      </c>
      <c r="AB128" s="124">
        <f>交易记录!I75</f>
        <v>0</v>
      </c>
      <c r="AC128" s="124">
        <f>交易记录!I106</f>
        <v>0</v>
      </c>
      <c r="AD128" s="30">
        <f t="shared" si="66"/>
        <v>0</v>
      </c>
      <c r="AE128" s="121">
        <f>交易记录!I139</f>
        <v>0</v>
      </c>
      <c r="AF128" s="121">
        <f>交易记录!I170</f>
        <v>0</v>
      </c>
      <c r="AG128" s="30">
        <f t="shared" si="62"/>
        <v>0</v>
      </c>
      <c r="AH128" s="124">
        <f>交易记录!I203</f>
        <v>0</v>
      </c>
      <c r="AI128" s="124">
        <f>交易记录!I234</f>
        <v>0</v>
      </c>
      <c r="AJ128" s="30">
        <f t="shared" si="65"/>
        <v>0</v>
      </c>
      <c r="AK128" s="121">
        <f>交易记录!I267</f>
        <v>0</v>
      </c>
      <c r="AL128" s="121">
        <f>交易记录!I298</f>
        <v>0</v>
      </c>
      <c r="AM128" s="30">
        <f t="shared" si="64"/>
        <v>0</v>
      </c>
      <c r="AN128" s="124">
        <f>交易记录!I331</f>
        <v>0</v>
      </c>
      <c r="AO128" s="124">
        <f>交易记录!I362</f>
        <v>0</v>
      </c>
      <c r="AP128" s="30">
        <f t="shared" si="61"/>
        <v>0</v>
      </c>
      <c r="AQ128" s="121">
        <f>交易记录!I395</f>
        <v>0</v>
      </c>
      <c r="AR128" s="121">
        <f>交易记录!I426</f>
        <v>0</v>
      </c>
      <c r="AS128" s="30">
        <f t="shared" si="63"/>
        <v>0</v>
      </c>
      <c r="AT128" s="124">
        <f>交易记录!I459</f>
        <v>0</v>
      </c>
      <c r="AU128" s="124">
        <f>交易记录!I490</f>
        <v>0</v>
      </c>
      <c r="AV128" s="30">
        <f t="shared" si="44"/>
        <v>0</v>
      </c>
      <c r="AW128" s="121">
        <f>交易记录!I523</f>
        <v>0</v>
      </c>
      <c r="AX128" s="121">
        <f>交易记录!I554</f>
        <v>0</v>
      </c>
      <c r="AY128" s="30">
        <f t="shared" si="45"/>
        <v>0</v>
      </c>
      <c r="AZ128" s="124">
        <f>交易记录!I587</f>
        <v>0</v>
      </c>
      <c r="BA128" s="124">
        <f>交易记录!I618</f>
        <v>0</v>
      </c>
      <c r="BB128" s="30">
        <f t="shared" si="46"/>
        <v>0</v>
      </c>
      <c r="BC128" s="121">
        <f>交易记录!I651</f>
        <v>0</v>
      </c>
      <c r="BD128" s="121">
        <f>交易记录!I682</f>
        <v>0</v>
      </c>
      <c r="BE128" s="30">
        <f t="shared" si="47"/>
        <v>0</v>
      </c>
      <c r="BF128" s="124">
        <f>交易记录!I715</f>
        <v>0</v>
      </c>
      <c r="BG128" s="124">
        <f>交易记录!I746</f>
        <v>0</v>
      </c>
      <c r="BH128" s="30">
        <f t="shared" si="48"/>
        <v>0</v>
      </c>
      <c r="BI128" s="121">
        <f>交易记录!I779</f>
        <v>0</v>
      </c>
      <c r="BJ128" s="121">
        <f>交易记录!I810</f>
        <v>0</v>
      </c>
      <c r="BK128" s="30">
        <f t="shared" si="49"/>
        <v>0</v>
      </c>
      <c r="BL128" s="124">
        <f>交易记录!I843</f>
        <v>0</v>
      </c>
      <c r="BM128" s="124">
        <f>交易记录!I874</f>
        <v>0</v>
      </c>
      <c r="BN128" s="30">
        <f t="shared" si="50"/>
        <v>0</v>
      </c>
      <c r="BO128" s="121">
        <f>交易记录!I907</f>
        <v>0</v>
      </c>
      <c r="BP128" s="121">
        <f>交易记录!I938</f>
        <v>0</v>
      </c>
      <c r="BQ128" s="30">
        <f t="shared" si="51"/>
        <v>0</v>
      </c>
    </row>
    <row r="129" spans="1:69" ht="15">
      <c r="A129" s="125">
        <f>'维护-日期'!A$8</f>
        <v>46271</v>
      </c>
      <c r="B129" s="7" t="s">
        <v>13</v>
      </c>
      <c r="C129" s="144">
        <f t="shared" si="52"/>
        <v>12.419</v>
      </c>
      <c r="D129" s="144">
        <f>ROUND(INDEX(持仓数据!$C$3:$AG$26,MATCH('计算过程-数据汇总'!B129,持仓数据!$B$3:$B$26,0),MATCH('计算过程-数据汇总'!A129,'维护-日期'!$B$2:$AF$2,0)),3)</f>
        <v>12.419</v>
      </c>
      <c r="E129" s="98">
        <f t="shared" si="53"/>
        <v>12.419</v>
      </c>
      <c r="F129" s="22">
        <f>持仓数据!H79</f>
        <v>0.11600000000000001</v>
      </c>
      <c r="G129" s="97">
        <v>372</v>
      </c>
      <c r="H129" s="97">
        <v>372</v>
      </c>
      <c r="I129" s="64">
        <v>0</v>
      </c>
      <c r="J129" s="64">
        <v>0</v>
      </c>
      <c r="K129" s="21">
        <f>IF(持仓数据!H112="",0,持仓数据!H112)</f>
        <v>372</v>
      </c>
      <c r="L129" s="21">
        <f t="shared" si="54"/>
        <v>0</v>
      </c>
      <c r="M129" s="28">
        <f t="shared" si="38"/>
        <v>4619.8680000000004</v>
      </c>
      <c r="N129" s="28">
        <f t="shared" si="39"/>
        <v>0</v>
      </c>
      <c r="O129" s="28">
        <f t="shared" si="40"/>
        <v>0</v>
      </c>
      <c r="P129" s="28">
        <f t="shared" si="41"/>
        <v>0</v>
      </c>
      <c r="Q129" s="28">
        <f t="shared" si="55"/>
        <v>0</v>
      </c>
      <c r="R129" s="28">
        <f t="shared" si="42"/>
        <v>4619.8680000000004</v>
      </c>
      <c r="S129" s="28">
        <f t="shared" si="56"/>
        <v>0</v>
      </c>
      <c r="T129" s="28">
        <f t="shared" si="57"/>
        <v>0</v>
      </c>
      <c r="U129" s="28">
        <f t="shared" si="60"/>
        <v>0</v>
      </c>
      <c r="V129" s="28">
        <f t="shared" si="58"/>
        <v>0</v>
      </c>
      <c r="W129" s="118"/>
      <c r="X129" s="143">
        <f t="shared" si="59"/>
        <v>14.787000000000001</v>
      </c>
      <c r="Y129" s="121">
        <f>交易记录!I12</f>
        <v>0.11600000000000001</v>
      </c>
      <c r="Z129" s="121">
        <f>交易记录!I43</f>
        <v>372</v>
      </c>
      <c r="AA129" s="30">
        <f t="shared" si="43"/>
        <v>0</v>
      </c>
      <c r="AB129" s="124">
        <f>交易记录!I76</f>
        <v>0</v>
      </c>
      <c r="AC129" s="124">
        <f>交易记录!I107</f>
        <v>0</v>
      </c>
      <c r="AD129" s="30">
        <f t="shared" si="66"/>
        <v>0</v>
      </c>
      <c r="AE129" s="121">
        <f>交易记录!I140</f>
        <v>0</v>
      </c>
      <c r="AF129" s="121">
        <f>交易记录!I171</f>
        <v>0</v>
      </c>
      <c r="AG129" s="30">
        <f t="shared" si="62"/>
        <v>0</v>
      </c>
      <c r="AH129" s="124">
        <f>交易记录!I204</f>
        <v>0</v>
      </c>
      <c r="AI129" s="124">
        <f>交易记录!I235</f>
        <v>0</v>
      </c>
      <c r="AJ129" s="30">
        <f t="shared" si="65"/>
        <v>0</v>
      </c>
      <c r="AK129" s="121">
        <f>交易记录!I268</f>
        <v>0</v>
      </c>
      <c r="AL129" s="121">
        <f>交易记录!I299</f>
        <v>0</v>
      </c>
      <c r="AM129" s="30">
        <f t="shared" si="64"/>
        <v>0</v>
      </c>
      <c r="AN129" s="124">
        <f>交易记录!I332</f>
        <v>0</v>
      </c>
      <c r="AO129" s="124">
        <f>交易记录!I363</f>
        <v>0</v>
      </c>
      <c r="AP129" s="30">
        <f t="shared" si="61"/>
        <v>0</v>
      </c>
      <c r="AQ129" s="121">
        <f>交易记录!I396</f>
        <v>0</v>
      </c>
      <c r="AR129" s="121">
        <f>交易记录!I427</f>
        <v>0</v>
      </c>
      <c r="AS129" s="30">
        <f t="shared" si="63"/>
        <v>0</v>
      </c>
      <c r="AT129" s="124">
        <f>交易记录!I460</f>
        <v>0</v>
      </c>
      <c r="AU129" s="124">
        <f>交易记录!I491</f>
        <v>0</v>
      </c>
      <c r="AV129" s="30">
        <f t="shared" si="44"/>
        <v>0</v>
      </c>
      <c r="AW129" s="121">
        <f>交易记录!I524</f>
        <v>0</v>
      </c>
      <c r="AX129" s="121">
        <f>交易记录!I555</f>
        <v>0</v>
      </c>
      <c r="AY129" s="30">
        <f t="shared" si="45"/>
        <v>0</v>
      </c>
      <c r="AZ129" s="124">
        <f>交易记录!I588</f>
        <v>0</v>
      </c>
      <c r="BA129" s="124">
        <f>交易记录!I619</f>
        <v>0</v>
      </c>
      <c r="BB129" s="30">
        <f t="shared" si="46"/>
        <v>0</v>
      </c>
      <c r="BC129" s="121">
        <f>交易记录!I652</f>
        <v>0</v>
      </c>
      <c r="BD129" s="121">
        <f>交易记录!I683</f>
        <v>0</v>
      </c>
      <c r="BE129" s="30">
        <f t="shared" si="47"/>
        <v>0</v>
      </c>
      <c r="BF129" s="124">
        <f>交易记录!I716</f>
        <v>0</v>
      </c>
      <c r="BG129" s="124">
        <f>交易记录!I747</f>
        <v>0</v>
      </c>
      <c r="BH129" s="30">
        <f t="shared" si="48"/>
        <v>0</v>
      </c>
      <c r="BI129" s="121">
        <f>交易记录!I780</f>
        <v>0</v>
      </c>
      <c r="BJ129" s="121">
        <f>交易记录!I811</f>
        <v>0</v>
      </c>
      <c r="BK129" s="30">
        <f t="shared" si="49"/>
        <v>0</v>
      </c>
      <c r="BL129" s="124">
        <f>交易记录!I844</f>
        <v>0</v>
      </c>
      <c r="BM129" s="124">
        <f>交易记录!I875</f>
        <v>0</v>
      </c>
      <c r="BN129" s="30">
        <f t="shared" si="50"/>
        <v>0</v>
      </c>
      <c r="BO129" s="121">
        <f>交易记录!I908</f>
        <v>0</v>
      </c>
      <c r="BP129" s="121">
        <f>交易记录!I939</f>
        <v>0</v>
      </c>
      <c r="BQ129" s="30">
        <f t="shared" si="51"/>
        <v>0</v>
      </c>
    </row>
    <row r="130" spans="1:69" ht="15">
      <c r="A130" s="125">
        <f>'维护-日期'!A$8</f>
        <v>46271</v>
      </c>
      <c r="B130" s="7" t="s">
        <v>14</v>
      </c>
      <c r="C130" s="144">
        <f t="shared" si="52"/>
        <v>13.66</v>
      </c>
      <c r="D130" s="144">
        <f>ROUND(INDEX(持仓数据!$C$3:$AG$26,MATCH('计算过程-数据汇总'!B130,持仓数据!$B$3:$B$26,0),MATCH('计算过程-数据汇总'!A130,'维护-日期'!$B$2:$AF$2,0)),3)</f>
        <v>13.66</v>
      </c>
      <c r="E130" s="98">
        <f t="shared" si="53"/>
        <v>13.66</v>
      </c>
      <c r="F130" s="22">
        <f>持仓数据!H80</f>
        <v>0.122</v>
      </c>
      <c r="G130" s="97">
        <v>372</v>
      </c>
      <c r="H130" s="97">
        <v>372</v>
      </c>
      <c r="I130" s="64">
        <v>0</v>
      </c>
      <c r="J130" s="64">
        <v>0</v>
      </c>
      <c r="K130" s="21">
        <f>IF(持仓数据!H113="",0,持仓数据!H113)</f>
        <v>372</v>
      </c>
      <c r="L130" s="21">
        <f t="shared" si="54"/>
        <v>0</v>
      </c>
      <c r="M130" s="28">
        <f t="shared" ref="M130:M193" si="67">IFERROR(C130*G130,0)</f>
        <v>5081.5200000000004</v>
      </c>
      <c r="N130" s="28">
        <f t="shared" ref="N130:N193" si="68">IFERROR((D130-C130)*(G130-H130),0)</f>
        <v>0</v>
      </c>
      <c r="O130" s="28">
        <f t="shared" ref="O130:O193" si="69">IFERROR((E130-D130)*(G130-H130),0)</f>
        <v>0</v>
      </c>
      <c r="P130" s="28">
        <f t="shared" ref="P130:P193" si="70">IFERROR(F130*(K130-G130),0)</f>
        <v>0</v>
      </c>
      <c r="Q130" s="28">
        <f t="shared" si="55"/>
        <v>0</v>
      </c>
      <c r="R130" s="28">
        <f t="shared" ref="R130:R193" si="71">IFERROR(K130*C130,0)</f>
        <v>5081.5200000000004</v>
      </c>
      <c r="S130" s="28">
        <f t="shared" si="56"/>
        <v>0</v>
      </c>
      <c r="T130" s="28">
        <f t="shared" si="57"/>
        <v>0</v>
      </c>
      <c r="U130" s="28">
        <f t="shared" si="60"/>
        <v>0</v>
      </c>
      <c r="V130" s="28">
        <f t="shared" si="58"/>
        <v>0</v>
      </c>
      <c r="W130" s="118"/>
      <c r="X130" s="143">
        <f t="shared" si="59"/>
        <v>16.27</v>
      </c>
      <c r="Y130" s="121">
        <f>交易记录!I13</f>
        <v>0.122</v>
      </c>
      <c r="Z130" s="121">
        <f>交易记录!I44</f>
        <v>372</v>
      </c>
      <c r="AA130" s="30">
        <f t="shared" ref="AA130:AA193" si="72">IFERROR((Z130-G130)*Y130,0)</f>
        <v>0</v>
      </c>
      <c r="AB130" s="124">
        <f>交易记录!I77</f>
        <v>0</v>
      </c>
      <c r="AC130" s="124">
        <f>交易记录!I108</f>
        <v>0</v>
      </c>
      <c r="AD130" s="30">
        <f t="shared" si="66"/>
        <v>0</v>
      </c>
      <c r="AE130" s="121">
        <f>交易记录!I141</f>
        <v>0</v>
      </c>
      <c r="AF130" s="121">
        <f>交易记录!I172</f>
        <v>0</v>
      </c>
      <c r="AG130" s="30">
        <f t="shared" si="62"/>
        <v>0</v>
      </c>
      <c r="AH130" s="124">
        <f>交易记录!I205</f>
        <v>0</v>
      </c>
      <c r="AI130" s="124">
        <f>交易记录!I236</f>
        <v>0</v>
      </c>
      <c r="AJ130" s="30">
        <f t="shared" si="65"/>
        <v>0</v>
      </c>
      <c r="AK130" s="121">
        <f>交易记录!I269</f>
        <v>0</v>
      </c>
      <c r="AL130" s="121">
        <f>交易记录!I300</f>
        <v>0</v>
      </c>
      <c r="AM130" s="30">
        <f t="shared" si="64"/>
        <v>0</v>
      </c>
      <c r="AN130" s="124">
        <f>交易记录!I333</f>
        <v>0</v>
      </c>
      <c r="AO130" s="124">
        <f>交易记录!I364</f>
        <v>0</v>
      </c>
      <c r="AP130" s="30">
        <f t="shared" si="61"/>
        <v>0</v>
      </c>
      <c r="AQ130" s="121">
        <f>交易记录!I397</f>
        <v>0</v>
      </c>
      <c r="AR130" s="121">
        <f>交易记录!I428</f>
        <v>0</v>
      </c>
      <c r="AS130" s="30">
        <f t="shared" si="63"/>
        <v>0</v>
      </c>
      <c r="AT130" s="124">
        <f>交易记录!I461</f>
        <v>0</v>
      </c>
      <c r="AU130" s="124">
        <f>交易记录!I492</f>
        <v>0</v>
      </c>
      <c r="AV130" s="30">
        <f t="shared" ref="AV130:AV193" si="73">IFERROR((AU130-$G130)*AT130,0)</f>
        <v>0</v>
      </c>
      <c r="AW130" s="121">
        <f>交易记录!I525</f>
        <v>0</v>
      </c>
      <c r="AX130" s="121">
        <f>交易记录!I556</f>
        <v>0</v>
      </c>
      <c r="AY130" s="30">
        <f t="shared" ref="AY130:AY193" si="74">IFERROR((AX130-$G130)*AW130,0)</f>
        <v>0</v>
      </c>
      <c r="AZ130" s="124">
        <f>交易记录!I589</f>
        <v>0</v>
      </c>
      <c r="BA130" s="124">
        <f>交易记录!I620</f>
        <v>0</v>
      </c>
      <c r="BB130" s="30">
        <f t="shared" ref="BB130:BB193" si="75">IFERROR((BA130-$G130)*AZ130,0)</f>
        <v>0</v>
      </c>
      <c r="BC130" s="121">
        <f>交易记录!I653</f>
        <v>0</v>
      </c>
      <c r="BD130" s="121">
        <f>交易记录!I684</f>
        <v>0</v>
      </c>
      <c r="BE130" s="30">
        <f t="shared" ref="BE130:BE193" si="76">IFERROR((BD130-$G130)*BC130,0)</f>
        <v>0</v>
      </c>
      <c r="BF130" s="124">
        <f>交易记录!I717</f>
        <v>0</v>
      </c>
      <c r="BG130" s="124">
        <f>交易记录!I748</f>
        <v>0</v>
      </c>
      <c r="BH130" s="30">
        <f t="shared" ref="BH130:BH193" si="77">IFERROR((BG130-$G130)*BF130,0)</f>
        <v>0</v>
      </c>
      <c r="BI130" s="121">
        <f>交易记录!I781</f>
        <v>0</v>
      </c>
      <c r="BJ130" s="121">
        <f>交易记录!I812</f>
        <v>0</v>
      </c>
      <c r="BK130" s="30">
        <f t="shared" ref="BK130:BK193" si="78">IFERROR((BJ130-$G130)*BI130,0)</f>
        <v>0</v>
      </c>
      <c r="BL130" s="124">
        <f>交易记录!I845</f>
        <v>0</v>
      </c>
      <c r="BM130" s="124">
        <f>交易记录!I876</f>
        <v>0</v>
      </c>
      <c r="BN130" s="30">
        <f t="shared" ref="BN130:BN193" si="79">IFERROR((BM130-$G130)*BL130,0)</f>
        <v>0</v>
      </c>
      <c r="BO130" s="121">
        <f>交易记录!I909</f>
        <v>0</v>
      </c>
      <c r="BP130" s="121">
        <f>交易记录!I940</f>
        <v>0</v>
      </c>
      <c r="BQ130" s="30">
        <f t="shared" ref="BQ130:BQ193" si="80">IFERROR((BP130-$G130)*BO130,0)</f>
        <v>0</v>
      </c>
    </row>
    <row r="131" spans="1:69" ht="15">
      <c r="A131" s="125">
        <f>'维护-日期'!A$8</f>
        <v>46271</v>
      </c>
      <c r="B131" s="7" t="s">
        <v>15</v>
      </c>
      <c r="C131" s="144">
        <f t="shared" ref="C131:C194" si="81">D131</f>
        <v>16.832999999999998</v>
      </c>
      <c r="D131" s="144">
        <f>ROUND(INDEX(持仓数据!$C$3:$AG$26,MATCH('计算过程-数据汇总'!B131,持仓数据!$B$3:$B$26,0),MATCH('计算过程-数据汇总'!A131,'维护-日期'!$B$2:$AF$2,0)),3)</f>
        <v>16.832999999999998</v>
      </c>
      <c r="E131" s="98">
        <f t="shared" ref="E131:E194" si="82">D131*1</f>
        <v>16.832999999999998</v>
      </c>
      <c r="F131" s="22">
        <f>持仓数据!H81</f>
        <v>0.127</v>
      </c>
      <c r="G131" s="97">
        <v>372</v>
      </c>
      <c r="H131" s="97">
        <v>372</v>
      </c>
      <c r="I131" s="64">
        <v>0</v>
      </c>
      <c r="J131" s="64">
        <v>0</v>
      </c>
      <c r="K131" s="21">
        <f>IF(持仓数据!H114="",0,持仓数据!H114)</f>
        <v>372</v>
      </c>
      <c r="L131" s="21">
        <f t="shared" ref="L131:L194" si="83">I131*J131</f>
        <v>0</v>
      </c>
      <c r="M131" s="28">
        <f t="shared" si="67"/>
        <v>6261.8759999999993</v>
      </c>
      <c r="N131" s="28">
        <f t="shared" si="68"/>
        <v>0</v>
      </c>
      <c r="O131" s="28">
        <f t="shared" si="69"/>
        <v>0</v>
      </c>
      <c r="P131" s="28">
        <f t="shared" si="70"/>
        <v>0</v>
      </c>
      <c r="Q131" s="28">
        <f t="shared" ref="Q131:Q194" si="84">IFERROR(IF(ABS((E131-C131)/C131)&gt;0.2,IF(SUM(N131:O131)&lt;0,ABS(G131-H131)*(ABS(C131-E131)-C131*0.2),0),0),IF(SUM(N131:O131)&lt;0,ABS(G131-H131)*(ABS(C131-E131)-C131*0.2),0))</f>
        <v>0</v>
      </c>
      <c r="R131" s="28">
        <f t="shared" si="71"/>
        <v>6261.8759999999993</v>
      </c>
      <c r="S131" s="28">
        <f t="shared" ref="S131:S194" si="85">IFERROR((D131-E131)*(K131-G131),0)</f>
        <v>0</v>
      </c>
      <c r="T131" s="28">
        <f t="shared" ref="T131:T194" si="86">IFERROR((F131-D131)*(K131-G131),0)</f>
        <v>0</v>
      </c>
      <c r="U131" s="28">
        <f t="shared" si="60"/>
        <v>0</v>
      </c>
      <c r="V131" s="28">
        <f t="shared" ref="V131:V194" si="87">IFERROR((E131-D131)*(K131-H131),0)</f>
        <v>0</v>
      </c>
      <c r="W131" s="118"/>
      <c r="X131" s="143">
        <f t="shared" ref="X131:X194" si="88">ROUND(D131*1.2-SUM(Y131,AB131,AE131,AH131,AK131,AN131,AQ131,AT131,AW131,AZ131,BC131,BF131,BI131,BL131,BO131),3)</f>
        <v>20.073</v>
      </c>
      <c r="Y131" s="121">
        <f>交易记录!I14</f>
        <v>0.127</v>
      </c>
      <c r="Z131" s="121">
        <f>交易记录!I45</f>
        <v>372</v>
      </c>
      <c r="AA131" s="30">
        <f t="shared" si="72"/>
        <v>0</v>
      </c>
      <c r="AB131" s="124">
        <f>交易记录!I78</f>
        <v>0</v>
      </c>
      <c r="AC131" s="124">
        <f>交易记录!I109</f>
        <v>0</v>
      </c>
      <c r="AD131" s="30">
        <f t="shared" si="66"/>
        <v>0</v>
      </c>
      <c r="AE131" s="121">
        <f>交易记录!I142</f>
        <v>0</v>
      </c>
      <c r="AF131" s="121">
        <f>交易记录!I173</f>
        <v>0</v>
      </c>
      <c r="AG131" s="30">
        <f t="shared" si="62"/>
        <v>0</v>
      </c>
      <c r="AH131" s="124">
        <f>交易记录!I206</f>
        <v>0</v>
      </c>
      <c r="AI131" s="124">
        <f>交易记录!I237</f>
        <v>0</v>
      </c>
      <c r="AJ131" s="30">
        <f t="shared" si="65"/>
        <v>0</v>
      </c>
      <c r="AK131" s="121">
        <f>交易记录!I270</f>
        <v>0</v>
      </c>
      <c r="AL131" s="121">
        <f>交易记录!I301</f>
        <v>0</v>
      </c>
      <c r="AM131" s="30">
        <f t="shared" si="64"/>
        <v>0</v>
      </c>
      <c r="AN131" s="124">
        <f>交易记录!I334</f>
        <v>0</v>
      </c>
      <c r="AO131" s="124">
        <f>交易记录!I365</f>
        <v>0</v>
      </c>
      <c r="AP131" s="30">
        <f t="shared" si="61"/>
        <v>0</v>
      </c>
      <c r="AQ131" s="121">
        <f>交易记录!I398</f>
        <v>0</v>
      </c>
      <c r="AR131" s="121">
        <f>交易记录!I429</f>
        <v>0</v>
      </c>
      <c r="AS131" s="30">
        <f t="shared" si="63"/>
        <v>0</v>
      </c>
      <c r="AT131" s="124">
        <f>交易记录!I462</f>
        <v>0</v>
      </c>
      <c r="AU131" s="124">
        <f>交易记录!I493</f>
        <v>0</v>
      </c>
      <c r="AV131" s="30">
        <f t="shared" si="73"/>
        <v>0</v>
      </c>
      <c r="AW131" s="121">
        <f>交易记录!I526</f>
        <v>0</v>
      </c>
      <c r="AX131" s="121">
        <f>交易记录!I557</f>
        <v>0</v>
      </c>
      <c r="AY131" s="30">
        <f t="shared" si="74"/>
        <v>0</v>
      </c>
      <c r="AZ131" s="124">
        <f>交易记录!I590</f>
        <v>0</v>
      </c>
      <c r="BA131" s="124">
        <f>交易记录!I621</f>
        <v>0</v>
      </c>
      <c r="BB131" s="30">
        <f t="shared" si="75"/>
        <v>0</v>
      </c>
      <c r="BC131" s="121">
        <f>交易记录!I654</f>
        <v>0</v>
      </c>
      <c r="BD131" s="121">
        <f>交易记录!I685</f>
        <v>0</v>
      </c>
      <c r="BE131" s="30">
        <f t="shared" si="76"/>
        <v>0</v>
      </c>
      <c r="BF131" s="124">
        <f>交易记录!I718</f>
        <v>0</v>
      </c>
      <c r="BG131" s="124">
        <f>交易记录!I749</f>
        <v>0</v>
      </c>
      <c r="BH131" s="30">
        <f t="shared" si="77"/>
        <v>0</v>
      </c>
      <c r="BI131" s="121">
        <f>交易记录!I782</f>
        <v>0</v>
      </c>
      <c r="BJ131" s="121">
        <f>交易记录!I813</f>
        <v>0</v>
      </c>
      <c r="BK131" s="30">
        <f t="shared" si="78"/>
        <v>0</v>
      </c>
      <c r="BL131" s="124">
        <f>交易记录!I846</f>
        <v>0</v>
      </c>
      <c r="BM131" s="124">
        <f>交易记录!I877</f>
        <v>0</v>
      </c>
      <c r="BN131" s="30">
        <f t="shared" si="79"/>
        <v>0</v>
      </c>
      <c r="BO131" s="121">
        <f>交易记录!I910</f>
        <v>0</v>
      </c>
      <c r="BP131" s="121">
        <f>交易记录!I941</f>
        <v>0</v>
      </c>
      <c r="BQ131" s="30">
        <f t="shared" si="80"/>
        <v>0</v>
      </c>
    </row>
    <row r="132" spans="1:69" ht="15">
      <c r="A132" s="125">
        <f>'维护-日期'!A$8</f>
        <v>46271</v>
      </c>
      <c r="B132" s="7" t="s">
        <v>16</v>
      </c>
      <c r="C132" s="144">
        <f t="shared" si="81"/>
        <v>18.838999999999999</v>
      </c>
      <c r="D132" s="144">
        <f>ROUND(INDEX(持仓数据!$C$3:$AG$26,MATCH('计算过程-数据汇总'!B132,持仓数据!$B$3:$B$26,0),MATCH('计算过程-数据汇总'!A132,'维护-日期'!$B$2:$AF$2,0)),3)</f>
        <v>18.838999999999999</v>
      </c>
      <c r="E132" s="98">
        <f t="shared" si="82"/>
        <v>18.838999999999999</v>
      </c>
      <c r="F132" s="22">
        <f>持仓数据!H82</f>
        <v>0.128</v>
      </c>
      <c r="G132" s="97">
        <v>372</v>
      </c>
      <c r="H132" s="97">
        <v>372</v>
      </c>
      <c r="I132" s="64">
        <v>0</v>
      </c>
      <c r="J132" s="64">
        <v>0</v>
      </c>
      <c r="K132" s="21">
        <f>IF(持仓数据!H115="",0,持仓数据!H115)</f>
        <v>372</v>
      </c>
      <c r="L132" s="21">
        <f t="shared" si="83"/>
        <v>0</v>
      </c>
      <c r="M132" s="28">
        <f t="shared" si="67"/>
        <v>7008.1079999999993</v>
      </c>
      <c r="N132" s="28">
        <f t="shared" si="68"/>
        <v>0</v>
      </c>
      <c r="O132" s="28">
        <f t="shared" si="69"/>
        <v>0</v>
      </c>
      <c r="P132" s="28">
        <f t="shared" si="70"/>
        <v>0</v>
      </c>
      <c r="Q132" s="28">
        <f t="shared" si="84"/>
        <v>0</v>
      </c>
      <c r="R132" s="28">
        <f t="shared" si="71"/>
        <v>7008.1079999999993</v>
      </c>
      <c r="S132" s="28">
        <f t="shared" si="85"/>
        <v>0</v>
      </c>
      <c r="T132" s="28">
        <f t="shared" si="86"/>
        <v>0</v>
      </c>
      <c r="U132" s="28">
        <f t="shared" ref="U132:U195" si="89">IFERROR((D132-C132)*(K132-H132),0)</f>
        <v>0</v>
      </c>
      <c r="V132" s="28">
        <f t="shared" si="87"/>
        <v>0</v>
      </c>
      <c r="W132" s="118"/>
      <c r="X132" s="143">
        <f t="shared" si="88"/>
        <v>22.478999999999999</v>
      </c>
      <c r="Y132" s="121">
        <f>交易记录!I15</f>
        <v>0.128</v>
      </c>
      <c r="Z132" s="121">
        <f>交易记录!I46</f>
        <v>372</v>
      </c>
      <c r="AA132" s="30">
        <f t="shared" si="72"/>
        <v>0</v>
      </c>
      <c r="AB132" s="124">
        <f>交易记录!I79</f>
        <v>0</v>
      </c>
      <c r="AC132" s="124">
        <f>交易记录!I110</f>
        <v>0</v>
      </c>
      <c r="AD132" s="30">
        <f t="shared" si="66"/>
        <v>0</v>
      </c>
      <c r="AE132" s="121">
        <f>交易记录!I143</f>
        <v>0</v>
      </c>
      <c r="AF132" s="121">
        <f>交易记录!I174</f>
        <v>0</v>
      </c>
      <c r="AG132" s="30">
        <f t="shared" si="62"/>
        <v>0</v>
      </c>
      <c r="AH132" s="124">
        <f>交易记录!I207</f>
        <v>0</v>
      </c>
      <c r="AI132" s="124">
        <f>交易记录!I238</f>
        <v>0</v>
      </c>
      <c r="AJ132" s="30">
        <f t="shared" si="65"/>
        <v>0</v>
      </c>
      <c r="AK132" s="121">
        <f>交易记录!I271</f>
        <v>0</v>
      </c>
      <c r="AL132" s="121">
        <f>交易记录!I302</f>
        <v>0</v>
      </c>
      <c r="AM132" s="30">
        <f t="shared" si="64"/>
        <v>0</v>
      </c>
      <c r="AN132" s="124">
        <f>交易记录!I335</f>
        <v>0</v>
      </c>
      <c r="AO132" s="124">
        <f>交易记录!I366</f>
        <v>0</v>
      </c>
      <c r="AP132" s="30">
        <f t="shared" si="61"/>
        <v>0</v>
      </c>
      <c r="AQ132" s="121">
        <f>交易记录!I399</f>
        <v>0</v>
      </c>
      <c r="AR132" s="121">
        <f>交易记录!I430</f>
        <v>0</v>
      </c>
      <c r="AS132" s="30">
        <f t="shared" si="63"/>
        <v>0</v>
      </c>
      <c r="AT132" s="124">
        <f>交易记录!I463</f>
        <v>0</v>
      </c>
      <c r="AU132" s="124">
        <f>交易记录!I494</f>
        <v>0</v>
      </c>
      <c r="AV132" s="30">
        <f t="shared" si="73"/>
        <v>0</v>
      </c>
      <c r="AW132" s="121">
        <f>交易记录!I527</f>
        <v>0</v>
      </c>
      <c r="AX132" s="121">
        <f>交易记录!I558</f>
        <v>0</v>
      </c>
      <c r="AY132" s="30">
        <f t="shared" si="74"/>
        <v>0</v>
      </c>
      <c r="AZ132" s="124">
        <f>交易记录!I591</f>
        <v>0</v>
      </c>
      <c r="BA132" s="124">
        <f>交易记录!I622</f>
        <v>0</v>
      </c>
      <c r="BB132" s="30">
        <f t="shared" si="75"/>
        <v>0</v>
      </c>
      <c r="BC132" s="121">
        <f>交易记录!I655</f>
        <v>0</v>
      </c>
      <c r="BD132" s="121">
        <f>交易记录!I686</f>
        <v>0</v>
      </c>
      <c r="BE132" s="30">
        <f t="shared" si="76"/>
        <v>0</v>
      </c>
      <c r="BF132" s="124">
        <f>交易记录!I719</f>
        <v>0</v>
      </c>
      <c r="BG132" s="124">
        <f>交易记录!I750</f>
        <v>0</v>
      </c>
      <c r="BH132" s="30">
        <f t="shared" si="77"/>
        <v>0</v>
      </c>
      <c r="BI132" s="121">
        <f>交易记录!I783</f>
        <v>0</v>
      </c>
      <c r="BJ132" s="121">
        <f>交易记录!I814</f>
        <v>0</v>
      </c>
      <c r="BK132" s="30">
        <f t="shared" si="78"/>
        <v>0</v>
      </c>
      <c r="BL132" s="124">
        <f>交易记录!I847</f>
        <v>0</v>
      </c>
      <c r="BM132" s="124">
        <f>交易记录!I878</f>
        <v>0</v>
      </c>
      <c r="BN132" s="30">
        <f t="shared" si="79"/>
        <v>0</v>
      </c>
      <c r="BO132" s="121">
        <f>交易记录!I911</f>
        <v>0</v>
      </c>
      <c r="BP132" s="121">
        <f>交易记录!I942</f>
        <v>0</v>
      </c>
      <c r="BQ132" s="30">
        <f t="shared" si="80"/>
        <v>0</v>
      </c>
    </row>
    <row r="133" spans="1:69" ht="15">
      <c r="A133" s="125">
        <f>'维护-日期'!A$8</f>
        <v>46271</v>
      </c>
      <c r="B133" s="7" t="s">
        <v>17</v>
      </c>
      <c r="C133" s="144">
        <f t="shared" si="81"/>
        <v>19.346</v>
      </c>
      <c r="D133" s="144">
        <f>ROUND(INDEX(持仓数据!$C$3:$AG$26,MATCH('计算过程-数据汇总'!B133,持仓数据!$B$3:$B$26,0),MATCH('计算过程-数据汇总'!A133,'维护-日期'!$B$2:$AF$2,0)),3)</f>
        <v>19.346</v>
      </c>
      <c r="E133" s="98">
        <f t="shared" si="82"/>
        <v>19.346</v>
      </c>
      <c r="F133" s="22">
        <f>持仓数据!H83</f>
        <v>0.13</v>
      </c>
      <c r="G133" s="97">
        <v>372</v>
      </c>
      <c r="H133" s="97">
        <v>372</v>
      </c>
      <c r="I133" s="64">
        <v>0</v>
      </c>
      <c r="J133" s="64">
        <v>0</v>
      </c>
      <c r="K133" s="21">
        <f>IF(持仓数据!H116="",0,持仓数据!H116)</f>
        <v>372</v>
      </c>
      <c r="L133" s="21">
        <f t="shared" si="83"/>
        <v>0</v>
      </c>
      <c r="M133" s="28">
        <f t="shared" si="67"/>
        <v>7196.7120000000004</v>
      </c>
      <c r="N133" s="28">
        <f t="shared" si="68"/>
        <v>0</v>
      </c>
      <c r="O133" s="28">
        <f t="shared" si="69"/>
        <v>0</v>
      </c>
      <c r="P133" s="28">
        <f t="shared" si="70"/>
        <v>0</v>
      </c>
      <c r="Q133" s="28">
        <f t="shared" si="84"/>
        <v>0</v>
      </c>
      <c r="R133" s="28">
        <f t="shared" si="71"/>
        <v>7196.7120000000004</v>
      </c>
      <c r="S133" s="28">
        <f t="shared" si="85"/>
        <v>0</v>
      </c>
      <c r="T133" s="28">
        <f t="shared" si="86"/>
        <v>0</v>
      </c>
      <c r="U133" s="28">
        <f t="shared" si="89"/>
        <v>0</v>
      </c>
      <c r="V133" s="28">
        <f t="shared" si="87"/>
        <v>0</v>
      </c>
      <c r="W133" s="118"/>
      <c r="X133" s="143">
        <f t="shared" si="88"/>
        <v>23.085000000000001</v>
      </c>
      <c r="Y133" s="121">
        <f>交易记录!I16</f>
        <v>0.13</v>
      </c>
      <c r="Z133" s="121">
        <f>交易记录!I47</f>
        <v>372</v>
      </c>
      <c r="AA133" s="30">
        <f t="shared" si="72"/>
        <v>0</v>
      </c>
      <c r="AB133" s="124">
        <f>交易记录!I80</f>
        <v>0</v>
      </c>
      <c r="AC133" s="124">
        <f>交易记录!I111</f>
        <v>0</v>
      </c>
      <c r="AD133" s="30">
        <f t="shared" si="66"/>
        <v>0</v>
      </c>
      <c r="AE133" s="121">
        <f>交易记录!I144</f>
        <v>0</v>
      </c>
      <c r="AF133" s="121">
        <f>交易记录!I175</f>
        <v>0</v>
      </c>
      <c r="AG133" s="30">
        <f t="shared" si="62"/>
        <v>0</v>
      </c>
      <c r="AH133" s="124">
        <f>交易记录!I208</f>
        <v>0</v>
      </c>
      <c r="AI133" s="124">
        <f>交易记录!I239</f>
        <v>0</v>
      </c>
      <c r="AJ133" s="30">
        <f t="shared" si="65"/>
        <v>0</v>
      </c>
      <c r="AK133" s="121">
        <f>交易记录!I272</f>
        <v>0</v>
      </c>
      <c r="AL133" s="121">
        <f>交易记录!I303</f>
        <v>0</v>
      </c>
      <c r="AM133" s="30">
        <f t="shared" si="64"/>
        <v>0</v>
      </c>
      <c r="AN133" s="124">
        <f>交易记录!I336</f>
        <v>0</v>
      </c>
      <c r="AO133" s="124">
        <f>交易记录!I367</f>
        <v>0</v>
      </c>
      <c r="AP133" s="30">
        <f t="shared" si="61"/>
        <v>0</v>
      </c>
      <c r="AQ133" s="121">
        <f>交易记录!I400</f>
        <v>0</v>
      </c>
      <c r="AR133" s="121">
        <f>交易记录!I431</f>
        <v>0</v>
      </c>
      <c r="AS133" s="30">
        <f t="shared" si="63"/>
        <v>0</v>
      </c>
      <c r="AT133" s="124">
        <f>交易记录!I464</f>
        <v>0</v>
      </c>
      <c r="AU133" s="124">
        <f>交易记录!I495</f>
        <v>0</v>
      </c>
      <c r="AV133" s="30">
        <f t="shared" si="73"/>
        <v>0</v>
      </c>
      <c r="AW133" s="121">
        <f>交易记录!I528</f>
        <v>0</v>
      </c>
      <c r="AX133" s="121">
        <f>交易记录!I559</f>
        <v>0</v>
      </c>
      <c r="AY133" s="30">
        <f t="shared" si="74"/>
        <v>0</v>
      </c>
      <c r="AZ133" s="124">
        <f>交易记录!I592</f>
        <v>0</v>
      </c>
      <c r="BA133" s="124">
        <f>交易记录!I623</f>
        <v>0</v>
      </c>
      <c r="BB133" s="30">
        <f t="shared" si="75"/>
        <v>0</v>
      </c>
      <c r="BC133" s="121">
        <f>交易记录!I656</f>
        <v>0</v>
      </c>
      <c r="BD133" s="121">
        <f>交易记录!I687</f>
        <v>0</v>
      </c>
      <c r="BE133" s="30">
        <f t="shared" si="76"/>
        <v>0</v>
      </c>
      <c r="BF133" s="124">
        <f>交易记录!I720</f>
        <v>0</v>
      </c>
      <c r="BG133" s="124">
        <f>交易记录!I751</f>
        <v>0</v>
      </c>
      <c r="BH133" s="30">
        <f t="shared" si="77"/>
        <v>0</v>
      </c>
      <c r="BI133" s="121">
        <f>交易记录!I784</f>
        <v>0</v>
      </c>
      <c r="BJ133" s="121">
        <f>交易记录!I815</f>
        <v>0</v>
      </c>
      <c r="BK133" s="30">
        <f t="shared" si="78"/>
        <v>0</v>
      </c>
      <c r="BL133" s="124">
        <f>交易记录!I848</f>
        <v>0</v>
      </c>
      <c r="BM133" s="124">
        <f>交易记录!I879</f>
        <v>0</v>
      </c>
      <c r="BN133" s="30">
        <f t="shared" si="79"/>
        <v>0</v>
      </c>
      <c r="BO133" s="121">
        <f>交易记录!I912</f>
        <v>0</v>
      </c>
      <c r="BP133" s="121">
        <f>交易记录!I943</f>
        <v>0</v>
      </c>
      <c r="BQ133" s="30">
        <f t="shared" si="80"/>
        <v>0</v>
      </c>
    </row>
    <row r="134" spans="1:69" ht="15">
      <c r="A134" s="125">
        <f>'维护-日期'!A$8</f>
        <v>46271</v>
      </c>
      <c r="B134" s="7" t="s">
        <v>18</v>
      </c>
      <c r="C134" s="144">
        <f t="shared" si="81"/>
        <v>20.166</v>
      </c>
      <c r="D134" s="144">
        <f>ROUND(INDEX(持仓数据!$C$3:$AG$26,MATCH('计算过程-数据汇总'!B134,持仓数据!$B$3:$B$26,0),MATCH('计算过程-数据汇总'!A134,'维护-日期'!$B$2:$AF$2,0)),3)</f>
        <v>20.166</v>
      </c>
      <c r="E134" s="98">
        <f t="shared" si="82"/>
        <v>20.166</v>
      </c>
      <c r="F134" s="22">
        <f>持仓数据!H84</f>
        <v>6.0999999999999999E-2</v>
      </c>
      <c r="G134" s="97">
        <v>372</v>
      </c>
      <c r="H134" s="97">
        <v>372</v>
      </c>
      <c r="I134" s="64">
        <v>0</v>
      </c>
      <c r="J134" s="64">
        <v>0</v>
      </c>
      <c r="K134" s="21">
        <f>IF(持仓数据!H117="",0,持仓数据!H117)</f>
        <v>372</v>
      </c>
      <c r="L134" s="21">
        <f t="shared" si="83"/>
        <v>0</v>
      </c>
      <c r="M134" s="28">
        <f t="shared" si="67"/>
        <v>7501.7520000000004</v>
      </c>
      <c r="N134" s="28">
        <f t="shared" si="68"/>
        <v>0</v>
      </c>
      <c r="O134" s="28">
        <f t="shared" si="69"/>
        <v>0</v>
      </c>
      <c r="P134" s="28">
        <f t="shared" si="70"/>
        <v>0</v>
      </c>
      <c r="Q134" s="28">
        <f t="shared" si="84"/>
        <v>0</v>
      </c>
      <c r="R134" s="28">
        <f t="shared" si="71"/>
        <v>7501.7520000000004</v>
      </c>
      <c r="S134" s="28">
        <f t="shared" si="85"/>
        <v>0</v>
      </c>
      <c r="T134" s="28">
        <f t="shared" si="86"/>
        <v>0</v>
      </c>
      <c r="U134" s="28">
        <f t="shared" si="89"/>
        <v>0</v>
      </c>
      <c r="V134" s="28">
        <f t="shared" si="87"/>
        <v>0</v>
      </c>
      <c r="W134" s="118"/>
      <c r="X134" s="143">
        <f t="shared" si="88"/>
        <v>24.138000000000002</v>
      </c>
      <c r="Y134" s="121">
        <f>交易记录!I17</f>
        <v>6.0999999999999999E-2</v>
      </c>
      <c r="Z134" s="121">
        <f>交易记录!I48</f>
        <v>372</v>
      </c>
      <c r="AA134" s="30">
        <f t="shared" si="72"/>
        <v>0</v>
      </c>
      <c r="AB134" s="124">
        <f>交易记录!I81</f>
        <v>0</v>
      </c>
      <c r="AC134" s="124">
        <f>交易记录!I112</f>
        <v>0</v>
      </c>
      <c r="AD134" s="30">
        <f t="shared" si="66"/>
        <v>0</v>
      </c>
      <c r="AE134" s="121">
        <f>交易记录!I145</f>
        <v>0</v>
      </c>
      <c r="AF134" s="121">
        <f>交易记录!I176</f>
        <v>0</v>
      </c>
      <c r="AG134" s="30">
        <f t="shared" si="62"/>
        <v>0</v>
      </c>
      <c r="AH134" s="124">
        <f>交易记录!I209</f>
        <v>0</v>
      </c>
      <c r="AI134" s="124">
        <f>交易记录!I240</f>
        <v>0</v>
      </c>
      <c r="AJ134" s="30">
        <f t="shared" si="65"/>
        <v>0</v>
      </c>
      <c r="AK134" s="121">
        <f>交易记录!I273</f>
        <v>0</v>
      </c>
      <c r="AL134" s="121">
        <f>交易记录!I304</f>
        <v>0</v>
      </c>
      <c r="AM134" s="30">
        <f t="shared" si="64"/>
        <v>0</v>
      </c>
      <c r="AN134" s="124">
        <f>交易记录!I337</f>
        <v>0</v>
      </c>
      <c r="AO134" s="124">
        <f>交易记录!I368</f>
        <v>0</v>
      </c>
      <c r="AP134" s="30">
        <f t="shared" ref="AP134:AP197" si="90">IFERROR((AO134-$G134)*AN134,0)</f>
        <v>0</v>
      </c>
      <c r="AQ134" s="121">
        <f>交易记录!I401</f>
        <v>0</v>
      </c>
      <c r="AR134" s="121">
        <f>交易记录!I432</f>
        <v>0</v>
      </c>
      <c r="AS134" s="30">
        <f t="shared" si="63"/>
        <v>0</v>
      </c>
      <c r="AT134" s="124">
        <f>交易记录!I465</f>
        <v>0</v>
      </c>
      <c r="AU134" s="124">
        <f>交易记录!I496</f>
        <v>0</v>
      </c>
      <c r="AV134" s="30">
        <f t="shared" si="73"/>
        <v>0</v>
      </c>
      <c r="AW134" s="121">
        <f>交易记录!I529</f>
        <v>0</v>
      </c>
      <c r="AX134" s="121">
        <f>交易记录!I560</f>
        <v>0</v>
      </c>
      <c r="AY134" s="30">
        <f t="shared" si="74"/>
        <v>0</v>
      </c>
      <c r="AZ134" s="124">
        <f>交易记录!I593</f>
        <v>0</v>
      </c>
      <c r="BA134" s="124">
        <f>交易记录!I624</f>
        <v>0</v>
      </c>
      <c r="BB134" s="30">
        <f t="shared" si="75"/>
        <v>0</v>
      </c>
      <c r="BC134" s="121">
        <f>交易记录!I657</f>
        <v>0</v>
      </c>
      <c r="BD134" s="121">
        <f>交易记录!I688</f>
        <v>0</v>
      </c>
      <c r="BE134" s="30">
        <f t="shared" si="76"/>
        <v>0</v>
      </c>
      <c r="BF134" s="124">
        <f>交易记录!I721</f>
        <v>0</v>
      </c>
      <c r="BG134" s="124">
        <f>交易记录!I752</f>
        <v>0</v>
      </c>
      <c r="BH134" s="30">
        <f t="shared" si="77"/>
        <v>0</v>
      </c>
      <c r="BI134" s="121">
        <f>交易记录!I785</f>
        <v>0</v>
      </c>
      <c r="BJ134" s="121">
        <f>交易记录!I816</f>
        <v>0</v>
      </c>
      <c r="BK134" s="30">
        <f t="shared" si="78"/>
        <v>0</v>
      </c>
      <c r="BL134" s="124">
        <f>交易记录!I849</f>
        <v>0</v>
      </c>
      <c r="BM134" s="124">
        <f>交易记录!I880</f>
        <v>0</v>
      </c>
      <c r="BN134" s="30">
        <f t="shared" si="79"/>
        <v>0</v>
      </c>
      <c r="BO134" s="121">
        <f>交易记录!I913</f>
        <v>0</v>
      </c>
      <c r="BP134" s="121">
        <f>交易记录!I944</f>
        <v>0</v>
      </c>
      <c r="BQ134" s="30">
        <f t="shared" si="80"/>
        <v>0</v>
      </c>
    </row>
    <row r="135" spans="1:69" ht="15">
      <c r="A135" s="125">
        <f>'维护-日期'!A$8</f>
        <v>46271</v>
      </c>
      <c r="B135" s="7" t="s">
        <v>19</v>
      </c>
      <c r="C135" s="144">
        <f t="shared" si="81"/>
        <v>21.004999999999999</v>
      </c>
      <c r="D135" s="144">
        <f>ROUND(INDEX(持仓数据!$C$3:$AG$26,MATCH('计算过程-数据汇总'!B135,持仓数据!$B$3:$B$26,0),MATCH('计算过程-数据汇总'!A135,'维护-日期'!$B$2:$AF$2,0)),3)</f>
        <v>21.004999999999999</v>
      </c>
      <c r="E135" s="98">
        <f t="shared" si="82"/>
        <v>21.004999999999999</v>
      </c>
      <c r="F135" s="22">
        <f>持仓数据!H85</f>
        <v>8.1000000000000003E-2</v>
      </c>
      <c r="G135" s="97">
        <v>372</v>
      </c>
      <c r="H135" s="97">
        <v>372</v>
      </c>
      <c r="I135" s="64">
        <v>0</v>
      </c>
      <c r="J135" s="64">
        <v>0</v>
      </c>
      <c r="K135" s="21">
        <f>IF(持仓数据!H118="",0,持仓数据!H118)</f>
        <v>372</v>
      </c>
      <c r="L135" s="21">
        <f t="shared" si="83"/>
        <v>0</v>
      </c>
      <c r="M135" s="28">
        <f t="shared" si="67"/>
        <v>7813.86</v>
      </c>
      <c r="N135" s="28">
        <f t="shared" si="68"/>
        <v>0</v>
      </c>
      <c r="O135" s="28">
        <f t="shared" si="69"/>
        <v>0</v>
      </c>
      <c r="P135" s="28">
        <f t="shared" si="70"/>
        <v>0</v>
      </c>
      <c r="Q135" s="28">
        <f t="shared" si="84"/>
        <v>0</v>
      </c>
      <c r="R135" s="28">
        <f t="shared" si="71"/>
        <v>7813.86</v>
      </c>
      <c r="S135" s="28">
        <f t="shared" si="85"/>
        <v>0</v>
      </c>
      <c r="T135" s="28">
        <f t="shared" si="86"/>
        <v>0</v>
      </c>
      <c r="U135" s="28">
        <f t="shared" si="89"/>
        <v>0</v>
      </c>
      <c r="V135" s="28">
        <f t="shared" si="87"/>
        <v>0</v>
      </c>
      <c r="W135" s="118"/>
      <c r="X135" s="143">
        <f t="shared" si="88"/>
        <v>25.125</v>
      </c>
      <c r="Y135" s="121">
        <f>交易记录!I18</f>
        <v>8.1000000000000003E-2</v>
      </c>
      <c r="Z135" s="121">
        <f>交易记录!I49</f>
        <v>372</v>
      </c>
      <c r="AA135" s="30">
        <f t="shared" si="72"/>
        <v>0</v>
      </c>
      <c r="AB135" s="124">
        <f>交易记录!I82</f>
        <v>0</v>
      </c>
      <c r="AC135" s="124">
        <f>交易记录!I113</f>
        <v>0</v>
      </c>
      <c r="AD135" s="30">
        <f t="shared" si="66"/>
        <v>0</v>
      </c>
      <c r="AE135" s="121">
        <f>交易记录!I146</f>
        <v>0</v>
      </c>
      <c r="AF135" s="121">
        <f>交易记录!I177</f>
        <v>0</v>
      </c>
      <c r="AG135" s="30">
        <f t="shared" ref="AG135:AG198" si="91">IFERROR((AF135-$G135)*AE135,0)</f>
        <v>0</v>
      </c>
      <c r="AH135" s="124">
        <f>交易记录!I210</f>
        <v>0</v>
      </c>
      <c r="AI135" s="124">
        <f>交易记录!I241</f>
        <v>0</v>
      </c>
      <c r="AJ135" s="30">
        <f t="shared" si="65"/>
        <v>0</v>
      </c>
      <c r="AK135" s="121">
        <f>交易记录!I274</f>
        <v>0</v>
      </c>
      <c r="AL135" s="121">
        <f>交易记录!I305</f>
        <v>0</v>
      </c>
      <c r="AM135" s="30">
        <f t="shared" si="64"/>
        <v>0</v>
      </c>
      <c r="AN135" s="124">
        <f>交易记录!I338</f>
        <v>0</v>
      </c>
      <c r="AO135" s="124">
        <f>交易记录!I369</f>
        <v>0</v>
      </c>
      <c r="AP135" s="30">
        <f t="shared" si="90"/>
        <v>0</v>
      </c>
      <c r="AQ135" s="121">
        <f>交易记录!I402</f>
        <v>0</v>
      </c>
      <c r="AR135" s="121">
        <f>交易记录!I433</f>
        <v>0</v>
      </c>
      <c r="AS135" s="30">
        <f t="shared" si="63"/>
        <v>0</v>
      </c>
      <c r="AT135" s="124">
        <f>交易记录!I466</f>
        <v>0</v>
      </c>
      <c r="AU135" s="124">
        <f>交易记录!I497</f>
        <v>0</v>
      </c>
      <c r="AV135" s="30">
        <f t="shared" si="73"/>
        <v>0</v>
      </c>
      <c r="AW135" s="121">
        <f>交易记录!I530</f>
        <v>0</v>
      </c>
      <c r="AX135" s="121">
        <f>交易记录!I561</f>
        <v>0</v>
      </c>
      <c r="AY135" s="30">
        <f t="shared" si="74"/>
        <v>0</v>
      </c>
      <c r="AZ135" s="124">
        <f>交易记录!I594</f>
        <v>0</v>
      </c>
      <c r="BA135" s="124">
        <f>交易记录!I625</f>
        <v>0</v>
      </c>
      <c r="BB135" s="30">
        <f t="shared" si="75"/>
        <v>0</v>
      </c>
      <c r="BC135" s="121">
        <f>交易记录!I658</f>
        <v>0</v>
      </c>
      <c r="BD135" s="121">
        <f>交易记录!I689</f>
        <v>0</v>
      </c>
      <c r="BE135" s="30">
        <f t="shared" si="76"/>
        <v>0</v>
      </c>
      <c r="BF135" s="124">
        <f>交易记录!I722</f>
        <v>0</v>
      </c>
      <c r="BG135" s="124">
        <f>交易记录!I753</f>
        <v>0</v>
      </c>
      <c r="BH135" s="30">
        <f t="shared" si="77"/>
        <v>0</v>
      </c>
      <c r="BI135" s="121">
        <f>交易记录!I786</f>
        <v>0</v>
      </c>
      <c r="BJ135" s="121">
        <f>交易记录!I817</f>
        <v>0</v>
      </c>
      <c r="BK135" s="30">
        <f t="shared" si="78"/>
        <v>0</v>
      </c>
      <c r="BL135" s="124">
        <f>交易记录!I850</f>
        <v>0</v>
      </c>
      <c r="BM135" s="124">
        <f>交易记录!I881</f>
        <v>0</v>
      </c>
      <c r="BN135" s="30">
        <f t="shared" si="79"/>
        <v>0</v>
      </c>
      <c r="BO135" s="121">
        <f>交易记录!I914</f>
        <v>0</v>
      </c>
      <c r="BP135" s="121">
        <f>交易记录!I945</f>
        <v>0</v>
      </c>
      <c r="BQ135" s="30">
        <f t="shared" si="80"/>
        <v>0</v>
      </c>
    </row>
    <row r="136" spans="1:69" ht="15">
      <c r="A136" s="125">
        <f>'维护-日期'!A$8</f>
        <v>46271</v>
      </c>
      <c r="B136" s="7" t="s">
        <v>20</v>
      </c>
      <c r="C136" s="144">
        <f t="shared" si="81"/>
        <v>20.777000000000001</v>
      </c>
      <c r="D136" s="144">
        <f>ROUND(INDEX(持仓数据!$C$3:$AG$26,MATCH('计算过程-数据汇总'!B136,持仓数据!$B$3:$B$26,0),MATCH('计算过程-数据汇总'!A136,'维护-日期'!$B$2:$AF$2,0)),3)</f>
        <v>20.777000000000001</v>
      </c>
      <c r="E136" s="98">
        <f t="shared" si="82"/>
        <v>20.777000000000001</v>
      </c>
      <c r="F136" s="22">
        <f>持仓数据!H86</f>
        <v>0.13</v>
      </c>
      <c r="G136" s="97">
        <v>372</v>
      </c>
      <c r="H136" s="97">
        <v>372</v>
      </c>
      <c r="I136" s="64">
        <v>0</v>
      </c>
      <c r="J136" s="64">
        <v>0</v>
      </c>
      <c r="K136" s="21">
        <f>IF(持仓数据!H119="",0,持仓数据!H119)</f>
        <v>372</v>
      </c>
      <c r="L136" s="21">
        <f t="shared" si="83"/>
        <v>0</v>
      </c>
      <c r="M136" s="28">
        <f t="shared" si="67"/>
        <v>7729.0440000000008</v>
      </c>
      <c r="N136" s="28">
        <f t="shared" si="68"/>
        <v>0</v>
      </c>
      <c r="O136" s="28">
        <f t="shared" si="69"/>
        <v>0</v>
      </c>
      <c r="P136" s="28">
        <f t="shared" si="70"/>
        <v>0</v>
      </c>
      <c r="Q136" s="28">
        <f t="shared" si="84"/>
        <v>0</v>
      </c>
      <c r="R136" s="28">
        <f t="shared" si="71"/>
        <v>7729.0440000000008</v>
      </c>
      <c r="S136" s="28">
        <f t="shared" si="85"/>
        <v>0</v>
      </c>
      <c r="T136" s="28">
        <f t="shared" si="86"/>
        <v>0</v>
      </c>
      <c r="U136" s="28">
        <f t="shared" si="89"/>
        <v>0</v>
      </c>
      <c r="V136" s="28">
        <f t="shared" si="87"/>
        <v>0</v>
      </c>
      <c r="W136" s="118"/>
      <c r="X136" s="143">
        <f t="shared" si="88"/>
        <v>24.802</v>
      </c>
      <c r="Y136" s="121">
        <f>交易记录!I19</f>
        <v>0.13</v>
      </c>
      <c r="Z136" s="121">
        <f>交易记录!I50</f>
        <v>372</v>
      </c>
      <c r="AA136" s="30">
        <f t="shared" si="72"/>
        <v>0</v>
      </c>
      <c r="AB136" s="124">
        <f>交易记录!I83</f>
        <v>0</v>
      </c>
      <c r="AC136" s="124">
        <f>交易记录!I114</f>
        <v>0</v>
      </c>
      <c r="AD136" s="30">
        <f t="shared" si="66"/>
        <v>0</v>
      </c>
      <c r="AE136" s="121">
        <f>交易记录!I147</f>
        <v>0</v>
      </c>
      <c r="AF136" s="121">
        <f>交易记录!I178</f>
        <v>0</v>
      </c>
      <c r="AG136" s="30">
        <f t="shared" si="91"/>
        <v>0</v>
      </c>
      <c r="AH136" s="124">
        <f>交易记录!I211</f>
        <v>0</v>
      </c>
      <c r="AI136" s="124">
        <f>交易记录!I242</f>
        <v>0</v>
      </c>
      <c r="AJ136" s="30">
        <f t="shared" si="65"/>
        <v>0</v>
      </c>
      <c r="AK136" s="121">
        <f>交易记录!I275</f>
        <v>0</v>
      </c>
      <c r="AL136" s="121">
        <f>交易记录!I306</f>
        <v>0</v>
      </c>
      <c r="AM136" s="30">
        <f t="shared" si="64"/>
        <v>0</v>
      </c>
      <c r="AN136" s="124">
        <f>交易记录!I339</f>
        <v>0</v>
      </c>
      <c r="AO136" s="124">
        <f>交易记录!I370</f>
        <v>0</v>
      </c>
      <c r="AP136" s="30">
        <f t="shared" si="90"/>
        <v>0</v>
      </c>
      <c r="AQ136" s="121">
        <f>交易记录!I403</f>
        <v>0</v>
      </c>
      <c r="AR136" s="121">
        <f>交易记录!I434</f>
        <v>0</v>
      </c>
      <c r="AS136" s="30">
        <f t="shared" ref="AS136:AS199" si="92">IFERROR((AR136-$G136)*AQ136,0)</f>
        <v>0</v>
      </c>
      <c r="AT136" s="124">
        <f>交易记录!I467</f>
        <v>0</v>
      </c>
      <c r="AU136" s="124">
        <f>交易记录!I498</f>
        <v>0</v>
      </c>
      <c r="AV136" s="30">
        <f t="shared" si="73"/>
        <v>0</v>
      </c>
      <c r="AW136" s="121">
        <f>交易记录!I531</f>
        <v>0</v>
      </c>
      <c r="AX136" s="121">
        <f>交易记录!I562</f>
        <v>0</v>
      </c>
      <c r="AY136" s="30">
        <f t="shared" si="74"/>
        <v>0</v>
      </c>
      <c r="AZ136" s="124">
        <f>交易记录!I595</f>
        <v>0</v>
      </c>
      <c r="BA136" s="124">
        <f>交易记录!I626</f>
        <v>0</v>
      </c>
      <c r="BB136" s="30">
        <f t="shared" si="75"/>
        <v>0</v>
      </c>
      <c r="BC136" s="121">
        <f>交易记录!I659</f>
        <v>0</v>
      </c>
      <c r="BD136" s="121">
        <f>交易记录!I690</f>
        <v>0</v>
      </c>
      <c r="BE136" s="30">
        <f t="shared" si="76"/>
        <v>0</v>
      </c>
      <c r="BF136" s="124">
        <f>交易记录!I723</f>
        <v>0</v>
      </c>
      <c r="BG136" s="124">
        <f>交易记录!I754</f>
        <v>0</v>
      </c>
      <c r="BH136" s="30">
        <f t="shared" si="77"/>
        <v>0</v>
      </c>
      <c r="BI136" s="121">
        <f>交易记录!I787</f>
        <v>0</v>
      </c>
      <c r="BJ136" s="121">
        <f>交易记录!I818</f>
        <v>0</v>
      </c>
      <c r="BK136" s="30">
        <f t="shared" si="78"/>
        <v>0</v>
      </c>
      <c r="BL136" s="124">
        <f>交易记录!I851</f>
        <v>0</v>
      </c>
      <c r="BM136" s="124">
        <f>交易记录!I882</f>
        <v>0</v>
      </c>
      <c r="BN136" s="30">
        <f t="shared" si="79"/>
        <v>0</v>
      </c>
      <c r="BO136" s="121">
        <f>交易记录!I915</f>
        <v>0</v>
      </c>
      <c r="BP136" s="121">
        <f>交易记录!I946</f>
        <v>0</v>
      </c>
      <c r="BQ136" s="30">
        <f t="shared" si="80"/>
        <v>0</v>
      </c>
    </row>
    <row r="137" spans="1:69" ht="15">
      <c r="A137" s="125">
        <f>'维护-日期'!A$8</f>
        <v>46271</v>
      </c>
      <c r="B137" s="7" t="s">
        <v>21</v>
      </c>
      <c r="C137" s="144">
        <f t="shared" si="81"/>
        <v>20.858000000000001</v>
      </c>
      <c r="D137" s="144">
        <f>ROUND(INDEX(持仓数据!$C$3:$AG$26,MATCH('计算过程-数据汇总'!B137,持仓数据!$B$3:$B$26,0),MATCH('计算过程-数据汇总'!A137,'维护-日期'!$B$2:$AF$2,0)),3)</f>
        <v>20.858000000000001</v>
      </c>
      <c r="E137" s="98">
        <f t="shared" si="82"/>
        <v>20.858000000000001</v>
      </c>
      <c r="F137" s="22">
        <f>持仓数据!H87</f>
        <v>0.13</v>
      </c>
      <c r="G137" s="97">
        <v>372</v>
      </c>
      <c r="H137" s="97">
        <v>372</v>
      </c>
      <c r="I137" s="64">
        <v>0</v>
      </c>
      <c r="J137" s="64">
        <v>0</v>
      </c>
      <c r="K137" s="21">
        <f>IF(持仓数据!H120="",0,持仓数据!H120)</f>
        <v>372</v>
      </c>
      <c r="L137" s="21">
        <f t="shared" si="83"/>
        <v>0</v>
      </c>
      <c r="M137" s="28">
        <f t="shared" si="67"/>
        <v>7759.1760000000004</v>
      </c>
      <c r="N137" s="28">
        <f t="shared" si="68"/>
        <v>0</v>
      </c>
      <c r="O137" s="28">
        <f t="shared" si="69"/>
        <v>0</v>
      </c>
      <c r="P137" s="28">
        <f t="shared" si="70"/>
        <v>0</v>
      </c>
      <c r="Q137" s="28">
        <f t="shared" si="84"/>
        <v>0</v>
      </c>
      <c r="R137" s="28">
        <f t="shared" si="71"/>
        <v>7759.1760000000004</v>
      </c>
      <c r="S137" s="28">
        <f t="shared" si="85"/>
        <v>0</v>
      </c>
      <c r="T137" s="28">
        <f t="shared" si="86"/>
        <v>0</v>
      </c>
      <c r="U137" s="28">
        <f t="shared" si="89"/>
        <v>0</v>
      </c>
      <c r="V137" s="28">
        <f t="shared" si="87"/>
        <v>0</v>
      </c>
      <c r="W137" s="118"/>
      <c r="X137" s="143">
        <f t="shared" si="88"/>
        <v>24.9</v>
      </c>
      <c r="Y137" s="121">
        <f>交易记录!I20</f>
        <v>0.13</v>
      </c>
      <c r="Z137" s="121">
        <f>交易记录!I51</f>
        <v>372</v>
      </c>
      <c r="AA137" s="30">
        <f t="shared" si="72"/>
        <v>0</v>
      </c>
      <c r="AB137" s="124">
        <f>交易记录!I84</f>
        <v>0</v>
      </c>
      <c r="AC137" s="124">
        <f>交易记录!I115</f>
        <v>0</v>
      </c>
      <c r="AD137" s="30">
        <f t="shared" si="66"/>
        <v>0</v>
      </c>
      <c r="AE137" s="121">
        <f>交易记录!I148</f>
        <v>0</v>
      </c>
      <c r="AF137" s="121">
        <f>交易记录!I179</f>
        <v>0</v>
      </c>
      <c r="AG137" s="30">
        <f t="shared" si="91"/>
        <v>0</v>
      </c>
      <c r="AH137" s="124">
        <f>交易记录!I212</f>
        <v>0</v>
      </c>
      <c r="AI137" s="124">
        <f>交易记录!I243</f>
        <v>0</v>
      </c>
      <c r="AJ137" s="30">
        <f t="shared" si="65"/>
        <v>0</v>
      </c>
      <c r="AK137" s="121">
        <f>交易记录!I276</f>
        <v>0</v>
      </c>
      <c r="AL137" s="121">
        <f>交易记录!I307</f>
        <v>0</v>
      </c>
      <c r="AM137" s="30">
        <f t="shared" si="64"/>
        <v>0</v>
      </c>
      <c r="AN137" s="124">
        <f>交易记录!I340</f>
        <v>0</v>
      </c>
      <c r="AO137" s="124">
        <f>交易记录!I371</f>
        <v>0</v>
      </c>
      <c r="AP137" s="30">
        <f t="shared" si="90"/>
        <v>0</v>
      </c>
      <c r="AQ137" s="121">
        <f>交易记录!I404</f>
        <v>0</v>
      </c>
      <c r="AR137" s="121">
        <f>交易记录!I435</f>
        <v>0</v>
      </c>
      <c r="AS137" s="30">
        <f t="shared" si="92"/>
        <v>0</v>
      </c>
      <c r="AT137" s="124">
        <f>交易记录!I468</f>
        <v>0</v>
      </c>
      <c r="AU137" s="124">
        <f>交易记录!I499</f>
        <v>0</v>
      </c>
      <c r="AV137" s="30">
        <f t="shared" si="73"/>
        <v>0</v>
      </c>
      <c r="AW137" s="121">
        <f>交易记录!I532</f>
        <v>0</v>
      </c>
      <c r="AX137" s="121">
        <f>交易记录!I563</f>
        <v>0</v>
      </c>
      <c r="AY137" s="30">
        <f t="shared" si="74"/>
        <v>0</v>
      </c>
      <c r="AZ137" s="124">
        <f>交易记录!I596</f>
        <v>0</v>
      </c>
      <c r="BA137" s="124">
        <f>交易记录!I627</f>
        <v>0</v>
      </c>
      <c r="BB137" s="30">
        <f t="shared" si="75"/>
        <v>0</v>
      </c>
      <c r="BC137" s="121">
        <f>交易记录!I660</f>
        <v>0</v>
      </c>
      <c r="BD137" s="121">
        <f>交易记录!I691</f>
        <v>0</v>
      </c>
      <c r="BE137" s="30">
        <f t="shared" si="76"/>
        <v>0</v>
      </c>
      <c r="BF137" s="124">
        <f>交易记录!I724</f>
        <v>0</v>
      </c>
      <c r="BG137" s="124">
        <f>交易记录!I755</f>
        <v>0</v>
      </c>
      <c r="BH137" s="30">
        <f t="shared" si="77"/>
        <v>0</v>
      </c>
      <c r="BI137" s="121">
        <f>交易记录!I788</f>
        <v>0</v>
      </c>
      <c r="BJ137" s="121">
        <f>交易记录!I819</f>
        <v>0</v>
      </c>
      <c r="BK137" s="30">
        <f t="shared" si="78"/>
        <v>0</v>
      </c>
      <c r="BL137" s="124">
        <f>交易记录!I852</f>
        <v>0</v>
      </c>
      <c r="BM137" s="124">
        <f>交易记录!I883</f>
        <v>0</v>
      </c>
      <c r="BN137" s="30">
        <f t="shared" si="79"/>
        <v>0</v>
      </c>
      <c r="BO137" s="121">
        <f>交易记录!I916</f>
        <v>0</v>
      </c>
      <c r="BP137" s="121">
        <f>交易记录!I947</f>
        <v>0</v>
      </c>
      <c r="BQ137" s="30">
        <f t="shared" si="80"/>
        <v>0</v>
      </c>
    </row>
    <row r="138" spans="1:69" ht="15">
      <c r="A138" s="125">
        <f>'维护-日期'!A$8</f>
        <v>46271</v>
      </c>
      <c r="B138" s="7" t="s">
        <v>22</v>
      </c>
      <c r="C138" s="144">
        <f t="shared" si="81"/>
        <v>21.905999999999999</v>
      </c>
      <c r="D138" s="144">
        <f>ROUND(INDEX(持仓数据!$C$3:$AG$26,MATCH('计算过程-数据汇总'!B138,持仓数据!$B$3:$B$26,0),MATCH('计算过程-数据汇总'!A138,'维护-日期'!$B$2:$AF$2,0)),3)</f>
        <v>21.905999999999999</v>
      </c>
      <c r="E138" s="98">
        <f t="shared" si="82"/>
        <v>21.905999999999999</v>
      </c>
      <c r="F138" s="22">
        <f>持仓数据!H88</f>
        <v>0.10200000000000001</v>
      </c>
      <c r="G138" s="97">
        <v>372</v>
      </c>
      <c r="H138" s="97">
        <v>372</v>
      </c>
      <c r="I138" s="64">
        <v>0</v>
      </c>
      <c r="J138" s="64">
        <v>0</v>
      </c>
      <c r="K138" s="21">
        <f>IF(持仓数据!H121="",0,持仓数据!H121)</f>
        <v>372</v>
      </c>
      <c r="L138" s="21">
        <f t="shared" si="83"/>
        <v>0</v>
      </c>
      <c r="M138" s="28">
        <f t="shared" si="67"/>
        <v>8149.0319999999992</v>
      </c>
      <c r="N138" s="28">
        <f t="shared" si="68"/>
        <v>0</v>
      </c>
      <c r="O138" s="28">
        <f t="shared" si="69"/>
        <v>0</v>
      </c>
      <c r="P138" s="28">
        <f t="shared" si="70"/>
        <v>0</v>
      </c>
      <c r="Q138" s="28">
        <f t="shared" si="84"/>
        <v>0</v>
      </c>
      <c r="R138" s="28">
        <f t="shared" si="71"/>
        <v>8149.0319999999992</v>
      </c>
      <c r="S138" s="28">
        <f t="shared" si="85"/>
        <v>0</v>
      </c>
      <c r="T138" s="28">
        <f t="shared" si="86"/>
        <v>0</v>
      </c>
      <c r="U138" s="28">
        <f t="shared" si="89"/>
        <v>0</v>
      </c>
      <c r="V138" s="28">
        <f t="shared" si="87"/>
        <v>0</v>
      </c>
      <c r="W138" s="118"/>
      <c r="X138" s="143">
        <f t="shared" si="88"/>
        <v>26.184999999999999</v>
      </c>
      <c r="Y138" s="121">
        <f>交易记录!I21</f>
        <v>0.10200000000000001</v>
      </c>
      <c r="Z138" s="121">
        <f>交易记录!I52</f>
        <v>372</v>
      </c>
      <c r="AA138" s="30">
        <f t="shared" si="72"/>
        <v>0</v>
      </c>
      <c r="AB138" s="124">
        <f>交易记录!I85</f>
        <v>0</v>
      </c>
      <c r="AC138" s="124">
        <f>交易记录!I116</f>
        <v>0</v>
      </c>
      <c r="AD138" s="30">
        <f t="shared" si="66"/>
        <v>0</v>
      </c>
      <c r="AE138" s="121">
        <f>交易记录!I149</f>
        <v>0</v>
      </c>
      <c r="AF138" s="121">
        <f>交易记录!I180</f>
        <v>0</v>
      </c>
      <c r="AG138" s="30">
        <f t="shared" si="91"/>
        <v>0</v>
      </c>
      <c r="AH138" s="124">
        <f>交易记录!I213</f>
        <v>0</v>
      </c>
      <c r="AI138" s="124">
        <f>交易记录!I244</f>
        <v>0</v>
      </c>
      <c r="AJ138" s="30">
        <f t="shared" si="65"/>
        <v>0</v>
      </c>
      <c r="AK138" s="121">
        <f>交易记录!I277</f>
        <v>0</v>
      </c>
      <c r="AL138" s="121">
        <f>交易记录!I308</f>
        <v>0</v>
      </c>
      <c r="AM138" s="30">
        <f t="shared" ref="AM138:AM201" si="93">IFERROR((AL138-$G138)*AK138,0)</f>
        <v>0</v>
      </c>
      <c r="AN138" s="124">
        <f>交易记录!I341</f>
        <v>0</v>
      </c>
      <c r="AO138" s="124">
        <f>交易记录!I372</f>
        <v>0</v>
      </c>
      <c r="AP138" s="30">
        <f t="shared" si="90"/>
        <v>0</v>
      </c>
      <c r="AQ138" s="121">
        <f>交易记录!I405</f>
        <v>0</v>
      </c>
      <c r="AR138" s="121">
        <f>交易记录!I436</f>
        <v>0</v>
      </c>
      <c r="AS138" s="30">
        <f t="shared" si="92"/>
        <v>0</v>
      </c>
      <c r="AT138" s="124">
        <f>交易记录!I469</f>
        <v>0</v>
      </c>
      <c r="AU138" s="124">
        <f>交易记录!I500</f>
        <v>0</v>
      </c>
      <c r="AV138" s="30">
        <f t="shared" si="73"/>
        <v>0</v>
      </c>
      <c r="AW138" s="121">
        <f>交易记录!I533</f>
        <v>0</v>
      </c>
      <c r="AX138" s="121">
        <f>交易记录!I564</f>
        <v>0</v>
      </c>
      <c r="AY138" s="30">
        <f t="shared" si="74"/>
        <v>0</v>
      </c>
      <c r="AZ138" s="124">
        <f>交易记录!I597</f>
        <v>0</v>
      </c>
      <c r="BA138" s="124">
        <f>交易记录!I628</f>
        <v>0</v>
      </c>
      <c r="BB138" s="30">
        <f t="shared" si="75"/>
        <v>0</v>
      </c>
      <c r="BC138" s="121">
        <f>交易记录!I661</f>
        <v>0</v>
      </c>
      <c r="BD138" s="121">
        <f>交易记录!I692</f>
        <v>0</v>
      </c>
      <c r="BE138" s="30">
        <f t="shared" si="76"/>
        <v>0</v>
      </c>
      <c r="BF138" s="124">
        <f>交易记录!I725</f>
        <v>0</v>
      </c>
      <c r="BG138" s="124">
        <f>交易记录!I756</f>
        <v>0</v>
      </c>
      <c r="BH138" s="30">
        <f t="shared" si="77"/>
        <v>0</v>
      </c>
      <c r="BI138" s="121">
        <f>交易记录!I789</f>
        <v>0</v>
      </c>
      <c r="BJ138" s="121">
        <f>交易记录!I820</f>
        <v>0</v>
      </c>
      <c r="BK138" s="30">
        <f t="shared" si="78"/>
        <v>0</v>
      </c>
      <c r="BL138" s="124">
        <f>交易记录!I853</f>
        <v>0</v>
      </c>
      <c r="BM138" s="124">
        <f>交易记录!I884</f>
        <v>0</v>
      </c>
      <c r="BN138" s="30">
        <f t="shared" si="79"/>
        <v>0</v>
      </c>
      <c r="BO138" s="121">
        <f>交易记录!I917</f>
        <v>0</v>
      </c>
      <c r="BP138" s="121">
        <f>交易记录!I948</f>
        <v>0</v>
      </c>
      <c r="BQ138" s="30">
        <f t="shared" si="80"/>
        <v>0</v>
      </c>
    </row>
    <row r="139" spans="1:69" ht="15">
      <c r="A139" s="125">
        <f>'维护-日期'!A$8</f>
        <v>46271</v>
      </c>
      <c r="B139" s="7" t="s">
        <v>23</v>
      </c>
      <c r="C139" s="144">
        <f t="shared" si="81"/>
        <v>22.69</v>
      </c>
      <c r="D139" s="144">
        <f>ROUND(INDEX(持仓数据!$C$3:$AG$26,MATCH('计算过程-数据汇总'!B139,持仓数据!$B$3:$B$26,0),MATCH('计算过程-数据汇总'!A139,'维护-日期'!$B$2:$AF$2,0)),3)</f>
        <v>22.69</v>
      </c>
      <c r="E139" s="98">
        <f t="shared" si="82"/>
        <v>22.69</v>
      </c>
      <c r="F139" s="22">
        <f>持仓数据!H89</f>
        <v>0.127</v>
      </c>
      <c r="G139" s="97">
        <v>372</v>
      </c>
      <c r="H139" s="97">
        <v>372</v>
      </c>
      <c r="I139" s="64">
        <v>0</v>
      </c>
      <c r="J139" s="64">
        <v>0</v>
      </c>
      <c r="K139" s="21">
        <f>IF(持仓数据!H122="",0,持仓数据!H122)</f>
        <v>372</v>
      </c>
      <c r="L139" s="21">
        <f t="shared" si="83"/>
        <v>0</v>
      </c>
      <c r="M139" s="28">
        <f t="shared" si="67"/>
        <v>8440.68</v>
      </c>
      <c r="N139" s="28">
        <f t="shared" si="68"/>
        <v>0</v>
      </c>
      <c r="O139" s="28">
        <f t="shared" si="69"/>
        <v>0</v>
      </c>
      <c r="P139" s="28">
        <f t="shared" si="70"/>
        <v>0</v>
      </c>
      <c r="Q139" s="28">
        <f t="shared" si="84"/>
        <v>0</v>
      </c>
      <c r="R139" s="28">
        <f t="shared" si="71"/>
        <v>8440.68</v>
      </c>
      <c r="S139" s="28">
        <f t="shared" si="85"/>
        <v>0</v>
      </c>
      <c r="T139" s="28">
        <f t="shared" si="86"/>
        <v>0</v>
      </c>
      <c r="U139" s="28">
        <f t="shared" si="89"/>
        <v>0</v>
      </c>
      <c r="V139" s="28">
        <f t="shared" si="87"/>
        <v>0</v>
      </c>
      <c r="W139" s="118"/>
      <c r="X139" s="143">
        <f t="shared" si="88"/>
        <v>27.100999999999999</v>
      </c>
      <c r="Y139" s="121">
        <f>交易记录!I22</f>
        <v>0.127</v>
      </c>
      <c r="Z139" s="121">
        <f>交易记录!I53</f>
        <v>372</v>
      </c>
      <c r="AA139" s="30">
        <f t="shared" si="72"/>
        <v>0</v>
      </c>
      <c r="AB139" s="124">
        <f>交易记录!I86</f>
        <v>0</v>
      </c>
      <c r="AC139" s="124">
        <f>交易记录!I117</f>
        <v>0</v>
      </c>
      <c r="AD139" s="30">
        <f t="shared" si="66"/>
        <v>0</v>
      </c>
      <c r="AE139" s="121">
        <f>交易记录!I150</f>
        <v>0</v>
      </c>
      <c r="AF139" s="121">
        <f>交易记录!I181</f>
        <v>0</v>
      </c>
      <c r="AG139" s="30">
        <f t="shared" si="91"/>
        <v>0</v>
      </c>
      <c r="AH139" s="124">
        <f>交易记录!I214</f>
        <v>0</v>
      </c>
      <c r="AI139" s="124">
        <f>交易记录!I245</f>
        <v>0</v>
      </c>
      <c r="AJ139" s="30">
        <f t="shared" si="65"/>
        <v>0</v>
      </c>
      <c r="AK139" s="121">
        <f>交易记录!I278</f>
        <v>0</v>
      </c>
      <c r="AL139" s="121">
        <f>交易记录!I309</f>
        <v>0</v>
      </c>
      <c r="AM139" s="30">
        <f t="shared" si="93"/>
        <v>0</v>
      </c>
      <c r="AN139" s="124">
        <f>交易记录!I342</f>
        <v>0</v>
      </c>
      <c r="AO139" s="124">
        <f>交易记录!I373</f>
        <v>0</v>
      </c>
      <c r="AP139" s="30">
        <f t="shared" si="90"/>
        <v>0</v>
      </c>
      <c r="AQ139" s="121">
        <f>交易记录!I406</f>
        <v>0</v>
      </c>
      <c r="AR139" s="121">
        <f>交易记录!I437</f>
        <v>0</v>
      </c>
      <c r="AS139" s="30">
        <f t="shared" si="92"/>
        <v>0</v>
      </c>
      <c r="AT139" s="124">
        <f>交易记录!I470</f>
        <v>0</v>
      </c>
      <c r="AU139" s="124">
        <f>交易记录!I501</f>
        <v>0</v>
      </c>
      <c r="AV139" s="30">
        <f t="shared" si="73"/>
        <v>0</v>
      </c>
      <c r="AW139" s="121">
        <f>交易记录!I534</f>
        <v>0</v>
      </c>
      <c r="AX139" s="121">
        <f>交易记录!I565</f>
        <v>0</v>
      </c>
      <c r="AY139" s="30">
        <f t="shared" si="74"/>
        <v>0</v>
      </c>
      <c r="AZ139" s="124">
        <f>交易记录!I598</f>
        <v>0</v>
      </c>
      <c r="BA139" s="124">
        <f>交易记录!I629</f>
        <v>0</v>
      </c>
      <c r="BB139" s="30">
        <f t="shared" si="75"/>
        <v>0</v>
      </c>
      <c r="BC139" s="121">
        <f>交易记录!I662</f>
        <v>0</v>
      </c>
      <c r="BD139" s="121">
        <f>交易记录!I693</f>
        <v>0</v>
      </c>
      <c r="BE139" s="30">
        <f t="shared" si="76"/>
        <v>0</v>
      </c>
      <c r="BF139" s="124">
        <f>交易记录!I726</f>
        <v>0</v>
      </c>
      <c r="BG139" s="124">
        <f>交易记录!I757</f>
        <v>0</v>
      </c>
      <c r="BH139" s="30">
        <f t="shared" si="77"/>
        <v>0</v>
      </c>
      <c r="BI139" s="121">
        <f>交易记录!I790</f>
        <v>0</v>
      </c>
      <c r="BJ139" s="121">
        <f>交易记录!I821</f>
        <v>0</v>
      </c>
      <c r="BK139" s="30">
        <f t="shared" si="78"/>
        <v>0</v>
      </c>
      <c r="BL139" s="124">
        <f>交易记录!I854</f>
        <v>0</v>
      </c>
      <c r="BM139" s="124">
        <f>交易记录!I885</f>
        <v>0</v>
      </c>
      <c r="BN139" s="30">
        <f t="shared" si="79"/>
        <v>0</v>
      </c>
      <c r="BO139" s="121">
        <f>交易记录!I918</f>
        <v>0</v>
      </c>
      <c r="BP139" s="121">
        <f>交易记录!I949</f>
        <v>0</v>
      </c>
      <c r="BQ139" s="30">
        <f t="shared" si="80"/>
        <v>0</v>
      </c>
    </row>
    <row r="140" spans="1:69" ht="15">
      <c r="A140" s="125">
        <f>'维护-日期'!A$8</f>
        <v>46271</v>
      </c>
      <c r="B140" s="7" t="s">
        <v>24</v>
      </c>
      <c r="C140" s="144">
        <f t="shared" si="81"/>
        <v>23.346</v>
      </c>
      <c r="D140" s="144">
        <f>ROUND(INDEX(持仓数据!$C$3:$AG$26,MATCH('计算过程-数据汇总'!B140,持仓数据!$B$3:$B$26,0),MATCH('计算过程-数据汇总'!A140,'维护-日期'!$B$2:$AF$2,0)),3)</f>
        <v>23.346</v>
      </c>
      <c r="E140" s="98">
        <f t="shared" si="82"/>
        <v>23.346</v>
      </c>
      <c r="F140" s="22">
        <f>持仓数据!H90</f>
        <v>0.128</v>
      </c>
      <c r="G140" s="97">
        <v>372</v>
      </c>
      <c r="H140" s="97">
        <v>372</v>
      </c>
      <c r="I140" s="64">
        <v>0</v>
      </c>
      <c r="J140" s="64">
        <v>0</v>
      </c>
      <c r="K140" s="21">
        <f>IF(持仓数据!H123="",0,持仓数据!H123)</f>
        <v>372</v>
      </c>
      <c r="L140" s="21">
        <f t="shared" si="83"/>
        <v>0</v>
      </c>
      <c r="M140" s="28">
        <f t="shared" si="67"/>
        <v>8684.7119999999995</v>
      </c>
      <c r="N140" s="28">
        <f t="shared" si="68"/>
        <v>0</v>
      </c>
      <c r="O140" s="28">
        <f t="shared" si="69"/>
        <v>0</v>
      </c>
      <c r="P140" s="28">
        <f t="shared" si="70"/>
        <v>0</v>
      </c>
      <c r="Q140" s="28">
        <f t="shared" si="84"/>
        <v>0</v>
      </c>
      <c r="R140" s="28">
        <f t="shared" si="71"/>
        <v>8684.7119999999995</v>
      </c>
      <c r="S140" s="28">
        <f t="shared" si="85"/>
        <v>0</v>
      </c>
      <c r="T140" s="28">
        <f t="shared" si="86"/>
        <v>0</v>
      </c>
      <c r="U140" s="28">
        <f t="shared" si="89"/>
        <v>0</v>
      </c>
      <c r="V140" s="28">
        <f t="shared" si="87"/>
        <v>0</v>
      </c>
      <c r="W140" s="118"/>
      <c r="X140" s="143">
        <f t="shared" si="88"/>
        <v>27.887</v>
      </c>
      <c r="Y140" s="121">
        <f>交易记录!I23</f>
        <v>0.128</v>
      </c>
      <c r="Z140" s="121">
        <f>交易记录!I54</f>
        <v>372</v>
      </c>
      <c r="AA140" s="30">
        <f t="shared" si="72"/>
        <v>0</v>
      </c>
      <c r="AB140" s="124">
        <f>交易记录!I87</f>
        <v>0</v>
      </c>
      <c r="AC140" s="124">
        <f>交易记录!I118</f>
        <v>0</v>
      </c>
      <c r="AD140" s="30">
        <f t="shared" si="66"/>
        <v>0</v>
      </c>
      <c r="AE140" s="121">
        <f>交易记录!I151</f>
        <v>0</v>
      </c>
      <c r="AF140" s="121">
        <f>交易记录!I182</f>
        <v>0</v>
      </c>
      <c r="AG140" s="30">
        <f t="shared" si="91"/>
        <v>0</v>
      </c>
      <c r="AH140" s="124">
        <f>交易记录!I215</f>
        <v>0</v>
      </c>
      <c r="AI140" s="124">
        <f>交易记录!I246</f>
        <v>0</v>
      </c>
      <c r="AJ140" s="30">
        <f t="shared" si="65"/>
        <v>0</v>
      </c>
      <c r="AK140" s="121">
        <f>交易记录!I279</f>
        <v>0</v>
      </c>
      <c r="AL140" s="121">
        <f>交易记录!I310</f>
        <v>0</v>
      </c>
      <c r="AM140" s="30">
        <f t="shared" si="93"/>
        <v>0</v>
      </c>
      <c r="AN140" s="124">
        <f>交易记录!I343</f>
        <v>0</v>
      </c>
      <c r="AO140" s="124">
        <f>交易记录!I374</f>
        <v>0</v>
      </c>
      <c r="AP140" s="30">
        <f t="shared" si="90"/>
        <v>0</v>
      </c>
      <c r="AQ140" s="121">
        <f>交易记录!I407</f>
        <v>0</v>
      </c>
      <c r="AR140" s="121">
        <f>交易记录!I438</f>
        <v>0</v>
      </c>
      <c r="AS140" s="30">
        <f t="shared" si="92"/>
        <v>0</v>
      </c>
      <c r="AT140" s="124">
        <f>交易记录!I471</f>
        <v>0</v>
      </c>
      <c r="AU140" s="124">
        <f>交易记录!I502</f>
        <v>0</v>
      </c>
      <c r="AV140" s="30">
        <f t="shared" si="73"/>
        <v>0</v>
      </c>
      <c r="AW140" s="121">
        <f>交易记录!I535</f>
        <v>0</v>
      </c>
      <c r="AX140" s="121">
        <f>交易记录!I566</f>
        <v>0</v>
      </c>
      <c r="AY140" s="30">
        <f t="shared" si="74"/>
        <v>0</v>
      </c>
      <c r="AZ140" s="124">
        <f>交易记录!I599</f>
        <v>0</v>
      </c>
      <c r="BA140" s="124">
        <f>交易记录!I630</f>
        <v>0</v>
      </c>
      <c r="BB140" s="30">
        <f t="shared" si="75"/>
        <v>0</v>
      </c>
      <c r="BC140" s="121">
        <f>交易记录!I663</f>
        <v>0</v>
      </c>
      <c r="BD140" s="121">
        <f>交易记录!I694</f>
        <v>0</v>
      </c>
      <c r="BE140" s="30">
        <f t="shared" si="76"/>
        <v>0</v>
      </c>
      <c r="BF140" s="124">
        <f>交易记录!I727</f>
        <v>0</v>
      </c>
      <c r="BG140" s="124">
        <f>交易记录!I758</f>
        <v>0</v>
      </c>
      <c r="BH140" s="30">
        <f t="shared" si="77"/>
        <v>0</v>
      </c>
      <c r="BI140" s="121">
        <f>交易记录!I791</f>
        <v>0</v>
      </c>
      <c r="BJ140" s="121">
        <f>交易记录!I822</f>
        <v>0</v>
      </c>
      <c r="BK140" s="30">
        <f t="shared" si="78"/>
        <v>0</v>
      </c>
      <c r="BL140" s="124">
        <f>交易记录!I855</f>
        <v>0</v>
      </c>
      <c r="BM140" s="124">
        <f>交易记录!I886</f>
        <v>0</v>
      </c>
      <c r="BN140" s="30">
        <f t="shared" si="79"/>
        <v>0</v>
      </c>
      <c r="BO140" s="121">
        <f>交易记录!I919</f>
        <v>0</v>
      </c>
      <c r="BP140" s="121">
        <f>交易记录!I950</f>
        <v>0</v>
      </c>
      <c r="BQ140" s="30">
        <f t="shared" si="80"/>
        <v>0</v>
      </c>
    </row>
    <row r="141" spans="1:69" ht="15">
      <c r="A141" s="125">
        <f>'维护-日期'!A$8</f>
        <v>46271</v>
      </c>
      <c r="B141" s="7" t="s">
        <v>25</v>
      </c>
      <c r="C141" s="144">
        <f t="shared" si="81"/>
        <v>23.771999999999998</v>
      </c>
      <c r="D141" s="144">
        <f>ROUND(INDEX(持仓数据!$C$3:$AG$26,MATCH('计算过程-数据汇总'!B141,持仓数据!$B$3:$B$26,0),MATCH('计算过程-数据汇总'!A141,'维护-日期'!$B$2:$AF$2,0)),3)</f>
        <v>23.771999999999998</v>
      </c>
      <c r="E141" s="98">
        <f t="shared" si="82"/>
        <v>23.771999999999998</v>
      </c>
      <c r="F141" s="22">
        <f>持仓数据!H91</f>
        <v>0.22399999999999998</v>
      </c>
      <c r="G141" s="97">
        <v>372</v>
      </c>
      <c r="H141" s="97">
        <v>372</v>
      </c>
      <c r="I141" s="64">
        <v>0</v>
      </c>
      <c r="J141" s="64">
        <v>0</v>
      </c>
      <c r="K141" s="21">
        <f>IF(持仓数据!H124="",0,持仓数据!H124)</f>
        <v>372</v>
      </c>
      <c r="L141" s="21">
        <f t="shared" si="83"/>
        <v>0</v>
      </c>
      <c r="M141" s="28">
        <f t="shared" si="67"/>
        <v>8843.1839999999993</v>
      </c>
      <c r="N141" s="28">
        <f t="shared" si="68"/>
        <v>0</v>
      </c>
      <c r="O141" s="28">
        <f t="shared" si="69"/>
        <v>0</v>
      </c>
      <c r="P141" s="28">
        <f t="shared" si="70"/>
        <v>0</v>
      </c>
      <c r="Q141" s="28">
        <f t="shared" si="84"/>
        <v>0</v>
      </c>
      <c r="R141" s="28">
        <f t="shared" si="71"/>
        <v>8843.1839999999993</v>
      </c>
      <c r="S141" s="28">
        <f t="shared" si="85"/>
        <v>0</v>
      </c>
      <c r="T141" s="28">
        <f t="shared" si="86"/>
        <v>0</v>
      </c>
      <c r="U141" s="28">
        <f t="shared" si="89"/>
        <v>0</v>
      </c>
      <c r="V141" s="28">
        <f t="shared" si="87"/>
        <v>0</v>
      </c>
      <c r="W141" s="118"/>
      <c r="X141" s="143">
        <f t="shared" si="88"/>
        <v>28.302</v>
      </c>
      <c r="Y141" s="121">
        <f>交易记录!I24</f>
        <v>0.22399999999999998</v>
      </c>
      <c r="Z141" s="121">
        <f>交易记录!I55</f>
        <v>372</v>
      </c>
      <c r="AA141" s="30">
        <f t="shared" si="72"/>
        <v>0</v>
      </c>
      <c r="AB141" s="124">
        <f>交易记录!I88</f>
        <v>0</v>
      </c>
      <c r="AC141" s="124">
        <f>交易记录!I119</f>
        <v>0</v>
      </c>
      <c r="AD141" s="30">
        <f t="shared" si="66"/>
        <v>0</v>
      </c>
      <c r="AE141" s="121">
        <f>交易记录!I152</f>
        <v>0</v>
      </c>
      <c r="AF141" s="121">
        <f>交易记录!I183</f>
        <v>0</v>
      </c>
      <c r="AG141" s="30">
        <f t="shared" si="91"/>
        <v>0</v>
      </c>
      <c r="AH141" s="124">
        <f>交易记录!I216</f>
        <v>0</v>
      </c>
      <c r="AI141" s="124">
        <f>交易记录!I247</f>
        <v>0</v>
      </c>
      <c r="AJ141" s="30">
        <f t="shared" si="65"/>
        <v>0</v>
      </c>
      <c r="AK141" s="121">
        <f>交易记录!I280</f>
        <v>0</v>
      </c>
      <c r="AL141" s="121">
        <f>交易记录!I311</f>
        <v>0</v>
      </c>
      <c r="AM141" s="30">
        <f t="shared" si="93"/>
        <v>0</v>
      </c>
      <c r="AN141" s="124">
        <f>交易记录!I344</f>
        <v>0</v>
      </c>
      <c r="AO141" s="124">
        <f>交易记录!I375</f>
        <v>0</v>
      </c>
      <c r="AP141" s="30">
        <f t="shared" si="90"/>
        <v>0</v>
      </c>
      <c r="AQ141" s="121">
        <f>交易记录!I408</f>
        <v>0</v>
      </c>
      <c r="AR141" s="121">
        <f>交易记录!I439</f>
        <v>0</v>
      </c>
      <c r="AS141" s="30">
        <f t="shared" si="92"/>
        <v>0</v>
      </c>
      <c r="AT141" s="124">
        <f>交易记录!I472</f>
        <v>0</v>
      </c>
      <c r="AU141" s="124">
        <f>交易记录!I503</f>
        <v>0</v>
      </c>
      <c r="AV141" s="30">
        <f t="shared" si="73"/>
        <v>0</v>
      </c>
      <c r="AW141" s="121">
        <f>交易记录!I536</f>
        <v>0</v>
      </c>
      <c r="AX141" s="121">
        <f>交易记录!I567</f>
        <v>0</v>
      </c>
      <c r="AY141" s="30">
        <f t="shared" si="74"/>
        <v>0</v>
      </c>
      <c r="AZ141" s="124">
        <f>交易记录!I600</f>
        <v>0</v>
      </c>
      <c r="BA141" s="124">
        <f>交易记录!I631</f>
        <v>0</v>
      </c>
      <c r="BB141" s="30">
        <f t="shared" si="75"/>
        <v>0</v>
      </c>
      <c r="BC141" s="121">
        <f>交易记录!I664</f>
        <v>0</v>
      </c>
      <c r="BD141" s="121">
        <f>交易记录!I695</f>
        <v>0</v>
      </c>
      <c r="BE141" s="30">
        <f t="shared" si="76"/>
        <v>0</v>
      </c>
      <c r="BF141" s="124">
        <f>交易记录!I728</f>
        <v>0</v>
      </c>
      <c r="BG141" s="124">
        <f>交易记录!I759</f>
        <v>0</v>
      </c>
      <c r="BH141" s="30">
        <f t="shared" si="77"/>
        <v>0</v>
      </c>
      <c r="BI141" s="121">
        <f>交易记录!I792</f>
        <v>0</v>
      </c>
      <c r="BJ141" s="121">
        <f>交易记录!I823</f>
        <v>0</v>
      </c>
      <c r="BK141" s="30">
        <f t="shared" si="78"/>
        <v>0</v>
      </c>
      <c r="BL141" s="124">
        <f>交易记录!I856</f>
        <v>0</v>
      </c>
      <c r="BM141" s="124">
        <f>交易记录!I887</f>
        <v>0</v>
      </c>
      <c r="BN141" s="30">
        <f t="shared" si="79"/>
        <v>0</v>
      </c>
      <c r="BO141" s="121">
        <f>交易记录!I920</f>
        <v>0</v>
      </c>
      <c r="BP141" s="121">
        <f>交易记录!I951</f>
        <v>0</v>
      </c>
      <c r="BQ141" s="30">
        <f t="shared" si="80"/>
        <v>0</v>
      </c>
    </row>
    <row r="142" spans="1:69" ht="15">
      <c r="A142" s="125">
        <f>'维护-日期'!A$8</f>
        <v>46271</v>
      </c>
      <c r="B142" s="7" t="s">
        <v>26</v>
      </c>
      <c r="C142" s="144">
        <f t="shared" si="81"/>
        <v>23.515000000000001</v>
      </c>
      <c r="D142" s="144">
        <f>ROUND(INDEX(持仓数据!$C$3:$AG$26,MATCH('计算过程-数据汇总'!B142,持仓数据!$B$3:$B$26,0),MATCH('计算过程-数据汇总'!A142,'维护-日期'!$B$2:$AF$2,0)),3)</f>
        <v>23.515000000000001</v>
      </c>
      <c r="E142" s="98">
        <f t="shared" si="82"/>
        <v>23.515000000000001</v>
      </c>
      <c r="F142" s="22">
        <f>持仓数据!H92</f>
        <v>0.16399999999999998</v>
      </c>
      <c r="G142" s="97">
        <v>372</v>
      </c>
      <c r="H142" s="97">
        <v>372</v>
      </c>
      <c r="I142" s="64">
        <v>0</v>
      </c>
      <c r="J142" s="64">
        <v>0</v>
      </c>
      <c r="K142" s="21">
        <f>IF(持仓数据!H125="",0,持仓数据!H125)</f>
        <v>372</v>
      </c>
      <c r="L142" s="21">
        <f t="shared" si="83"/>
        <v>0</v>
      </c>
      <c r="M142" s="28">
        <f t="shared" si="67"/>
        <v>8747.58</v>
      </c>
      <c r="N142" s="28">
        <f t="shared" si="68"/>
        <v>0</v>
      </c>
      <c r="O142" s="28">
        <f t="shared" si="69"/>
        <v>0</v>
      </c>
      <c r="P142" s="28">
        <f t="shared" si="70"/>
        <v>0</v>
      </c>
      <c r="Q142" s="28">
        <f t="shared" si="84"/>
        <v>0</v>
      </c>
      <c r="R142" s="28">
        <f t="shared" si="71"/>
        <v>8747.58</v>
      </c>
      <c r="S142" s="28">
        <f t="shared" si="85"/>
        <v>0</v>
      </c>
      <c r="T142" s="28">
        <f t="shared" si="86"/>
        <v>0</v>
      </c>
      <c r="U142" s="28">
        <f t="shared" si="89"/>
        <v>0</v>
      </c>
      <c r="V142" s="28">
        <f t="shared" si="87"/>
        <v>0</v>
      </c>
      <c r="W142" s="118"/>
      <c r="X142" s="143">
        <f t="shared" si="88"/>
        <v>28.053999999999998</v>
      </c>
      <c r="Y142" s="121">
        <f>交易记录!I25</f>
        <v>0.16399999999999998</v>
      </c>
      <c r="Z142" s="121">
        <f>交易记录!I56</f>
        <v>372</v>
      </c>
      <c r="AA142" s="30">
        <f t="shared" si="72"/>
        <v>0</v>
      </c>
      <c r="AB142" s="124">
        <f>交易记录!I89</f>
        <v>0</v>
      </c>
      <c r="AC142" s="124">
        <f>交易记录!I120</f>
        <v>0</v>
      </c>
      <c r="AD142" s="30">
        <f t="shared" si="66"/>
        <v>0</v>
      </c>
      <c r="AE142" s="121">
        <f>交易记录!I153</f>
        <v>0</v>
      </c>
      <c r="AF142" s="121">
        <f>交易记录!I184</f>
        <v>0</v>
      </c>
      <c r="AG142" s="30">
        <f t="shared" si="91"/>
        <v>0</v>
      </c>
      <c r="AH142" s="124">
        <f>交易记录!I217</f>
        <v>0</v>
      </c>
      <c r="AI142" s="124">
        <f>交易记录!I248</f>
        <v>0</v>
      </c>
      <c r="AJ142" s="30">
        <f t="shared" ref="AJ142:AJ205" si="94">IFERROR((AI142-$G142)*AH142,0)</f>
        <v>0</v>
      </c>
      <c r="AK142" s="121">
        <f>交易记录!I281</f>
        <v>0</v>
      </c>
      <c r="AL142" s="121">
        <f>交易记录!I312</f>
        <v>0</v>
      </c>
      <c r="AM142" s="30">
        <f t="shared" si="93"/>
        <v>0</v>
      </c>
      <c r="AN142" s="124">
        <f>交易记录!I345</f>
        <v>0</v>
      </c>
      <c r="AO142" s="124">
        <f>交易记录!I376</f>
        <v>0</v>
      </c>
      <c r="AP142" s="30">
        <f t="shared" si="90"/>
        <v>0</v>
      </c>
      <c r="AQ142" s="121">
        <f>交易记录!I409</f>
        <v>0</v>
      </c>
      <c r="AR142" s="121">
        <f>交易记录!I440</f>
        <v>0</v>
      </c>
      <c r="AS142" s="30">
        <f t="shared" si="92"/>
        <v>0</v>
      </c>
      <c r="AT142" s="124">
        <f>交易记录!I473</f>
        <v>0</v>
      </c>
      <c r="AU142" s="124">
        <f>交易记录!I504</f>
        <v>0</v>
      </c>
      <c r="AV142" s="30">
        <f t="shared" si="73"/>
        <v>0</v>
      </c>
      <c r="AW142" s="121">
        <f>交易记录!I537</f>
        <v>0</v>
      </c>
      <c r="AX142" s="121">
        <f>交易记录!I568</f>
        <v>0</v>
      </c>
      <c r="AY142" s="30">
        <f t="shared" si="74"/>
        <v>0</v>
      </c>
      <c r="AZ142" s="124">
        <f>交易记录!I601</f>
        <v>0</v>
      </c>
      <c r="BA142" s="124">
        <f>交易记录!I632</f>
        <v>0</v>
      </c>
      <c r="BB142" s="30">
        <f t="shared" si="75"/>
        <v>0</v>
      </c>
      <c r="BC142" s="121">
        <f>交易记录!I665</f>
        <v>0</v>
      </c>
      <c r="BD142" s="121">
        <f>交易记录!I696</f>
        <v>0</v>
      </c>
      <c r="BE142" s="30">
        <f t="shared" si="76"/>
        <v>0</v>
      </c>
      <c r="BF142" s="124">
        <f>交易记录!I729</f>
        <v>0</v>
      </c>
      <c r="BG142" s="124">
        <f>交易记录!I760</f>
        <v>0</v>
      </c>
      <c r="BH142" s="30">
        <f t="shared" si="77"/>
        <v>0</v>
      </c>
      <c r="BI142" s="121">
        <f>交易记录!I793</f>
        <v>0</v>
      </c>
      <c r="BJ142" s="121">
        <f>交易记录!I824</f>
        <v>0</v>
      </c>
      <c r="BK142" s="30">
        <f t="shared" si="78"/>
        <v>0</v>
      </c>
      <c r="BL142" s="124">
        <f>交易记录!I857</f>
        <v>0</v>
      </c>
      <c r="BM142" s="124">
        <f>交易记录!I888</f>
        <v>0</v>
      </c>
      <c r="BN142" s="30">
        <f t="shared" si="79"/>
        <v>0</v>
      </c>
      <c r="BO142" s="121">
        <f>交易记录!I921</f>
        <v>0</v>
      </c>
      <c r="BP142" s="121">
        <f>交易记录!I952</f>
        <v>0</v>
      </c>
      <c r="BQ142" s="30">
        <f t="shared" si="80"/>
        <v>0</v>
      </c>
    </row>
    <row r="143" spans="1:69" ht="15">
      <c r="A143" s="125">
        <f>'维护-日期'!A$8</f>
        <v>46271</v>
      </c>
      <c r="B143" s="7" t="s">
        <v>27</v>
      </c>
      <c r="C143" s="144">
        <f t="shared" si="81"/>
        <v>22.122</v>
      </c>
      <c r="D143" s="144">
        <f>ROUND(INDEX(持仓数据!$C$3:$AG$26,MATCH('计算过程-数据汇总'!B143,持仓数据!$B$3:$B$26,0),MATCH('计算过程-数据汇总'!A143,'维护-日期'!$B$2:$AF$2,0)),3)</f>
        <v>22.122</v>
      </c>
      <c r="E143" s="98">
        <f t="shared" si="82"/>
        <v>22.122</v>
      </c>
      <c r="F143" s="22">
        <f>持仓数据!H93</f>
        <v>0.15200000000000002</v>
      </c>
      <c r="G143" s="97">
        <v>372</v>
      </c>
      <c r="H143" s="97">
        <v>372</v>
      </c>
      <c r="I143" s="64">
        <v>0</v>
      </c>
      <c r="J143" s="64">
        <v>0</v>
      </c>
      <c r="K143" s="21">
        <f>IF(持仓数据!H126="",0,持仓数据!H126)</f>
        <v>372</v>
      </c>
      <c r="L143" s="21">
        <f t="shared" si="83"/>
        <v>0</v>
      </c>
      <c r="M143" s="28">
        <f t="shared" si="67"/>
        <v>8229.384</v>
      </c>
      <c r="N143" s="28">
        <f t="shared" si="68"/>
        <v>0</v>
      </c>
      <c r="O143" s="28">
        <f t="shared" si="69"/>
        <v>0</v>
      </c>
      <c r="P143" s="28">
        <f t="shared" si="70"/>
        <v>0</v>
      </c>
      <c r="Q143" s="28">
        <f t="shared" si="84"/>
        <v>0</v>
      </c>
      <c r="R143" s="28">
        <f t="shared" si="71"/>
        <v>8229.384</v>
      </c>
      <c r="S143" s="28">
        <f t="shared" si="85"/>
        <v>0</v>
      </c>
      <c r="T143" s="28">
        <f t="shared" si="86"/>
        <v>0</v>
      </c>
      <c r="U143" s="28">
        <f t="shared" si="89"/>
        <v>0</v>
      </c>
      <c r="V143" s="28">
        <f t="shared" si="87"/>
        <v>0</v>
      </c>
      <c r="W143" s="118"/>
      <c r="X143" s="143">
        <f t="shared" si="88"/>
        <v>26.393999999999998</v>
      </c>
      <c r="Y143" s="121">
        <f>交易记录!I26</f>
        <v>0.15200000000000002</v>
      </c>
      <c r="Z143" s="121">
        <f>交易记录!I57</f>
        <v>372</v>
      </c>
      <c r="AA143" s="30">
        <f t="shared" si="72"/>
        <v>0</v>
      </c>
      <c r="AB143" s="124">
        <f>交易记录!I90</f>
        <v>0</v>
      </c>
      <c r="AC143" s="124">
        <f>交易记录!I121</f>
        <v>0</v>
      </c>
      <c r="AD143" s="30">
        <f t="shared" si="66"/>
        <v>0</v>
      </c>
      <c r="AE143" s="121">
        <f>交易记录!I154</f>
        <v>0</v>
      </c>
      <c r="AF143" s="121">
        <f>交易记录!I185</f>
        <v>0</v>
      </c>
      <c r="AG143" s="30">
        <f t="shared" si="91"/>
        <v>0</v>
      </c>
      <c r="AH143" s="124">
        <f>交易记录!I218</f>
        <v>0</v>
      </c>
      <c r="AI143" s="124">
        <f>交易记录!I249</f>
        <v>0</v>
      </c>
      <c r="AJ143" s="30">
        <f t="shared" si="94"/>
        <v>0</v>
      </c>
      <c r="AK143" s="121">
        <f>交易记录!I282</f>
        <v>0</v>
      </c>
      <c r="AL143" s="121">
        <f>交易记录!I313</f>
        <v>0</v>
      </c>
      <c r="AM143" s="30">
        <f t="shared" si="93"/>
        <v>0</v>
      </c>
      <c r="AN143" s="124">
        <f>交易记录!I346</f>
        <v>0</v>
      </c>
      <c r="AO143" s="124">
        <f>交易记录!I377</f>
        <v>0</v>
      </c>
      <c r="AP143" s="30">
        <f t="shared" si="90"/>
        <v>0</v>
      </c>
      <c r="AQ143" s="121">
        <f>交易记录!I410</f>
        <v>0</v>
      </c>
      <c r="AR143" s="121">
        <f>交易记录!I441</f>
        <v>0</v>
      </c>
      <c r="AS143" s="30">
        <f t="shared" si="92"/>
        <v>0</v>
      </c>
      <c r="AT143" s="124">
        <f>交易记录!I474</f>
        <v>0</v>
      </c>
      <c r="AU143" s="124">
        <f>交易记录!I505</f>
        <v>0</v>
      </c>
      <c r="AV143" s="30">
        <f t="shared" si="73"/>
        <v>0</v>
      </c>
      <c r="AW143" s="121">
        <f>交易记录!I538</f>
        <v>0</v>
      </c>
      <c r="AX143" s="121">
        <f>交易记录!I569</f>
        <v>0</v>
      </c>
      <c r="AY143" s="30">
        <f t="shared" si="74"/>
        <v>0</v>
      </c>
      <c r="AZ143" s="124">
        <f>交易记录!I602</f>
        <v>0</v>
      </c>
      <c r="BA143" s="124">
        <f>交易记录!I633</f>
        <v>0</v>
      </c>
      <c r="BB143" s="30">
        <f t="shared" si="75"/>
        <v>0</v>
      </c>
      <c r="BC143" s="121">
        <f>交易记录!I666</f>
        <v>0</v>
      </c>
      <c r="BD143" s="121">
        <f>交易记录!I697</f>
        <v>0</v>
      </c>
      <c r="BE143" s="30">
        <f t="shared" si="76"/>
        <v>0</v>
      </c>
      <c r="BF143" s="124">
        <f>交易记录!I730</f>
        <v>0</v>
      </c>
      <c r="BG143" s="124">
        <f>交易记录!I761</f>
        <v>0</v>
      </c>
      <c r="BH143" s="30">
        <f t="shared" si="77"/>
        <v>0</v>
      </c>
      <c r="BI143" s="121">
        <f>交易记录!I794</f>
        <v>0</v>
      </c>
      <c r="BJ143" s="121">
        <f>交易记录!I825</f>
        <v>0</v>
      </c>
      <c r="BK143" s="30">
        <f t="shared" si="78"/>
        <v>0</v>
      </c>
      <c r="BL143" s="124">
        <f>交易记录!I858</f>
        <v>0</v>
      </c>
      <c r="BM143" s="124">
        <f>交易记录!I889</f>
        <v>0</v>
      </c>
      <c r="BN143" s="30">
        <f t="shared" si="79"/>
        <v>0</v>
      </c>
      <c r="BO143" s="121">
        <f>交易记录!I922</f>
        <v>0</v>
      </c>
      <c r="BP143" s="121">
        <f>交易记录!I953</f>
        <v>0</v>
      </c>
      <c r="BQ143" s="30">
        <f t="shared" si="80"/>
        <v>0</v>
      </c>
    </row>
    <row r="144" spans="1:69" ht="15">
      <c r="A144" s="125">
        <f>'维护-日期'!A$8</f>
        <v>46271</v>
      </c>
      <c r="B144" s="7" t="s">
        <v>28</v>
      </c>
      <c r="C144" s="144">
        <f t="shared" si="81"/>
        <v>19.263000000000002</v>
      </c>
      <c r="D144" s="144">
        <f>ROUND(INDEX(持仓数据!$C$3:$AG$26,MATCH('计算过程-数据汇总'!B144,持仓数据!$B$3:$B$26,0),MATCH('计算过程-数据汇总'!A144,'维护-日期'!$B$2:$AF$2,0)),3)</f>
        <v>19.263000000000002</v>
      </c>
      <c r="E144" s="98">
        <f t="shared" si="82"/>
        <v>19.263000000000002</v>
      </c>
      <c r="F144" s="22">
        <f>持仓数据!H94</f>
        <v>0.111</v>
      </c>
      <c r="G144" s="97">
        <v>372</v>
      </c>
      <c r="H144" s="97">
        <v>372</v>
      </c>
      <c r="I144" s="64">
        <v>0</v>
      </c>
      <c r="J144" s="64">
        <v>0</v>
      </c>
      <c r="K144" s="21">
        <f>IF(持仓数据!H127="",0,持仓数据!H127)</f>
        <v>372</v>
      </c>
      <c r="L144" s="21">
        <f t="shared" si="83"/>
        <v>0</v>
      </c>
      <c r="M144" s="28">
        <f t="shared" si="67"/>
        <v>7165.8360000000002</v>
      </c>
      <c r="N144" s="28">
        <f t="shared" si="68"/>
        <v>0</v>
      </c>
      <c r="O144" s="28">
        <f t="shared" si="69"/>
        <v>0</v>
      </c>
      <c r="P144" s="28">
        <f t="shared" si="70"/>
        <v>0</v>
      </c>
      <c r="Q144" s="28">
        <f t="shared" si="84"/>
        <v>0</v>
      </c>
      <c r="R144" s="28">
        <f t="shared" si="71"/>
        <v>7165.8360000000002</v>
      </c>
      <c r="S144" s="28">
        <f t="shared" si="85"/>
        <v>0</v>
      </c>
      <c r="T144" s="28">
        <f t="shared" si="86"/>
        <v>0</v>
      </c>
      <c r="U144" s="28">
        <f t="shared" si="89"/>
        <v>0</v>
      </c>
      <c r="V144" s="28">
        <f t="shared" si="87"/>
        <v>0</v>
      </c>
      <c r="W144" s="118"/>
      <c r="X144" s="143">
        <f t="shared" si="88"/>
        <v>23.004999999999999</v>
      </c>
      <c r="Y144" s="121">
        <f>交易记录!I27</f>
        <v>0.111</v>
      </c>
      <c r="Z144" s="121">
        <f>交易记录!I58</f>
        <v>372</v>
      </c>
      <c r="AA144" s="30">
        <f t="shared" si="72"/>
        <v>0</v>
      </c>
      <c r="AB144" s="124">
        <f>交易记录!I91</f>
        <v>0</v>
      </c>
      <c r="AC144" s="124">
        <f>交易记录!I122</f>
        <v>0</v>
      </c>
      <c r="AD144" s="30">
        <f t="shared" ref="AD144:AD207" si="95">IFERROR((AC144-$G144)*AB144,0)</f>
        <v>0</v>
      </c>
      <c r="AE144" s="121">
        <f>交易记录!I155</f>
        <v>0</v>
      </c>
      <c r="AF144" s="121">
        <f>交易记录!I186</f>
        <v>0</v>
      </c>
      <c r="AG144" s="30">
        <f t="shared" si="91"/>
        <v>0</v>
      </c>
      <c r="AH144" s="124">
        <f>交易记录!I219</f>
        <v>0</v>
      </c>
      <c r="AI144" s="124">
        <f>交易记录!I250</f>
        <v>0</v>
      </c>
      <c r="AJ144" s="30">
        <f t="shared" si="94"/>
        <v>0</v>
      </c>
      <c r="AK144" s="121">
        <f>交易记录!I283</f>
        <v>0</v>
      </c>
      <c r="AL144" s="121">
        <f>交易记录!I314</f>
        <v>0</v>
      </c>
      <c r="AM144" s="30">
        <f t="shared" si="93"/>
        <v>0</v>
      </c>
      <c r="AN144" s="124">
        <f>交易记录!I347</f>
        <v>0</v>
      </c>
      <c r="AO144" s="124">
        <f>交易记录!I378</f>
        <v>0</v>
      </c>
      <c r="AP144" s="30">
        <f t="shared" si="90"/>
        <v>0</v>
      </c>
      <c r="AQ144" s="121">
        <f>交易记录!I411</f>
        <v>0</v>
      </c>
      <c r="AR144" s="121">
        <f>交易记录!I442</f>
        <v>0</v>
      </c>
      <c r="AS144" s="30">
        <f t="shared" si="92"/>
        <v>0</v>
      </c>
      <c r="AT144" s="124">
        <f>交易记录!I475</f>
        <v>0</v>
      </c>
      <c r="AU144" s="124">
        <f>交易记录!I506</f>
        <v>0</v>
      </c>
      <c r="AV144" s="30">
        <f t="shared" si="73"/>
        <v>0</v>
      </c>
      <c r="AW144" s="121">
        <f>交易记录!I539</f>
        <v>0</v>
      </c>
      <c r="AX144" s="121">
        <f>交易记录!I570</f>
        <v>0</v>
      </c>
      <c r="AY144" s="30">
        <f t="shared" si="74"/>
        <v>0</v>
      </c>
      <c r="AZ144" s="124">
        <f>交易记录!I603</f>
        <v>0</v>
      </c>
      <c r="BA144" s="124">
        <f>交易记录!I634</f>
        <v>0</v>
      </c>
      <c r="BB144" s="30">
        <f t="shared" si="75"/>
        <v>0</v>
      </c>
      <c r="BC144" s="121">
        <f>交易记录!I667</f>
        <v>0</v>
      </c>
      <c r="BD144" s="121">
        <f>交易记录!I698</f>
        <v>0</v>
      </c>
      <c r="BE144" s="30">
        <f t="shared" si="76"/>
        <v>0</v>
      </c>
      <c r="BF144" s="124">
        <f>交易记录!I731</f>
        <v>0</v>
      </c>
      <c r="BG144" s="124">
        <f>交易记录!I762</f>
        <v>0</v>
      </c>
      <c r="BH144" s="30">
        <f t="shared" si="77"/>
        <v>0</v>
      </c>
      <c r="BI144" s="121">
        <f>交易记录!I795</f>
        <v>0</v>
      </c>
      <c r="BJ144" s="121">
        <f>交易记录!I826</f>
        <v>0</v>
      </c>
      <c r="BK144" s="30">
        <f t="shared" si="78"/>
        <v>0</v>
      </c>
      <c r="BL144" s="124">
        <f>交易记录!I859</f>
        <v>0</v>
      </c>
      <c r="BM144" s="124">
        <f>交易记录!I890</f>
        <v>0</v>
      </c>
      <c r="BN144" s="30">
        <f t="shared" si="79"/>
        <v>0</v>
      </c>
      <c r="BO144" s="121">
        <f>交易记录!I923</f>
        <v>0</v>
      </c>
      <c r="BP144" s="121">
        <f>交易记录!I954</f>
        <v>0</v>
      </c>
      <c r="BQ144" s="30">
        <f t="shared" si="80"/>
        <v>0</v>
      </c>
    </row>
    <row r="145" spans="1:69" ht="15">
      <c r="A145" s="125">
        <f>'维护-日期'!A$8</f>
        <v>46271</v>
      </c>
      <c r="B145" s="7" t="s">
        <v>29</v>
      </c>
      <c r="C145" s="144">
        <f t="shared" si="81"/>
        <v>16.701000000000001</v>
      </c>
      <c r="D145" s="144">
        <f>ROUND(INDEX(持仓数据!$C$3:$AG$26,MATCH('计算过程-数据汇总'!B145,持仓数据!$B$3:$B$26,0),MATCH('计算过程-数据汇总'!A145,'维护-日期'!$B$2:$AF$2,0)),3)</f>
        <v>16.701000000000001</v>
      </c>
      <c r="E145" s="98">
        <f t="shared" si="82"/>
        <v>16.701000000000001</v>
      </c>
      <c r="F145" s="22">
        <f>持仓数据!H95</f>
        <v>9.2999999999999999E-2</v>
      </c>
      <c r="G145" s="97">
        <v>372</v>
      </c>
      <c r="H145" s="97">
        <v>372</v>
      </c>
      <c r="I145" s="64">
        <v>0</v>
      </c>
      <c r="J145" s="64">
        <v>0</v>
      </c>
      <c r="K145" s="21">
        <f>IF(持仓数据!H128="",0,持仓数据!H128)</f>
        <v>371.99999999999994</v>
      </c>
      <c r="L145" s="21">
        <f t="shared" si="83"/>
        <v>0</v>
      </c>
      <c r="M145" s="28">
        <f t="shared" si="67"/>
        <v>6212.7719999999999</v>
      </c>
      <c r="N145" s="28">
        <f t="shared" si="68"/>
        <v>0</v>
      </c>
      <c r="O145" s="28">
        <f t="shared" si="69"/>
        <v>0</v>
      </c>
      <c r="P145" s="28">
        <f t="shared" si="70"/>
        <v>-5.2864379540551453E-15</v>
      </c>
      <c r="Q145" s="28">
        <f t="shared" si="84"/>
        <v>0</v>
      </c>
      <c r="R145" s="28">
        <f t="shared" si="71"/>
        <v>6212.771999999999</v>
      </c>
      <c r="S145" s="28">
        <f t="shared" si="85"/>
        <v>0</v>
      </c>
      <c r="T145" s="28">
        <f t="shared" si="86"/>
        <v>9.4405550044029954E-13</v>
      </c>
      <c r="U145" s="28">
        <f t="shared" si="89"/>
        <v>0</v>
      </c>
      <c r="V145" s="28">
        <f t="shared" si="87"/>
        <v>0</v>
      </c>
      <c r="W145" s="118"/>
      <c r="X145" s="143">
        <f t="shared" si="88"/>
        <v>19.948</v>
      </c>
      <c r="Y145" s="121">
        <f>交易记录!I28</f>
        <v>9.2999999999999999E-2</v>
      </c>
      <c r="Z145" s="121">
        <f>交易记录!I59</f>
        <v>372</v>
      </c>
      <c r="AA145" s="30">
        <f t="shared" si="72"/>
        <v>0</v>
      </c>
      <c r="AB145" s="124">
        <f>交易记录!I92</f>
        <v>0</v>
      </c>
      <c r="AC145" s="124">
        <f>交易记录!I123</f>
        <v>0</v>
      </c>
      <c r="AD145" s="30">
        <f t="shared" si="95"/>
        <v>0</v>
      </c>
      <c r="AE145" s="121">
        <f>交易记录!I156</f>
        <v>0</v>
      </c>
      <c r="AF145" s="121">
        <f>交易记录!I187</f>
        <v>0</v>
      </c>
      <c r="AG145" s="30">
        <f t="shared" si="91"/>
        <v>0</v>
      </c>
      <c r="AH145" s="124">
        <f>交易记录!I220</f>
        <v>0</v>
      </c>
      <c r="AI145" s="124">
        <f>交易记录!I251</f>
        <v>0</v>
      </c>
      <c r="AJ145" s="30">
        <f t="shared" si="94"/>
        <v>0</v>
      </c>
      <c r="AK145" s="121">
        <f>交易记录!I284</f>
        <v>0</v>
      </c>
      <c r="AL145" s="121">
        <f>交易记录!I315</f>
        <v>0</v>
      </c>
      <c r="AM145" s="30">
        <f t="shared" si="93"/>
        <v>0</v>
      </c>
      <c r="AN145" s="124">
        <f>交易记录!I348</f>
        <v>0</v>
      </c>
      <c r="AO145" s="124">
        <f>交易记录!I379</f>
        <v>0</v>
      </c>
      <c r="AP145" s="30">
        <f t="shared" si="90"/>
        <v>0</v>
      </c>
      <c r="AQ145" s="121">
        <f>交易记录!I412</f>
        <v>0</v>
      </c>
      <c r="AR145" s="121">
        <f>交易记录!I443</f>
        <v>0</v>
      </c>
      <c r="AS145" s="30">
        <f t="shared" si="92"/>
        <v>0</v>
      </c>
      <c r="AT145" s="124">
        <f>交易记录!I476</f>
        <v>0</v>
      </c>
      <c r="AU145" s="124">
        <f>交易记录!I507</f>
        <v>0</v>
      </c>
      <c r="AV145" s="30">
        <f t="shared" si="73"/>
        <v>0</v>
      </c>
      <c r="AW145" s="121">
        <f>交易记录!I540</f>
        <v>0</v>
      </c>
      <c r="AX145" s="121">
        <f>交易记录!I571</f>
        <v>0</v>
      </c>
      <c r="AY145" s="30">
        <f t="shared" si="74"/>
        <v>0</v>
      </c>
      <c r="AZ145" s="124">
        <f>交易记录!I604</f>
        <v>0</v>
      </c>
      <c r="BA145" s="124">
        <f>交易记录!I635</f>
        <v>0</v>
      </c>
      <c r="BB145" s="30">
        <f t="shared" si="75"/>
        <v>0</v>
      </c>
      <c r="BC145" s="121">
        <f>交易记录!I668</f>
        <v>0</v>
      </c>
      <c r="BD145" s="121">
        <f>交易记录!I699</f>
        <v>0</v>
      </c>
      <c r="BE145" s="30">
        <f t="shared" si="76"/>
        <v>0</v>
      </c>
      <c r="BF145" s="124">
        <f>交易记录!I732</f>
        <v>0</v>
      </c>
      <c r="BG145" s="124">
        <f>交易记录!I763</f>
        <v>0</v>
      </c>
      <c r="BH145" s="30">
        <f t="shared" si="77"/>
        <v>0</v>
      </c>
      <c r="BI145" s="121">
        <f>交易记录!I796</f>
        <v>0</v>
      </c>
      <c r="BJ145" s="121">
        <f>交易记录!I827</f>
        <v>0</v>
      </c>
      <c r="BK145" s="30">
        <f t="shared" si="78"/>
        <v>0</v>
      </c>
      <c r="BL145" s="124">
        <f>交易记录!I860</f>
        <v>0</v>
      </c>
      <c r="BM145" s="124">
        <f>交易记录!I891</f>
        <v>0</v>
      </c>
      <c r="BN145" s="30">
        <f t="shared" si="79"/>
        <v>0</v>
      </c>
      <c r="BO145" s="121">
        <f>交易记录!I924</f>
        <v>0</v>
      </c>
      <c r="BP145" s="121">
        <f>交易记录!I955</f>
        <v>0</v>
      </c>
      <c r="BQ145" s="30">
        <f t="shared" si="80"/>
        <v>0</v>
      </c>
    </row>
    <row r="146" spans="1:69" ht="15">
      <c r="A146" s="125">
        <f>'维护-日期'!A$9</f>
        <v>46272</v>
      </c>
      <c r="B146" s="7" t="s">
        <v>6</v>
      </c>
      <c r="C146" s="144">
        <f t="shared" si="81"/>
        <v>16.655999999999999</v>
      </c>
      <c r="D146" s="144">
        <f>ROUND(INDEX(持仓数据!$C$3:$AG$26,MATCH('计算过程-数据汇总'!B146,持仓数据!$B$3:$B$26,0),MATCH('计算过程-数据汇总'!A146,'维护-日期'!$B$2:$AF$2,0)),3)</f>
        <v>16.655999999999999</v>
      </c>
      <c r="E146" s="98">
        <f t="shared" si="82"/>
        <v>16.655999999999999</v>
      </c>
      <c r="F146" s="22">
        <f>持仓数据!I72</f>
        <v>0.39700000000000002</v>
      </c>
      <c r="G146" s="97">
        <v>372</v>
      </c>
      <c r="H146" s="97">
        <v>372</v>
      </c>
      <c r="I146" s="64">
        <v>0</v>
      </c>
      <c r="J146" s="64">
        <v>0</v>
      </c>
      <c r="K146" s="21">
        <f>IF(持仓数据!I105="",0,持仓数据!I105)</f>
        <v>372</v>
      </c>
      <c r="L146" s="21">
        <f t="shared" si="83"/>
        <v>0</v>
      </c>
      <c r="M146" s="28">
        <f t="shared" si="67"/>
        <v>6196.0319999999992</v>
      </c>
      <c r="N146" s="28">
        <f t="shared" si="68"/>
        <v>0</v>
      </c>
      <c r="O146" s="28">
        <f t="shared" si="69"/>
        <v>0</v>
      </c>
      <c r="P146" s="28">
        <f t="shared" si="70"/>
        <v>0</v>
      </c>
      <c r="Q146" s="28">
        <f t="shared" si="84"/>
        <v>0</v>
      </c>
      <c r="R146" s="28">
        <f t="shared" si="71"/>
        <v>6196.0319999999992</v>
      </c>
      <c r="S146" s="28">
        <f t="shared" si="85"/>
        <v>0</v>
      </c>
      <c r="T146" s="28">
        <f t="shared" si="86"/>
        <v>0</v>
      </c>
      <c r="U146" s="28">
        <f t="shared" si="89"/>
        <v>0</v>
      </c>
      <c r="V146" s="28">
        <f t="shared" si="87"/>
        <v>0</v>
      </c>
      <c r="W146" s="118"/>
      <c r="X146" s="143">
        <f t="shared" si="88"/>
        <v>19.59</v>
      </c>
      <c r="Y146" s="121">
        <f>交易记录!J5</f>
        <v>0.39700000000000002</v>
      </c>
      <c r="Z146" s="121">
        <f>交易记录!J36</f>
        <v>372</v>
      </c>
      <c r="AA146" s="30">
        <f t="shared" si="72"/>
        <v>0</v>
      </c>
      <c r="AB146" s="124">
        <f>交易记录!J69</f>
        <v>0</v>
      </c>
      <c r="AC146" s="124">
        <f>交易记录!J100</f>
        <v>0</v>
      </c>
      <c r="AD146" s="30">
        <f t="shared" si="95"/>
        <v>0</v>
      </c>
      <c r="AE146" s="121">
        <f>交易记录!J133</f>
        <v>0</v>
      </c>
      <c r="AF146" s="121">
        <f>交易记录!J164</f>
        <v>0</v>
      </c>
      <c r="AG146" s="30">
        <f t="shared" si="91"/>
        <v>0</v>
      </c>
      <c r="AH146" s="124">
        <f>交易记录!J197</f>
        <v>0</v>
      </c>
      <c r="AI146" s="124">
        <f>交易记录!J228</f>
        <v>0</v>
      </c>
      <c r="AJ146" s="30">
        <f t="shared" si="94"/>
        <v>0</v>
      </c>
      <c r="AK146" s="121">
        <f>交易记录!J261</f>
        <v>0</v>
      </c>
      <c r="AL146" s="121">
        <f>交易记录!J292</f>
        <v>0</v>
      </c>
      <c r="AM146" s="30">
        <f t="shared" si="93"/>
        <v>0</v>
      </c>
      <c r="AN146" s="124">
        <f>交易记录!J325</f>
        <v>0</v>
      </c>
      <c r="AO146" s="124">
        <f>交易记录!J356</f>
        <v>0</v>
      </c>
      <c r="AP146" s="30">
        <f t="shared" si="90"/>
        <v>0</v>
      </c>
      <c r="AQ146" s="121">
        <f>交易记录!J389</f>
        <v>0</v>
      </c>
      <c r="AR146" s="121">
        <f>交易记录!J420</f>
        <v>0</v>
      </c>
      <c r="AS146" s="30">
        <f t="shared" si="92"/>
        <v>0</v>
      </c>
      <c r="AT146" s="124">
        <f>交易记录!J453</f>
        <v>0</v>
      </c>
      <c r="AU146" s="124">
        <f>交易记录!J484</f>
        <v>0</v>
      </c>
      <c r="AV146" s="30">
        <f t="shared" si="73"/>
        <v>0</v>
      </c>
      <c r="AW146" s="121">
        <f>交易记录!J517</f>
        <v>0</v>
      </c>
      <c r="AX146" s="121">
        <f>交易记录!J548</f>
        <v>0</v>
      </c>
      <c r="AY146" s="30">
        <f t="shared" si="74"/>
        <v>0</v>
      </c>
      <c r="AZ146" s="124">
        <f>交易记录!J581</f>
        <v>0</v>
      </c>
      <c r="BA146" s="124">
        <f>交易记录!J612</f>
        <v>0</v>
      </c>
      <c r="BB146" s="30">
        <f t="shared" si="75"/>
        <v>0</v>
      </c>
      <c r="BC146" s="121">
        <f>交易记录!J645</f>
        <v>0</v>
      </c>
      <c r="BD146" s="121">
        <f>交易记录!J676</f>
        <v>0</v>
      </c>
      <c r="BE146" s="30">
        <f t="shared" si="76"/>
        <v>0</v>
      </c>
      <c r="BF146" s="124">
        <f>交易记录!J709</f>
        <v>0</v>
      </c>
      <c r="BG146" s="124">
        <f>交易记录!J740</f>
        <v>0</v>
      </c>
      <c r="BH146" s="30">
        <f t="shared" si="77"/>
        <v>0</v>
      </c>
      <c r="BI146" s="121">
        <f>交易记录!J773</f>
        <v>0</v>
      </c>
      <c r="BJ146" s="121">
        <f>交易记录!J804</f>
        <v>0</v>
      </c>
      <c r="BK146" s="30">
        <f t="shared" si="78"/>
        <v>0</v>
      </c>
      <c r="BL146" s="124">
        <f>交易记录!J837</f>
        <v>0</v>
      </c>
      <c r="BM146" s="124">
        <f>交易记录!J868</f>
        <v>0</v>
      </c>
      <c r="BN146" s="30">
        <f t="shared" si="79"/>
        <v>0</v>
      </c>
      <c r="BO146" s="121">
        <f>交易记录!J901</f>
        <v>0</v>
      </c>
      <c r="BP146" s="121">
        <f>交易记录!J932</f>
        <v>0</v>
      </c>
      <c r="BQ146" s="30">
        <f t="shared" si="80"/>
        <v>0</v>
      </c>
    </row>
    <row r="147" spans="1:69" ht="15">
      <c r="A147" s="125">
        <f>'维护-日期'!A$9</f>
        <v>46272</v>
      </c>
      <c r="B147" s="7" t="s">
        <v>7</v>
      </c>
      <c r="C147" s="144">
        <f t="shared" si="81"/>
        <v>15.792</v>
      </c>
      <c r="D147" s="144">
        <f>ROUND(INDEX(持仓数据!$C$3:$AG$26,MATCH('计算过程-数据汇总'!B147,持仓数据!$B$3:$B$26,0),MATCH('计算过程-数据汇总'!A147,'维护-日期'!$B$2:$AF$2,0)),3)</f>
        <v>15.792</v>
      </c>
      <c r="E147" s="98">
        <f t="shared" si="82"/>
        <v>15.792</v>
      </c>
      <c r="F147" s="22">
        <f>持仓数据!I73</f>
        <v>0.26500000000000001</v>
      </c>
      <c r="G147" s="97">
        <v>372</v>
      </c>
      <c r="H147" s="97">
        <v>372</v>
      </c>
      <c r="I147" s="64">
        <v>0</v>
      </c>
      <c r="J147" s="64">
        <v>0</v>
      </c>
      <c r="K147" s="21">
        <f>IF(持仓数据!I106="",0,持仓数据!I106)</f>
        <v>372</v>
      </c>
      <c r="L147" s="21">
        <f t="shared" si="83"/>
        <v>0</v>
      </c>
      <c r="M147" s="28">
        <f t="shared" si="67"/>
        <v>5874.6239999999998</v>
      </c>
      <c r="N147" s="28">
        <f t="shared" si="68"/>
        <v>0</v>
      </c>
      <c r="O147" s="28">
        <f t="shared" si="69"/>
        <v>0</v>
      </c>
      <c r="P147" s="28">
        <f t="shared" si="70"/>
        <v>0</v>
      </c>
      <c r="Q147" s="28">
        <f t="shared" si="84"/>
        <v>0</v>
      </c>
      <c r="R147" s="28">
        <f t="shared" si="71"/>
        <v>5874.6239999999998</v>
      </c>
      <c r="S147" s="28">
        <f t="shared" si="85"/>
        <v>0</v>
      </c>
      <c r="T147" s="28">
        <f t="shared" si="86"/>
        <v>0</v>
      </c>
      <c r="U147" s="28">
        <f t="shared" si="89"/>
        <v>0</v>
      </c>
      <c r="V147" s="28">
        <f t="shared" si="87"/>
        <v>0</v>
      </c>
      <c r="W147" s="118"/>
      <c r="X147" s="143">
        <f t="shared" si="88"/>
        <v>18.684999999999999</v>
      </c>
      <c r="Y147" s="121">
        <f>交易记录!J6</f>
        <v>0.26500000000000001</v>
      </c>
      <c r="Z147" s="121">
        <f>交易记录!J37</f>
        <v>372</v>
      </c>
      <c r="AA147" s="30">
        <f t="shared" si="72"/>
        <v>0</v>
      </c>
      <c r="AB147" s="124">
        <f>交易记录!J70</f>
        <v>0</v>
      </c>
      <c r="AC147" s="124">
        <f>交易记录!J101</f>
        <v>0</v>
      </c>
      <c r="AD147" s="30">
        <f t="shared" si="95"/>
        <v>0</v>
      </c>
      <c r="AE147" s="121">
        <f>交易记录!J134</f>
        <v>0</v>
      </c>
      <c r="AF147" s="121">
        <f>交易记录!J165</f>
        <v>0</v>
      </c>
      <c r="AG147" s="30">
        <f t="shared" si="91"/>
        <v>0</v>
      </c>
      <c r="AH147" s="124">
        <f>交易记录!J198</f>
        <v>0</v>
      </c>
      <c r="AI147" s="124">
        <f>交易记录!J229</f>
        <v>0</v>
      </c>
      <c r="AJ147" s="30">
        <f t="shared" si="94"/>
        <v>0</v>
      </c>
      <c r="AK147" s="121">
        <f>交易记录!J262</f>
        <v>0</v>
      </c>
      <c r="AL147" s="121">
        <f>交易记录!J293</f>
        <v>0</v>
      </c>
      <c r="AM147" s="30">
        <f t="shared" si="93"/>
        <v>0</v>
      </c>
      <c r="AN147" s="124">
        <f>交易记录!J326</f>
        <v>0</v>
      </c>
      <c r="AO147" s="124">
        <f>交易记录!J357</f>
        <v>0</v>
      </c>
      <c r="AP147" s="30">
        <f t="shared" si="90"/>
        <v>0</v>
      </c>
      <c r="AQ147" s="121">
        <f>交易记录!J390</f>
        <v>0</v>
      </c>
      <c r="AR147" s="121">
        <f>交易记录!J421</f>
        <v>0</v>
      </c>
      <c r="AS147" s="30">
        <f t="shared" si="92"/>
        <v>0</v>
      </c>
      <c r="AT147" s="124">
        <f>交易记录!J454</f>
        <v>0</v>
      </c>
      <c r="AU147" s="124">
        <f>交易记录!J485</f>
        <v>0</v>
      </c>
      <c r="AV147" s="30">
        <f t="shared" si="73"/>
        <v>0</v>
      </c>
      <c r="AW147" s="121">
        <f>交易记录!J518</f>
        <v>0</v>
      </c>
      <c r="AX147" s="121">
        <f>交易记录!J549</f>
        <v>0</v>
      </c>
      <c r="AY147" s="30">
        <f t="shared" si="74"/>
        <v>0</v>
      </c>
      <c r="AZ147" s="124">
        <f>交易记录!J582</f>
        <v>0</v>
      </c>
      <c r="BA147" s="124">
        <f>交易记录!J613</f>
        <v>0</v>
      </c>
      <c r="BB147" s="30">
        <f t="shared" si="75"/>
        <v>0</v>
      </c>
      <c r="BC147" s="121">
        <f>交易记录!J646</f>
        <v>0</v>
      </c>
      <c r="BD147" s="121">
        <f>交易记录!J677</f>
        <v>0</v>
      </c>
      <c r="BE147" s="30">
        <f t="shared" si="76"/>
        <v>0</v>
      </c>
      <c r="BF147" s="124">
        <f>交易记录!J710</f>
        <v>0</v>
      </c>
      <c r="BG147" s="124">
        <f>交易记录!J741</f>
        <v>0</v>
      </c>
      <c r="BH147" s="30">
        <f t="shared" si="77"/>
        <v>0</v>
      </c>
      <c r="BI147" s="121">
        <f>交易记录!J774</f>
        <v>0</v>
      </c>
      <c r="BJ147" s="121">
        <f>交易记录!J805</f>
        <v>0</v>
      </c>
      <c r="BK147" s="30">
        <f t="shared" si="78"/>
        <v>0</v>
      </c>
      <c r="BL147" s="124">
        <f>交易记录!J838</f>
        <v>0</v>
      </c>
      <c r="BM147" s="124">
        <f>交易记录!J869</f>
        <v>0</v>
      </c>
      <c r="BN147" s="30">
        <f t="shared" si="79"/>
        <v>0</v>
      </c>
      <c r="BO147" s="121">
        <f>交易记录!J902</f>
        <v>0</v>
      </c>
      <c r="BP147" s="121">
        <f>交易记录!J933</f>
        <v>0</v>
      </c>
      <c r="BQ147" s="30">
        <f t="shared" si="80"/>
        <v>0</v>
      </c>
    </row>
    <row r="148" spans="1:69" ht="15">
      <c r="A148" s="125">
        <f>'维护-日期'!A$9</f>
        <v>46272</v>
      </c>
      <c r="B148" s="7" t="s">
        <v>8</v>
      </c>
      <c r="C148" s="144">
        <f t="shared" si="81"/>
        <v>14.821999999999999</v>
      </c>
      <c r="D148" s="144">
        <f>ROUND(INDEX(持仓数据!$C$3:$AG$26,MATCH('计算过程-数据汇总'!B148,持仓数据!$B$3:$B$26,0),MATCH('计算过程-数据汇总'!A148,'维护-日期'!$B$2:$AF$2,0)),3)</f>
        <v>14.821999999999999</v>
      </c>
      <c r="E148" s="98">
        <f t="shared" si="82"/>
        <v>14.821999999999999</v>
      </c>
      <c r="F148" s="22">
        <f>持仓数据!I74</f>
        <v>0.24199999999999999</v>
      </c>
      <c r="G148" s="97">
        <v>372</v>
      </c>
      <c r="H148" s="97">
        <v>372</v>
      </c>
      <c r="I148" s="64">
        <v>0</v>
      </c>
      <c r="J148" s="64">
        <v>0</v>
      </c>
      <c r="K148" s="21">
        <f>IF(持仓数据!I107="",0,持仓数据!I107)</f>
        <v>372</v>
      </c>
      <c r="L148" s="21">
        <f t="shared" si="83"/>
        <v>0</v>
      </c>
      <c r="M148" s="28">
        <f t="shared" si="67"/>
        <v>5513.7839999999997</v>
      </c>
      <c r="N148" s="28">
        <f t="shared" si="68"/>
        <v>0</v>
      </c>
      <c r="O148" s="28">
        <f t="shared" si="69"/>
        <v>0</v>
      </c>
      <c r="P148" s="28">
        <f t="shared" si="70"/>
        <v>0</v>
      </c>
      <c r="Q148" s="28">
        <f t="shared" si="84"/>
        <v>0</v>
      </c>
      <c r="R148" s="28">
        <f t="shared" si="71"/>
        <v>5513.7839999999997</v>
      </c>
      <c r="S148" s="28">
        <f t="shared" si="85"/>
        <v>0</v>
      </c>
      <c r="T148" s="28">
        <f t="shared" si="86"/>
        <v>0</v>
      </c>
      <c r="U148" s="28">
        <f t="shared" si="89"/>
        <v>0</v>
      </c>
      <c r="V148" s="28">
        <f t="shared" si="87"/>
        <v>0</v>
      </c>
      <c r="W148" s="118"/>
      <c r="X148" s="143">
        <f t="shared" si="88"/>
        <v>17.544</v>
      </c>
      <c r="Y148" s="121">
        <f>交易记录!J7</f>
        <v>0.24199999999999999</v>
      </c>
      <c r="Z148" s="121">
        <f>交易记录!J38</f>
        <v>372</v>
      </c>
      <c r="AA148" s="30">
        <f t="shared" si="72"/>
        <v>0</v>
      </c>
      <c r="AB148" s="124">
        <f>交易记录!J71</f>
        <v>0</v>
      </c>
      <c r="AC148" s="124">
        <f>交易记录!J102</f>
        <v>0</v>
      </c>
      <c r="AD148" s="30">
        <f t="shared" si="95"/>
        <v>0</v>
      </c>
      <c r="AE148" s="121">
        <f>交易记录!J135</f>
        <v>0</v>
      </c>
      <c r="AF148" s="121">
        <f>交易记录!J166</f>
        <v>0</v>
      </c>
      <c r="AG148" s="30">
        <f t="shared" si="91"/>
        <v>0</v>
      </c>
      <c r="AH148" s="124">
        <f>交易记录!J199</f>
        <v>0</v>
      </c>
      <c r="AI148" s="124">
        <f>交易记录!J230</f>
        <v>0</v>
      </c>
      <c r="AJ148" s="30">
        <f t="shared" si="94"/>
        <v>0</v>
      </c>
      <c r="AK148" s="121">
        <f>交易记录!J263</f>
        <v>0</v>
      </c>
      <c r="AL148" s="121">
        <f>交易记录!J294</f>
        <v>0</v>
      </c>
      <c r="AM148" s="30">
        <f t="shared" si="93"/>
        <v>0</v>
      </c>
      <c r="AN148" s="124">
        <f>交易记录!J327</f>
        <v>0</v>
      </c>
      <c r="AO148" s="124">
        <f>交易记录!J358</f>
        <v>0</v>
      </c>
      <c r="AP148" s="30">
        <f t="shared" si="90"/>
        <v>0</v>
      </c>
      <c r="AQ148" s="121">
        <f>交易记录!J391</f>
        <v>0</v>
      </c>
      <c r="AR148" s="121">
        <f>交易记录!J422</f>
        <v>0</v>
      </c>
      <c r="AS148" s="30">
        <f t="shared" si="92"/>
        <v>0</v>
      </c>
      <c r="AT148" s="124">
        <f>交易记录!J455</f>
        <v>0</v>
      </c>
      <c r="AU148" s="124">
        <f>交易记录!J486</f>
        <v>0</v>
      </c>
      <c r="AV148" s="30">
        <f t="shared" si="73"/>
        <v>0</v>
      </c>
      <c r="AW148" s="121">
        <f>交易记录!J519</f>
        <v>0</v>
      </c>
      <c r="AX148" s="121">
        <f>交易记录!J550</f>
        <v>0</v>
      </c>
      <c r="AY148" s="30">
        <f t="shared" si="74"/>
        <v>0</v>
      </c>
      <c r="AZ148" s="124">
        <f>交易记录!J583</f>
        <v>0</v>
      </c>
      <c r="BA148" s="124">
        <f>交易记录!J614</f>
        <v>0</v>
      </c>
      <c r="BB148" s="30">
        <f t="shared" si="75"/>
        <v>0</v>
      </c>
      <c r="BC148" s="121">
        <f>交易记录!J647</f>
        <v>0</v>
      </c>
      <c r="BD148" s="121">
        <f>交易记录!J678</f>
        <v>0</v>
      </c>
      <c r="BE148" s="30">
        <f t="shared" si="76"/>
        <v>0</v>
      </c>
      <c r="BF148" s="124">
        <f>交易记录!J711</f>
        <v>0</v>
      </c>
      <c r="BG148" s="124">
        <f>交易记录!J742</f>
        <v>0</v>
      </c>
      <c r="BH148" s="30">
        <f t="shared" si="77"/>
        <v>0</v>
      </c>
      <c r="BI148" s="121">
        <f>交易记录!J775</f>
        <v>0</v>
      </c>
      <c r="BJ148" s="121">
        <f>交易记录!J806</f>
        <v>0</v>
      </c>
      <c r="BK148" s="30">
        <f t="shared" si="78"/>
        <v>0</v>
      </c>
      <c r="BL148" s="124">
        <f>交易记录!J839</f>
        <v>0</v>
      </c>
      <c r="BM148" s="124">
        <f>交易记录!J870</f>
        <v>0</v>
      </c>
      <c r="BN148" s="30">
        <f t="shared" si="79"/>
        <v>0</v>
      </c>
      <c r="BO148" s="121">
        <f>交易记录!J903</f>
        <v>0</v>
      </c>
      <c r="BP148" s="121">
        <f>交易记录!J934</f>
        <v>0</v>
      </c>
      <c r="BQ148" s="30">
        <f t="shared" si="80"/>
        <v>0</v>
      </c>
    </row>
    <row r="149" spans="1:69" ht="15">
      <c r="A149" s="125">
        <f>'维护-日期'!A$9</f>
        <v>46272</v>
      </c>
      <c r="B149" s="7" t="s">
        <v>9</v>
      </c>
      <c r="C149" s="144">
        <f t="shared" si="81"/>
        <v>13.817</v>
      </c>
      <c r="D149" s="144">
        <f>ROUND(INDEX(持仓数据!$C$3:$AG$26,MATCH('计算过程-数据汇总'!B149,持仓数据!$B$3:$B$26,0),MATCH('计算过程-数据汇总'!A149,'维护-日期'!$B$2:$AF$2,0)),3)</f>
        <v>13.817</v>
      </c>
      <c r="E149" s="98">
        <f t="shared" si="82"/>
        <v>13.817</v>
      </c>
      <c r="F149" s="22">
        <f>持仓数据!I75</f>
        <v>0.09</v>
      </c>
      <c r="G149" s="97">
        <v>372</v>
      </c>
      <c r="H149" s="97">
        <v>372</v>
      </c>
      <c r="I149" s="64">
        <v>0</v>
      </c>
      <c r="J149" s="64">
        <v>0</v>
      </c>
      <c r="K149" s="21">
        <f>IF(持仓数据!I108="",0,持仓数据!I108)</f>
        <v>372</v>
      </c>
      <c r="L149" s="21">
        <f t="shared" si="83"/>
        <v>0</v>
      </c>
      <c r="M149" s="28">
        <f t="shared" si="67"/>
        <v>5139.924</v>
      </c>
      <c r="N149" s="28">
        <f t="shared" si="68"/>
        <v>0</v>
      </c>
      <c r="O149" s="28">
        <f t="shared" si="69"/>
        <v>0</v>
      </c>
      <c r="P149" s="28">
        <f t="shared" si="70"/>
        <v>0</v>
      </c>
      <c r="Q149" s="28">
        <f t="shared" si="84"/>
        <v>0</v>
      </c>
      <c r="R149" s="28">
        <f t="shared" si="71"/>
        <v>5139.924</v>
      </c>
      <c r="S149" s="28">
        <f t="shared" si="85"/>
        <v>0</v>
      </c>
      <c r="T149" s="28">
        <f t="shared" si="86"/>
        <v>0</v>
      </c>
      <c r="U149" s="28">
        <f t="shared" si="89"/>
        <v>0</v>
      </c>
      <c r="V149" s="28">
        <f t="shared" si="87"/>
        <v>0</v>
      </c>
      <c r="W149" s="118"/>
      <c r="X149" s="143">
        <f t="shared" si="88"/>
        <v>16.489999999999998</v>
      </c>
      <c r="Y149" s="121">
        <f>交易记录!J8</f>
        <v>0.09</v>
      </c>
      <c r="Z149" s="121">
        <f>交易记录!J39</f>
        <v>372</v>
      </c>
      <c r="AA149" s="30">
        <f t="shared" si="72"/>
        <v>0</v>
      </c>
      <c r="AB149" s="124">
        <f>交易记录!J72</f>
        <v>0</v>
      </c>
      <c r="AC149" s="124">
        <f>交易记录!J103</f>
        <v>0</v>
      </c>
      <c r="AD149" s="30">
        <f t="shared" si="95"/>
        <v>0</v>
      </c>
      <c r="AE149" s="121">
        <f>交易记录!J136</f>
        <v>0</v>
      </c>
      <c r="AF149" s="121">
        <f>交易记录!J167</f>
        <v>0</v>
      </c>
      <c r="AG149" s="30">
        <f t="shared" si="91"/>
        <v>0</v>
      </c>
      <c r="AH149" s="124">
        <f>交易记录!J200</f>
        <v>0</v>
      </c>
      <c r="AI149" s="124">
        <f>交易记录!J231</f>
        <v>0</v>
      </c>
      <c r="AJ149" s="30">
        <f t="shared" si="94"/>
        <v>0</v>
      </c>
      <c r="AK149" s="121">
        <f>交易记录!J264</f>
        <v>0</v>
      </c>
      <c r="AL149" s="121">
        <f>交易记录!J295</f>
        <v>0</v>
      </c>
      <c r="AM149" s="30">
        <f t="shared" si="93"/>
        <v>0</v>
      </c>
      <c r="AN149" s="124">
        <f>交易记录!J328</f>
        <v>0</v>
      </c>
      <c r="AO149" s="124">
        <f>交易记录!J359</f>
        <v>0</v>
      </c>
      <c r="AP149" s="30">
        <f t="shared" si="90"/>
        <v>0</v>
      </c>
      <c r="AQ149" s="121">
        <f>交易记录!J392</f>
        <v>0</v>
      </c>
      <c r="AR149" s="121">
        <f>交易记录!J423</f>
        <v>0</v>
      </c>
      <c r="AS149" s="30">
        <f t="shared" si="92"/>
        <v>0</v>
      </c>
      <c r="AT149" s="124">
        <f>交易记录!J456</f>
        <v>0</v>
      </c>
      <c r="AU149" s="124">
        <f>交易记录!J487</f>
        <v>0</v>
      </c>
      <c r="AV149" s="30">
        <f t="shared" si="73"/>
        <v>0</v>
      </c>
      <c r="AW149" s="121">
        <f>交易记录!J520</f>
        <v>0</v>
      </c>
      <c r="AX149" s="121">
        <f>交易记录!J551</f>
        <v>0</v>
      </c>
      <c r="AY149" s="30">
        <f t="shared" si="74"/>
        <v>0</v>
      </c>
      <c r="AZ149" s="124">
        <f>交易记录!J584</f>
        <v>0</v>
      </c>
      <c r="BA149" s="124">
        <f>交易记录!J615</f>
        <v>0</v>
      </c>
      <c r="BB149" s="30">
        <f t="shared" si="75"/>
        <v>0</v>
      </c>
      <c r="BC149" s="121">
        <f>交易记录!J648</f>
        <v>0</v>
      </c>
      <c r="BD149" s="121">
        <f>交易记录!J679</f>
        <v>0</v>
      </c>
      <c r="BE149" s="30">
        <f t="shared" si="76"/>
        <v>0</v>
      </c>
      <c r="BF149" s="124">
        <f>交易记录!J712</f>
        <v>0</v>
      </c>
      <c r="BG149" s="124">
        <f>交易记录!J743</f>
        <v>0</v>
      </c>
      <c r="BH149" s="30">
        <f t="shared" si="77"/>
        <v>0</v>
      </c>
      <c r="BI149" s="121">
        <f>交易记录!J776</f>
        <v>0</v>
      </c>
      <c r="BJ149" s="121">
        <f>交易记录!J807</f>
        <v>0</v>
      </c>
      <c r="BK149" s="30">
        <f t="shared" si="78"/>
        <v>0</v>
      </c>
      <c r="BL149" s="124">
        <f>交易记录!J840</f>
        <v>0</v>
      </c>
      <c r="BM149" s="124">
        <f>交易记录!J871</f>
        <v>0</v>
      </c>
      <c r="BN149" s="30">
        <f t="shared" si="79"/>
        <v>0</v>
      </c>
      <c r="BO149" s="121">
        <f>交易记录!J904</f>
        <v>0</v>
      </c>
      <c r="BP149" s="121">
        <f>交易记录!J935</f>
        <v>0</v>
      </c>
      <c r="BQ149" s="30">
        <f t="shared" si="80"/>
        <v>0</v>
      </c>
    </row>
    <row r="150" spans="1:69" ht="15">
      <c r="A150" s="125">
        <f>'维护-日期'!A$9</f>
        <v>46272</v>
      </c>
      <c r="B150" s="7" t="s">
        <v>10</v>
      </c>
      <c r="C150" s="144">
        <f t="shared" si="81"/>
        <v>13.388</v>
      </c>
      <c r="D150" s="144">
        <f>ROUND(INDEX(持仓数据!$C$3:$AG$26,MATCH('计算过程-数据汇总'!B150,持仓数据!$B$3:$B$26,0),MATCH('计算过程-数据汇总'!A150,'维护-日期'!$B$2:$AF$2,0)),3)</f>
        <v>13.388</v>
      </c>
      <c r="E150" s="98">
        <f t="shared" si="82"/>
        <v>13.388</v>
      </c>
      <c r="F150" s="22">
        <f>持仓数据!I76</f>
        <v>8.6999999999999994E-2</v>
      </c>
      <c r="G150" s="97">
        <v>372</v>
      </c>
      <c r="H150" s="97">
        <v>372</v>
      </c>
      <c r="I150" s="64">
        <v>0</v>
      </c>
      <c r="J150" s="64">
        <v>0</v>
      </c>
      <c r="K150" s="21">
        <f>IF(持仓数据!I109="",0,持仓数据!I109)</f>
        <v>372</v>
      </c>
      <c r="L150" s="21">
        <f t="shared" si="83"/>
        <v>0</v>
      </c>
      <c r="M150" s="28">
        <f t="shared" si="67"/>
        <v>4980.3360000000002</v>
      </c>
      <c r="N150" s="28">
        <f t="shared" si="68"/>
        <v>0</v>
      </c>
      <c r="O150" s="28">
        <f t="shared" si="69"/>
        <v>0</v>
      </c>
      <c r="P150" s="28">
        <f t="shared" si="70"/>
        <v>0</v>
      </c>
      <c r="Q150" s="28">
        <f t="shared" si="84"/>
        <v>0</v>
      </c>
      <c r="R150" s="28">
        <f t="shared" si="71"/>
        <v>4980.3360000000002</v>
      </c>
      <c r="S150" s="28">
        <f t="shared" si="85"/>
        <v>0</v>
      </c>
      <c r="T150" s="28">
        <f t="shared" si="86"/>
        <v>0</v>
      </c>
      <c r="U150" s="28">
        <f t="shared" si="89"/>
        <v>0</v>
      </c>
      <c r="V150" s="28">
        <f t="shared" si="87"/>
        <v>0</v>
      </c>
      <c r="W150" s="118"/>
      <c r="X150" s="143">
        <f t="shared" si="88"/>
        <v>15.978999999999999</v>
      </c>
      <c r="Y150" s="121">
        <f>交易记录!J9</f>
        <v>8.6999999999999994E-2</v>
      </c>
      <c r="Z150" s="121">
        <f>交易记录!J40</f>
        <v>372</v>
      </c>
      <c r="AA150" s="30">
        <f t="shared" si="72"/>
        <v>0</v>
      </c>
      <c r="AB150" s="124">
        <f>交易记录!J73</f>
        <v>0</v>
      </c>
      <c r="AC150" s="124">
        <f>交易记录!J104</f>
        <v>0</v>
      </c>
      <c r="AD150" s="30">
        <f t="shared" si="95"/>
        <v>0</v>
      </c>
      <c r="AE150" s="121">
        <f>交易记录!J137</f>
        <v>0</v>
      </c>
      <c r="AF150" s="121">
        <f>交易记录!J168</f>
        <v>0</v>
      </c>
      <c r="AG150" s="30">
        <f t="shared" si="91"/>
        <v>0</v>
      </c>
      <c r="AH150" s="124">
        <f>交易记录!J201</f>
        <v>0</v>
      </c>
      <c r="AI150" s="124">
        <f>交易记录!J232</f>
        <v>0</v>
      </c>
      <c r="AJ150" s="30">
        <f t="shared" si="94"/>
        <v>0</v>
      </c>
      <c r="AK150" s="121">
        <f>交易记录!J265</f>
        <v>0</v>
      </c>
      <c r="AL150" s="121">
        <f>交易记录!J296</f>
        <v>0</v>
      </c>
      <c r="AM150" s="30">
        <f t="shared" si="93"/>
        <v>0</v>
      </c>
      <c r="AN150" s="124">
        <f>交易记录!J329</f>
        <v>0</v>
      </c>
      <c r="AO150" s="124">
        <f>交易记录!J360</f>
        <v>0</v>
      </c>
      <c r="AP150" s="30">
        <f t="shared" si="90"/>
        <v>0</v>
      </c>
      <c r="AQ150" s="121">
        <f>交易记录!J393</f>
        <v>0</v>
      </c>
      <c r="AR150" s="121">
        <f>交易记录!J424</f>
        <v>0</v>
      </c>
      <c r="AS150" s="30">
        <f t="shared" si="92"/>
        <v>0</v>
      </c>
      <c r="AT150" s="124">
        <f>交易记录!J457</f>
        <v>0</v>
      </c>
      <c r="AU150" s="124">
        <f>交易记录!J488</f>
        <v>0</v>
      </c>
      <c r="AV150" s="30">
        <f t="shared" si="73"/>
        <v>0</v>
      </c>
      <c r="AW150" s="121">
        <f>交易记录!J521</f>
        <v>0</v>
      </c>
      <c r="AX150" s="121">
        <f>交易记录!J552</f>
        <v>0</v>
      </c>
      <c r="AY150" s="30">
        <f t="shared" si="74"/>
        <v>0</v>
      </c>
      <c r="AZ150" s="124">
        <f>交易记录!J585</f>
        <v>0</v>
      </c>
      <c r="BA150" s="124">
        <f>交易记录!J616</f>
        <v>0</v>
      </c>
      <c r="BB150" s="30">
        <f t="shared" si="75"/>
        <v>0</v>
      </c>
      <c r="BC150" s="121">
        <f>交易记录!J649</f>
        <v>0</v>
      </c>
      <c r="BD150" s="121">
        <f>交易记录!J680</f>
        <v>0</v>
      </c>
      <c r="BE150" s="30">
        <f t="shared" si="76"/>
        <v>0</v>
      </c>
      <c r="BF150" s="124">
        <f>交易记录!J713</f>
        <v>0</v>
      </c>
      <c r="BG150" s="124">
        <f>交易记录!J744</f>
        <v>0</v>
      </c>
      <c r="BH150" s="30">
        <f t="shared" si="77"/>
        <v>0</v>
      </c>
      <c r="BI150" s="121">
        <f>交易记录!J777</f>
        <v>0</v>
      </c>
      <c r="BJ150" s="121">
        <f>交易记录!J808</f>
        <v>0</v>
      </c>
      <c r="BK150" s="30">
        <f t="shared" si="78"/>
        <v>0</v>
      </c>
      <c r="BL150" s="124">
        <f>交易记录!J841</f>
        <v>0</v>
      </c>
      <c r="BM150" s="124">
        <f>交易记录!J872</f>
        <v>0</v>
      </c>
      <c r="BN150" s="30">
        <f t="shared" si="79"/>
        <v>0</v>
      </c>
      <c r="BO150" s="121">
        <f>交易记录!J905</f>
        <v>0</v>
      </c>
      <c r="BP150" s="121">
        <f>交易记录!J936</f>
        <v>0</v>
      </c>
      <c r="BQ150" s="30">
        <f t="shared" si="80"/>
        <v>0</v>
      </c>
    </row>
    <row r="151" spans="1:69" ht="15">
      <c r="A151" s="125">
        <f>'维护-日期'!A$9</f>
        <v>46272</v>
      </c>
      <c r="B151" s="7" t="s">
        <v>11</v>
      </c>
      <c r="C151" s="144">
        <f t="shared" si="81"/>
        <v>13.087</v>
      </c>
      <c r="D151" s="144">
        <f>ROUND(INDEX(持仓数据!$C$3:$AG$26,MATCH('计算过程-数据汇总'!B151,持仓数据!$B$3:$B$26,0),MATCH('计算过程-数据汇总'!A151,'维护-日期'!$B$2:$AF$2,0)),3)</f>
        <v>13.087</v>
      </c>
      <c r="E151" s="98">
        <f t="shared" si="82"/>
        <v>13.087</v>
      </c>
      <c r="F151" s="22">
        <f>持仓数据!I77</f>
        <v>8.6999999999999994E-2</v>
      </c>
      <c r="G151" s="97">
        <v>372</v>
      </c>
      <c r="H151" s="97">
        <v>372</v>
      </c>
      <c r="I151" s="64">
        <v>0</v>
      </c>
      <c r="J151" s="64">
        <v>0</v>
      </c>
      <c r="K151" s="21">
        <f>IF(持仓数据!I110="",0,持仓数据!I110)</f>
        <v>372</v>
      </c>
      <c r="L151" s="21">
        <f t="shared" si="83"/>
        <v>0</v>
      </c>
      <c r="M151" s="28">
        <f t="shared" si="67"/>
        <v>4868.3639999999996</v>
      </c>
      <c r="N151" s="28">
        <f t="shared" si="68"/>
        <v>0</v>
      </c>
      <c r="O151" s="28">
        <f t="shared" si="69"/>
        <v>0</v>
      </c>
      <c r="P151" s="28">
        <f t="shared" si="70"/>
        <v>0</v>
      </c>
      <c r="Q151" s="28">
        <f t="shared" si="84"/>
        <v>0</v>
      </c>
      <c r="R151" s="28">
        <f t="shared" si="71"/>
        <v>4868.3639999999996</v>
      </c>
      <c r="S151" s="28">
        <f t="shared" si="85"/>
        <v>0</v>
      </c>
      <c r="T151" s="28">
        <f t="shared" si="86"/>
        <v>0</v>
      </c>
      <c r="U151" s="28">
        <f t="shared" si="89"/>
        <v>0</v>
      </c>
      <c r="V151" s="28">
        <f t="shared" si="87"/>
        <v>0</v>
      </c>
      <c r="W151" s="118"/>
      <c r="X151" s="143">
        <f t="shared" si="88"/>
        <v>15.617000000000001</v>
      </c>
      <c r="Y151" s="121">
        <f>交易记录!J10</f>
        <v>8.6999999999999994E-2</v>
      </c>
      <c r="Z151" s="121">
        <f>交易记录!J41</f>
        <v>372</v>
      </c>
      <c r="AA151" s="30">
        <f t="shared" si="72"/>
        <v>0</v>
      </c>
      <c r="AB151" s="124">
        <f>交易记录!J74</f>
        <v>0</v>
      </c>
      <c r="AC151" s="124">
        <f>交易记录!J105</f>
        <v>0</v>
      </c>
      <c r="AD151" s="30">
        <f t="shared" si="95"/>
        <v>0</v>
      </c>
      <c r="AE151" s="121">
        <f>交易记录!J138</f>
        <v>0</v>
      </c>
      <c r="AF151" s="121">
        <f>交易记录!J169</f>
        <v>0</v>
      </c>
      <c r="AG151" s="30">
        <f t="shared" si="91"/>
        <v>0</v>
      </c>
      <c r="AH151" s="124">
        <f>交易记录!J202</f>
        <v>0</v>
      </c>
      <c r="AI151" s="124">
        <f>交易记录!J233</f>
        <v>0</v>
      </c>
      <c r="AJ151" s="30">
        <f t="shared" si="94"/>
        <v>0</v>
      </c>
      <c r="AK151" s="121">
        <f>交易记录!J266</f>
        <v>0</v>
      </c>
      <c r="AL151" s="121">
        <f>交易记录!J297</f>
        <v>0</v>
      </c>
      <c r="AM151" s="30">
        <f t="shared" si="93"/>
        <v>0</v>
      </c>
      <c r="AN151" s="124">
        <f>交易记录!J330</f>
        <v>0</v>
      </c>
      <c r="AO151" s="124">
        <f>交易记录!J361</f>
        <v>0</v>
      </c>
      <c r="AP151" s="30">
        <f t="shared" si="90"/>
        <v>0</v>
      </c>
      <c r="AQ151" s="121">
        <f>交易记录!J394</f>
        <v>0</v>
      </c>
      <c r="AR151" s="121">
        <f>交易记录!J425</f>
        <v>0</v>
      </c>
      <c r="AS151" s="30">
        <f t="shared" si="92"/>
        <v>0</v>
      </c>
      <c r="AT151" s="124">
        <f>交易记录!J458</f>
        <v>0</v>
      </c>
      <c r="AU151" s="124">
        <f>交易记录!J489</f>
        <v>0</v>
      </c>
      <c r="AV151" s="30">
        <f t="shared" si="73"/>
        <v>0</v>
      </c>
      <c r="AW151" s="121">
        <f>交易记录!J522</f>
        <v>0</v>
      </c>
      <c r="AX151" s="121">
        <f>交易记录!J553</f>
        <v>0</v>
      </c>
      <c r="AY151" s="30">
        <f t="shared" si="74"/>
        <v>0</v>
      </c>
      <c r="AZ151" s="124">
        <f>交易记录!J586</f>
        <v>0</v>
      </c>
      <c r="BA151" s="124">
        <f>交易记录!J617</f>
        <v>0</v>
      </c>
      <c r="BB151" s="30">
        <f t="shared" si="75"/>
        <v>0</v>
      </c>
      <c r="BC151" s="121">
        <f>交易记录!J650</f>
        <v>0</v>
      </c>
      <c r="BD151" s="121">
        <f>交易记录!J681</f>
        <v>0</v>
      </c>
      <c r="BE151" s="30">
        <f t="shared" si="76"/>
        <v>0</v>
      </c>
      <c r="BF151" s="124">
        <f>交易记录!J714</f>
        <v>0</v>
      </c>
      <c r="BG151" s="124">
        <f>交易记录!J745</f>
        <v>0</v>
      </c>
      <c r="BH151" s="30">
        <f t="shared" si="77"/>
        <v>0</v>
      </c>
      <c r="BI151" s="121">
        <f>交易记录!J778</f>
        <v>0</v>
      </c>
      <c r="BJ151" s="121">
        <f>交易记录!J809</f>
        <v>0</v>
      </c>
      <c r="BK151" s="30">
        <f t="shared" si="78"/>
        <v>0</v>
      </c>
      <c r="BL151" s="124">
        <f>交易记录!J842</f>
        <v>0</v>
      </c>
      <c r="BM151" s="124">
        <f>交易记录!J873</f>
        <v>0</v>
      </c>
      <c r="BN151" s="30">
        <f t="shared" si="79"/>
        <v>0</v>
      </c>
      <c r="BO151" s="121">
        <f>交易记录!J906</f>
        <v>0</v>
      </c>
      <c r="BP151" s="121">
        <f>交易记录!J937</f>
        <v>0</v>
      </c>
      <c r="BQ151" s="30">
        <f t="shared" si="80"/>
        <v>0</v>
      </c>
    </row>
    <row r="152" spans="1:69" ht="15">
      <c r="A152" s="125">
        <f>'维护-日期'!A$9</f>
        <v>46272</v>
      </c>
      <c r="B152" s="7" t="s">
        <v>12</v>
      </c>
      <c r="C152" s="144">
        <f t="shared" si="81"/>
        <v>12.95</v>
      </c>
      <c r="D152" s="144">
        <f>ROUND(INDEX(持仓数据!$C$3:$AG$26,MATCH('计算过程-数据汇总'!B152,持仓数据!$B$3:$B$26,0),MATCH('计算过程-数据汇总'!A152,'维护-日期'!$B$2:$AF$2,0)),3)</f>
        <v>12.95</v>
      </c>
      <c r="E152" s="98">
        <f t="shared" si="82"/>
        <v>12.95</v>
      </c>
      <c r="F152" s="22">
        <f>持仓数据!I78</f>
        <v>0.14499999999999999</v>
      </c>
      <c r="G152" s="97">
        <v>372</v>
      </c>
      <c r="H152" s="97">
        <v>372</v>
      </c>
      <c r="I152" s="64">
        <v>0</v>
      </c>
      <c r="J152" s="64">
        <v>0</v>
      </c>
      <c r="K152" s="21">
        <f>IF(持仓数据!I111="",0,持仓数据!I111)</f>
        <v>372</v>
      </c>
      <c r="L152" s="21">
        <f t="shared" si="83"/>
        <v>0</v>
      </c>
      <c r="M152" s="28">
        <f t="shared" si="67"/>
        <v>4817.3999999999996</v>
      </c>
      <c r="N152" s="28">
        <f t="shared" si="68"/>
        <v>0</v>
      </c>
      <c r="O152" s="28">
        <f t="shared" si="69"/>
        <v>0</v>
      </c>
      <c r="P152" s="28">
        <f t="shared" si="70"/>
        <v>0</v>
      </c>
      <c r="Q152" s="28">
        <f t="shared" si="84"/>
        <v>0</v>
      </c>
      <c r="R152" s="28">
        <f t="shared" si="71"/>
        <v>4817.3999999999996</v>
      </c>
      <c r="S152" s="28">
        <f t="shared" si="85"/>
        <v>0</v>
      </c>
      <c r="T152" s="28">
        <f t="shared" si="86"/>
        <v>0</v>
      </c>
      <c r="U152" s="28">
        <f t="shared" si="89"/>
        <v>0</v>
      </c>
      <c r="V152" s="28">
        <f t="shared" si="87"/>
        <v>0</v>
      </c>
      <c r="W152" s="118"/>
      <c r="X152" s="143">
        <f t="shared" si="88"/>
        <v>15.395</v>
      </c>
      <c r="Y152" s="121">
        <f>交易记录!J11</f>
        <v>0.14499999999999999</v>
      </c>
      <c r="Z152" s="121">
        <f>交易记录!J42</f>
        <v>372</v>
      </c>
      <c r="AA152" s="30">
        <f t="shared" si="72"/>
        <v>0</v>
      </c>
      <c r="AB152" s="124">
        <f>交易记录!J75</f>
        <v>0</v>
      </c>
      <c r="AC152" s="124">
        <f>交易记录!J106</f>
        <v>0</v>
      </c>
      <c r="AD152" s="30">
        <f t="shared" si="95"/>
        <v>0</v>
      </c>
      <c r="AE152" s="121">
        <f>交易记录!J139</f>
        <v>0</v>
      </c>
      <c r="AF152" s="121">
        <f>交易记录!J170</f>
        <v>0</v>
      </c>
      <c r="AG152" s="30">
        <f t="shared" si="91"/>
        <v>0</v>
      </c>
      <c r="AH152" s="124">
        <f>交易记录!J203</f>
        <v>0</v>
      </c>
      <c r="AI152" s="124">
        <f>交易记录!J234</f>
        <v>0</v>
      </c>
      <c r="AJ152" s="30">
        <f t="shared" si="94"/>
        <v>0</v>
      </c>
      <c r="AK152" s="121">
        <f>交易记录!J267</f>
        <v>0</v>
      </c>
      <c r="AL152" s="121">
        <f>交易记录!J298</f>
        <v>0</v>
      </c>
      <c r="AM152" s="30">
        <f t="shared" si="93"/>
        <v>0</v>
      </c>
      <c r="AN152" s="124">
        <f>交易记录!J331</f>
        <v>0</v>
      </c>
      <c r="AO152" s="124">
        <f>交易记录!J362</f>
        <v>0</v>
      </c>
      <c r="AP152" s="30">
        <f t="shared" si="90"/>
        <v>0</v>
      </c>
      <c r="AQ152" s="121">
        <f>交易记录!J395</f>
        <v>0</v>
      </c>
      <c r="AR152" s="121">
        <f>交易记录!J426</f>
        <v>0</v>
      </c>
      <c r="AS152" s="30">
        <f t="shared" si="92"/>
        <v>0</v>
      </c>
      <c r="AT152" s="124">
        <f>交易记录!J459</f>
        <v>0</v>
      </c>
      <c r="AU152" s="124">
        <f>交易记录!J490</f>
        <v>0</v>
      </c>
      <c r="AV152" s="30">
        <f t="shared" si="73"/>
        <v>0</v>
      </c>
      <c r="AW152" s="121">
        <f>交易记录!J523</f>
        <v>0</v>
      </c>
      <c r="AX152" s="121">
        <f>交易记录!J554</f>
        <v>0</v>
      </c>
      <c r="AY152" s="30">
        <f t="shared" si="74"/>
        <v>0</v>
      </c>
      <c r="AZ152" s="124">
        <f>交易记录!J587</f>
        <v>0</v>
      </c>
      <c r="BA152" s="124">
        <f>交易记录!J618</f>
        <v>0</v>
      </c>
      <c r="BB152" s="30">
        <f t="shared" si="75"/>
        <v>0</v>
      </c>
      <c r="BC152" s="121">
        <f>交易记录!J651</f>
        <v>0</v>
      </c>
      <c r="BD152" s="121">
        <f>交易记录!J682</f>
        <v>0</v>
      </c>
      <c r="BE152" s="30">
        <f t="shared" si="76"/>
        <v>0</v>
      </c>
      <c r="BF152" s="124">
        <f>交易记录!J715</f>
        <v>0</v>
      </c>
      <c r="BG152" s="124">
        <f>交易记录!J746</f>
        <v>0</v>
      </c>
      <c r="BH152" s="30">
        <f t="shared" si="77"/>
        <v>0</v>
      </c>
      <c r="BI152" s="121">
        <f>交易记录!J779</f>
        <v>0</v>
      </c>
      <c r="BJ152" s="121">
        <f>交易记录!J810</f>
        <v>0</v>
      </c>
      <c r="BK152" s="30">
        <f t="shared" si="78"/>
        <v>0</v>
      </c>
      <c r="BL152" s="124">
        <f>交易记录!J843</f>
        <v>0</v>
      </c>
      <c r="BM152" s="124">
        <f>交易记录!J874</f>
        <v>0</v>
      </c>
      <c r="BN152" s="30">
        <f t="shared" si="79"/>
        <v>0</v>
      </c>
      <c r="BO152" s="121">
        <f>交易记录!J907</f>
        <v>0</v>
      </c>
      <c r="BP152" s="121">
        <f>交易记录!J938</f>
        <v>0</v>
      </c>
      <c r="BQ152" s="30">
        <f t="shared" si="80"/>
        <v>0</v>
      </c>
    </row>
    <row r="153" spans="1:69" ht="15">
      <c r="A153" s="125">
        <f>'维护-日期'!A$9</f>
        <v>46272</v>
      </c>
      <c r="B153" s="7" t="s">
        <v>13</v>
      </c>
      <c r="C153" s="144">
        <f t="shared" si="81"/>
        <v>13.266999999999999</v>
      </c>
      <c r="D153" s="144">
        <f>ROUND(INDEX(持仓数据!$C$3:$AG$26,MATCH('计算过程-数据汇总'!B153,持仓数据!$B$3:$B$26,0),MATCH('计算过程-数据汇总'!A153,'维护-日期'!$B$2:$AF$2,0)),3)</f>
        <v>13.266999999999999</v>
      </c>
      <c r="E153" s="98">
        <f t="shared" si="82"/>
        <v>13.266999999999999</v>
      </c>
      <c r="F153" s="22">
        <f>持仓数据!I79</f>
        <v>0.307</v>
      </c>
      <c r="G153" s="97">
        <v>372</v>
      </c>
      <c r="H153" s="97">
        <v>372</v>
      </c>
      <c r="I153" s="64">
        <v>0</v>
      </c>
      <c r="J153" s="64">
        <v>0</v>
      </c>
      <c r="K153" s="21">
        <f>IF(持仓数据!I112="",0,持仓数据!I112)</f>
        <v>372</v>
      </c>
      <c r="L153" s="21">
        <f t="shared" si="83"/>
        <v>0</v>
      </c>
      <c r="M153" s="28">
        <f t="shared" si="67"/>
        <v>4935.3239999999996</v>
      </c>
      <c r="N153" s="28">
        <f t="shared" si="68"/>
        <v>0</v>
      </c>
      <c r="O153" s="28">
        <f t="shared" si="69"/>
        <v>0</v>
      </c>
      <c r="P153" s="28">
        <f t="shared" si="70"/>
        <v>0</v>
      </c>
      <c r="Q153" s="28">
        <f t="shared" si="84"/>
        <v>0</v>
      </c>
      <c r="R153" s="28">
        <f t="shared" si="71"/>
        <v>4935.3239999999996</v>
      </c>
      <c r="S153" s="28">
        <f t="shared" si="85"/>
        <v>0</v>
      </c>
      <c r="T153" s="28">
        <f t="shared" si="86"/>
        <v>0</v>
      </c>
      <c r="U153" s="28">
        <f t="shared" si="89"/>
        <v>0</v>
      </c>
      <c r="V153" s="28">
        <f t="shared" si="87"/>
        <v>0</v>
      </c>
      <c r="W153" s="118"/>
      <c r="X153" s="143">
        <f t="shared" si="88"/>
        <v>15.613</v>
      </c>
      <c r="Y153" s="121">
        <f>交易记录!J12</f>
        <v>0.307</v>
      </c>
      <c r="Z153" s="121">
        <f>交易记录!J43</f>
        <v>372</v>
      </c>
      <c r="AA153" s="30">
        <f t="shared" si="72"/>
        <v>0</v>
      </c>
      <c r="AB153" s="124">
        <f>交易记录!J76</f>
        <v>0</v>
      </c>
      <c r="AC153" s="124">
        <f>交易记录!J107</f>
        <v>0</v>
      </c>
      <c r="AD153" s="30">
        <f t="shared" si="95"/>
        <v>0</v>
      </c>
      <c r="AE153" s="121">
        <f>交易记录!J140</f>
        <v>0</v>
      </c>
      <c r="AF153" s="121">
        <f>交易记录!J171</f>
        <v>0</v>
      </c>
      <c r="AG153" s="30">
        <f t="shared" si="91"/>
        <v>0</v>
      </c>
      <c r="AH153" s="124">
        <f>交易记录!J204</f>
        <v>0</v>
      </c>
      <c r="AI153" s="124">
        <f>交易记录!J235</f>
        <v>0</v>
      </c>
      <c r="AJ153" s="30">
        <f t="shared" si="94"/>
        <v>0</v>
      </c>
      <c r="AK153" s="121">
        <f>交易记录!J268</f>
        <v>0</v>
      </c>
      <c r="AL153" s="121">
        <f>交易记录!J299</f>
        <v>0</v>
      </c>
      <c r="AM153" s="30">
        <f t="shared" si="93"/>
        <v>0</v>
      </c>
      <c r="AN153" s="124">
        <f>交易记录!J332</f>
        <v>0</v>
      </c>
      <c r="AO153" s="124">
        <f>交易记录!J363</f>
        <v>0</v>
      </c>
      <c r="AP153" s="30">
        <f t="shared" si="90"/>
        <v>0</v>
      </c>
      <c r="AQ153" s="121">
        <f>交易记录!J396</f>
        <v>0</v>
      </c>
      <c r="AR153" s="121">
        <f>交易记录!J427</f>
        <v>0</v>
      </c>
      <c r="AS153" s="30">
        <f t="shared" si="92"/>
        <v>0</v>
      </c>
      <c r="AT153" s="124">
        <f>交易记录!J460</f>
        <v>0</v>
      </c>
      <c r="AU153" s="124">
        <f>交易记录!J491</f>
        <v>0</v>
      </c>
      <c r="AV153" s="30">
        <f t="shared" si="73"/>
        <v>0</v>
      </c>
      <c r="AW153" s="121">
        <f>交易记录!J524</f>
        <v>0</v>
      </c>
      <c r="AX153" s="121">
        <f>交易记录!J555</f>
        <v>0</v>
      </c>
      <c r="AY153" s="30">
        <f t="shared" si="74"/>
        <v>0</v>
      </c>
      <c r="AZ153" s="124">
        <f>交易记录!J588</f>
        <v>0</v>
      </c>
      <c r="BA153" s="124">
        <f>交易记录!J619</f>
        <v>0</v>
      </c>
      <c r="BB153" s="30">
        <f t="shared" si="75"/>
        <v>0</v>
      </c>
      <c r="BC153" s="121">
        <f>交易记录!J652</f>
        <v>0</v>
      </c>
      <c r="BD153" s="121">
        <f>交易记录!J683</f>
        <v>0</v>
      </c>
      <c r="BE153" s="30">
        <f t="shared" si="76"/>
        <v>0</v>
      </c>
      <c r="BF153" s="124">
        <f>交易记录!J716</f>
        <v>0</v>
      </c>
      <c r="BG153" s="124">
        <f>交易记录!J747</f>
        <v>0</v>
      </c>
      <c r="BH153" s="30">
        <f t="shared" si="77"/>
        <v>0</v>
      </c>
      <c r="BI153" s="121">
        <f>交易记录!J780</f>
        <v>0</v>
      </c>
      <c r="BJ153" s="121">
        <f>交易记录!J811</f>
        <v>0</v>
      </c>
      <c r="BK153" s="30">
        <f t="shared" si="78"/>
        <v>0</v>
      </c>
      <c r="BL153" s="124">
        <f>交易记录!J844</f>
        <v>0</v>
      </c>
      <c r="BM153" s="124">
        <f>交易记录!J875</f>
        <v>0</v>
      </c>
      <c r="BN153" s="30">
        <f t="shared" si="79"/>
        <v>0</v>
      </c>
      <c r="BO153" s="121">
        <f>交易记录!J908</f>
        <v>0</v>
      </c>
      <c r="BP153" s="121">
        <f>交易记录!J939</f>
        <v>0</v>
      </c>
      <c r="BQ153" s="30">
        <f t="shared" si="80"/>
        <v>0</v>
      </c>
    </row>
    <row r="154" spans="1:69" ht="15">
      <c r="A154" s="125">
        <f>'维护-日期'!A$9</f>
        <v>46272</v>
      </c>
      <c r="B154" s="7" t="s">
        <v>14</v>
      </c>
      <c r="C154" s="144">
        <f t="shared" si="81"/>
        <v>15.795999999999999</v>
      </c>
      <c r="D154" s="144">
        <f>ROUND(INDEX(持仓数据!$C$3:$AG$26,MATCH('计算过程-数据汇总'!B154,持仓数据!$B$3:$B$26,0),MATCH('计算过程-数据汇总'!A154,'维护-日期'!$B$2:$AF$2,0)),3)</f>
        <v>15.795999999999999</v>
      </c>
      <c r="E154" s="98">
        <f t="shared" si="82"/>
        <v>15.795999999999999</v>
      </c>
      <c r="F154" s="22">
        <f>持仓数据!I80</f>
        <v>0.42800000000000005</v>
      </c>
      <c r="G154" s="97">
        <v>372</v>
      </c>
      <c r="H154" s="97">
        <v>372</v>
      </c>
      <c r="I154" s="64">
        <v>0</v>
      </c>
      <c r="J154" s="64">
        <v>0</v>
      </c>
      <c r="K154" s="21">
        <f>IF(持仓数据!I113="",0,持仓数据!I113)</f>
        <v>372</v>
      </c>
      <c r="L154" s="21">
        <f t="shared" si="83"/>
        <v>0</v>
      </c>
      <c r="M154" s="28">
        <f t="shared" si="67"/>
        <v>5876.1120000000001</v>
      </c>
      <c r="N154" s="28">
        <f t="shared" si="68"/>
        <v>0</v>
      </c>
      <c r="O154" s="28">
        <f t="shared" si="69"/>
        <v>0</v>
      </c>
      <c r="P154" s="28">
        <f t="shared" si="70"/>
        <v>0</v>
      </c>
      <c r="Q154" s="28">
        <f t="shared" si="84"/>
        <v>0</v>
      </c>
      <c r="R154" s="28">
        <f t="shared" si="71"/>
        <v>5876.1120000000001</v>
      </c>
      <c r="S154" s="28">
        <f t="shared" si="85"/>
        <v>0</v>
      </c>
      <c r="T154" s="28">
        <f t="shared" si="86"/>
        <v>0</v>
      </c>
      <c r="U154" s="28">
        <f t="shared" si="89"/>
        <v>0</v>
      </c>
      <c r="V154" s="28">
        <f t="shared" si="87"/>
        <v>0</v>
      </c>
      <c r="W154" s="118"/>
      <c r="X154" s="143">
        <f t="shared" si="88"/>
        <v>18.527000000000001</v>
      </c>
      <c r="Y154" s="121">
        <f>交易记录!J13</f>
        <v>0.42800000000000005</v>
      </c>
      <c r="Z154" s="121">
        <f>交易记录!J44</f>
        <v>372</v>
      </c>
      <c r="AA154" s="30">
        <f t="shared" si="72"/>
        <v>0</v>
      </c>
      <c r="AB154" s="124">
        <f>交易记录!J77</f>
        <v>0</v>
      </c>
      <c r="AC154" s="124">
        <f>交易记录!J108</f>
        <v>0</v>
      </c>
      <c r="AD154" s="30">
        <f t="shared" si="95"/>
        <v>0</v>
      </c>
      <c r="AE154" s="121">
        <f>交易记录!J141</f>
        <v>0</v>
      </c>
      <c r="AF154" s="121">
        <f>交易记录!J172</f>
        <v>0</v>
      </c>
      <c r="AG154" s="30">
        <f t="shared" si="91"/>
        <v>0</v>
      </c>
      <c r="AH154" s="124">
        <f>交易记录!J205</f>
        <v>0</v>
      </c>
      <c r="AI154" s="124">
        <f>交易记录!J236</f>
        <v>0</v>
      </c>
      <c r="AJ154" s="30">
        <f t="shared" si="94"/>
        <v>0</v>
      </c>
      <c r="AK154" s="121">
        <f>交易记录!J269</f>
        <v>0</v>
      </c>
      <c r="AL154" s="121">
        <f>交易记录!J300</f>
        <v>0</v>
      </c>
      <c r="AM154" s="30">
        <f t="shared" si="93"/>
        <v>0</v>
      </c>
      <c r="AN154" s="124">
        <f>交易记录!J333</f>
        <v>0</v>
      </c>
      <c r="AO154" s="124">
        <f>交易记录!J364</f>
        <v>0</v>
      </c>
      <c r="AP154" s="30">
        <f t="shared" si="90"/>
        <v>0</v>
      </c>
      <c r="AQ154" s="121">
        <f>交易记录!J397</f>
        <v>0</v>
      </c>
      <c r="AR154" s="121">
        <f>交易记录!J428</f>
        <v>0</v>
      </c>
      <c r="AS154" s="30">
        <f t="shared" si="92"/>
        <v>0</v>
      </c>
      <c r="AT154" s="124">
        <f>交易记录!J461</f>
        <v>0</v>
      </c>
      <c r="AU154" s="124">
        <f>交易记录!J492</f>
        <v>0</v>
      </c>
      <c r="AV154" s="30">
        <f t="shared" si="73"/>
        <v>0</v>
      </c>
      <c r="AW154" s="121">
        <f>交易记录!J525</f>
        <v>0</v>
      </c>
      <c r="AX154" s="121">
        <f>交易记录!J556</f>
        <v>0</v>
      </c>
      <c r="AY154" s="30">
        <f t="shared" si="74"/>
        <v>0</v>
      </c>
      <c r="AZ154" s="124">
        <f>交易记录!J589</f>
        <v>0</v>
      </c>
      <c r="BA154" s="124">
        <f>交易记录!J620</f>
        <v>0</v>
      </c>
      <c r="BB154" s="30">
        <f t="shared" si="75"/>
        <v>0</v>
      </c>
      <c r="BC154" s="121">
        <f>交易记录!J653</f>
        <v>0</v>
      </c>
      <c r="BD154" s="121">
        <f>交易记录!J684</f>
        <v>0</v>
      </c>
      <c r="BE154" s="30">
        <f t="shared" si="76"/>
        <v>0</v>
      </c>
      <c r="BF154" s="124">
        <f>交易记录!J717</f>
        <v>0</v>
      </c>
      <c r="BG154" s="124">
        <f>交易记录!J748</f>
        <v>0</v>
      </c>
      <c r="BH154" s="30">
        <f t="shared" si="77"/>
        <v>0</v>
      </c>
      <c r="BI154" s="121">
        <f>交易记录!J781</f>
        <v>0</v>
      </c>
      <c r="BJ154" s="121">
        <f>交易记录!J812</f>
        <v>0</v>
      </c>
      <c r="BK154" s="30">
        <f t="shared" si="78"/>
        <v>0</v>
      </c>
      <c r="BL154" s="124">
        <f>交易记录!J845</f>
        <v>0</v>
      </c>
      <c r="BM154" s="124">
        <f>交易记录!J876</f>
        <v>0</v>
      </c>
      <c r="BN154" s="30">
        <f t="shared" si="79"/>
        <v>0</v>
      </c>
      <c r="BO154" s="121">
        <f>交易记录!J909</f>
        <v>0</v>
      </c>
      <c r="BP154" s="121">
        <f>交易记录!J940</f>
        <v>0</v>
      </c>
      <c r="BQ154" s="30">
        <f t="shared" si="80"/>
        <v>0</v>
      </c>
    </row>
    <row r="155" spans="1:69" ht="15">
      <c r="A155" s="125">
        <f>'维护-日期'!A$9</f>
        <v>46272</v>
      </c>
      <c r="B155" s="7" t="s">
        <v>15</v>
      </c>
      <c r="C155" s="144">
        <f t="shared" si="81"/>
        <v>19.308</v>
      </c>
      <c r="D155" s="144">
        <f>ROUND(INDEX(持仓数据!$C$3:$AG$26,MATCH('计算过程-数据汇总'!B155,持仓数据!$B$3:$B$26,0),MATCH('计算过程-数据汇总'!A155,'维护-日期'!$B$2:$AF$2,0)),3)</f>
        <v>19.308</v>
      </c>
      <c r="E155" s="98">
        <f t="shared" si="82"/>
        <v>19.308</v>
      </c>
      <c r="F155" s="22">
        <f>持仓数据!I81</f>
        <v>0.46100000000000002</v>
      </c>
      <c r="G155" s="97">
        <v>372</v>
      </c>
      <c r="H155" s="97">
        <v>372</v>
      </c>
      <c r="I155" s="64">
        <v>0</v>
      </c>
      <c r="J155" s="64">
        <v>0</v>
      </c>
      <c r="K155" s="21">
        <f>IF(持仓数据!I114="",0,持仓数据!I114)</f>
        <v>372</v>
      </c>
      <c r="L155" s="21">
        <f t="shared" si="83"/>
        <v>0</v>
      </c>
      <c r="M155" s="28">
        <f t="shared" si="67"/>
        <v>7182.576</v>
      </c>
      <c r="N155" s="28">
        <f t="shared" si="68"/>
        <v>0</v>
      </c>
      <c r="O155" s="28">
        <f t="shared" si="69"/>
        <v>0</v>
      </c>
      <c r="P155" s="28">
        <f t="shared" si="70"/>
        <v>0</v>
      </c>
      <c r="Q155" s="28">
        <f t="shared" si="84"/>
        <v>0</v>
      </c>
      <c r="R155" s="28">
        <f t="shared" si="71"/>
        <v>7182.576</v>
      </c>
      <c r="S155" s="28">
        <f t="shared" si="85"/>
        <v>0</v>
      </c>
      <c r="T155" s="28">
        <f t="shared" si="86"/>
        <v>0</v>
      </c>
      <c r="U155" s="28">
        <f t="shared" si="89"/>
        <v>0</v>
      </c>
      <c r="V155" s="28">
        <f t="shared" si="87"/>
        <v>0</v>
      </c>
      <c r="W155" s="118"/>
      <c r="X155" s="143">
        <f t="shared" si="88"/>
        <v>22.709</v>
      </c>
      <c r="Y155" s="121">
        <f>交易记录!J14</f>
        <v>0.46100000000000002</v>
      </c>
      <c r="Z155" s="121">
        <f>交易记录!J45</f>
        <v>372</v>
      </c>
      <c r="AA155" s="30">
        <f t="shared" si="72"/>
        <v>0</v>
      </c>
      <c r="AB155" s="124">
        <f>交易记录!J78</f>
        <v>0</v>
      </c>
      <c r="AC155" s="124">
        <f>交易记录!J109</f>
        <v>0</v>
      </c>
      <c r="AD155" s="30">
        <f t="shared" si="95"/>
        <v>0</v>
      </c>
      <c r="AE155" s="121">
        <f>交易记录!J142</f>
        <v>0</v>
      </c>
      <c r="AF155" s="121">
        <f>交易记录!J173</f>
        <v>0</v>
      </c>
      <c r="AG155" s="30">
        <f t="shared" si="91"/>
        <v>0</v>
      </c>
      <c r="AH155" s="124">
        <f>交易记录!J206</f>
        <v>0</v>
      </c>
      <c r="AI155" s="124">
        <f>交易记录!J237</f>
        <v>0</v>
      </c>
      <c r="AJ155" s="30">
        <f t="shared" si="94"/>
        <v>0</v>
      </c>
      <c r="AK155" s="121">
        <f>交易记录!J270</f>
        <v>0</v>
      </c>
      <c r="AL155" s="121">
        <f>交易记录!J301</f>
        <v>0</v>
      </c>
      <c r="AM155" s="30">
        <f t="shared" si="93"/>
        <v>0</v>
      </c>
      <c r="AN155" s="124">
        <f>交易记录!J334</f>
        <v>0</v>
      </c>
      <c r="AO155" s="124">
        <f>交易记录!J365</f>
        <v>0</v>
      </c>
      <c r="AP155" s="30">
        <f t="shared" si="90"/>
        <v>0</v>
      </c>
      <c r="AQ155" s="121">
        <f>交易记录!J398</f>
        <v>0</v>
      </c>
      <c r="AR155" s="121">
        <f>交易记录!J429</f>
        <v>0</v>
      </c>
      <c r="AS155" s="30">
        <f t="shared" si="92"/>
        <v>0</v>
      </c>
      <c r="AT155" s="124">
        <f>交易记录!J462</f>
        <v>0</v>
      </c>
      <c r="AU155" s="124">
        <f>交易记录!J493</f>
        <v>0</v>
      </c>
      <c r="AV155" s="30">
        <f t="shared" si="73"/>
        <v>0</v>
      </c>
      <c r="AW155" s="121">
        <f>交易记录!J526</f>
        <v>0</v>
      </c>
      <c r="AX155" s="121">
        <f>交易记录!J557</f>
        <v>0</v>
      </c>
      <c r="AY155" s="30">
        <f t="shared" si="74"/>
        <v>0</v>
      </c>
      <c r="AZ155" s="124">
        <f>交易记录!J590</f>
        <v>0</v>
      </c>
      <c r="BA155" s="124">
        <f>交易记录!J621</f>
        <v>0</v>
      </c>
      <c r="BB155" s="30">
        <f t="shared" si="75"/>
        <v>0</v>
      </c>
      <c r="BC155" s="121">
        <f>交易记录!J654</f>
        <v>0</v>
      </c>
      <c r="BD155" s="121">
        <f>交易记录!J685</f>
        <v>0</v>
      </c>
      <c r="BE155" s="30">
        <f t="shared" si="76"/>
        <v>0</v>
      </c>
      <c r="BF155" s="124">
        <f>交易记录!J718</f>
        <v>0</v>
      </c>
      <c r="BG155" s="124">
        <f>交易记录!J749</f>
        <v>0</v>
      </c>
      <c r="BH155" s="30">
        <f t="shared" si="77"/>
        <v>0</v>
      </c>
      <c r="BI155" s="121">
        <f>交易记录!J782</f>
        <v>0</v>
      </c>
      <c r="BJ155" s="121">
        <f>交易记录!J813</f>
        <v>0</v>
      </c>
      <c r="BK155" s="30">
        <f t="shared" si="78"/>
        <v>0</v>
      </c>
      <c r="BL155" s="124">
        <f>交易记录!J846</f>
        <v>0</v>
      </c>
      <c r="BM155" s="124">
        <f>交易记录!J877</f>
        <v>0</v>
      </c>
      <c r="BN155" s="30">
        <f t="shared" si="79"/>
        <v>0</v>
      </c>
      <c r="BO155" s="121">
        <f>交易记录!J910</f>
        <v>0</v>
      </c>
      <c r="BP155" s="121">
        <f>交易记录!J941</f>
        <v>0</v>
      </c>
      <c r="BQ155" s="30">
        <f t="shared" si="80"/>
        <v>0</v>
      </c>
    </row>
    <row r="156" spans="1:69" ht="15">
      <c r="A156" s="125">
        <f>'维护-日期'!A$9</f>
        <v>46272</v>
      </c>
      <c r="B156" s="7" t="s">
        <v>16</v>
      </c>
      <c r="C156" s="144">
        <f t="shared" si="81"/>
        <v>21.01</v>
      </c>
      <c r="D156" s="144">
        <f>ROUND(INDEX(持仓数据!$C$3:$AG$26,MATCH('计算过程-数据汇总'!B156,持仓数据!$B$3:$B$26,0),MATCH('计算过程-数据汇总'!A156,'维护-日期'!$B$2:$AF$2,0)),3)</f>
        <v>21.01</v>
      </c>
      <c r="E156" s="98">
        <f t="shared" si="82"/>
        <v>21.01</v>
      </c>
      <c r="F156" s="22">
        <f>持仓数据!I82</f>
        <v>0.46700000000000003</v>
      </c>
      <c r="G156" s="97">
        <v>372</v>
      </c>
      <c r="H156" s="97">
        <v>372</v>
      </c>
      <c r="I156" s="64">
        <v>0</v>
      </c>
      <c r="J156" s="64">
        <v>0</v>
      </c>
      <c r="K156" s="21">
        <f>IF(持仓数据!I115="",0,持仓数据!I115)</f>
        <v>372</v>
      </c>
      <c r="L156" s="21">
        <f t="shared" si="83"/>
        <v>0</v>
      </c>
      <c r="M156" s="28">
        <f t="shared" si="67"/>
        <v>7815.72</v>
      </c>
      <c r="N156" s="28">
        <f t="shared" si="68"/>
        <v>0</v>
      </c>
      <c r="O156" s="28">
        <f t="shared" si="69"/>
        <v>0</v>
      </c>
      <c r="P156" s="28">
        <f t="shared" si="70"/>
        <v>0</v>
      </c>
      <c r="Q156" s="28">
        <f t="shared" si="84"/>
        <v>0</v>
      </c>
      <c r="R156" s="28">
        <f t="shared" si="71"/>
        <v>7815.72</v>
      </c>
      <c r="S156" s="28">
        <f t="shared" si="85"/>
        <v>0</v>
      </c>
      <c r="T156" s="28">
        <f t="shared" si="86"/>
        <v>0</v>
      </c>
      <c r="U156" s="28">
        <f t="shared" si="89"/>
        <v>0</v>
      </c>
      <c r="V156" s="28">
        <f t="shared" si="87"/>
        <v>0</v>
      </c>
      <c r="W156" s="118"/>
      <c r="X156" s="143">
        <f t="shared" si="88"/>
        <v>24.745000000000001</v>
      </c>
      <c r="Y156" s="121">
        <f>交易记录!J15</f>
        <v>0.46700000000000003</v>
      </c>
      <c r="Z156" s="121">
        <f>交易记录!J46</f>
        <v>372</v>
      </c>
      <c r="AA156" s="30">
        <f t="shared" si="72"/>
        <v>0</v>
      </c>
      <c r="AB156" s="124">
        <f>交易记录!J79</f>
        <v>0</v>
      </c>
      <c r="AC156" s="124">
        <f>交易记录!J110</f>
        <v>0</v>
      </c>
      <c r="AD156" s="30">
        <f t="shared" si="95"/>
        <v>0</v>
      </c>
      <c r="AE156" s="121">
        <f>交易记录!J143</f>
        <v>0</v>
      </c>
      <c r="AF156" s="121">
        <f>交易记录!J174</f>
        <v>0</v>
      </c>
      <c r="AG156" s="30">
        <f t="shared" si="91"/>
        <v>0</v>
      </c>
      <c r="AH156" s="124">
        <f>交易记录!J207</f>
        <v>0</v>
      </c>
      <c r="AI156" s="124">
        <f>交易记录!J238</f>
        <v>0</v>
      </c>
      <c r="AJ156" s="30">
        <f t="shared" si="94"/>
        <v>0</v>
      </c>
      <c r="AK156" s="121">
        <f>交易记录!J271</f>
        <v>0</v>
      </c>
      <c r="AL156" s="121">
        <f>交易记录!J302</f>
        <v>0</v>
      </c>
      <c r="AM156" s="30">
        <f t="shared" si="93"/>
        <v>0</v>
      </c>
      <c r="AN156" s="124">
        <f>交易记录!J335</f>
        <v>0</v>
      </c>
      <c r="AO156" s="124">
        <f>交易记录!J366</f>
        <v>0</v>
      </c>
      <c r="AP156" s="30">
        <f t="shared" si="90"/>
        <v>0</v>
      </c>
      <c r="AQ156" s="121">
        <f>交易记录!J399</f>
        <v>0</v>
      </c>
      <c r="AR156" s="121">
        <f>交易记录!J430</f>
        <v>0</v>
      </c>
      <c r="AS156" s="30">
        <f t="shared" si="92"/>
        <v>0</v>
      </c>
      <c r="AT156" s="124">
        <f>交易记录!J463</f>
        <v>0</v>
      </c>
      <c r="AU156" s="124">
        <f>交易记录!J494</f>
        <v>0</v>
      </c>
      <c r="AV156" s="30">
        <f t="shared" si="73"/>
        <v>0</v>
      </c>
      <c r="AW156" s="121">
        <f>交易记录!J527</f>
        <v>0</v>
      </c>
      <c r="AX156" s="121">
        <f>交易记录!J558</f>
        <v>0</v>
      </c>
      <c r="AY156" s="30">
        <f t="shared" si="74"/>
        <v>0</v>
      </c>
      <c r="AZ156" s="124">
        <f>交易记录!J591</f>
        <v>0</v>
      </c>
      <c r="BA156" s="124">
        <f>交易记录!J622</f>
        <v>0</v>
      </c>
      <c r="BB156" s="30">
        <f t="shared" si="75"/>
        <v>0</v>
      </c>
      <c r="BC156" s="121">
        <f>交易记录!J655</f>
        <v>0</v>
      </c>
      <c r="BD156" s="121">
        <f>交易记录!J686</f>
        <v>0</v>
      </c>
      <c r="BE156" s="30">
        <f t="shared" si="76"/>
        <v>0</v>
      </c>
      <c r="BF156" s="124">
        <f>交易记录!J719</f>
        <v>0</v>
      </c>
      <c r="BG156" s="124">
        <f>交易记录!J750</f>
        <v>0</v>
      </c>
      <c r="BH156" s="30">
        <f t="shared" si="77"/>
        <v>0</v>
      </c>
      <c r="BI156" s="121">
        <f>交易记录!J783</f>
        <v>0</v>
      </c>
      <c r="BJ156" s="121">
        <f>交易记录!J814</f>
        <v>0</v>
      </c>
      <c r="BK156" s="30">
        <f t="shared" si="78"/>
        <v>0</v>
      </c>
      <c r="BL156" s="124">
        <f>交易记录!J847</f>
        <v>0</v>
      </c>
      <c r="BM156" s="124">
        <f>交易记录!J878</f>
        <v>0</v>
      </c>
      <c r="BN156" s="30">
        <f t="shared" si="79"/>
        <v>0</v>
      </c>
      <c r="BO156" s="121">
        <f>交易记录!J911</f>
        <v>0</v>
      </c>
      <c r="BP156" s="121">
        <f>交易记录!J942</f>
        <v>0</v>
      </c>
      <c r="BQ156" s="30">
        <f t="shared" si="80"/>
        <v>0</v>
      </c>
    </row>
    <row r="157" spans="1:69" ht="15">
      <c r="A157" s="125">
        <f>'维护-日期'!A$9</f>
        <v>46272</v>
      </c>
      <c r="B157" s="7" t="s">
        <v>17</v>
      </c>
      <c r="C157" s="144">
        <f t="shared" si="81"/>
        <v>21.329000000000001</v>
      </c>
      <c r="D157" s="144">
        <f>ROUND(INDEX(持仓数据!$C$3:$AG$26,MATCH('计算过程-数据汇总'!B157,持仓数据!$B$3:$B$26,0),MATCH('计算过程-数据汇总'!A157,'维护-日期'!$B$2:$AF$2,0)),3)</f>
        <v>21.329000000000001</v>
      </c>
      <c r="E157" s="98">
        <f t="shared" si="82"/>
        <v>21.329000000000001</v>
      </c>
      <c r="F157" s="22">
        <f>持仓数据!I83</f>
        <v>0.32100000000000001</v>
      </c>
      <c r="G157" s="97">
        <v>372</v>
      </c>
      <c r="H157" s="97">
        <v>372</v>
      </c>
      <c r="I157" s="64">
        <v>0</v>
      </c>
      <c r="J157" s="64">
        <v>0</v>
      </c>
      <c r="K157" s="21">
        <f>IF(持仓数据!I116="",0,持仓数据!I116)</f>
        <v>372</v>
      </c>
      <c r="L157" s="21">
        <f t="shared" si="83"/>
        <v>0</v>
      </c>
      <c r="M157" s="28">
        <f t="shared" si="67"/>
        <v>7934.3879999999999</v>
      </c>
      <c r="N157" s="28">
        <f t="shared" si="68"/>
        <v>0</v>
      </c>
      <c r="O157" s="28">
        <f t="shared" si="69"/>
        <v>0</v>
      </c>
      <c r="P157" s="28">
        <f t="shared" si="70"/>
        <v>0</v>
      </c>
      <c r="Q157" s="28">
        <f t="shared" si="84"/>
        <v>0</v>
      </c>
      <c r="R157" s="28">
        <f t="shared" si="71"/>
        <v>7934.3879999999999</v>
      </c>
      <c r="S157" s="28">
        <f t="shared" si="85"/>
        <v>0</v>
      </c>
      <c r="T157" s="28">
        <f t="shared" si="86"/>
        <v>0</v>
      </c>
      <c r="U157" s="28">
        <f t="shared" si="89"/>
        <v>0</v>
      </c>
      <c r="V157" s="28">
        <f t="shared" si="87"/>
        <v>0</v>
      </c>
      <c r="W157" s="118"/>
      <c r="X157" s="143">
        <f t="shared" si="88"/>
        <v>25.274000000000001</v>
      </c>
      <c r="Y157" s="121">
        <f>交易记录!J16</f>
        <v>0.32100000000000001</v>
      </c>
      <c r="Z157" s="121">
        <f>交易记录!J47</f>
        <v>372</v>
      </c>
      <c r="AA157" s="30">
        <f t="shared" si="72"/>
        <v>0</v>
      </c>
      <c r="AB157" s="124">
        <f>交易记录!J80</f>
        <v>0</v>
      </c>
      <c r="AC157" s="124">
        <f>交易记录!J111</f>
        <v>0</v>
      </c>
      <c r="AD157" s="30">
        <f t="shared" si="95"/>
        <v>0</v>
      </c>
      <c r="AE157" s="121">
        <f>交易记录!J144</f>
        <v>0</v>
      </c>
      <c r="AF157" s="121">
        <f>交易记录!J175</f>
        <v>0</v>
      </c>
      <c r="AG157" s="30">
        <f t="shared" si="91"/>
        <v>0</v>
      </c>
      <c r="AH157" s="124">
        <f>交易记录!J208</f>
        <v>0</v>
      </c>
      <c r="AI157" s="124">
        <f>交易记录!J239</f>
        <v>0</v>
      </c>
      <c r="AJ157" s="30">
        <f t="shared" si="94"/>
        <v>0</v>
      </c>
      <c r="AK157" s="121">
        <f>交易记录!J272</f>
        <v>0</v>
      </c>
      <c r="AL157" s="121">
        <f>交易记录!J303</f>
        <v>0</v>
      </c>
      <c r="AM157" s="30">
        <f t="shared" si="93"/>
        <v>0</v>
      </c>
      <c r="AN157" s="124">
        <f>交易记录!J336</f>
        <v>0</v>
      </c>
      <c r="AO157" s="124">
        <f>交易记录!J367</f>
        <v>0</v>
      </c>
      <c r="AP157" s="30">
        <f t="shared" si="90"/>
        <v>0</v>
      </c>
      <c r="AQ157" s="121">
        <f>交易记录!J400</f>
        <v>0</v>
      </c>
      <c r="AR157" s="121">
        <f>交易记录!J431</f>
        <v>0</v>
      </c>
      <c r="AS157" s="30">
        <f t="shared" si="92"/>
        <v>0</v>
      </c>
      <c r="AT157" s="124">
        <f>交易记录!J464</f>
        <v>0</v>
      </c>
      <c r="AU157" s="124">
        <f>交易记录!J495</f>
        <v>0</v>
      </c>
      <c r="AV157" s="30">
        <f t="shared" si="73"/>
        <v>0</v>
      </c>
      <c r="AW157" s="121">
        <f>交易记录!J528</f>
        <v>0</v>
      </c>
      <c r="AX157" s="121">
        <f>交易记录!J559</f>
        <v>0</v>
      </c>
      <c r="AY157" s="30">
        <f t="shared" si="74"/>
        <v>0</v>
      </c>
      <c r="AZ157" s="124">
        <f>交易记录!J592</f>
        <v>0</v>
      </c>
      <c r="BA157" s="124">
        <f>交易记录!J623</f>
        <v>0</v>
      </c>
      <c r="BB157" s="30">
        <f t="shared" si="75"/>
        <v>0</v>
      </c>
      <c r="BC157" s="121">
        <f>交易记录!J656</f>
        <v>0</v>
      </c>
      <c r="BD157" s="121">
        <f>交易记录!J687</f>
        <v>0</v>
      </c>
      <c r="BE157" s="30">
        <f t="shared" si="76"/>
        <v>0</v>
      </c>
      <c r="BF157" s="124">
        <f>交易记录!J720</f>
        <v>0</v>
      </c>
      <c r="BG157" s="124">
        <f>交易记录!J751</f>
        <v>0</v>
      </c>
      <c r="BH157" s="30">
        <f t="shared" si="77"/>
        <v>0</v>
      </c>
      <c r="BI157" s="121">
        <f>交易记录!J784</f>
        <v>0</v>
      </c>
      <c r="BJ157" s="121">
        <f>交易记录!J815</f>
        <v>0</v>
      </c>
      <c r="BK157" s="30">
        <f t="shared" si="78"/>
        <v>0</v>
      </c>
      <c r="BL157" s="124">
        <f>交易记录!J848</f>
        <v>0</v>
      </c>
      <c r="BM157" s="124">
        <f>交易记录!J879</f>
        <v>0</v>
      </c>
      <c r="BN157" s="30">
        <f t="shared" si="79"/>
        <v>0</v>
      </c>
      <c r="BO157" s="121">
        <f>交易记录!J912</f>
        <v>0</v>
      </c>
      <c r="BP157" s="121">
        <f>交易记录!J943</f>
        <v>0</v>
      </c>
      <c r="BQ157" s="30">
        <f t="shared" si="80"/>
        <v>0</v>
      </c>
    </row>
    <row r="158" spans="1:69" ht="15">
      <c r="A158" s="125">
        <f>'维护-日期'!A$9</f>
        <v>46272</v>
      </c>
      <c r="B158" s="7" t="s">
        <v>18</v>
      </c>
      <c r="C158" s="144">
        <f t="shared" si="81"/>
        <v>22.643999999999998</v>
      </c>
      <c r="D158" s="144">
        <f>ROUND(INDEX(持仓数据!$C$3:$AG$26,MATCH('计算过程-数据汇总'!B158,持仓数据!$B$3:$B$26,0),MATCH('计算过程-数据汇总'!A158,'维护-日期'!$B$2:$AF$2,0)),3)</f>
        <v>22.643999999999998</v>
      </c>
      <c r="E158" s="98">
        <f t="shared" si="82"/>
        <v>22.643999999999998</v>
      </c>
      <c r="F158" s="22">
        <f>持仓数据!I84</f>
        <v>7.8E-2</v>
      </c>
      <c r="G158" s="97">
        <v>372</v>
      </c>
      <c r="H158" s="97">
        <v>372</v>
      </c>
      <c r="I158" s="64">
        <v>0</v>
      </c>
      <c r="J158" s="64">
        <v>0</v>
      </c>
      <c r="K158" s="21">
        <f>IF(持仓数据!I117="",0,持仓数据!I117)</f>
        <v>372</v>
      </c>
      <c r="L158" s="21">
        <f t="shared" si="83"/>
        <v>0</v>
      </c>
      <c r="M158" s="28">
        <f t="shared" si="67"/>
        <v>8423.5679999999993</v>
      </c>
      <c r="N158" s="28">
        <f t="shared" si="68"/>
        <v>0</v>
      </c>
      <c r="O158" s="28">
        <f t="shared" si="69"/>
        <v>0</v>
      </c>
      <c r="P158" s="28">
        <f t="shared" si="70"/>
        <v>0</v>
      </c>
      <c r="Q158" s="28">
        <f t="shared" si="84"/>
        <v>0</v>
      </c>
      <c r="R158" s="28">
        <f t="shared" si="71"/>
        <v>8423.5679999999993</v>
      </c>
      <c r="S158" s="28">
        <f t="shared" si="85"/>
        <v>0</v>
      </c>
      <c r="T158" s="28">
        <f t="shared" si="86"/>
        <v>0</v>
      </c>
      <c r="U158" s="28">
        <f t="shared" si="89"/>
        <v>0</v>
      </c>
      <c r="V158" s="28">
        <f t="shared" si="87"/>
        <v>0</v>
      </c>
      <c r="W158" s="118"/>
      <c r="X158" s="143">
        <f t="shared" si="88"/>
        <v>27.094999999999999</v>
      </c>
      <c r="Y158" s="121">
        <f>交易记录!J17</f>
        <v>7.8E-2</v>
      </c>
      <c r="Z158" s="121">
        <f>交易记录!J48</f>
        <v>372</v>
      </c>
      <c r="AA158" s="30">
        <f t="shared" si="72"/>
        <v>0</v>
      </c>
      <c r="AB158" s="124">
        <f>交易记录!J81</f>
        <v>0</v>
      </c>
      <c r="AC158" s="124">
        <f>交易记录!J112</f>
        <v>0</v>
      </c>
      <c r="AD158" s="30">
        <f t="shared" si="95"/>
        <v>0</v>
      </c>
      <c r="AE158" s="121">
        <f>交易记录!J145</f>
        <v>0</v>
      </c>
      <c r="AF158" s="121">
        <f>交易记录!J176</f>
        <v>0</v>
      </c>
      <c r="AG158" s="30">
        <f t="shared" si="91"/>
        <v>0</v>
      </c>
      <c r="AH158" s="124">
        <f>交易记录!J209</f>
        <v>0</v>
      </c>
      <c r="AI158" s="124">
        <f>交易记录!J240</f>
        <v>0</v>
      </c>
      <c r="AJ158" s="30">
        <f t="shared" si="94"/>
        <v>0</v>
      </c>
      <c r="AK158" s="121">
        <f>交易记录!J273</f>
        <v>0</v>
      </c>
      <c r="AL158" s="121">
        <f>交易记录!J304</f>
        <v>0</v>
      </c>
      <c r="AM158" s="30">
        <f t="shared" si="93"/>
        <v>0</v>
      </c>
      <c r="AN158" s="124">
        <f>交易记录!J337</f>
        <v>0</v>
      </c>
      <c r="AO158" s="124">
        <f>交易记录!J368</f>
        <v>0</v>
      </c>
      <c r="AP158" s="30">
        <f t="shared" si="90"/>
        <v>0</v>
      </c>
      <c r="AQ158" s="121">
        <f>交易记录!J401</f>
        <v>0</v>
      </c>
      <c r="AR158" s="121">
        <f>交易记录!J432</f>
        <v>0</v>
      </c>
      <c r="AS158" s="30">
        <f t="shared" si="92"/>
        <v>0</v>
      </c>
      <c r="AT158" s="124">
        <f>交易记录!J465</f>
        <v>0</v>
      </c>
      <c r="AU158" s="124">
        <f>交易记录!J496</f>
        <v>0</v>
      </c>
      <c r="AV158" s="30">
        <f t="shared" si="73"/>
        <v>0</v>
      </c>
      <c r="AW158" s="121">
        <f>交易记录!J529</f>
        <v>0</v>
      </c>
      <c r="AX158" s="121">
        <f>交易记录!J560</f>
        <v>0</v>
      </c>
      <c r="AY158" s="30">
        <f t="shared" si="74"/>
        <v>0</v>
      </c>
      <c r="AZ158" s="124">
        <f>交易记录!J593</f>
        <v>0</v>
      </c>
      <c r="BA158" s="124">
        <f>交易记录!J624</f>
        <v>0</v>
      </c>
      <c r="BB158" s="30">
        <f t="shared" si="75"/>
        <v>0</v>
      </c>
      <c r="BC158" s="121">
        <f>交易记录!J657</f>
        <v>0</v>
      </c>
      <c r="BD158" s="121">
        <f>交易记录!J688</f>
        <v>0</v>
      </c>
      <c r="BE158" s="30">
        <f t="shared" si="76"/>
        <v>0</v>
      </c>
      <c r="BF158" s="124">
        <f>交易记录!J721</f>
        <v>0</v>
      </c>
      <c r="BG158" s="124">
        <f>交易记录!J752</f>
        <v>0</v>
      </c>
      <c r="BH158" s="30">
        <f t="shared" si="77"/>
        <v>0</v>
      </c>
      <c r="BI158" s="121">
        <f>交易记录!J785</f>
        <v>0</v>
      </c>
      <c r="BJ158" s="121">
        <f>交易记录!J816</f>
        <v>0</v>
      </c>
      <c r="BK158" s="30">
        <f t="shared" si="78"/>
        <v>0</v>
      </c>
      <c r="BL158" s="124">
        <f>交易记录!J849</f>
        <v>0</v>
      </c>
      <c r="BM158" s="124">
        <f>交易记录!J880</f>
        <v>0</v>
      </c>
      <c r="BN158" s="30">
        <f t="shared" si="79"/>
        <v>0</v>
      </c>
      <c r="BO158" s="121">
        <f>交易记录!J913</f>
        <v>0</v>
      </c>
      <c r="BP158" s="121">
        <f>交易记录!J944</f>
        <v>0</v>
      </c>
      <c r="BQ158" s="30">
        <f t="shared" si="80"/>
        <v>0</v>
      </c>
    </row>
    <row r="159" spans="1:69" ht="15">
      <c r="A159" s="125">
        <f>'维护-日期'!A$9</f>
        <v>46272</v>
      </c>
      <c r="B159" s="7" t="s">
        <v>19</v>
      </c>
      <c r="C159" s="144">
        <f t="shared" si="81"/>
        <v>22.904</v>
      </c>
      <c r="D159" s="144">
        <f>ROUND(INDEX(持仓数据!$C$3:$AG$26,MATCH('计算过程-数据汇总'!B159,持仓数据!$B$3:$B$26,0),MATCH('计算过程-数据汇总'!A159,'维护-日期'!$B$2:$AF$2,0)),3)</f>
        <v>22.904</v>
      </c>
      <c r="E159" s="98">
        <f t="shared" si="82"/>
        <v>22.904</v>
      </c>
      <c r="F159" s="22">
        <f>持仓数据!I85</f>
        <v>0.19500000000000001</v>
      </c>
      <c r="G159" s="97">
        <v>372</v>
      </c>
      <c r="H159" s="97">
        <v>372</v>
      </c>
      <c r="I159" s="64">
        <v>0</v>
      </c>
      <c r="J159" s="64">
        <v>0</v>
      </c>
      <c r="K159" s="21">
        <f>IF(持仓数据!I118="",0,持仓数据!I118)</f>
        <v>372</v>
      </c>
      <c r="L159" s="21">
        <f t="shared" si="83"/>
        <v>0</v>
      </c>
      <c r="M159" s="28">
        <f t="shared" si="67"/>
        <v>8520.2880000000005</v>
      </c>
      <c r="N159" s="28">
        <f t="shared" si="68"/>
        <v>0</v>
      </c>
      <c r="O159" s="28">
        <f t="shared" si="69"/>
        <v>0</v>
      </c>
      <c r="P159" s="28">
        <f t="shared" si="70"/>
        <v>0</v>
      </c>
      <c r="Q159" s="28">
        <f t="shared" si="84"/>
        <v>0</v>
      </c>
      <c r="R159" s="28">
        <f t="shared" si="71"/>
        <v>8520.2880000000005</v>
      </c>
      <c r="S159" s="28">
        <f t="shared" si="85"/>
        <v>0</v>
      </c>
      <c r="T159" s="28">
        <f t="shared" si="86"/>
        <v>0</v>
      </c>
      <c r="U159" s="28">
        <f t="shared" si="89"/>
        <v>0</v>
      </c>
      <c r="V159" s="28">
        <f t="shared" si="87"/>
        <v>0</v>
      </c>
      <c r="W159" s="118"/>
      <c r="X159" s="143">
        <f t="shared" si="88"/>
        <v>27.29</v>
      </c>
      <c r="Y159" s="121">
        <f>交易记录!J18</f>
        <v>0.19500000000000001</v>
      </c>
      <c r="Z159" s="121">
        <f>交易记录!J49</f>
        <v>372</v>
      </c>
      <c r="AA159" s="30">
        <f t="shared" si="72"/>
        <v>0</v>
      </c>
      <c r="AB159" s="124">
        <f>交易记录!J82</f>
        <v>0</v>
      </c>
      <c r="AC159" s="124">
        <f>交易记录!J113</f>
        <v>0</v>
      </c>
      <c r="AD159" s="30">
        <f t="shared" si="95"/>
        <v>0</v>
      </c>
      <c r="AE159" s="121">
        <f>交易记录!J146</f>
        <v>0</v>
      </c>
      <c r="AF159" s="121">
        <f>交易记录!J177</f>
        <v>0</v>
      </c>
      <c r="AG159" s="30">
        <f t="shared" si="91"/>
        <v>0</v>
      </c>
      <c r="AH159" s="124">
        <f>交易记录!J210</f>
        <v>0</v>
      </c>
      <c r="AI159" s="124">
        <f>交易记录!J241</f>
        <v>0</v>
      </c>
      <c r="AJ159" s="30">
        <f t="shared" si="94"/>
        <v>0</v>
      </c>
      <c r="AK159" s="121">
        <f>交易记录!J274</f>
        <v>0</v>
      </c>
      <c r="AL159" s="121">
        <f>交易记录!J305</f>
        <v>0</v>
      </c>
      <c r="AM159" s="30">
        <f t="shared" si="93"/>
        <v>0</v>
      </c>
      <c r="AN159" s="124">
        <f>交易记录!J338</f>
        <v>0</v>
      </c>
      <c r="AO159" s="124">
        <f>交易记录!J369</f>
        <v>0</v>
      </c>
      <c r="AP159" s="30">
        <f t="shared" si="90"/>
        <v>0</v>
      </c>
      <c r="AQ159" s="121">
        <f>交易记录!J402</f>
        <v>0</v>
      </c>
      <c r="AR159" s="121">
        <f>交易记录!J433</f>
        <v>0</v>
      </c>
      <c r="AS159" s="30">
        <f t="shared" si="92"/>
        <v>0</v>
      </c>
      <c r="AT159" s="124">
        <f>交易记录!J466</f>
        <v>0</v>
      </c>
      <c r="AU159" s="124">
        <f>交易记录!J497</f>
        <v>0</v>
      </c>
      <c r="AV159" s="30">
        <f t="shared" si="73"/>
        <v>0</v>
      </c>
      <c r="AW159" s="121">
        <f>交易记录!J530</f>
        <v>0</v>
      </c>
      <c r="AX159" s="121">
        <f>交易记录!J561</f>
        <v>0</v>
      </c>
      <c r="AY159" s="30">
        <f t="shared" si="74"/>
        <v>0</v>
      </c>
      <c r="AZ159" s="124">
        <f>交易记录!J594</f>
        <v>0</v>
      </c>
      <c r="BA159" s="124">
        <f>交易记录!J625</f>
        <v>0</v>
      </c>
      <c r="BB159" s="30">
        <f t="shared" si="75"/>
        <v>0</v>
      </c>
      <c r="BC159" s="121">
        <f>交易记录!J658</f>
        <v>0</v>
      </c>
      <c r="BD159" s="121">
        <f>交易记录!J689</f>
        <v>0</v>
      </c>
      <c r="BE159" s="30">
        <f t="shared" si="76"/>
        <v>0</v>
      </c>
      <c r="BF159" s="124">
        <f>交易记录!J722</f>
        <v>0</v>
      </c>
      <c r="BG159" s="124">
        <f>交易记录!J753</f>
        <v>0</v>
      </c>
      <c r="BH159" s="30">
        <f t="shared" si="77"/>
        <v>0</v>
      </c>
      <c r="BI159" s="121">
        <f>交易记录!J786</f>
        <v>0</v>
      </c>
      <c r="BJ159" s="121">
        <f>交易记录!J817</f>
        <v>0</v>
      </c>
      <c r="BK159" s="30">
        <f t="shared" si="78"/>
        <v>0</v>
      </c>
      <c r="BL159" s="124">
        <f>交易记录!J850</f>
        <v>0</v>
      </c>
      <c r="BM159" s="124">
        <f>交易记录!J881</f>
        <v>0</v>
      </c>
      <c r="BN159" s="30">
        <f t="shared" si="79"/>
        <v>0</v>
      </c>
      <c r="BO159" s="121">
        <f>交易记录!J914</f>
        <v>0</v>
      </c>
      <c r="BP159" s="121">
        <f>交易记录!J945</f>
        <v>0</v>
      </c>
      <c r="BQ159" s="30">
        <f t="shared" si="80"/>
        <v>0</v>
      </c>
    </row>
    <row r="160" spans="1:69" ht="15">
      <c r="A160" s="125">
        <f>'维护-日期'!A$9</f>
        <v>46272</v>
      </c>
      <c r="B160" s="7" t="s">
        <v>20</v>
      </c>
      <c r="C160" s="144">
        <f t="shared" si="81"/>
        <v>22.071000000000002</v>
      </c>
      <c r="D160" s="144">
        <f>ROUND(INDEX(持仓数据!$C$3:$AG$26,MATCH('计算过程-数据汇总'!B160,持仓数据!$B$3:$B$26,0),MATCH('计算过程-数据汇总'!A160,'维护-日期'!$B$2:$AF$2,0)),3)</f>
        <v>22.071000000000002</v>
      </c>
      <c r="E160" s="98">
        <f t="shared" si="82"/>
        <v>22.071000000000002</v>
      </c>
      <c r="F160" s="22">
        <f>持仓数据!I86</f>
        <v>0.34599999999999997</v>
      </c>
      <c r="G160" s="97">
        <v>372</v>
      </c>
      <c r="H160" s="97">
        <v>372</v>
      </c>
      <c r="I160" s="64">
        <v>0</v>
      </c>
      <c r="J160" s="64">
        <v>0</v>
      </c>
      <c r="K160" s="21">
        <f>IF(持仓数据!I119="",0,持仓数据!I119)</f>
        <v>372</v>
      </c>
      <c r="L160" s="21">
        <f t="shared" si="83"/>
        <v>0</v>
      </c>
      <c r="M160" s="28">
        <f t="shared" si="67"/>
        <v>8210.4120000000003</v>
      </c>
      <c r="N160" s="28">
        <f t="shared" si="68"/>
        <v>0</v>
      </c>
      <c r="O160" s="28">
        <f t="shared" si="69"/>
        <v>0</v>
      </c>
      <c r="P160" s="28">
        <f t="shared" si="70"/>
        <v>0</v>
      </c>
      <c r="Q160" s="28">
        <f t="shared" si="84"/>
        <v>0</v>
      </c>
      <c r="R160" s="28">
        <f t="shared" si="71"/>
        <v>8210.4120000000003</v>
      </c>
      <c r="S160" s="28">
        <f t="shared" si="85"/>
        <v>0</v>
      </c>
      <c r="T160" s="28">
        <f t="shared" si="86"/>
        <v>0</v>
      </c>
      <c r="U160" s="28">
        <f t="shared" si="89"/>
        <v>0</v>
      </c>
      <c r="V160" s="28">
        <f t="shared" si="87"/>
        <v>0</v>
      </c>
      <c r="W160" s="118"/>
      <c r="X160" s="143">
        <f t="shared" si="88"/>
        <v>26.138999999999999</v>
      </c>
      <c r="Y160" s="121">
        <f>交易记录!J19</f>
        <v>0.34599999999999997</v>
      </c>
      <c r="Z160" s="121">
        <f>交易记录!J50</f>
        <v>372</v>
      </c>
      <c r="AA160" s="30">
        <f t="shared" si="72"/>
        <v>0</v>
      </c>
      <c r="AB160" s="124">
        <f>交易记录!J83</f>
        <v>0</v>
      </c>
      <c r="AC160" s="124">
        <f>交易记录!J114</f>
        <v>0</v>
      </c>
      <c r="AD160" s="30">
        <f t="shared" si="95"/>
        <v>0</v>
      </c>
      <c r="AE160" s="121">
        <f>交易记录!J147</f>
        <v>0</v>
      </c>
      <c r="AF160" s="121">
        <f>交易记录!J178</f>
        <v>0</v>
      </c>
      <c r="AG160" s="30">
        <f t="shared" si="91"/>
        <v>0</v>
      </c>
      <c r="AH160" s="124">
        <f>交易记录!J211</f>
        <v>0</v>
      </c>
      <c r="AI160" s="124">
        <f>交易记录!J242</f>
        <v>0</v>
      </c>
      <c r="AJ160" s="30">
        <f t="shared" si="94"/>
        <v>0</v>
      </c>
      <c r="AK160" s="121">
        <f>交易记录!J275</f>
        <v>0</v>
      </c>
      <c r="AL160" s="121">
        <f>交易记录!J306</f>
        <v>0</v>
      </c>
      <c r="AM160" s="30">
        <f t="shared" si="93"/>
        <v>0</v>
      </c>
      <c r="AN160" s="124">
        <f>交易记录!J339</f>
        <v>0</v>
      </c>
      <c r="AO160" s="124">
        <f>交易记录!J370</f>
        <v>0</v>
      </c>
      <c r="AP160" s="30">
        <f t="shared" si="90"/>
        <v>0</v>
      </c>
      <c r="AQ160" s="121">
        <f>交易记录!J403</f>
        <v>0</v>
      </c>
      <c r="AR160" s="121">
        <f>交易记录!J434</f>
        <v>0</v>
      </c>
      <c r="AS160" s="30">
        <f t="shared" si="92"/>
        <v>0</v>
      </c>
      <c r="AT160" s="124">
        <f>交易记录!J467</f>
        <v>0</v>
      </c>
      <c r="AU160" s="124">
        <f>交易记录!J498</f>
        <v>0</v>
      </c>
      <c r="AV160" s="30">
        <f t="shared" si="73"/>
        <v>0</v>
      </c>
      <c r="AW160" s="121">
        <f>交易记录!J531</f>
        <v>0</v>
      </c>
      <c r="AX160" s="121">
        <f>交易记录!J562</f>
        <v>0</v>
      </c>
      <c r="AY160" s="30">
        <f t="shared" si="74"/>
        <v>0</v>
      </c>
      <c r="AZ160" s="124">
        <f>交易记录!J595</f>
        <v>0</v>
      </c>
      <c r="BA160" s="124">
        <f>交易记录!J626</f>
        <v>0</v>
      </c>
      <c r="BB160" s="30">
        <f t="shared" si="75"/>
        <v>0</v>
      </c>
      <c r="BC160" s="121">
        <f>交易记录!J659</f>
        <v>0</v>
      </c>
      <c r="BD160" s="121">
        <f>交易记录!J690</f>
        <v>0</v>
      </c>
      <c r="BE160" s="30">
        <f t="shared" si="76"/>
        <v>0</v>
      </c>
      <c r="BF160" s="124">
        <f>交易记录!J723</f>
        <v>0</v>
      </c>
      <c r="BG160" s="124">
        <f>交易记录!J754</f>
        <v>0</v>
      </c>
      <c r="BH160" s="30">
        <f t="shared" si="77"/>
        <v>0</v>
      </c>
      <c r="BI160" s="121">
        <f>交易记录!J787</f>
        <v>0</v>
      </c>
      <c r="BJ160" s="121">
        <f>交易记录!J818</f>
        <v>0</v>
      </c>
      <c r="BK160" s="30">
        <f t="shared" si="78"/>
        <v>0</v>
      </c>
      <c r="BL160" s="124">
        <f>交易记录!J851</f>
        <v>0</v>
      </c>
      <c r="BM160" s="124">
        <f>交易记录!J882</f>
        <v>0</v>
      </c>
      <c r="BN160" s="30">
        <f t="shared" si="79"/>
        <v>0</v>
      </c>
      <c r="BO160" s="121">
        <f>交易记录!J915</f>
        <v>0</v>
      </c>
      <c r="BP160" s="121">
        <f>交易记录!J946</f>
        <v>0</v>
      </c>
      <c r="BQ160" s="30">
        <f t="shared" si="80"/>
        <v>0</v>
      </c>
    </row>
    <row r="161" spans="1:69" ht="15">
      <c r="A161" s="125">
        <f>'维护-日期'!A$9</f>
        <v>46272</v>
      </c>
      <c r="B161" s="7" t="s">
        <v>21</v>
      </c>
      <c r="C161" s="144">
        <f t="shared" si="81"/>
        <v>22.087</v>
      </c>
      <c r="D161" s="144">
        <f>ROUND(INDEX(持仓数据!$C$3:$AG$26,MATCH('计算过程-数据汇总'!B161,持仓数据!$B$3:$B$26,0),MATCH('计算过程-数据汇总'!A161,'维护-日期'!$B$2:$AF$2,0)),3)</f>
        <v>22.087</v>
      </c>
      <c r="E161" s="98">
        <f t="shared" si="82"/>
        <v>22.087</v>
      </c>
      <c r="F161" s="22">
        <f>持仓数据!I87</f>
        <v>0.38</v>
      </c>
      <c r="G161" s="97">
        <v>372</v>
      </c>
      <c r="H161" s="97">
        <v>372</v>
      </c>
      <c r="I161" s="64">
        <v>0</v>
      </c>
      <c r="J161" s="64">
        <v>0</v>
      </c>
      <c r="K161" s="21">
        <f>IF(持仓数据!I120="",0,持仓数据!I120)</f>
        <v>372.00000000000006</v>
      </c>
      <c r="L161" s="21">
        <f t="shared" si="83"/>
        <v>0</v>
      </c>
      <c r="M161" s="28">
        <f t="shared" si="67"/>
        <v>8216.3639999999996</v>
      </c>
      <c r="N161" s="28">
        <f t="shared" si="68"/>
        <v>0</v>
      </c>
      <c r="O161" s="28">
        <f t="shared" si="69"/>
        <v>0</v>
      </c>
      <c r="P161" s="28">
        <f t="shared" si="70"/>
        <v>2.1600499167107046E-14</v>
      </c>
      <c r="Q161" s="28">
        <f t="shared" si="84"/>
        <v>0</v>
      </c>
      <c r="R161" s="28">
        <f t="shared" si="71"/>
        <v>8216.3640000000014</v>
      </c>
      <c r="S161" s="28">
        <f t="shared" si="85"/>
        <v>0</v>
      </c>
      <c r="T161" s="28">
        <f t="shared" si="86"/>
        <v>-1.2339000932115596E-12</v>
      </c>
      <c r="U161" s="28">
        <f t="shared" si="89"/>
        <v>0</v>
      </c>
      <c r="V161" s="28">
        <f t="shared" si="87"/>
        <v>0</v>
      </c>
      <c r="W161" s="118"/>
      <c r="X161" s="143">
        <f t="shared" si="88"/>
        <v>26.123999999999999</v>
      </c>
      <c r="Y161" s="121">
        <f>交易记录!J20</f>
        <v>0.38</v>
      </c>
      <c r="Z161" s="121">
        <f>交易记录!J51</f>
        <v>372</v>
      </c>
      <c r="AA161" s="30">
        <f t="shared" si="72"/>
        <v>0</v>
      </c>
      <c r="AB161" s="124">
        <f>交易记录!J84</f>
        <v>0</v>
      </c>
      <c r="AC161" s="124">
        <f>交易记录!J115</f>
        <v>0</v>
      </c>
      <c r="AD161" s="30">
        <f t="shared" si="95"/>
        <v>0</v>
      </c>
      <c r="AE161" s="121">
        <f>交易记录!J148</f>
        <v>0</v>
      </c>
      <c r="AF161" s="121">
        <f>交易记录!J179</f>
        <v>0</v>
      </c>
      <c r="AG161" s="30">
        <f t="shared" si="91"/>
        <v>0</v>
      </c>
      <c r="AH161" s="124">
        <f>交易记录!J212</f>
        <v>0</v>
      </c>
      <c r="AI161" s="124">
        <f>交易记录!J243</f>
        <v>0</v>
      </c>
      <c r="AJ161" s="30">
        <f t="shared" si="94"/>
        <v>0</v>
      </c>
      <c r="AK161" s="121">
        <f>交易记录!J276</f>
        <v>0</v>
      </c>
      <c r="AL161" s="121">
        <f>交易记录!J307</f>
        <v>0</v>
      </c>
      <c r="AM161" s="30">
        <f t="shared" si="93"/>
        <v>0</v>
      </c>
      <c r="AN161" s="124">
        <f>交易记录!J340</f>
        <v>0</v>
      </c>
      <c r="AO161" s="124">
        <f>交易记录!J371</f>
        <v>0</v>
      </c>
      <c r="AP161" s="30">
        <f t="shared" si="90"/>
        <v>0</v>
      </c>
      <c r="AQ161" s="121">
        <f>交易记录!J404</f>
        <v>0</v>
      </c>
      <c r="AR161" s="121">
        <f>交易记录!J435</f>
        <v>0</v>
      </c>
      <c r="AS161" s="30">
        <f t="shared" si="92"/>
        <v>0</v>
      </c>
      <c r="AT161" s="124">
        <f>交易记录!J468</f>
        <v>0</v>
      </c>
      <c r="AU161" s="124">
        <f>交易记录!J499</f>
        <v>0</v>
      </c>
      <c r="AV161" s="30">
        <f t="shared" si="73"/>
        <v>0</v>
      </c>
      <c r="AW161" s="121">
        <f>交易记录!J532</f>
        <v>0</v>
      </c>
      <c r="AX161" s="121">
        <f>交易记录!J563</f>
        <v>0</v>
      </c>
      <c r="AY161" s="30">
        <f t="shared" si="74"/>
        <v>0</v>
      </c>
      <c r="AZ161" s="124">
        <f>交易记录!J596</f>
        <v>0</v>
      </c>
      <c r="BA161" s="124">
        <f>交易记录!J627</f>
        <v>0</v>
      </c>
      <c r="BB161" s="30">
        <f t="shared" si="75"/>
        <v>0</v>
      </c>
      <c r="BC161" s="121">
        <f>交易记录!J660</f>
        <v>0</v>
      </c>
      <c r="BD161" s="121">
        <f>交易记录!J691</f>
        <v>0</v>
      </c>
      <c r="BE161" s="30">
        <f t="shared" si="76"/>
        <v>0</v>
      </c>
      <c r="BF161" s="124">
        <f>交易记录!J724</f>
        <v>0</v>
      </c>
      <c r="BG161" s="124">
        <f>交易记录!J755</f>
        <v>0</v>
      </c>
      <c r="BH161" s="30">
        <f t="shared" si="77"/>
        <v>0</v>
      </c>
      <c r="BI161" s="121">
        <f>交易记录!J788</f>
        <v>0</v>
      </c>
      <c r="BJ161" s="121">
        <f>交易记录!J819</f>
        <v>0</v>
      </c>
      <c r="BK161" s="30">
        <f t="shared" si="78"/>
        <v>0</v>
      </c>
      <c r="BL161" s="124">
        <f>交易记录!J852</f>
        <v>0</v>
      </c>
      <c r="BM161" s="124">
        <f>交易记录!J883</f>
        <v>0</v>
      </c>
      <c r="BN161" s="30">
        <f t="shared" si="79"/>
        <v>0</v>
      </c>
      <c r="BO161" s="121">
        <f>交易记录!J916</f>
        <v>0</v>
      </c>
      <c r="BP161" s="121">
        <f>交易记录!J947</f>
        <v>0</v>
      </c>
      <c r="BQ161" s="30">
        <f t="shared" si="80"/>
        <v>0</v>
      </c>
    </row>
    <row r="162" spans="1:69" ht="15">
      <c r="A162" s="125">
        <f>'维护-日期'!A$9</f>
        <v>46272</v>
      </c>
      <c r="B162" s="7" t="s">
        <v>22</v>
      </c>
      <c r="C162" s="144">
        <f t="shared" si="81"/>
        <v>23.077999999999999</v>
      </c>
      <c r="D162" s="144">
        <f>ROUND(INDEX(持仓数据!$C$3:$AG$26,MATCH('计算过程-数据汇总'!B162,持仓数据!$B$3:$B$26,0),MATCH('计算过程-数据汇总'!A162,'维护-日期'!$B$2:$AF$2,0)),3)</f>
        <v>23.077999999999999</v>
      </c>
      <c r="E162" s="98">
        <f t="shared" si="82"/>
        <v>23.077999999999999</v>
      </c>
      <c r="F162" s="22">
        <f>持仓数据!I88</f>
        <v>0.58600000000000008</v>
      </c>
      <c r="G162" s="97">
        <v>372</v>
      </c>
      <c r="H162" s="97">
        <v>372</v>
      </c>
      <c r="I162" s="64">
        <v>0</v>
      </c>
      <c r="J162" s="64">
        <v>0</v>
      </c>
      <c r="K162" s="21">
        <f>IF(持仓数据!I121="",0,持仓数据!I121)</f>
        <v>372</v>
      </c>
      <c r="L162" s="21">
        <f t="shared" si="83"/>
        <v>0</v>
      </c>
      <c r="M162" s="28">
        <f t="shared" si="67"/>
        <v>8585.0159999999996</v>
      </c>
      <c r="N162" s="28">
        <f t="shared" si="68"/>
        <v>0</v>
      </c>
      <c r="O162" s="28">
        <f t="shared" si="69"/>
        <v>0</v>
      </c>
      <c r="P162" s="28">
        <f t="shared" si="70"/>
        <v>0</v>
      </c>
      <c r="Q162" s="28">
        <f t="shared" si="84"/>
        <v>0</v>
      </c>
      <c r="R162" s="28">
        <f t="shared" si="71"/>
        <v>8585.0159999999996</v>
      </c>
      <c r="S162" s="28">
        <f t="shared" si="85"/>
        <v>0</v>
      </c>
      <c r="T162" s="28">
        <f t="shared" si="86"/>
        <v>0</v>
      </c>
      <c r="U162" s="28">
        <f t="shared" si="89"/>
        <v>0</v>
      </c>
      <c r="V162" s="28">
        <f t="shared" si="87"/>
        <v>0</v>
      </c>
      <c r="W162" s="118"/>
      <c r="X162" s="143">
        <f t="shared" si="88"/>
        <v>27.108000000000001</v>
      </c>
      <c r="Y162" s="121">
        <f>交易记录!J21</f>
        <v>0.58600000000000008</v>
      </c>
      <c r="Z162" s="121">
        <f>交易记录!J52</f>
        <v>372</v>
      </c>
      <c r="AA162" s="30">
        <f t="shared" si="72"/>
        <v>0</v>
      </c>
      <c r="AB162" s="124">
        <f>交易记录!J85</f>
        <v>0</v>
      </c>
      <c r="AC162" s="124">
        <f>交易记录!J116</f>
        <v>0</v>
      </c>
      <c r="AD162" s="30">
        <f t="shared" si="95"/>
        <v>0</v>
      </c>
      <c r="AE162" s="121">
        <f>交易记录!J149</f>
        <v>0</v>
      </c>
      <c r="AF162" s="121">
        <f>交易记录!J180</f>
        <v>0</v>
      </c>
      <c r="AG162" s="30">
        <f t="shared" si="91"/>
        <v>0</v>
      </c>
      <c r="AH162" s="124">
        <f>交易记录!J213</f>
        <v>0</v>
      </c>
      <c r="AI162" s="124">
        <f>交易记录!J244</f>
        <v>0</v>
      </c>
      <c r="AJ162" s="30">
        <f t="shared" si="94"/>
        <v>0</v>
      </c>
      <c r="AK162" s="121">
        <f>交易记录!J277</f>
        <v>0</v>
      </c>
      <c r="AL162" s="121">
        <f>交易记录!J308</f>
        <v>0</v>
      </c>
      <c r="AM162" s="30">
        <f t="shared" si="93"/>
        <v>0</v>
      </c>
      <c r="AN162" s="124">
        <f>交易记录!J341</f>
        <v>0</v>
      </c>
      <c r="AO162" s="124">
        <f>交易记录!J372</f>
        <v>0</v>
      </c>
      <c r="AP162" s="30">
        <f t="shared" si="90"/>
        <v>0</v>
      </c>
      <c r="AQ162" s="121">
        <f>交易记录!J405</f>
        <v>0</v>
      </c>
      <c r="AR162" s="121">
        <f>交易记录!J436</f>
        <v>0</v>
      </c>
      <c r="AS162" s="30">
        <f t="shared" si="92"/>
        <v>0</v>
      </c>
      <c r="AT162" s="124">
        <f>交易记录!J469</f>
        <v>0</v>
      </c>
      <c r="AU162" s="124">
        <f>交易记录!J500</f>
        <v>0</v>
      </c>
      <c r="AV162" s="30">
        <f t="shared" si="73"/>
        <v>0</v>
      </c>
      <c r="AW162" s="121">
        <f>交易记录!J533</f>
        <v>0</v>
      </c>
      <c r="AX162" s="121">
        <f>交易记录!J564</f>
        <v>0</v>
      </c>
      <c r="AY162" s="30">
        <f t="shared" si="74"/>
        <v>0</v>
      </c>
      <c r="AZ162" s="124">
        <f>交易记录!J597</f>
        <v>0</v>
      </c>
      <c r="BA162" s="124">
        <f>交易记录!J628</f>
        <v>0</v>
      </c>
      <c r="BB162" s="30">
        <f t="shared" si="75"/>
        <v>0</v>
      </c>
      <c r="BC162" s="121">
        <f>交易记录!J661</f>
        <v>0</v>
      </c>
      <c r="BD162" s="121">
        <f>交易记录!J692</f>
        <v>0</v>
      </c>
      <c r="BE162" s="30">
        <f t="shared" si="76"/>
        <v>0</v>
      </c>
      <c r="BF162" s="124">
        <f>交易记录!J725</f>
        <v>0</v>
      </c>
      <c r="BG162" s="124">
        <f>交易记录!J756</f>
        <v>0</v>
      </c>
      <c r="BH162" s="30">
        <f t="shared" si="77"/>
        <v>0</v>
      </c>
      <c r="BI162" s="121">
        <f>交易记录!J789</f>
        <v>0</v>
      </c>
      <c r="BJ162" s="121">
        <f>交易记录!J820</f>
        <v>0</v>
      </c>
      <c r="BK162" s="30">
        <f t="shared" si="78"/>
        <v>0</v>
      </c>
      <c r="BL162" s="124">
        <f>交易记录!J853</f>
        <v>0</v>
      </c>
      <c r="BM162" s="124">
        <f>交易记录!J884</f>
        <v>0</v>
      </c>
      <c r="BN162" s="30">
        <f t="shared" si="79"/>
        <v>0</v>
      </c>
      <c r="BO162" s="121">
        <f>交易记录!J917</f>
        <v>0</v>
      </c>
      <c r="BP162" s="121">
        <f>交易记录!J948</f>
        <v>0</v>
      </c>
      <c r="BQ162" s="30">
        <f t="shared" si="80"/>
        <v>0</v>
      </c>
    </row>
    <row r="163" spans="1:69" ht="15">
      <c r="A163" s="125">
        <f>'维护-日期'!A$9</f>
        <v>46272</v>
      </c>
      <c r="B163" s="7" t="s">
        <v>23</v>
      </c>
      <c r="C163" s="144">
        <f t="shared" si="81"/>
        <v>23.443000000000001</v>
      </c>
      <c r="D163" s="144">
        <f>ROUND(INDEX(持仓数据!$C$3:$AG$26,MATCH('计算过程-数据汇总'!B163,持仓数据!$B$3:$B$26,0),MATCH('计算过程-数据汇总'!A163,'维护-日期'!$B$2:$AF$2,0)),3)</f>
        <v>23.443000000000001</v>
      </c>
      <c r="E163" s="98">
        <f t="shared" si="82"/>
        <v>23.443000000000001</v>
      </c>
      <c r="F163" s="22">
        <f>持仓数据!I89</f>
        <v>0.63300000000000001</v>
      </c>
      <c r="G163" s="97">
        <v>372</v>
      </c>
      <c r="H163" s="97">
        <v>372</v>
      </c>
      <c r="I163" s="64">
        <v>0</v>
      </c>
      <c r="J163" s="64">
        <v>0</v>
      </c>
      <c r="K163" s="21">
        <f>IF(持仓数据!I122="",0,持仓数据!I122)</f>
        <v>372</v>
      </c>
      <c r="L163" s="21">
        <f t="shared" si="83"/>
        <v>0</v>
      </c>
      <c r="M163" s="28">
        <f t="shared" si="67"/>
        <v>8720.7960000000003</v>
      </c>
      <c r="N163" s="28">
        <f t="shared" si="68"/>
        <v>0</v>
      </c>
      <c r="O163" s="28">
        <f t="shared" si="69"/>
        <v>0</v>
      </c>
      <c r="P163" s="28">
        <f t="shared" si="70"/>
        <v>0</v>
      </c>
      <c r="Q163" s="28">
        <f t="shared" si="84"/>
        <v>0</v>
      </c>
      <c r="R163" s="28">
        <f t="shared" si="71"/>
        <v>8720.7960000000003</v>
      </c>
      <c r="S163" s="28">
        <f t="shared" si="85"/>
        <v>0</v>
      </c>
      <c r="T163" s="28">
        <f t="shared" si="86"/>
        <v>0</v>
      </c>
      <c r="U163" s="28">
        <f t="shared" si="89"/>
        <v>0</v>
      </c>
      <c r="V163" s="28">
        <f t="shared" si="87"/>
        <v>0</v>
      </c>
      <c r="W163" s="118"/>
      <c r="X163" s="143">
        <f t="shared" si="88"/>
        <v>27.498999999999999</v>
      </c>
      <c r="Y163" s="121">
        <f>交易记录!J22</f>
        <v>0.63300000000000001</v>
      </c>
      <c r="Z163" s="121">
        <f>交易记录!J53</f>
        <v>372</v>
      </c>
      <c r="AA163" s="30">
        <f t="shared" si="72"/>
        <v>0</v>
      </c>
      <c r="AB163" s="124">
        <f>交易记录!J86</f>
        <v>0</v>
      </c>
      <c r="AC163" s="124">
        <f>交易记录!J117</f>
        <v>0</v>
      </c>
      <c r="AD163" s="30">
        <f t="shared" si="95"/>
        <v>0</v>
      </c>
      <c r="AE163" s="121">
        <f>交易记录!J150</f>
        <v>0</v>
      </c>
      <c r="AF163" s="121">
        <f>交易记录!J181</f>
        <v>0</v>
      </c>
      <c r="AG163" s="30">
        <f t="shared" si="91"/>
        <v>0</v>
      </c>
      <c r="AH163" s="124">
        <f>交易记录!J214</f>
        <v>0</v>
      </c>
      <c r="AI163" s="124">
        <f>交易记录!J245</f>
        <v>0</v>
      </c>
      <c r="AJ163" s="30">
        <f t="shared" si="94"/>
        <v>0</v>
      </c>
      <c r="AK163" s="121">
        <f>交易记录!J278</f>
        <v>0</v>
      </c>
      <c r="AL163" s="121">
        <f>交易记录!J309</f>
        <v>0</v>
      </c>
      <c r="AM163" s="30">
        <f t="shared" si="93"/>
        <v>0</v>
      </c>
      <c r="AN163" s="124">
        <f>交易记录!J342</f>
        <v>0</v>
      </c>
      <c r="AO163" s="124">
        <f>交易记录!J373</f>
        <v>0</v>
      </c>
      <c r="AP163" s="30">
        <f t="shared" si="90"/>
        <v>0</v>
      </c>
      <c r="AQ163" s="121">
        <f>交易记录!J406</f>
        <v>0</v>
      </c>
      <c r="AR163" s="121">
        <f>交易记录!J437</f>
        <v>0</v>
      </c>
      <c r="AS163" s="30">
        <f t="shared" si="92"/>
        <v>0</v>
      </c>
      <c r="AT163" s="124">
        <f>交易记录!J470</f>
        <v>0</v>
      </c>
      <c r="AU163" s="124">
        <f>交易记录!J501</f>
        <v>0</v>
      </c>
      <c r="AV163" s="30">
        <f t="shared" si="73"/>
        <v>0</v>
      </c>
      <c r="AW163" s="121">
        <f>交易记录!J534</f>
        <v>0</v>
      </c>
      <c r="AX163" s="121">
        <f>交易记录!J565</f>
        <v>0</v>
      </c>
      <c r="AY163" s="30">
        <f t="shared" si="74"/>
        <v>0</v>
      </c>
      <c r="AZ163" s="124">
        <f>交易记录!J598</f>
        <v>0</v>
      </c>
      <c r="BA163" s="124">
        <f>交易记录!J629</f>
        <v>0</v>
      </c>
      <c r="BB163" s="30">
        <f t="shared" si="75"/>
        <v>0</v>
      </c>
      <c r="BC163" s="121">
        <f>交易记录!J662</f>
        <v>0</v>
      </c>
      <c r="BD163" s="121">
        <f>交易记录!J693</f>
        <v>0</v>
      </c>
      <c r="BE163" s="30">
        <f t="shared" si="76"/>
        <v>0</v>
      </c>
      <c r="BF163" s="124">
        <f>交易记录!J726</f>
        <v>0</v>
      </c>
      <c r="BG163" s="124">
        <f>交易记录!J757</f>
        <v>0</v>
      </c>
      <c r="BH163" s="30">
        <f t="shared" si="77"/>
        <v>0</v>
      </c>
      <c r="BI163" s="121">
        <f>交易记录!J790</f>
        <v>0</v>
      </c>
      <c r="BJ163" s="121">
        <f>交易记录!J821</f>
        <v>0</v>
      </c>
      <c r="BK163" s="30">
        <f t="shared" si="78"/>
        <v>0</v>
      </c>
      <c r="BL163" s="124">
        <f>交易记录!J854</f>
        <v>0</v>
      </c>
      <c r="BM163" s="124">
        <f>交易记录!J885</f>
        <v>0</v>
      </c>
      <c r="BN163" s="30">
        <f t="shared" si="79"/>
        <v>0</v>
      </c>
      <c r="BO163" s="121">
        <f>交易记录!J918</f>
        <v>0</v>
      </c>
      <c r="BP163" s="121">
        <f>交易记录!J949</f>
        <v>0</v>
      </c>
      <c r="BQ163" s="30">
        <f t="shared" si="80"/>
        <v>0</v>
      </c>
    </row>
    <row r="164" spans="1:69" ht="15">
      <c r="A164" s="125">
        <f>'维护-日期'!A$9</f>
        <v>46272</v>
      </c>
      <c r="B164" s="7" t="s">
        <v>24</v>
      </c>
      <c r="C164" s="144">
        <f t="shared" si="81"/>
        <v>23.85</v>
      </c>
      <c r="D164" s="144">
        <f>ROUND(INDEX(持仓数据!$C$3:$AG$26,MATCH('计算过程-数据汇总'!B164,持仓数据!$B$3:$B$26,0),MATCH('计算过程-数据汇总'!A164,'维护-日期'!$B$2:$AF$2,0)),3)</f>
        <v>23.85</v>
      </c>
      <c r="E164" s="98">
        <f t="shared" si="82"/>
        <v>23.85</v>
      </c>
      <c r="F164" s="22">
        <f>持仓数据!I90</f>
        <v>0.45400000000000001</v>
      </c>
      <c r="G164" s="97">
        <v>372</v>
      </c>
      <c r="H164" s="97">
        <v>372</v>
      </c>
      <c r="I164" s="64">
        <v>0</v>
      </c>
      <c r="J164" s="64">
        <v>0</v>
      </c>
      <c r="K164" s="21">
        <f>IF(持仓数据!I123="",0,持仓数据!I123)</f>
        <v>372</v>
      </c>
      <c r="L164" s="21">
        <f t="shared" si="83"/>
        <v>0</v>
      </c>
      <c r="M164" s="28">
        <f t="shared" si="67"/>
        <v>8872.2000000000007</v>
      </c>
      <c r="N164" s="28">
        <f t="shared" si="68"/>
        <v>0</v>
      </c>
      <c r="O164" s="28">
        <f t="shared" si="69"/>
        <v>0</v>
      </c>
      <c r="P164" s="28">
        <f t="shared" si="70"/>
        <v>0</v>
      </c>
      <c r="Q164" s="28">
        <f t="shared" si="84"/>
        <v>0</v>
      </c>
      <c r="R164" s="28">
        <f t="shared" si="71"/>
        <v>8872.2000000000007</v>
      </c>
      <c r="S164" s="28">
        <f t="shared" si="85"/>
        <v>0</v>
      </c>
      <c r="T164" s="28">
        <f t="shared" si="86"/>
        <v>0</v>
      </c>
      <c r="U164" s="28">
        <f t="shared" si="89"/>
        <v>0</v>
      </c>
      <c r="V164" s="28">
        <f t="shared" si="87"/>
        <v>0</v>
      </c>
      <c r="W164" s="118"/>
      <c r="X164" s="143">
        <f t="shared" si="88"/>
        <v>28.166</v>
      </c>
      <c r="Y164" s="121">
        <f>交易记录!J23</f>
        <v>0.45400000000000001</v>
      </c>
      <c r="Z164" s="121">
        <f>交易记录!J54</f>
        <v>372</v>
      </c>
      <c r="AA164" s="30">
        <f t="shared" si="72"/>
        <v>0</v>
      </c>
      <c r="AB164" s="124">
        <f>交易记录!J87</f>
        <v>0</v>
      </c>
      <c r="AC164" s="124">
        <f>交易记录!J118</f>
        <v>0</v>
      </c>
      <c r="AD164" s="30">
        <f t="shared" si="95"/>
        <v>0</v>
      </c>
      <c r="AE164" s="121">
        <f>交易记录!J151</f>
        <v>0</v>
      </c>
      <c r="AF164" s="121">
        <f>交易记录!J182</f>
        <v>0</v>
      </c>
      <c r="AG164" s="30">
        <f t="shared" si="91"/>
        <v>0</v>
      </c>
      <c r="AH164" s="124">
        <f>交易记录!J215</f>
        <v>0</v>
      </c>
      <c r="AI164" s="124">
        <f>交易记录!J246</f>
        <v>0</v>
      </c>
      <c r="AJ164" s="30">
        <f t="shared" si="94"/>
        <v>0</v>
      </c>
      <c r="AK164" s="121">
        <f>交易记录!J279</f>
        <v>0</v>
      </c>
      <c r="AL164" s="121">
        <f>交易记录!J310</f>
        <v>0</v>
      </c>
      <c r="AM164" s="30">
        <f t="shared" si="93"/>
        <v>0</v>
      </c>
      <c r="AN164" s="124">
        <f>交易记录!J343</f>
        <v>0</v>
      </c>
      <c r="AO164" s="124">
        <f>交易记录!J374</f>
        <v>0</v>
      </c>
      <c r="AP164" s="30">
        <f t="shared" si="90"/>
        <v>0</v>
      </c>
      <c r="AQ164" s="121">
        <f>交易记录!J407</f>
        <v>0</v>
      </c>
      <c r="AR164" s="121">
        <f>交易记录!J438</f>
        <v>0</v>
      </c>
      <c r="AS164" s="30">
        <f t="shared" si="92"/>
        <v>0</v>
      </c>
      <c r="AT164" s="124">
        <f>交易记录!J471</f>
        <v>0</v>
      </c>
      <c r="AU164" s="124">
        <f>交易记录!J502</f>
        <v>0</v>
      </c>
      <c r="AV164" s="30">
        <f t="shared" si="73"/>
        <v>0</v>
      </c>
      <c r="AW164" s="121">
        <f>交易记录!J535</f>
        <v>0</v>
      </c>
      <c r="AX164" s="121">
        <f>交易记录!J566</f>
        <v>0</v>
      </c>
      <c r="AY164" s="30">
        <f t="shared" si="74"/>
        <v>0</v>
      </c>
      <c r="AZ164" s="124">
        <f>交易记录!J599</f>
        <v>0</v>
      </c>
      <c r="BA164" s="124">
        <f>交易记录!J630</f>
        <v>0</v>
      </c>
      <c r="BB164" s="30">
        <f t="shared" si="75"/>
        <v>0</v>
      </c>
      <c r="BC164" s="121">
        <f>交易记录!J663</f>
        <v>0</v>
      </c>
      <c r="BD164" s="121">
        <f>交易记录!J694</f>
        <v>0</v>
      </c>
      <c r="BE164" s="30">
        <f t="shared" si="76"/>
        <v>0</v>
      </c>
      <c r="BF164" s="124">
        <f>交易记录!J727</f>
        <v>0</v>
      </c>
      <c r="BG164" s="124">
        <f>交易记录!J758</f>
        <v>0</v>
      </c>
      <c r="BH164" s="30">
        <f t="shared" si="77"/>
        <v>0</v>
      </c>
      <c r="BI164" s="121">
        <f>交易记录!J791</f>
        <v>0</v>
      </c>
      <c r="BJ164" s="121">
        <f>交易记录!J822</f>
        <v>0</v>
      </c>
      <c r="BK164" s="30">
        <f t="shared" si="78"/>
        <v>0</v>
      </c>
      <c r="BL164" s="124">
        <f>交易记录!J855</f>
        <v>0</v>
      </c>
      <c r="BM164" s="124">
        <f>交易记录!J886</f>
        <v>0</v>
      </c>
      <c r="BN164" s="30">
        <f t="shared" si="79"/>
        <v>0</v>
      </c>
      <c r="BO164" s="121">
        <f>交易记录!J919</f>
        <v>0</v>
      </c>
      <c r="BP164" s="121">
        <f>交易记录!J950</f>
        <v>0</v>
      </c>
      <c r="BQ164" s="30">
        <f t="shared" si="80"/>
        <v>0</v>
      </c>
    </row>
    <row r="165" spans="1:69" ht="15">
      <c r="A165" s="125">
        <f>'维护-日期'!A$9</f>
        <v>46272</v>
      </c>
      <c r="B165" s="7" t="s">
        <v>25</v>
      </c>
      <c r="C165" s="144">
        <f t="shared" si="81"/>
        <v>24.105</v>
      </c>
      <c r="D165" s="144">
        <f>ROUND(INDEX(持仓数据!$C$3:$AG$26,MATCH('计算过程-数据汇总'!B165,持仓数据!$B$3:$B$26,0),MATCH('计算过程-数据汇总'!A165,'维护-日期'!$B$2:$AF$2,0)),3)</f>
        <v>24.105</v>
      </c>
      <c r="E165" s="98">
        <f t="shared" si="82"/>
        <v>24.105</v>
      </c>
      <c r="F165" s="22">
        <f>持仓数据!I91</f>
        <v>1.1160000000000001</v>
      </c>
      <c r="G165" s="97">
        <v>372</v>
      </c>
      <c r="H165" s="97">
        <v>372</v>
      </c>
      <c r="I165" s="64">
        <v>0</v>
      </c>
      <c r="J165" s="64">
        <v>0</v>
      </c>
      <c r="K165" s="21">
        <f>IF(持仓数据!I124="",0,持仓数据!I124)</f>
        <v>372</v>
      </c>
      <c r="L165" s="21">
        <f t="shared" si="83"/>
        <v>0</v>
      </c>
      <c r="M165" s="28">
        <f t="shared" si="67"/>
        <v>8967.06</v>
      </c>
      <c r="N165" s="28">
        <f t="shared" si="68"/>
        <v>0</v>
      </c>
      <c r="O165" s="28">
        <f t="shared" si="69"/>
        <v>0</v>
      </c>
      <c r="P165" s="28">
        <f t="shared" si="70"/>
        <v>0</v>
      </c>
      <c r="Q165" s="28">
        <f t="shared" si="84"/>
        <v>0</v>
      </c>
      <c r="R165" s="28">
        <f t="shared" si="71"/>
        <v>8967.06</v>
      </c>
      <c r="S165" s="28">
        <f t="shared" si="85"/>
        <v>0</v>
      </c>
      <c r="T165" s="28">
        <f t="shared" si="86"/>
        <v>0</v>
      </c>
      <c r="U165" s="28">
        <f t="shared" si="89"/>
        <v>0</v>
      </c>
      <c r="V165" s="28">
        <f t="shared" si="87"/>
        <v>0</v>
      </c>
      <c r="W165" s="118"/>
      <c r="X165" s="143">
        <f t="shared" si="88"/>
        <v>27.81</v>
      </c>
      <c r="Y165" s="121">
        <f>交易记录!J24</f>
        <v>1.1160000000000001</v>
      </c>
      <c r="Z165" s="121">
        <f>交易记录!J55</f>
        <v>372</v>
      </c>
      <c r="AA165" s="30">
        <f t="shared" si="72"/>
        <v>0</v>
      </c>
      <c r="AB165" s="124">
        <f>交易记录!J88</f>
        <v>0</v>
      </c>
      <c r="AC165" s="124">
        <f>交易记录!J119</f>
        <v>0</v>
      </c>
      <c r="AD165" s="30">
        <f t="shared" si="95"/>
        <v>0</v>
      </c>
      <c r="AE165" s="121">
        <f>交易记录!J152</f>
        <v>0</v>
      </c>
      <c r="AF165" s="121">
        <f>交易记录!J183</f>
        <v>0</v>
      </c>
      <c r="AG165" s="30">
        <f t="shared" si="91"/>
        <v>0</v>
      </c>
      <c r="AH165" s="124">
        <f>交易记录!J216</f>
        <v>0</v>
      </c>
      <c r="AI165" s="124">
        <f>交易记录!J247</f>
        <v>0</v>
      </c>
      <c r="AJ165" s="30">
        <f t="shared" si="94"/>
        <v>0</v>
      </c>
      <c r="AK165" s="121">
        <f>交易记录!J280</f>
        <v>0</v>
      </c>
      <c r="AL165" s="121">
        <f>交易记录!J311</f>
        <v>0</v>
      </c>
      <c r="AM165" s="30">
        <f t="shared" si="93"/>
        <v>0</v>
      </c>
      <c r="AN165" s="124">
        <f>交易记录!J344</f>
        <v>0</v>
      </c>
      <c r="AO165" s="124">
        <f>交易记录!J375</f>
        <v>0</v>
      </c>
      <c r="AP165" s="30">
        <f t="shared" si="90"/>
        <v>0</v>
      </c>
      <c r="AQ165" s="121">
        <f>交易记录!J408</f>
        <v>0</v>
      </c>
      <c r="AR165" s="121">
        <f>交易记录!J439</f>
        <v>0</v>
      </c>
      <c r="AS165" s="30">
        <f t="shared" si="92"/>
        <v>0</v>
      </c>
      <c r="AT165" s="124">
        <f>交易记录!J472</f>
        <v>0</v>
      </c>
      <c r="AU165" s="124">
        <f>交易记录!J503</f>
        <v>0</v>
      </c>
      <c r="AV165" s="30">
        <f t="shared" si="73"/>
        <v>0</v>
      </c>
      <c r="AW165" s="121">
        <f>交易记录!J536</f>
        <v>0</v>
      </c>
      <c r="AX165" s="121">
        <f>交易记录!J567</f>
        <v>0</v>
      </c>
      <c r="AY165" s="30">
        <f t="shared" si="74"/>
        <v>0</v>
      </c>
      <c r="AZ165" s="124">
        <f>交易记录!J600</f>
        <v>0</v>
      </c>
      <c r="BA165" s="124">
        <f>交易记录!J631</f>
        <v>0</v>
      </c>
      <c r="BB165" s="30">
        <f t="shared" si="75"/>
        <v>0</v>
      </c>
      <c r="BC165" s="121">
        <f>交易记录!J664</f>
        <v>0</v>
      </c>
      <c r="BD165" s="121">
        <f>交易记录!J695</f>
        <v>0</v>
      </c>
      <c r="BE165" s="30">
        <f t="shared" si="76"/>
        <v>0</v>
      </c>
      <c r="BF165" s="124">
        <f>交易记录!J728</f>
        <v>0</v>
      </c>
      <c r="BG165" s="124">
        <f>交易记录!J759</f>
        <v>0</v>
      </c>
      <c r="BH165" s="30">
        <f t="shared" si="77"/>
        <v>0</v>
      </c>
      <c r="BI165" s="121">
        <f>交易记录!J792</f>
        <v>0</v>
      </c>
      <c r="BJ165" s="121">
        <f>交易记录!J823</f>
        <v>0</v>
      </c>
      <c r="BK165" s="30">
        <f t="shared" si="78"/>
        <v>0</v>
      </c>
      <c r="BL165" s="124">
        <f>交易记录!J856</f>
        <v>0</v>
      </c>
      <c r="BM165" s="124">
        <f>交易记录!J887</f>
        <v>0</v>
      </c>
      <c r="BN165" s="30">
        <f t="shared" si="79"/>
        <v>0</v>
      </c>
      <c r="BO165" s="121">
        <f>交易记录!J920</f>
        <v>0</v>
      </c>
      <c r="BP165" s="121">
        <f>交易记录!J951</f>
        <v>0</v>
      </c>
      <c r="BQ165" s="30">
        <f t="shared" si="80"/>
        <v>0</v>
      </c>
    </row>
    <row r="166" spans="1:69" ht="15">
      <c r="A166" s="125">
        <f>'维护-日期'!A$9</f>
        <v>46272</v>
      </c>
      <c r="B166" s="7" t="s">
        <v>26</v>
      </c>
      <c r="C166" s="144">
        <f t="shared" si="81"/>
        <v>24.047999999999998</v>
      </c>
      <c r="D166" s="144">
        <f>ROUND(INDEX(持仓数据!$C$3:$AG$26,MATCH('计算过程-数据汇总'!B166,持仓数据!$B$3:$B$26,0),MATCH('计算过程-数据汇总'!A166,'维护-日期'!$B$2:$AF$2,0)),3)</f>
        <v>24.047999999999998</v>
      </c>
      <c r="E166" s="98">
        <f t="shared" si="82"/>
        <v>24.047999999999998</v>
      </c>
      <c r="F166" s="22">
        <f>持仓数据!I92</f>
        <v>1</v>
      </c>
      <c r="G166" s="97">
        <v>372</v>
      </c>
      <c r="H166" s="97">
        <v>372</v>
      </c>
      <c r="I166" s="64">
        <v>0</v>
      </c>
      <c r="J166" s="64">
        <v>0</v>
      </c>
      <c r="K166" s="21">
        <f>IF(持仓数据!I125="",0,持仓数据!I125)</f>
        <v>372</v>
      </c>
      <c r="L166" s="21">
        <f t="shared" si="83"/>
        <v>0</v>
      </c>
      <c r="M166" s="28">
        <f t="shared" si="67"/>
        <v>8945.8559999999998</v>
      </c>
      <c r="N166" s="28">
        <f t="shared" si="68"/>
        <v>0</v>
      </c>
      <c r="O166" s="28">
        <f t="shared" si="69"/>
        <v>0</v>
      </c>
      <c r="P166" s="28">
        <f t="shared" si="70"/>
        <v>0</v>
      </c>
      <c r="Q166" s="28">
        <f t="shared" si="84"/>
        <v>0</v>
      </c>
      <c r="R166" s="28">
        <f t="shared" si="71"/>
        <v>8945.8559999999998</v>
      </c>
      <c r="S166" s="28">
        <f t="shared" si="85"/>
        <v>0</v>
      </c>
      <c r="T166" s="28">
        <f t="shared" si="86"/>
        <v>0</v>
      </c>
      <c r="U166" s="28">
        <f t="shared" si="89"/>
        <v>0</v>
      </c>
      <c r="V166" s="28">
        <f t="shared" si="87"/>
        <v>0</v>
      </c>
      <c r="W166" s="118"/>
      <c r="X166" s="143">
        <f t="shared" si="88"/>
        <v>27.858000000000001</v>
      </c>
      <c r="Y166" s="121">
        <f>交易记录!J25</f>
        <v>1</v>
      </c>
      <c r="Z166" s="121">
        <f>交易记录!J56</f>
        <v>372</v>
      </c>
      <c r="AA166" s="30">
        <f t="shared" si="72"/>
        <v>0</v>
      </c>
      <c r="AB166" s="124">
        <f>交易记录!J89</f>
        <v>0</v>
      </c>
      <c r="AC166" s="124">
        <f>交易记录!J120</f>
        <v>0</v>
      </c>
      <c r="AD166" s="30">
        <f t="shared" si="95"/>
        <v>0</v>
      </c>
      <c r="AE166" s="121">
        <f>交易记录!J153</f>
        <v>0</v>
      </c>
      <c r="AF166" s="121">
        <f>交易记录!J184</f>
        <v>0</v>
      </c>
      <c r="AG166" s="30">
        <f t="shared" si="91"/>
        <v>0</v>
      </c>
      <c r="AH166" s="124">
        <f>交易记录!J217</f>
        <v>0</v>
      </c>
      <c r="AI166" s="124">
        <f>交易记录!J248</f>
        <v>0</v>
      </c>
      <c r="AJ166" s="30">
        <f t="shared" si="94"/>
        <v>0</v>
      </c>
      <c r="AK166" s="121">
        <f>交易记录!J281</f>
        <v>0</v>
      </c>
      <c r="AL166" s="121">
        <f>交易记录!J312</f>
        <v>0</v>
      </c>
      <c r="AM166" s="30">
        <f t="shared" si="93"/>
        <v>0</v>
      </c>
      <c r="AN166" s="124">
        <f>交易记录!J345</f>
        <v>0</v>
      </c>
      <c r="AO166" s="124">
        <f>交易记录!J376</f>
        <v>0</v>
      </c>
      <c r="AP166" s="30">
        <f t="shared" si="90"/>
        <v>0</v>
      </c>
      <c r="AQ166" s="121">
        <f>交易记录!J409</f>
        <v>0</v>
      </c>
      <c r="AR166" s="121">
        <f>交易记录!J440</f>
        <v>0</v>
      </c>
      <c r="AS166" s="30">
        <f t="shared" si="92"/>
        <v>0</v>
      </c>
      <c r="AT166" s="124">
        <f>交易记录!J473</f>
        <v>0</v>
      </c>
      <c r="AU166" s="124">
        <f>交易记录!J504</f>
        <v>0</v>
      </c>
      <c r="AV166" s="30">
        <f t="shared" si="73"/>
        <v>0</v>
      </c>
      <c r="AW166" s="121">
        <f>交易记录!J537</f>
        <v>0</v>
      </c>
      <c r="AX166" s="121">
        <f>交易记录!J568</f>
        <v>0</v>
      </c>
      <c r="AY166" s="30">
        <f t="shared" si="74"/>
        <v>0</v>
      </c>
      <c r="AZ166" s="124">
        <f>交易记录!J601</f>
        <v>0</v>
      </c>
      <c r="BA166" s="124">
        <f>交易记录!J632</f>
        <v>0</v>
      </c>
      <c r="BB166" s="30">
        <f t="shared" si="75"/>
        <v>0</v>
      </c>
      <c r="BC166" s="121">
        <f>交易记录!J665</f>
        <v>0</v>
      </c>
      <c r="BD166" s="121">
        <f>交易记录!J696</f>
        <v>0</v>
      </c>
      <c r="BE166" s="30">
        <f t="shared" si="76"/>
        <v>0</v>
      </c>
      <c r="BF166" s="124">
        <f>交易记录!J729</f>
        <v>0</v>
      </c>
      <c r="BG166" s="124">
        <f>交易记录!J760</f>
        <v>0</v>
      </c>
      <c r="BH166" s="30">
        <f t="shared" si="77"/>
        <v>0</v>
      </c>
      <c r="BI166" s="121">
        <f>交易记录!J793</f>
        <v>0</v>
      </c>
      <c r="BJ166" s="121">
        <f>交易记录!J824</f>
        <v>0</v>
      </c>
      <c r="BK166" s="30">
        <f t="shared" si="78"/>
        <v>0</v>
      </c>
      <c r="BL166" s="124">
        <f>交易记录!J857</f>
        <v>0</v>
      </c>
      <c r="BM166" s="124">
        <f>交易记录!J888</f>
        <v>0</v>
      </c>
      <c r="BN166" s="30">
        <f t="shared" si="79"/>
        <v>0</v>
      </c>
      <c r="BO166" s="121">
        <f>交易记录!J921</f>
        <v>0</v>
      </c>
      <c r="BP166" s="121">
        <f>交易记录!J952</f>
        <v>0</v>
      </c>
      <c r="BQ166" s="30">
        <f t="shared" si="80"/>
        <v>0</v>
      </c>
    </row>
    <row r="167" spans="1:69" ht="15">
      <c r="A167" s="125">
        <f>'维护-日期'!A$9</f>
        <v>46272</v>
      </c>
      <c r="B167" s="7" t="s">
        <v>27</v>
      </c>
      <c r="C167" s="144">
        <f t="shared" si="81"/>
        <v>22.594000000000001</v>
      </c>
      <c r="D167" s="144">
        <f>ROUND(INDEX(持仓数据!$C$3:$AG$26,MATCH('计算过程-数据汇总'!B167,持仓数据!$B$3:$B$26,0),MATCH('计算过程-数据汇总'!A167,'维护-日期'!$B$2:$AF$2,0)),3)</f>
        <v>22.594000000000001</v>
      </c>
      <c r="E167" s="98">
        <f t="shared" si="82"/>
        <v>22.594000000000001</v>
      </c>
      <c r="F167" s="22">
        <f>持仓数据!I93</f>
        <v>0.95199999999999996</v>
      </c>
      <c r="G167" s="97">
        <v>372</v>
      </c>
      <c r="H167" s="97">
        <v>372</v>
      </c>
      <c r="I167" s="64">
        <v>0</v>
      </c>
      <c r="J167" s="64">
        <v>0</v>
      </c>
      <c r="K167" s="21">
        <f>IF(持仓数据!I126="",0,持仓数据!I126)</f>
        <v>372</v>
      </c>
      <c r="L167" s="21">
        <f t="shared" si="83"/>
        <v>0</v>
      </c>
      <c r="M167" s="28">
        <f t="shared" si="67"/>
        <v>8404.9680000000008</v>
      </c>
      <c r="N167" s="28">
        <f t="shared" si="68"/>
        <v>0</v>
      </c>
      <c r="O167" s="28">
        <f t="shared" si="69"/>
        <v>0</v>
      </c>
      <c r="P167" s="28">
        <f t="shared" si="70"/>
        <v>0</v>
      </c>
      <c r="Q167" s="28">
        <f t="shared" si="84"/>
        <v>0</v>
      </c>
      <c r="R167" s="28">
        <f t="shared" si="71"/>
        <v>8404.9680000000008</v>
      </c>
      <c r="S167" s="28">
        <f t="shared" si="85"/>
        <v>0</v>
      </c>
      <c r="T167" s="28">
        <f t="shared" si="86"/>
        <v>0</v>
      </c>
      <c r="U167" s="28">
        <f t="shared" si="89"/>
        <v>0</v>
      </c>
      <c r="V167" s="28">
        <f t="shared" si="87"/>
        <v>0</v>
      </c>
      <c r="W167" s="118"/>
      <c r="X167" s="143">
        <f t="shared" si="88"/>
        <v>26.161000000000001</v>
      </c>
      <c r="Y167" s="121">
        <f>交易记录!J26</f>
        <v>0.95199999999999996</v>
      </c>
      <c r="Z167" s="121">
        <f>交易记录!J57</f>
        <v>372</v>
      </c>
      <c r="AA167" s="30">
        <f t="shared" si="72"/>
        <v>0</v>
      </c>
      <c r="AB167" s="124">
        <f>交易记录!J90</f>
        <v>0</v>
      </c>
      <c r="AC167" s="124">
        <f>交易记录!J121</f>
        <v>0</v>
      </c>
      <c r="AD167" s="30">
        <f t="shared" si="95"/>
        <v>0</v>
      </c>
      <c r="AE167" s="121">
        <f>交易记录!J154</f>
        <v>0</v>
      </c>
      <c r="AF167" s="121">
        <f>交易记录!J185</f>
        <v>0</v>
      </c>
      <c r="AG167" s="30">
        <f t="shared" si="91"/>
        <v>0</v>
      </c>
      <c r="AH167" s="124">
        <f>交易记录!J218</f>
        <v>0</v>
      </c>
      <c r="AI167" s="124">
        <f>交易记录!J249</f>
        <v>0</v>
      </c>
      <c r="AJ167" s="30">
        <f t="shared" si="94"/>
        <v>0</v>
      </c>
      <c r="AK167" s="121">
        <f>交易记录!J282</f>
        <v>0</v>
      </c>
      <c r="AL167" s="121">
        <f>交易记录!J313</f>
        <v>0</v>
      </c>
      <c r="AM167" s="30">
        <f t="shared" si="93"/>
        <v>0</v>
      </c>
      <c r="AN167" s="124">
        <f>交易记录!J346</f>
        <v>0</v>
      </c>
      <c r="AO167" s="124">
        <f>交易记录!J377</f>
        <v>0</v>
      </c>
      <c r="AP167" s="30">
        <f t="shared" si="90"/>
        <v>0</v>
      </c>
      <c r="AQ167" s="121">
        <f>交易记录!J410</f>
        <v>0</v>
      </c>
      <c r="AR167" s="121">
        <f>交易记录!J441</f>
        <v>0</v>
      </c>
      <c r="AS167" s="30">
        <f t="shared" si="92"/>
        <v>0</v>
      </c>
      <c r="AT167" s="124">
        <f>交易记录!J474</f>
        <v>0</v>
      </c>
      <c r="AU167" s="124">
        <f>交易记录!J505</f>
        <v>0</v>
      </c>
      <c r="AV167" s="30">
        <f t="shared" si="73"/>
        <v>0</v>
      </c>
      <c r="AW167" s="121">
        <f>交易记录!J538</f>
        <v>0</v>
      </c>
      <c r="AX167" s="121">
        <f>交易记录!J569</f>
        <v>0</v>
      </c>
      <c r="AY167" s="30">
        <f t="shared" si="74"/>
        <v>0</v>
      </c>
      <c r="AZ167" s="124">
        <f>交易记录!J602</f>
        <v>0</v>
      </c>
      <c r="BA167" s="124">
        <f>交易记录!J633</f>
        <v>0</v>
      </c>
      <c r="BB167" s="30">
        <f t="shared" si="75"/>
        <v>0</v>
      </c>
      <c r="BC167" s="121">
        <f>交易记录!J666</f>
        <v>0</v>
      </c>
      <c r="BD167" s="121">
        <f>交易记录!J697</f>
        <v>0</v>
      </c>
      <c r="BE167" s="30">
        <f t="shared" si="76"/>
        <v>0</v>
      </c>
      <c r="BF167" s="124">
        <f>交易记录!J730</f>
        <v>0</v>
      </c>
      <c r="BG167" s="124">
        <f>交易记录!J761</f>
        <v>0</v>
      </c>
      <c r="BH167" s="30">
        <f t="shared" si="77"/>
        <v>0</v>
      </c>
      <c r="BI167" s="121">
        <f>交易记录!J794</f>
        <v>0</v>
      </c>
      <c r="BJ167" s="121">
        <f>交易记录!J825</f>
        <v>0</v>
      </c>
      <c r="BK167" s="30">
        <f t="shared" si="78"/>
        <v>0</v>
      </c>
      <c r="BL167" s="124">
        <f>交易记录!J858</f>
        <v>0</v>
      </c>
      <c r="BM167" s="124">
        <f>交易记录!J889</f>
        <v>0</v>
      </c>
      <c r="BN167" s="30">
        <f t="shared" si="79"/>
        <v>0</v>
      </c>
      <c r="BO167" s="121">
        <f>交易记录!J922</f>
        <v>0</v>
      </c>
      <c r="BP167" s="121">
        <f>交易记录!J953</f>
        <v>0</v>
      </c>
      <c r="BQ167" s="30">
        <f t="shared" si="80"/>
        <v>0</v>
      </c>
    </row>
    <row r="168" spans="1:69" ht="15">
      <c r="A168" s="125">
        <f>'维护-日期'!A$9</f>
        <v>46272</v>
      </c>
      <c r="B168" s="7" t="s">
        <v>28</v>
      </c>
      <c r="C168" s="144">
        <f t="shared" si="81"/>
        <v>19.387</v>
      </c>
      <c r="D168" s="144">
        <f>ROUND(INDEX(持仓数据!$C$3:$AG$26,MATCH('计算过程-数据汇总'!B168,持仓数据!$B$3:$B$26,0),MATCH('计算过程-数据汇总'!A168,'维护-日期'!$B$2:$AF$2,0)),3)</f>
        <v>19.387</v>
      </c>
      <c r="E168" s="98">
        <f t="shared" si="82"/>
        <v>19.387</v>
      </c>
      <c r="F168" s="22">
        <f>持仓数据!I94</f>
        <v>0.84300000000000008</v>
      </c>
      <c r="G168" s="97">
        <v>372</v>
      </c>
      <c r="H168" s="97">
        <v>372</v>
      </c>
      <c r="I168" s="64">
        <v>0</v>
      </c>
      <c r="J168" s="64">
        <v>0</v>
      </c>
      <c r="K168" s="21">
        <f>IF(持仓数据!I127="",0,持仓数据!I127)</f>
        <v>371.99999999999994</v>
      </c>
      <c r="L168" s="21">
        <f t="shared" si="83"/>
        <v>0</v>
      </c>
      <c r="M168" s="28">
        <f t="shared" si="67"/>
        <v>7211.9639999999999</v>
      </c>
      <c r="N168" s="28">
        <f t="shared" si="68"/>
        <v>0</v>
      </c>
      <c r="O168" s="28">
        <f t="shared" si="69"/>
        <v>0</v>
      </c>
      <c r="P168" s="28">
        <f t="shared" si="70"/>
        <v>-4.7919002099661161E-14</v>
      </c>
      <c r="Q168" s="28">
        <f t="shared" si="84"/>
        <v>0</v>
      </c>
      <c r="R168" s="28">
        <f t="shared" si="71"/>
        <v>7211.963999999999</v>
      </c>
      <c r="S168" s="28">
        <f t="shared" si="85"/>
        <v>0</v>
      </c>
      <c r="T168" s="28">
        <f t="shared" si="86"/>
        <v>1.0541043593548239E-12</v>
      </c>
      <c r="U168" s="28">
        <f t="shared" si="89"/>
        <v>0</v>
      </c>
      <c r="V168" s="28">
        <f t="shared" si="87"/>
        <v>0</v>
      </c>
      <c r="W168" s="118"/>
      <c r="X168" s="143">
        <f t="shared" si="88"/>
        <v>22.420999999999999</v>
      </c>
      <c r="Y168" s="121">
        <f>交易记录!J27</f>
        <v>0.84300000000000008</v>
      </c>
      <c r="Z168" s="121">
        <f>交易记录!J58</f>
        <v>372</v>
      </c>
      <c r="AA168" s="30">
        <f t="shared" si="72"/>
        <v>0</v>
      </c>
      <c r="AB168" s="124">
        <f>交易记录!J91</f>
        <v>0</v>
      </c>
      <c r="AC168" s="124">
        <f>交易记录!J122</f>
        <v>0</v>
      </c>
      <c r="AD168" s="30">
        <f t="shared" si="95"/>
        <v>0</v>
      </c>
      <c r="AE168" s="121">
        <f>交易记录!J155</f>
        <v>0</v>
      </c>
      <c r="AF168" s="121">
        <f>交易记录!J186</f>
        <v>0</v>
      </c>
      <c r="AG168" s="30">
        <f t="shared" si="91"/>
        <v>0</v>
      </c>
      <c r="AH168" s="124">
        <f>交易记录!J219</f>
        <v>0</v>
      </c>
      <c r="AI168" s="124">
        <f>交易记录!J250</f>
        <v>0</v>
      </c>
      <c r="AJ168" s="30">
        <f t="shared" si="94"/>
        <v>0</v>
      </c>
      <c r="AK168" s="121">
        <f>交易记录!J283</f>
        <v>0</v>
      </c>
      <c r="AL168" s="121">
        <f>交易记录!J314</f>
        <v>0</v>
      </c>
      <c r="AM168" s="30">
        <f t="shared" si="93"/>
        <v>0</v>
      </c>
      <c r="AN168" s="124">
        <f>交易记录!J347</f>
        <v>0</v>
      </c>
      <c r="AO168" s="124">
        <f>交易记录!J378</f>
        <v>0</v>
      </c>
      <c r="AP168" s="30">
        <f t="shared" si="90"/>
        <v>0</v>
      </c>
      <c r="AQ168" s="121">
        <f>交易记录!J411</f>
        <v>0</v>
      </c>
      <c r="AR168" s="121">
        <f>交易记录!J442</f>
        <v>0</v>
      </c>
      <c r="AS168" s="30">
        <f t="shared" si="92"/>
        <v>0</v>
      </c>
      <c r="AT168" s="124">
        <f>交易记录!J475</f>
        <v>0</v>
      </c>
      <c r="AU168" s="124">
        <f>交易记录!J506</f>
        <v>0</v>
      </c>
      <c r="AV168" s="30">
        <f t="shared" si="73"/>
        <v>0</v>
      </c>
      <c r="AW168" s="121">
        <f>交易记录!J539</f>
        <v>0</v>
      </c>
      <c r="AX168" s="121">
        <f>交易记录!J570</f>
        <v>0</v>
      </c>
      <c r="AY168" s="30">
        <f t="shared" si="74"/>
        <v>0</v>
      </c>
      <c r="AZ168" s="124">
        <f>交易记录!J603</f>
        <v>0</v>
      </c>
      <c r="BA168" s="124">
        <f>交易记录!J634</f>
        <v>0</v>
      </c>
      <c r="BB168" s="30">
        <f t="shared" si="75"/>
        <v>0</v>
      </c>
      <c r="BC168" s="121">
        <f>交易记录!J667</f>
        <v>0</v>
      </c>
      <c r="BD168" s="121">
        <f>交易记录!J698</f>
        <v>0</v>
      </c>
      <c r="BE168" s="30">
        <f t="shared" si="76"/>
        <v>0</v>
      </c>
      <c r="BF168" s="124">
        <f>交易记录!J731</f>
        <v>0</v>
      </c>
      <c r="BG168" s="124">
        <f>交易记录!J762</f>
        <v>0</v>
      </c>
      <c r="BH168" s="30">
        <f t="shared" si="77"/>
        <v>0</v>
      </c>
      <c r="BI168" s="121">
        <f>交易记录!J795</f>
        <v>0</v>
      </c>
      <c r="BJ168" s="121">
        <f>交易记录!J826</f>
        <v>0</v>
      </c>
      <c r="BK168" s="30">
        <f t="shared" si="78"/>
        <v>0</v>
      </c>
      <c r="BL168" s="124">
        <f>交易记录!J859</f>
        <v>0</v>
      </c>
      <c r="BM168" s="124">
        <f>交易记录!J890</f>
        <v>0</v>
      </c>
      <c r="BN168" s="30">
        <f t="shared" si="79"/>
        <v>0</v>
      </c>
      <c r="BO168" s="121">
        <f>交易记录!J923</f>
        <v>0</v>
      </c>
      <c r="BP168" s="121">
        <f>交易记录!J954</f>
        <v>0</v>
      </c>
      <c r="BQ168" s="30">
        <f t="shared" si="80"/>
        <v>0</v>
      </c>
    </row>
    <row r="169" spans="1:69" ht="15">
      <c r="A169" s="125">
        <f>'维护-日期'!A$9</f>
        <v>46272</v>
      </c>
      <c r="B169" s="7" t="s">
        <v>29</v>
      </c>
      <c r="C169" s="144">
        <f t="shared" si="81"/>
        <v>16.963000000000001</v>
      </c>
      <c r="D169" s="144">
        <f>ROUND(INDEX(持仓数据!$C$3:$AG$26,MATCH('计算过程-数据汇总'!B169,持仓数据!$B$3:$B$26,0),MATCH('计算过程-数据汇总'!A169,'维护-日期'!$B$2:$AF$2,0)),3)</f>
        <v>16.963000000000001</v>
      </c>
      <c r="E169" s="98">
        <f t="shared" si="82"/>
        <v>16.963000000000001</v>
      </c>
      <c r="F169" s="22">
        <f>持仓数据!I95</f>
        <v>0.33299999999999996</v>
      </c>
      <c r="G169" s="97">
        <v>372</v>
      </c>
      <c r="H169" s="97">
        <v>372</v>
      </c>
      <c r="I169" s="64">
        <v>0</v>
      </c>
      <c r="J169" s="64">
        <v>0</v>
      </c>
      <c r="K169" s="21">
        <f>IF(持仓数据!I128="",0,持仓数据!I128)</f>
        <v>372</v>
      </c>
      <c r="L169" s="21">
        <f t="shared" si="83"/>
        <v>0</v>
      </c>
      <c r="M169" s="28">
        <f t="shared" si="67"/>
        <v>6310.2360000000008</v>
      </c>
      <c r="N169" s="28">
        <f t="shared" si="68"/>
        <v>0</v>
      </c>
      <c r="O169" s="28">
        <f t="shared" si="69"/>
        <v>0</v>
      </c>
      <c r="P169" s="28">
        <f t="shared" si="70"/>
        <v>0</v>
      </c>
      <c r="Q169" s="28">
        <f t="shared" si="84"/>
        <v>0</v>
      </c>
      <c r="R169" s="28">
        <f t="shared" si="71"/>
        <v>6310.2360000000008</v>
      </c>
      <c r="S169" s="28">
        <f t="shared" si="85"/>
        <v>0</v>
      </c>
      <c r="T169" s="28">
        <f t="shared" si="86"/>
        <v>0</v>
      </c>
      <c r="U169" s="28">
        <f t="shared" si="89"/>
        <v>0</v>
      </c>
      <c r="V169" s="28">
        <f t="shared" si="87"/>
        <v>0</v>
      </c>
      <c r="W169" s="118"/>
      <c r="X169" s="143">
        <f t="shared" si="88"/>
        <v>20.023</v>
      </c>
      <c r="Y169" s="121">
        <f>交易记录!J28</f>
        <v>0.33299999999999996</v>
      </c>
      <c r="Z169" s="121">
        <f>交易记录!J59</f>
        <v>372</v>
      </c>
      <c r="AA169" s="30">
        <f t="shared" si="72"/>
        <v>0</v>
      </c>
      <c r="AB169" s="124">
        <f>交易记录!J92</f>
        <v>0</v>
      </c>
      <c r="AC169" s="124">
        <f>交易记录!J123</f>
        <v>0</v>
      </c>
      <c r="AD169" s="30">
        <f t="shared" si="95"/>
        <v>0</v>
      </c>
      <c r="AE169" s="121">
        <f>交易记录!J156</f>
        <v>0</v>
      </c>
      <c r="AF169" s="121">
        <f>交易记录!J187</f>
        <v>0</v>
      </c>
      <c r="AG169" s="30">
        <f t="shared" si="91"/>
        <v>0</v>
      </c>
      <c r="AH169" s="124">
        <f>交易记录!J220</f>
        <v>0</v>
      </c>
      <c r="AI169" s="124">
        <f>交易记录!J251</f>
        <v>0</v>
      </c>
      <c r="AJ169" s="30">
        <f t="shared" si="94"/>
        <v>0</v>
      </c>
      <c r="AK169" s="121">
        <f>交易记录!J284</f>
        <v>0</v>
      </c>
      <c r="AL169" s="121">
        <f>交易记录!J315</f>
        <v>0</v>
      </c>
      <c r="AM169" s="30">
        <f t="shared" si="93"/>
        <v>0</v>
      </c>
      <c r="AN169" s="124">
        <f>交易记录!J348</f>
        <v>0</v>
      </c>
      <c r="AO169" s="124">
        <f>交易记录!J379</f>
        <v>0</v>
      </c>
      <c r="AP169" s="30">
        <f t="shared" si="90"/>
        <v>0</v>
      </c>
      <c r="AQ169" s="121">
        <f>交易记录!J412</f>
        <v>0</v>
      </c>
      <c r="AR169" s="121">
        <f>交易记录!J443</f>
        <v>0</v>
      </c>
      <c r="AS169" s="30">
        <f t="shared" si="92"/>
        <v>0</v>
      </c>
      <c r="AT169" s="124">
        <f>交易记录!J476</f>
        <v>0</v>
      </c>
      <c r="AU169" s="124">
        <f>交易记录!J507</f>
        <v>0</v>
      </c>
      <c r="AV169" s="30">
        <f t="shared" si="73"/>
        <v>0</v>
      </c>
      <c r="AW169" s="121">
        <f>交易记录!J540</f>
        <v>0</v>
      </c>
      <c r="AX169" s="121">
        <f>交易记录!J571</f>
        <v>0</v>
      </c>
      <c r="AY169" s="30">
        <f t="shared" si="74"/>
        <v>0</v>
      </c>
      <c r="AZ169" s="124">
        <f>交易记录!J604</f>
        <v>0</v>
      </c>
      <c r="BA169" s="124">
        <f>交易记录!J635</f>
        <v>0</v>
      </c>
      <c r="BB169" s="30">
        <f t="shared" si="75"/>
        <v>0</v>
      </c>
      <c r="BC169" s="121">
        <f>交易记录!J668</f>
        <v>0</v>
      </c>
      <c r="BD169" s="121">
        <f>交易记录!J699</f>
        <v>0</v>
      </c>
      <c r="BE169" s="30">
        <f t="shared" si="76"/>
        <v>0</v>
      </c>
      <c r="BF169" s="124">
        <f>交易记录!J732</f>
        <v>0</v>
      </c>
      <c r="BG169" s="124">
        <f>交易记录!J763</f>
        <v>0</v>
      </c>
      <c r="BH169" s="30">
        <f t="shared" si="77"/>
        <v>0</v>
      </c>
      <c r="BI169" s="121">
        <f>交易记录!J796</f>
        <v>0</v>
      </c>
      <c r="BJ169" s="121">
        <f>交易记录!J827</f>
        <v>0</v>
      </c>
      <c r="BK169" s="30">
        <f t="shared" si="78"/>
        <v>0</v>
      </c>
      <c r="BL169" s="124">
        <f>交易记录!J860</f>
        <v>0</v>
      </c>
      <c r="BM169" s="124">
        <f>交易记录!J891</f>
        <v>0</v>
      </c>
      <c r="BN169" s="30">
        <f t="shared" si="79"/>
        <v>0</v>
      </c>
      <c r="BO169" s="121">
        <f>交易记录!J924</f>
        <v>0</v>
      </c>
      <c r="BP169" s="121">
        <f>交易记录!J955</f>
        <v>0</v>
      </c>
      <c r="BQ169" s="30">
        <f t="shared" si="80"/>
        <v>0</v>
      </c>
    </row>
    <row r="170" spans="1:69" ht="15">
      <c r="A170" s="125">
        <f>'维护-日期'!A$10</f>
        <v>46273</v>
      </c>
      <c r="B170" s="7" t="s">
        <v>6</v>
      </c>
      <c r="C170" s="144">
        <f t="shared" si="81"/>
        <v>16.655999999999999</v>
      </c>
      <c r="D170" s="144">
        <f>ROUND(INDEX(持仓数据!$C$3:$AG$26,MATCH('计算过程-数据汇总'!B170,持仓数据!$B$3:$B$26,0),MATCH('计算过程-数据汇总'!A170,'维护-日期'!$B$2:$AF$2,0)),3)</f>
        <v>16.655999999999999</v>
      </c>
      <c r="E170" s="98">
        <f t="shared" si="82"/>
        <v>16.655999999999999</v>
      </c>
      <c r="F170" s="22">
        <f>持仓数据!J72</f>
        <v>0.39700000000000002</v>
      </c>
      <c r="G170" s="97">
        <v>372</v>
      </c>
      <c r="H170" s="97">
        <v>372</v>
      </c>
      <c r="I170" s="64">
        <v>0</v>
      </c>
      <c r="J170" s="64">
        <v>0</v>
      </c>
      <c r="K170" s="21">
        <f>IF(持仓数据!J105="",0,持仓数据!J105)</f>
        <v>372</v>
      </c>
      <c r="L170" s="21">
        <f t="shared" si="83"/>
        <v>0</v>
      </c>
      <c r="M170" s="28">
        <f t="shared" si="67"/>
        <v>6196.0319999999992</v>
      </c>
      <c r="N170" s="28">
        <f t="shared" si="68"/>
        <v>0</v>
      </c>
      <c r="O170" s="28">
        <f t="shared" si="69"/>
        <v>0</v>
      </c>
      <c r="P170" s="28">
        <f t="shared" si="70"/>
        <v>0</v>
      </c>
      <c r="Q170" s="28">
        <f t="shared" si="84"/>
        <v>0</v>
      </c>
      <c r="R170" s="28">
        <f t="shared" si="71"/>
        <v>6196.0319999999992</v>
      </c>
      <c r="S170" s="28">
        <f t="shared" si="85"/>
        <v>0</v>
      </c>
      <c r="T170" s="28">
        <f t="shared" si="86"/>
        <v>0</v>
      </c>
      <c r="U170" s="28">
        <f t="shared" si="89"/>
        <v>0</v>
      </c>
      <c r="V170" s="28">
        <f t="shared" si="87"/>
        <v>0</v>
      </c>
      <c r="W170" s="118"/>
      <c r="X170" s="143">
        <f t="shared" si="88"/>
        <v>19.59</v>
      </c>
      <c r="Y170" s="121">
        <f>交易记录!K5</f>
        <v>0.39700000000000002</v>
      </c>
      <c r="Z170" s="121">
        <f>交易记录!K36</f>
        <v>372</v>
      </c>
      <c r="AA170" s="30">
        <f t="shared" si="72"/>
        <v>0</v>
      </c>
      <c r="AB170" s="124">
        <f>交易记录!K69</f>
        <v>0</v>
      </c>
      <c r="AC170" s="124">
        <f>交易记录!K100</f>
        <v>0</v>
      </c>
      <c r="AD170" s="30">
        <f t="shared" si="95"/>
        <v>0</v>
      </c>
      <c r="AE170" s="121">
        <f>交易记录!K133</f>
        <v>0</v>
      </c>
      <c r="AF170" s="121">
        <f>交易记录!K164</f>
        <v>0</v>
      </c>
      <c r="AG170" s="30">
        <f t="shared" si="91"/>
        <v>0</v>
      </c>
      <c r="AH170" s="124">
        <f>交易记录!K197</f>
        <v>0</v>
      </c>
      <c r="AI170" s="124">
        <f>交易记录!K228</f>
        <v>0</v>
      </c>
      <c r="AJ170" s="30">
        <f t="shared" si="94"/>
        <v>0</v>
      </c>
      <c r="AK170" s="121">
        <f>交易记录!K261</f>
        <v>0</v>
      </c>
      <c r="AL170" s="121">
        <f>交易记录!K292</f>
        <v>0</v>
      </c>
      <c r="AM170" s="30">
        <f t="shared" si="93"/>
        <v>0</v>
      </c>
      <c r="AN170" s="124">
        <f>交易记录!K325</f>
        <v>0</v>
      </c>
      <c r="AO170" s="124">
        <f>交易记录!K356</f>
        <v>0</v>
      </c>
      <c r="AP170" s="30">
        <f t="shared" si="90"/>
        <v>0</v>
      </c>
      <c r="AQ170" s="121">
        <f>交易记录!K389</f>
        <v>0</v>
      </c>
      <c r="AR170" s="121">
        <f>交易记录!K420</f>
        <v>0</v>
      </c>
      <c r="AS170" s="30">
        <f t="shared" si="92"/>
        <v>0</v>
      </c>
      <c r="AT170" s="124">
        <f>交易记录!K453</f>
        <v>0</v>
      </c>
      <c r="AU170" s="124">
        <f>交易记录!K484</f>
        <v>0</v>
      </c>
      <c r="AV170" s="30">
        <f t="shared" si="73"/>
        <v>0</v>
      </c>
      <c r="AW170" s="121">
        <f>交易记录!K517</f>
        <v>0</v>
      </c>
      <c r="AX170" s="121">
        <f>交易记录!K548</f>
        <v>0</v>
      </c>
      <c r="AY170" s="30">
        <f t="shared" si="74"/>
        <v>0</v>
      </c>
      <c r="AZ170" s="124">
        <f>交易记录!K581</f>
        <v>0</v>
      </c>
      <c r="BA170" s="124">
        <f>交易记录!K612</f>
        <v>0</v>
      </c>
      <c r="BB170" s="30">
        <f t="shared" si="75"/>
        <v>0</v>
      </c>
      <c r="BC170" s="121">
        <f>交易记录!K645</f>
        <v>0</v>
      </c>
      <c r="BD170" s="121">
        <f>交易记录!K676</f>
        <v>0</v>
      </c>
      <c r="BE170" s="30">
        <f t="shared" si="76"/>
        <v>0</v>
      </c>
      <c r="BF170" s="124">
        <f>交易记录!K709</f>
        <v>0</v>
      </c>
      <c r="BG170" s="124">
        <f>交易记录!K740</f>
        <v>0</v>
      </c>
      <c r="BH170" s="30">
        <f t="shared" si="77"/>
        <v>0</v>
      </c>
      <c r="BI170" s="121">
        <f>交易记录!K773</f>
        <v>0</v>
      </c>
      <c r="BJ170" s="121">
        <f>交易记录!K804</f>
        <v>0</v>
      </c>
      <c r="BK170" s="30">
        <f t="shared" si="78"/>
        <v>0</v>
      </c>
      <c r="BL170" s="124">
        <f>交易记录!K837</f>
        <v>0</v>
      </c>
      <c r="BM170" s="124">
        <f>交易记录!K868</f>
        <v>0</v>
      </c>
      <c r="BN170" s="30">
        <f t="shared" si="79"/>
        <v>0</v>
      </c>
      <c r="BO170" s="121">
        <f>交易记录!K901</f>
        <v>0</v>
      </c>
      <c r="BP170" s="121">
        <f>交易记录!K932</f>
        <v>0</v>
      </c>
      <c r="BQ170" s="30">
        <f t="shared" si="80"/>
        <v>0</v>
      </c>
    </row>
    <row r="171" spans="1:69" ht="15">
      <c r="A171" s="125">
        <f>'维护-日期'!A$10</f>
        <v>46273</v>
      </c>
      <c r="B171" s="7" t="s">
        <v>7</v>
      </c>
      <c r="C171" s="144">
        <f t="shared" si="81"/>
        <v>15.792</v>
      </c>
      <c r="D171" s="144">
        <f>ROUND(INDEX(持仓数据!$C$3:$AG$26,MATCH('计算过程-数据汇总'!B171,持仓数据!$B$3:$B$26,0),MATCH('计算过程-数据汇总'!A171,'维护-日期'!$B$2:$AF$2,0)),3)</f>
        <v>15.792</v>
      </c>
      <c r="E171" s="98">
        <f t="shared" si="82"/>
        <v>15.792</v>
      </c>
      <c r="F171" s="22">
        <f>持仓数据!J73</f>
        <v>0.26500000000000001</v>
      </c>
      <c r="G171" s="97">
        <v>372</v>
      </c>
      <c r="H171" s="97">
        <v>372</v>
      </c>
      <c r="I171" s="64">
        <v>0</v>
      </c>
      <c r="J171" s="64">
        <v>0</v>
      </c>
      <c r="K171" s="21">
        <f>IF(持仓数据!J106="",0,持仓数据!J106)</f>
        <v>372</v>
      </c>
      <c r="L171" s="21">
        <f t="shared" si="83"/>
        <v>0</v>
      </c>
      <c r="M171" s="28">
        <f t="shared" si="67"/>
        <v>5874.6239999999998</v>
      </c>
      <c r="N171" s="28">
        <f t="shared" si="68"/>
        <v>0</v>
      </c>
      <c r="O171" s="28">
        <f t="shared" si="69"/>
        <v>0</v>
      </c>
      <c r="P171" s="28">
        <f t="shared" si="70"/>
        <v>0</v>
      </c>
      <c r="Q171" s="28">
        <f t="shared" si="84"/>
        <v>0</v>
      </c>
      <c r="R171" s="28">
        <f t="shared" si="71"/>
        <v>5874.6239999999998</v>
      </c>
      <c r="S171" s="28">
        <f t="shared" si="85"/>
        <v>0</v>
      </c>
      <c r="T171" s="28">
        <f t="shared" si="86"/>
        <v>0</v>
      </c>
      <c r="U171" s="28">
        <f t="shared" si="89"/>
        <v>0</v>
      </c>
      <c r="V171" s="28">
        <f t="shared" si="87"/>
        <v>0</v>
      </c>
      <c r="W171" s="118"/>
      <c r="X171" s="143">
        <f t="shared" si="88"/>
        <v>18.684999999999999</v>
      </c>
      <c r="Y171" s="121">
        <f>交易记录!K6</f>
        <v>0.26500000000000001</v>
      </c>
      <c r="Z171" s="121">
        <f>交易记录!K37</f>
        <v>372</v>
      </c>
      <c r="AA171" s="30">
        <f t="shared" si="72"/>
        <v>0</v>
      </c>
      <c r="AB171" s="124">
        <f>交易记录!K70</f>
        <v>0</v>
      </c>
      <c r="AC171" s="124">
        <f>交易记录!K101</f>
        <v>0</v>
      </c>
      <c r="AD171" s="30">
        <f t="shared" si="95"/>
        <v>0</v>
      </c>
      <c r="AE171" s="121">
        <f>交易记录!K134</f>
        <v>0</v>
      </c>
      <c r="AF171" s="121">
        <f>交易记录!K165</f>
        <v>0</v>
      </c>
      <c r="AG171" s="30">
        <f t="shared" si="91"/>
        <v>0</v>
      </c>
      <c r="AH171" s="124">
        <f>交易记录!K198</f>
        <v>0</v>
      </c>
      <c r="AI171" s="124">
        <f>交易记录!K229</f>
        <v>0</v>
      </c>
      <c r="AJ171" s="30">
        <f t="shared" si="94"/>
        <v>0</v>
      </c>
      <c r="AK171" s="121">
        <f>交易记录!K262</f>
        <v>0</v>
      </c>
      <c r="AL171" s="121">
        <f>交易记录!K293</f>
        <v>0</v>
      </c>
      <c r="AM171" s="30">
        <f t="shared" si="93"/>
        <v>0</v>
      </c>
      <c r="AN171" s="124">
        <f>交易记录!K326</f>
        <v>0</v>
      </c>
      <c r="AO171" s="124">
        <f>交易记录!K357</f>
        <v>0</v>
      </c>
      <c r="AP171" s="30">
        <f t="shared" si="90"/>
        <v>0</v>
      </c>
      <c r="AQ171" s="121">
        <f>交易记录!K390</f>
        <v>0</v>
      </c>
      <c r="AR171" s="121">
        <f>交易记录!K421</f>
        <v>0</v>
      </c>
      <c r="AS171" s="30">
        <f t="shared" si="92"/>
        <v>0</v>
      </c>
      <c r="AT171" s="124">
        <f>交易记录!K454</f>
        <v>0</v>
      </c>
      <c r="AU171" s="124">
        <f>交易记录!K485</f>
        <v>0</v>
      </c>
      <c r="AV171" s="30">
        <f t="shared" si="73"/>
        <v>0</v>
      </c>
      <c r="AW171" s="121">
        <f>交易记录!K518</f>
        <v>0</v>
      </c>
      <c r="AX171" s="121">
        <f>交易记录!K549</f>
        <v>0</v>
      </c>
      <c r="AY171" s="30">
        <f t="shared" si="74"/>
        <v>0</v>
      </c>
      <c r="AZ171" s="124">
        <f>交易记录!K582</f>
        <v>0</v>
      </c>
      <c r="BA171" s="124">
        <f>交易记录!K613</f>
        <v>0</v>
      </c>
      <c r="BB171" s="30">
        <f t="shared" si="75"/>
        <v>0</v>
      </c>
      <c r="BC171" s="121">
        <f>交易记录!K646</f>
        <v>0</v>
      </c>
      <c r="BD171" s="121">
        <f>交易记录!K677</f>
        <v>0</v>
      </c>
      <c r="BE171" s="30">
        <f t="shared" si="76"/>
        <v>0</v>
      </c>
      <c r="BF171" s="124">
        <f>交易记录!K710</f>
        <v>0</v>
      </c>
      <c r="BG171" s="124">
        <f>交易记录!K741</f>
        <v>0</v>
      </c>
      <c r="BH171" s="30">
        <f t="shared" si="77"/>
        <v>0</v>
      </c>
      <c r="BI171" s="121">
        <f>交易记录!K774</f>
        <v>0</v>
      </c>
      <c r="BJ171" s="121">
        <f>交易记录!K805</f>
        <v>0</v>
      </c>
      <c r="BK171" s="30">
        <f t="shared" si="78"/>
        <v>0</v>
      </c>
      <c r="BL171" s="124">
        <f>交易记录!K838</f>
        <v>0</v>
      </c>
      <c r="BM171" s="124">
        <f>交易记录!K869</f>
        <v>0</v>
      </c>
      <c r="BN171" s="30">
        <f t="shared" si="79"/>
        <v>0</v>
      </c>
      <c r="BO171" s="121">
        <f>交易记录!K902</f>
        <v>0</v>
      </c>
      <c r="BP171" s="121">
        <f>交易记录!K933</f>
        <v>0</v>
      </c>
      <c r="BQ171" s="30">
        <f t="shared" si="80"/>
        <v>0</v>
      </c>
    </row>
    <row r="172" spans="1:69" ht="15">
      <c r="A172" s="125">
        <f>'维护-日期'!A$10</f>
        <v>46273</v>
      </c>
      <c r="B172" s="7" t="s">
        <v>8</v>
      </c>
      <c r="C172" s="144">
        <f t="shared" si="81"/>
        <v>14.821999999999999</v>
      </c>
      <c r="D172" s="144">
        <f>ROUND(INDEX(持仓数据!$C$3:$AG$26,MATCH('计算过程-数据汇总'!B172,持仓数据!$B$3:$B$26,0),MATCH('计算过程-数据汇总'!A172,'维护-日期'!$B$2:$AF$2,0)),3)</f>
        <v>14.821999999999999</v>
      </c>
      <c r="E172" s="98">
        <f t="shared" si="82"/>
        <v>14.821999999999999</v>
      </c>
      <c r="F172" s="22">
        <f>持仓数据!J74</f>
        <v>0.24199999999999999</v>
      </c>
      <c r="G172" s="97">
        <v>372</v>
      </c>
      <c r="H172" s="97">
        <v>372</v>
      </c>
      <c r="I172" s="64">
        <v>0</v>
      </c>
      <c r="J172" s="64">
        <v>0</v>
      </c>
      <c r="K172" s="21">
        <f>IF(持仓数据!J107="",0,持仓数据!J107)</f>
        <v>372</v>
      </c>
      <c r="L172" s="21">
        <f t="shared" si="83"/>
        <v>0</v>
      </c>
      <c r="M172" s="28">
        <f t="shared" si="67"/>
        <v>5513.7839999999997</v>
      </c>
      <c r="N172" s="28">
        <f t="shared" si="68"/>
        <v>0</v>
      </c>
      <c r="O172" s="28">
        <f t="shared" si="69"/>
        <v>0</v>
      </c>
      <c r="P172" s="28">
        <f t="shared" si="70"/>
        <v>0</v>
      </c>
      <c r="Q172" s="28">
        <f t="shared" si="84"/>
        <v>0</v>
      </c>
      <c r="R172" s="28">
        <f t="shared" si="71"/>
        <v>5513.7839999999997</v>
      </c>
      <c r="S172" s="28">
        <f t="shared" si="85"/>
        <v>0</v>
      </c>
      <c r="T172" s="28">
        <f t="shared" si="86"/>
        <v>0</v>
      </c>
      <c r="U172" s="28">
        <f t="shared" si="89"/>
        <v>0</v>
      </c>
      <c r="V172" s="28">
        <f t="shared" si="87"/>
        <v>0</v>
      </c>
      <c r="W172" s="118"/>
      <c r="X172" s="143">
        <f t="shared" si="88"/>
        <v>17.544</v>
      </c>
      <c r="Y172" s="121">
        <f>交易记录!K7</f>
        <v>0.24199999999999999</v>
      </c>
      <c r="Z172" s="121">
        <f>交易记录!K38</f>
        <v>372</v>
      </c>
      <c r="AA172" s="30">
        <f t="shared" si="72"/>
        <v>0</v>
      </c>
      <c r="AB172" s="124">
        <f>交易记录!K71</f>
        <v>0</v>
      </c>
      <c r="AC172" s="124">
        <f>交易记录!K102</f>
        <v>0</v>
      </c>
      <c r="AD172" s="30">
        <f t="shared" si="95"/>
        <v>0</v>
      </c>
      <c r="AE172" s="121">
        <f>交易记录!K135</f>
        <v>0</v>
      </c>
      <c r="AF172" s="121">
        <f>交易记录!K166</f>
        <v>0</v>
      </c>
      <c r="AG172" s="30">
        <f t="shared" si="91"/>
        <v>0</v>
      </c>
      <c r="AH172" s="124">
        <f>交易记录!K199</f>
        <v>0</v>
      </c>
      <c r="AI172" s="124">
        <f>交易记录!K230</f>
        <v>0</v>
      </c>
      <c r="AJ172" s="30">
        <f t="shared" si="94"/>
        <v>0</v>
      </c>
      <c r="AK172" s="121">
        <f>交易记录!K263</f>
        <v>0</v>
      </c>
      <c r="AL172" s="121">
        <f>交易记录!K294</f>
        <v>0</v>
      </c>
      <c r="AM172" s="30">
        <f t="shared" si="93"/>
        <v>0</v>
      </c>
      <c r="AN172" s="124">
        <f>交易记录!K327</f>
        <v>0</v>
      </c>
      <c r="AO172" s="124">
        <f>交易记录!K358</f>
        <v>0</v>
      </c>
      <c r="AP172" s="30">
        <f t="shared" si="90"/>
        <v>0</v>
      </c>
      <c r="AQ172" s="121">
        <f>交易记录!K391</f>
        <v>0</v>
      </c>
      <c r="AR172" s="121">
        <f>交易记录!K422</f>
        <v>0</v>
      </c>
      <c r="AS172" s="30">
        <f t="shared" si="92"/>
        <v>0</v>
      </c>
      <c r="AT172" s="124">
        <f>交易记录!K455</f>
        <v>0</v>
      </c>
      <c r="AU172" s="124">
        <f>交易记录!K486</f>
        <v>0</v>
      </c>
      <c r="AV172" s="30">
        <f t="shared" si="73"/>
        <v>0</v>
      </c>
      <c r="AW172" s="121">
        <f>交易记录!K519</f>
        <v>0</v>
      </c>
      <c r="AX172" s="121">
        <f>交易记录!K550</f>
        <v>0</v>
      </c>
      <c r="AY172" s="30">
        <f t="shared" si="74"/>
        <v>0</v>
      </c>
      <c r="AZ172" s="124">
        <f>交易记录!K583</f>
        <v>0</v>
      </c>
      <c r="BA172" s="124">
        <f>交易记录!K614</f>
        <v>0</v>
      </c>
      <c r="BB172" s="30">
        <f t="shared" si="75"/>
        <v>0</v>
      </c>
      <c r="BC172" s="121">
        <f>交易记录!K647</f>
        <v>0</v>
      </c>
      <c r="BD172" s="121">
        <f>交易记录!K678</f>
        <v>0</v>
      </c>
      <c r="BE172" s="30">
        <f t="shared" si="76"/>
        <v>0</v>
      </c>
      <c r="BF172" s="124">
        <f>交易记录!K711</f>
        <v>0</v>
      </c>
      <c r="BG172" s="124">
        <f>交易记录!K742</f>
        <v>0</v>
      </c>
      <c r="BH172" s="30">
        <f t="shared" si="77"/>
        <v>0</v>
      </c>
      <c r="BI172" s="121">
        <f>交易记录!K775</f>
        <v>0</v>
      </c>
      <c r="BJ172" s="121">
        <f>交易记录!K806</f>
        <v>0</v>
      </c>
      <c r="BK172" s="30">
        <f t="shared" si="78"/>
        <v>0</v>
      </c>
      <c r="BL172" s="124">
        <f>交易记录!K839</f>
        <v>0</v>
      </c>
      <c r="BM172" s="124">
        <f>交易记录!K870</f>
        <v>0</v>
      </c>
      <c r="BN172" s="30">
        <f t="shared" si="79"/>
        <v>0</v>
      </c>
      <c r="BO172" s="121">
        <f>交易记录!K903</f>
        <v>0</v>
      </c>
      <c r="BP172" s="121">
        <f>交易记录!K934</f>
        <v>0</v>
      </c>
      <c r="BQ172" s="30">
        <f t="shared" si="80"/>
        <v>0</v>
      </c>
    </row>
    <row r="173" spans="1:69" ht="15">
      <c r="A173" s="125">
        <f>'维护-日期'!A$10</f>
        <v>46273</v>
      </c>
      <c r="B173" s="7" t="s">
        <v>9</v>
      </c>
      <c r="C173" s="144">
        <f t="shared" si="81"/>
        <v>13.817</v>
      </c>
      <c r="D173" s="144">
        <f>ROUND(INDEX(持仓数据!$C$3:$AG$26,MATCH('计算过程-数据汇总'!B173,持仓数据!$B$3:$B$26,0),MATCH('计算过程-数据汇总'!A173,'维护-日期'!$B$2:$AF$2,0)),3)</f>
        <v>13.817</v>
      </c>
      <c r="E173" s="98">
        <f t="shared" si="82"/>
        <v>13.817</v>
      </c>
      <c r="F173" s="22">
        <f>持仓数据!J75</f>
        <v>0.09</v>
      </c>
      <c r="G173" s="97">
        <v>372</v>
      </c>
      <c r="H173" s="97">
        <v>372</v>
      </c>
      <c r="I173" s="64">
        <v>0</v>
      </c>
      <c r="J173" s="64">
        <v>0</v>
      </c>
      <c r="K173" s="21">
        <f>IF(持仓数据!J108="",0,持仓数据!J108)</f>
        <v>372</v>
      </c>
      <c r="L173" s="21">
        <f t="shared" si="83"/>
        <v>0</v>
      </c>
      <c r="M173" s="28">
        <f t="shared" si="67"/>
        <v>5139.924</v>
      </c>
      <c r="N173" s="28">
        <f t="shared" si="68"/>
        <v>0</v>
      </c>
      <c r="O173" s="28">
        <f t="shared" si="69"/>
        <v>0</v>
      </c>
      <c r="P173" s="28">
        <f t="shared" si="70"/>
        <v>0</v>
      </c>
      <c r="Q173" s="28">
        <f t="shared" si="84"/>
        <v>0</v>
      </c>
      <c r="R173" s="28">
        <f t="shared" si="71"/>
        <v>5139.924</v>
      </c>
      <c r="S173" s="28">
        <f t="shared" si="85"/>
        <v>0</v>
      </c>
      <c r="T173" s="28">
        <f t="shared" si="86"/>
        <v>0</v>
      </c>
      <c r="U173" s="28">
        <f t="shared" si="89"/>
        <v>0</v>
      </c>
      <c r="V173" s="28">
        <f t="shared" si="87"/>
        <v>0</v>
      </c>
      <c r="W173" s="118"/>
      <c r="X173" s="143">
        <f t="shared" si="88"/>
        <v>16.489999999999998</v>
      </c>
      <c r="Y173" s="121">
        <f>交易记录!K8</f>
        <v>0.09</v>
      </c>
      <c r="Z173" s="121">
        <f>交易记录!K39</f>
        <v>372</v>
      </c>
      <c r="AA173" s="30">
        <f t="shared" si="72"/>
        <v>0</v>
      </c>
      <c r="AB173" s="124">
        <f>交易记录!K72</f>
        <v>0</v>
      </c>
      <c r="AC173" s="124">
        <f>交易记录!K103</f>
        <v>0</v>
      </c>
      <c r="AD173" s="30">
        <f t="shared" si="95"/>
        <v>0</v>
      </c>
      <c r="AE173" s="121">
        <f>交易记录!K136</f>
        <v>0</v>
      </c>
      <c r="AF173" s="121">
        <f>交易记录!K167</f>
        <v>0</v>
      </c>
      <c r="AG173" s="30">
        <f t="shared" si="91"/>
        <v>0</v>
      </c>
      <c r="AH173" s="124">
        <f>交易记录!K200</f>
        <v>0</v>
      </c>
      <c r="AI173" s="124">
        <f>交易记录!K231</f>
        <v>0</v>
      </c>
      <c r="AJ173" s="30">
        <f t="shared" si="94"/>
        <v>0</v>
      </c>
      <c r="AK173" s="121">
        <f>交易记录!K264</f>
        <v>0</v>
      </c>
      <c r="AL173" s="121">
        <f>交易记录!K295</f>
        <v>0</v>
      </c>
      <c r="AM173" s="30">
        <f t="shared" si="93"/>
        <v>0</v>
      </c>
      <c r="AN173" s="124">
        <f>交易记录!K328</f>
        <v>0</v>
      </c>
      <c r="AO173" s="124">
        <f>交易记录!K359</f>
        <v>0</v>
      </c>
      <c r="AP173" s="30">
        <f t="shared" si="90"/>
        <v>0</v>
      </c>
      <c r="AQ173" s="121">
        <f>交易记录!K392</f>
        <v>0</v>
      </c>
      <c r="AR173" s="121">
        <f>交易记录!K423</f>
        <v>0</v>
      </c>
      <c r="AS173" s="30">
        <f t="shared" si="92"/>
        <v>0</v>
      </c>
      <c r="AT173" s="124">
        <f>交易记录!K456</f>
        <v>0</v>
      </c>
      <c r="AU173" s="124">
        <f>交易记录!K487</f>
        <v>0</v>
      </c>
      <c r="AV173" s="30">
        <f t="shared" si="73"/>
        <v>0</v>
      </c>
      <c r="AW173" s="121">
        <f>交易记录!K520</f>
        <v>0</v>
      </c>
      <c r="AX173" s="121">
        <f>交易记录!K551</f>
        <v>0</v>
      </c>
      <c r="AY173" s="30">
        <f t="shared" si="74"/>
        <v>0</v>
      </c>
      <c r="AZ173" s="124">
        <f>交易记录!K584</f>
        <v>0</v>
      </c>
      <c r="BA173" s="124">
        <f>交易记录!K615</f>
        <v>0</v>
      </c>
      <c r="BB173" s="30">
        <f t="shared" si="75"/>
        <v>0</v>
      </c>
      <c r="BC173" s="121">
        <f>交易记录!K648</f>
        <v>0</v>
      </c>
      <c r="BD173" s="121">
        <f>交易记录!K679</f>
        <v>0</v>
      </c>
      <c r="BE173" s="30">
        <f t="shared" si="76"/>
        <v>0</v>
      </c>
      <c r="BF173" s="124">
        <f>交易记录!K712</f>
        <v>0</v>
      </c>
      <c r="BG173" s="124">
        <f>交易记录!K743</f>
        <v>0</v>
      </c>
      <c r="BH173" s="30">
        <f t="shared" si="77"/>
        <v>0</v>
      </c>
      <c r="BI173" s="121">
        <f>交易记录!K776</f>
        <v>0</v>
      </c>
      <c r="BJ173" s="121">
        <f>交易记录!K807</f>
        <v>0</v>
      </c>
      <c r="BK173" s="30">
        <f t="shared" si="78"/>
        <v>0</v>
      </c>
      <c r="BL173" s="124">
        <f>交易记录!K840</f>
        <v>0</v>
      </c>
      <c r="BM173" s="124">
        <f>交易记录!K871</f>
        <v>0</v>
      </c>
      <c r="BN173" s="30">
        <f t="shared" si="79"/>
        <v>0</v>
      </c>
      <c r="BO173" s="121">
        <f>交易记录!K904</f>
        <v>0</v>
      </c>
      <c r="BP173" s="121">
        <f>交易记录!K935</f>
        <v>0</v>
      </c>
      <c r="BQ173" s="30">
        <f t="shared" si="80"/>
        <v>0</v>
      </c>
    </row>
    <row r="174" spans="1:69" ht="15">
      <c r="A174" s="125">
        <f>'维护-日期'!A$10</f>
        <v>46273</v>
      </c>
      <c r="B174" s="7" t="s">
        <v>10</v>
      </c>
      <c r="C174" s="144">
        <f t="shared" si="81"/>
        <v>13.388</v>
      </c>
      <c r="D174" s="144">
        <f>ROUND(INDEX(持仓数据!$C$3:$AG$26,MATCH('计算过程-数据汇总'!B174,持仓数据!$B$3:$B$26,0),MATCH('计算过程-数据汇总'!A174,'维护-日期'!$B$2:$AF$2,0)),3)</f>
        <v>13.388</v>
      </c>
      <c r="E174" s="98">
        <f t="shared" si="82"/>
        <v>13.388</v>
      </c>
      <c r="F174" s="22">
        <f>持仓数据!J76</f>
        <v>8.6999999999999994E-2</v>
      </c>
      <c r="G174" s="97">
        <v>372</v>
      </c>
      <c r="H174" s="97">
        <v>372</v>
      </c>
      <c r="I174" s="64">
        <v>0</v>
      </c>
      <c r="J174" s="64">
        <v>0</v>
      </c>
      <c r="K174" s="21">
        <f>IF(持仓数据!J109="",0,持仓数据!J109)</f>
        <v>372</v>
      </c>
      <c r="L174" s="21">
        <f t="shared" si="83"/>
        <v>0</v>
      </c>
      <c r="M174" s="28">
        <f t="shared" si="67"/>
        <v>4980.3360000000002</v>
      </c>
      <c r="N174" s="28">
        <f t="shared" si="68"/>
        <v>0</v>
      </c>
      <c r="O174" s="28">
        <f t="shared" si="69"/>
        <v>0</v>
      </c>
      <c r="P174" s="28">
        <f t="shared" si="70"/>
        <v>0</v>
      </c>
      <c r="Q174" s="28">
        <f t="shared" si="84"/>
        <v>0</v>
      </c>
      <c r="R174" s="28">
        <f t="shared" si="71"/>
        <v>4980.3360000000002</v>
      </c>
      <c r="S174" s="28">
        <f t="shared" si="85"/>
        <v>0</v>
      </c>
      <c r="T174" s="28">
        <f t="shared" si="86"/>
        <v>0</v>
      </c>
      <c r="U174" s="28">
        <f t="shared" si="89"/>
        <v>0</v>
      </c>
      <c r="V174" s="28">
        <f t="shared" si="87"/>
        <v>0</v>
      </c>
      <c r="W174" s="118"/>
      <c r="X174" s="143">
        <f t="shared" si="88"/>
        <v>15.978999999999999</v>
      </c>
      <c r="Y174" s="121">
        <f>交易记录!K9</f>
        <v>8.6999999999999994E-2</v>
      </c>
      <c r="Z174" s="121">
        <f>交易记录!K40</f>
        <v>372</v>
      </c>
      <c r="AA174" s="30">
        <f t="shared" si="72"/>
        <v>0</v>
      </c>
      <c r="AB174" s="124">
        <f>交易记录!K73</f>
        <v>0</v>
      </c>
      <c r="AC174" s="124">
        <f>交易记录!K104</f>
        <v>0</v>
      </c>
      <c r="AD174" s="30">
        <f t="shared" si="95"/>
        <v>0</v>
      </c>
      <c r="AE174" s="121">
        <f>交易记录!K137</f>
        <v>0</v>
      </c>
      <c r="AF174" s="121">
        <f>交易记录!K168</f>
        <v>0</v>
      </c>
      <c r="AG174" s="30">
        <f t="shared" si="91"/>
        <v>0</v>
      </c>
      <c r="AH174" s="124">
        <f>交易记录!K201</f>
        <v>0</v>
      </c>
      <c r="AI174" s="124">
        <f>交易记录!K232</f>
        <v>0</v>
      </c>
      <c r="AJ174" s="30">
        <f t="shared" si="94"/>
        <v>0</v>
      </c>
      <c r="AK174" s="121">
        <f>交易记录!K265</f>
        <v>0</v>
      </c>
      <c r="AL174" s="121">
        <f>交易记录!K296</f>
        <v>0</v>
      </c>
      <c r="AM174" s="30">
        <f t="shared" si="93"/>
        <v>0</v>
      </c>
      <c r="AN174" s="124">
        <f>交易记录!K329</f>
        <v>0</v>
      </c>
      <c r="AO174" s="124">
        <f>交易记录!K360</f>
        <v>0</v>
      </c>
      <c r="AP174" s="30">
        <f t="shared" si="90"/>
        <v>0</v>
      </c>
      <c r="AQ174" s="121">
        <f>交易记录!K393</f>
        <v>0</v>
      </c>
      <c r="AR174" s="121">
        <f>交易记录!K424</f>
        <v>0</v>
      </c>
      <c r="AS174" s="30">
        <f t="shared" si="92"/>
        <v>0</v>
      </c>
      <c r="AT174" s="124">
        <f>交易记录!K457</f>
        <v>0</v>
      </c>
      <c r="AU174" s="124">
        <f>交易记录!K488</f>
        <v>0</v>
      </c>
      <c r="AV174" s="30">
        <f t="shared" si="73"/>
        <v>0</v>
      </c>
      <c r="AW174" s="121">
        <f>交易记录!K521</f>
        <v>0</v>
      </c>
      <c r="AX174" s="121">
        <f>交易记录!K552</f>
        <v>0</v>
      </c>
      <c r="AY174" s="30">
        <f t="shared" si="74"/>
        <v>0</v>
      </c>
      <c r="AZ174" s="124">
        <f>交易记录!K585</f>
        <v>0</v>
      </c>
      <c r="BA174" s="124">
        <f>交易记录!K616</f>
        <v>0</v>
      </c>
      <c r="BB174" s="30">
        <f t="shared" si="75"/>
        <v>0</v>
      </c>
      <c r="BC174" s="121">
        <f>交易记录!K649</f>
        <v>0</v>
      </c>
      <c r="BD174" s="121">
        <f>交易记录!K680</f>
        <v>0</v>
      </c>
      <c r="BE174" s="30">
        <f t="shared" si="76"/>
        <v>0</v>
      </c>
      <c r="BF174" s="124">
        <f>交易记录!K713</f>
        <v>0</v>
      </c>
      <c r="BG174" s="124">
        <f>交易记录!K744</f>
        <v>0</v>
      </c>
      <c r="BH174" s="30">
        <f t="shared" si="77"/>
        <v>0</v>
      </c>
      <c r="BI174" s="121">
        <f>交易记录!K777</f>
        <v>0</v>
      </c>
      <c r="BJ174" s="121">
        <f>交易记录!K808</f>
        <v>0</v>
      </c>
      <c r="BK174" s="30">
        <f t="shared" si="78"/>
        <v>0</v>
      </c>
      <c r="BL174" s="124">
        <f>交易记录!K841</f>
        <v>0</v>
      </c>
      <c r="BM174" s="124">
        <f>交易记录!K872</f>
        <v>0</v>
      </c>
      <c r="BN174" s="30">
        <f t="shared" si="79"/>
        <v>0</v>
      </c>
      <c r="BO174" s="121">
        <f>交易记录!K905</f>
        <v>0</v>
      </c>
      <c r="BP174" s="121">
        <f>交易记录!K936</f>
        <v>0</v>
      </c>
      <c r="BQ174" s="30">
        <f t="shared" si="80"/>
        <v>0</v>
      </c>
    </row>
    <row r="175" spans="1:69" ht="15">
      <c r="A175" s="125">
        <f>'维护-日期'!A$10</f>
        <v>46273</v>
      </c>
      <c r="B175" s="7" t="s">
        <v>11</v>
      </c>
      <c r="C175" s="144">
        <f t="shared" si="81"/>
        <v>13.087</v>
      </c>
      <c r="D175" s="144">
        <f>ROUND(INDEX(持仓数据!$C$3:$AG$26,MATCH('计算过程-数据汇总'!B175,持仓数据!$B$3:$B$26,0),MATCH('计算过程-数据汇总'!A175,'维护-日期'!$B$2:$AF$2,0)),3)</f>
        <v>13.087</v>
      </c>
      <c r="E175" s="98">
        <f t="shared" si="82"/>
        <v>13.087</v>
      </c>
      <c r="F175" s="22">
        <f>持仓数据!J77</f>
        <v>8.6999999999999994E-2</v>
      </c>
      <c r="G175" s="97">
        <v>372</v>
      </c>
      <c r="H175" s="97">
        <v>372</v>
      </c>
      <c r="I175" s="64">
        <v>0</v>
      </c>
      <c r="J175" s="64">
        <v>0</v>
      </c>
      <c r="K175" s="21">
        <f>IF(持仓数据!J110="",0,持仓数据!J110)</f>
        <v>372</v>
      </c>
      <c r="L175" s="21">
        <f t="shared" si="83"/>
        <v>0</v>
      </c>
      <c r="M175" s="28">
        <f t="shared" si="67"/>
        <v>4868.3639999999996</v>
      </c>
      <c r="N175" s="28">
        <f t="shared" si="68"/>
        <v>0</v>
      </c>
      <c r="O175" s="28">
        <f t="shared" si="69"/>
        <v>0</v>
      </c>
      <c r="P175" s="28">
        <f t="shared" si="70"/>
        <v>0</v>
      </c>
      <c r="Q175" s="28">
        <f t="shared" si="84"/>
        <v>0</v>
      </c>
      <c r="R175" s="28">
        <f t="shared" si="71"/>
        <v>4868.3639999999996</v>
      </c>
      <c r="S175" s="28">
        <f t="shared" si="85"/>
        <v>0</v>
      </c>
      <c r="T175" s="28">
        <f t="shared" si="86"/>
        <v>0</v>
      </c>
      <c r="U175" s="28">
        <f t="shared" si="89"/>
        <v>0</v>
      </c>
      <c r="V175" s="28">
        <f t="shared" si="87"/>
        <v>0</v>
      </c>
      <c r="W175" s="118"/>
      <c r="X175" s="143">
        <f t="shared" si="88"/>
        <v>15.617000000000001</v>
      </c>
      <c r="Y175" s="121">
        <f>交易记录!K10</f>
        <v>8.6999999999999994E-2</v>
      </c>
      <c r="Z175" s="121">
        <f>交易记录!K41</f>
        <v>372</v>
      </c>
      <c r="AA175" s="30">
        <f t="shared" si="72"/>
        <v>0</v>
      </c>
      <c r="AB175" s="124">
        <f>交易记录!K74</f>
        <v>0</v>
      </c>
      <c r="AC175" s="124">
        <f>交易记录!K105</f>
        <v>0</v>
      </c>
      <c r="AD175" s="30">
        <f t="shared" si="95"/>
        <v>0</v>
      </c>
      <c r="AE175" s="121">
        <f>交易记录!K138</f>
        <v>0</v>
      </c>
      <c r="AF175" s="121">
        <f>交易记录!K169</f>
        <v>0</v>
      </c>
      <c r="AG175" s="30">
        <f t="shared" si="91"/>
        <v>0</v>
      </c>
      <c r="AH175" s="124">
        <f>交易记录!K202</f>
        <v>0</v>
      </c>
      <c r="AI175" s="124">
        <f>交易记录!K233</f>
        <v>0</v>
      </c>
      <c r="AJ175" s="30">
        <f t="shared" si="94"/>
        <v>0</v>
      </c>
      <c r="AK175" s="121">
        <f>交易记录!K266</f>
        <v>0</v>
      </c>
      <c r="AL175" s="121">
        <f>交易记录!K297</f>
        <v>0</v>
      </c>
      <c r="AM175" s="30">
        <f t="shared" si="93"/>
        <v>0</v>
      </c>
      <c r="AN175" s="124">
        <f>交易记录!K330</f>
        <v>0</v>
      </c>
      <c r="AO175" s="124">
        <f>交易记录!K361</f>
        <v>0</v>
      </c>
      <c r="AP175" s="30">
        <f t="shared" si="90"/>
        <v>0</v>
      </c>
      <c r="AQ175" s="121">
        <f>交易记录!K394</f>
        <v>0</v>
      </c>
      <c r="AR175" s="121">
        <f>交易记录!K425</f>
        <v>0</v>
      </c>
      <c r="AS175" s="30">
        <f t="shared" si="92"/>
        <v>0</v>
      </c>
      <c r="AT175" s="124">
        <f>交易记录!K458</f>
        <v>0</v>
      </c>
      <c r="AU175" s="124">
        <f>交易记录!K489</f>
        <v>0</v>
      </c>
      <c r="AV175" s="30">
        <f t="shared" si="73"/>
        <v>0</v>
      </c>
      <c r="AW175" s="121">
        <f>交易记录!K522</f>
        <v>0</v>
      </c>
      <c r="AX175" s="121">
        <f>交易记录!K553</f>
        <v>0</v>
      </c>
      <c r="AY175" s="30">
        <f t="shared" si="74"/>
        <v>0</v>
      </c>
      <c r="AZ175" s="124">
        <f>交易记录!K586</f>
        <v>0</v>
      </c>
      <c r="BA175" s="124">
        <f>交易记录!K617</f>
        <v>0</v>
      </c>
      <c r="BB175" s="30">
        <f t="shared" si="75"/>
        <v>0</v>
      </c>
      <c r="BC175" s="121">
        <f>交易记录!K650</f>
        <v>0</v>
      </c>
      <c r="BD175" s="121">
        <f>交易记录!K681</f>
        <v>0</v>
      </c>
      <c r="BE175" s="30">
        <f t="shared" si="76"/>
        <v>0</v>
      </c>
      <c r="BF175" s="124">
        <f>交易记录!K714</f>
        <v>0</v>
      </c>
      <c r="BG175" s="124">
        <f>交易记录!K745</f>
        <v>0</v>
      </c>
      <c r="BH175" s="30">
        <f t="shared" si="77"/>
        <v>0</v>
      </c>
      <c r="BI175" s="121">
        <f>交易记录!K778</f>
        <v>0</v>
      </c>
      <c r="BJ175" s="121">
        <f>交易记录!K809</f>
        <v>0</v>
      </c>
      <c r="BK175" s="30">
        <f t="shared" si="78"/>
        <v>0</v>
      </c>
      <c r="BL175" s="124">
        <f>交易记录!K842</f>
        <v>0</v>
      </c>
      <c r="BM175" s="124">
        <f>交易记录!K873</f>
        <v>0</v>
      </c>
      <c r="BN175" s="30">
        <f t="shared" si="79"/>
        <v>0</v>
      </c>
      <c r="BO175" s="121">
        <f>交易记录!K906</f>
        <v>0</v>
      </c>
      <c r="BP175" s="121">
        <f>交易记录!K937</f>
        <v>0</v>
      </c>
      <c r="BQ175" s="30">
        <f t="shared" si="80"/>
        <v>0</v>
      </c>
    </row>
    <row r="176" spans="1:69" ht="15">
      <c r="A176" s="125">
        <f>'维护-日期'!A$10</f>
        <v>46273</v>
      </c>
      <c r="B176" s="7" t="s">
        <v>12</v>
      </c>
      <c r="C176" s="144">
        <f t="shared" si="81"/>
        <v>12.95</v>
      </c>
      <c r="D176" s="144">
        <f>ROUND(INDEX(持仓数据!$C$3:$AG$26,MATCH('计算过程-数据汇总'!B176,持仓数据!$B$3:$B$26,0),MATCH('计算过程-数据汇总'!A176,'维护-日期'!$B$2:$AF$2,0)),3)</f>
        <v>12.95</v>
      </c>
      <c r="E176" s="98">
        <f t="shared" si="82"/>
        <v>12.95</v>
      </c>
      <c r="F176" s="22">
        <f>持仓数据!J78</f>
        <v>0.14499999999999999</v>
      </c>
      <c r="G176" s="97">
        <v>372</v>
      </c>
      <c r="H176" s="97">
        <v>372</v>
      </c>
      <c r="I176" s="64">
        <v>0</v>
      </c>
      <c r="J176" s="64">
        <v>0</v>
      </c>
      <c r="K176" s="21">
        <f>IF(持仓数据!J111="",0,持仓数据!J111)</f>
        <v>372</v>
      </c>
      <c r="L176" s="21">
        <f t="shared" si="83"/>
        <v>0</v>
      </c>
      <c r="M176" s="28">
        <f t="shared" si="67"/>
        <v>4817.3999999999996</v>
      </c>
      <c r="N176" s="28">
        <f t="shared" si="68"/>
        <v>0</v>
      </c>
      <c r="O176" s="28">
        <f t="shared" si="69"/>
        <v>0</v>
      </c>
      <c r="P176" s="28">
        <f t="shared" si="70"/>
        <v>0</v>
      </c>
      <c r="Q176" s="28">
        <f t="shared" si="84"/>
        <v>0</v>
      </c>
      <c r="R176" s="28">
        <f t="shared" si="71"/>
        <v>4817.3999999999996</v>
      </c>
      <c r="S176" s="28">
        <f t="shared" si="85"/>
        <v>0</v>
      </c>
      <c r="T176" s="28">
        <f t="shared" si="86"/>
        <v>0</v>
      </c>
      <c r="U176" s="28">
        <f t="shared" si="89"/>
        <v>0</v>
      </c>
      <c r="V176" s="28">
        <f t="shared" si="87"/>
        <v>0</v>
      </c>
      <c r="W176" s="118"/>
      <c r="X176" s="143">
        <f t="shared" si="88"/>
        <v>15.395</v>
      </c>
      <c r="Y176" s="121">
        <f>交易记录!K11</f>
        <v>0.14499999999999999</v>
      </c>
      <c r="Z176" s="121">
        <f>交易记录!K42</f>
        <v>372</v>
      </c>
      <c r="AA176" s="30">
        <f t="shared" si="72"/>
        <v>0</v>
      </c>
      <c r="AB176" s="124">
        <f>交易记录!K75</f>
        <v>0</v>
      </c>
      <c r="AC176" s="124">
        <f>交易记录!K106</f>
        <v>0</v>
      </c>
      <c r="AD176" s="30">
        <f t="shared" si="95"/>
        <v>0</v>
      </c>
      <c r="AE176" s="121">
        <f>交易记录!K139</f>
        <v>0</v>
      </c>
      <c r="AF176" s="121">
        <f>交易记录!K170</f>
        <v>0</v>
      </c>
      <c r="AG176" s="30">
        <f t="shared" si="91"/>
        <v>0</v>
      </c>
      <c r="AH176" s="124">
        <f>交易记录!K203</f>
        <v>0</v>
      </c>
      <c r="AI176" s="124">
        <f>交易记录!K234</f>
        <v>0</v>
      </c>
      <c r="AJ176" s="30">
        <f t="shared" si="94"/>
        <v>0</v>
      </c>
      <c r="AK176" s="121">
        <f>交易记录!K267</f>
        <v>0</v>
      </c>
      <c r="AL176" s="121">
        <f>交易记录!K298</f>
        <v>0</v>
      </c>
      <c r="AM176" s="30">
        <f t="shared" si="93"/>
        <v>0</v>
      </c>
      <c r="AN176" s="124">
        <f>交易记录!K331</f>
        <v>0</v>
      </c>
      <c r="AO176" s="124">
        <f>交易记录!K362</f>
        <v>0</v>
      </c>
      <c r="AP176" s="30">
        <f t="shared" si="90"/>
        <v>0</v>
      </c>
      <c r="AQ176" s="121">
        <f>交易记录!K395</f>
        <v>0</v>
      </c>
      <c r="AR176" s="121">
        <f>交易记录!K426</f>
        <v>0</v>
      </c>
      <c r="AS176" s="30">
        <f t="shared" si="92"/>
        <v>0</v>
      </c>
      <c r="AT176" s="124">
        <f>交易记录!K459</f>
        <v>0</v>
      </c>
      <c r="AU176" s="124">
        <f>交易记录!K490</f>
        <v>0</v>
      </c>
      <c r="AV176" s="30">
        <f t="shared" si="73"/>
        <v>0</v>
      </c>
      <c r="AW176" s="121">
        <f>交易记录!K523</f>
        <v>0</v>
      </c>
      <c r="AX176" s="121">
        <f>交易记录!K554</f>
        <v>0</v>
      </c>
      <c r="AY176" s="30">
        <f t="shared" si="74"/>
        <v>0</v>
      </c>
      <c r="AZ176" s="124">
        <f>交易记录!K587</f>
        <v>0</v>
      </c>
      <c r="BA176" s="124">
        <f>交易记录!K618</f>
        <v>0</v>
      </c>
      <c r="BB176" s="30">
        <f t="shared" si="75"/>
        <v>0</v>
      </c>
      <c r="BC176" s="121">
        <f>交易记录!K651</f>
        <v>0</v>
      </c>
      <c r="BD176" s="121">
        <f>交易记录!K682</f>
        <v>0</v>
      </c>
      <c r="BE176" s="30">
        <f t="shared" si="76"/>
        <v>0</v>
      </c>
      <c r="BF176" s="124">
        <f>交易记录!K715</f>
        <v>0</v>
      </c>
      <c r="BG176" s="124">
        <f>交易记录!K746</f>
        <v>0</v>
      </c>
      <c r="BH176" s="30">
        <f t="shared" si="77"/>
        <v>0</v>
      </c>
      <c r="BI176" s="121">
        <f>交易记录!K779</f>
        <v>0</v>
      </c>
      <c r="BJ176" s="121">
        <f>交易记录!K810</f>
        <v>0</v>
      </c>
      <c r="BK176" s="30">
        <f t="shared" si="78"/>
        <v>0</v>
      </c>
      <c r="BL176" s="124">
        <f>交易记录!K843</f>
        <v>0</v>
      </c>
      <c r="BM176" s="124">
        <f>交易记录!K874</f>
        <v>0</v>
      </c>
      <c r="BN176" s="30">
        <f t="shared" si="79"/>
        <v>0</v>
      </c>
      <c r="BO176" s="121">
        <f>交易记录!K907</f>
        <v>0</v>
      </c>
      <c r="BP176" s="121">
        <f>交易记录!K938</f>
        <v>0</v>
      </c>
      <c r="BQ176" s="30">
        <f t="shared" si="80"/>
        <v>0</v>
      </c>
    </row>
    <row r="177" spans="1:69" ht="15">
      <c r="A177" s="125">
        <f>'维护-日期'!A$10</f>
        <v>46273</v>
      </c>
      <c r="B177" s="7" t="s">
        <v>13</v>
      </c>
      <c r="C177" s="144">
        <f t="shared" si="81"/>
        <v>13.266999999999999</v>
      </c>
      <c r="D177" s="144">
        <f>ROUND(INDEX(持仓数据!$C$3:$AG$26,MATCH('计算过程-数据汇总'!B177,持仓数据!$B$3:$B$26,0),MATCH('计算过程-数据汇总'!A177,'维护-日期'!$B$2:$AF$2,0)),3)</f>
        <v>13.266999999999999</v>
      </c>
      <c r="E177" s="98">
        <f t="shared" si="82"/>
        <v>13.266999999999999</v>
      </c>
      <c r="F177" s="22">
        <f>持仓数据!J79</f>
        <v>0.307</v>
      </c>
      <c r="G177" s="97">
        <v>372</v>
      </c>
      <c r="H177" s="97">
        <v>372</v>
      </c>
      <c r="I177" s="64">
        <v>0</v>
      </c>
      <c r="J177" s="64">
        <v>0</v>
      </c>
      <c r="K177" s="21">
        <f>IF(持仓数据!J112="",0,持仓数据!J112)</f>
        <v>372</v>
      </c>
      <c r="L177" s="21">
        <f t="shared" si="83"/>
        <v>0</v>
      </c>
      <c r="M177" s="28">
        <f t="shared" si="67"/>
        <v>4935.3239999999996</v>
      </c>
      <c r="N177" s="28">
        <f t="shared" si="68"/>
        <v>0</v>
      </c>
      <c r="O177" s="28">
        <f t="shared" si="69"/>
        <v>0</v>
      </c>
      <c r="P177" s="28">
        <f t="shared" si="70"/>
        <v>0</v>
      </c>
      <c r="Q177" s="28">
        <f t="shared" si="84"/>
        <v>0</v>
      </c>
      <c r="R177" s="28">
        <f t="shared" si="71"/>
        <v>4935.3239999999996</v>
      </c>
      <c r="S177" s="28">
        <f t="shared" si="85"/>
        <v>0</v>
      </c>
      <c r="T177" s="28">
        <f t="shared" si="86"/>
        <v>0</v>
      </c>
      <c r="U177" s="28">
        <f t="shared" si="89"/>
        <v>0</v>
      </c>
      <c r="V177" s="28">
        <f t="shared" si="87"/>
        <v>0</v>
      </c>
      <c r="W177" s="118"/>
      <c r="X177" s="143">
        <f t="shared" si="88"/>
        <v>15.613</v>
      </c>
      <c r="Y177" s="121">
        <f>交易记录!K12</f>
        <v>0.307</v>
      </c>
      <c r="Z177" s="121">
        <f>交易记录!K43</f>
        <v>372</v>
      </c>
      <c r="AA177" s="30">
        <f t="shared" si="72"/>
        <v>0</v>
      </c>
      <c r="AB177" s="124">
        <f>交易记录!K76</f>
        <v>0</v>
      </c>
      <c r="AC177" s="124">
        <f>交易记录!K107</f>
        <v>0</v>
      </c>
      <c r="AD177" s="30">
        <f t="shared" si="95"/>
        <v>0</v>
      </c>
      <c r="AE177" s="121">
        <f>交易记录!K140</f>
        <v>0</v>
      </c>
      <c r="AF177" s="121">
        <f>交易记录!K171</f>
        <v>0</v>
      </c>
      <c r="AG177" s="30">
        <f t="shared" si="91"/>
        <v>0</v>
      </c>
      <c r="AH177" s="124">
        <f>交易记录!K204</f>
        <v>0</v>
      </c>
      <c r="AI177" s="124">
        <f>交易记录!K235</f>
        <v>0</v>
      </c>
      <c r="AJ177" s="30">
        <f t="shared" si="94"/>
        <v>0</v>
      </c>
      <c r="AK177" s="121">
        <f>交易记录!K268</f>
        <v>0</v>
      </c>
      <c r="AL177" s="121">
        <f>交易记录!K299</f>
        <v>0</v>
      </c>
      <c r="AM177" s="30">
        <f t="shared" si="93"/>
        <v>0</v>
      </c>
      <c r="AN177" s="124">
        <f>交易记录!K332</f>
        <v>0</v>
      </c>
      <c r="AO177" s="124">
        <f>交易记录!K363</f>
        <v>0</v>
      </c>
      <c r="AP177" s="30">
        <f t="shared" si="90"/>
        <v>0</v>
      </c>
      <c r="AQ177" s="121">
        <f>交易记录!K396</f>
        <v>0</v>
      </c>
      <c r="AR177" s="121">
        <f>交易记录!K427</f>
        <v>0</v>
      </c>
      <c r="AS177" s="30">
        <f t="shared" si="92"/>
        <v>0</v>
      </c>
      <c r="AT177" s="124">
        <f>交易记录!K460</f>
        <v>0</v>
      </c>
      <c r="AU177" s="124">
        <f>交易记录!K491</f>
        <v>0</v>
      </c>
      <c r="AV177" s="30">
        <f t="shared" si="73"/>
        <v>0</v>
      </c>
      <c r="AW177" s="121">
        <f>交易记录!K524</f>
        <v>0</v>
      </c>
      <c r="AX177" s="121">
        <f>交易记录!K555</f>
        <v>0</v>
      </c>
      <c r="AY177" s="30">
        <f t="shared" si="74"/>
        <v>0</v>
      </c>
      <c r="AZ177" s="124">
        <f>交易记录!K588</f>
        <v>0</v>
      </c>
      <c r="BA177" s="124">
        <f>交易记录!K619</f>
        <v>0</v>
      </c>
      <c r="BB177" s="30">
        <f t="shared" si="75"/>
        <v>0</v>
      </c>
      <c r="BC177" s="121">
        <f>交易记录!K652</f>
        <v>0</v>
      </c>
      <c r="BD177" s="121">
        <f>交易记录!K683</f>
        <v>0</v>
      </c>
      <c r="BE177" s="30">
        <f t="shared" si="76"/>
        <v>0</v>
      </c>
      <c r="BF177" s="124">
        <f>交易记录!K716</f>
        <v>0</v>
      </c>
      <c r="BG177" s="124">
        <f>交易记录!K747</f>
        <v>0</v>
      </c>
      <c r="BH177" s="30">
        <f t="shared" si="77"/>
        <v>0</v>
      </c>
      <c r="BI177" s="121">
        <f>交易记录!K780</f>
        <v>0</v>
      </c>
      <c r="BJ177" s="121">
        <f>交易记录!K811</f>
        <v>0</v>
      </c>
      <c r="BK177" s="30">
        <f t="shared" si="78"/>
        <v>0</v>
      </c>
      <c r="BL177" s="124">
        <f>交易记录!K844</f>
        <v>0</v>
      </c>
      <c r="BM177" s="124">
        <f>交易记录!K875</f>
        <v>0</v>
      </c>
      <c r="BN177" s="30">
        <f t="shared" si="79"/>
        <v>0</v>
      </c>
      <c r="BO177" s="121">
        <f>交易记录!K908</f>
        <v>0</v>
      </c>
      <c r="BP177" s="121">
        <f>交易记录!K939</f>
        <v>0</v>
      </c>
      <c r="BQ177" s="30">
        <f t="shared" si="80"/>
        <v>0</v>
      </c>
    </row>
    <row r="178" spans="1:69" ht="15">
      <c r="A178" s="125">
        <f>'维护-日期'!A$10</f>
        <v>46273</v>
      </c>
      <c r="B178" s="7" t="s">
        <v>14</v>
      </c>
      <c r="C178" s="144">
        <f t="shared" si="81"/>
        <v>15.795999999999999</v>
      </c>
      <c r="D178" s="144">
        <f>ROUND(INDEX(持仓数据!$C$3:$AG$26,MATCH('计算过程-数据汇总'!B178,持仓数据!$B$3:$B$26,0),MATCH('计算过程-数据汇总'!A178,'维护-日期'!$B$2:$AF$2,0)),3)</f>
        <v>15.795999999999999</v>
      </c>
      <c r="E178" s="98">
        <f t="shared" si="82"/>
        <v>15.795999999999999</v>
      </c>
      <c r="F178" s="22">
        <f>持仓数据!J80</f>
        <v>0.42800000000000005</v>
      </c>
      <c r="G178" s="97">
        <v>372</v>
      </c>
      <c r="H178" s="97">
        <v>372</v>
      </c>
      <c r="I178" s="64">
        <v>0</v>
      </c>
      <c r="J178" s="64">
        <v>0</v>
      </c>
      <c r="K178" s="21">
        <f>IF(持仓数据!J113="",0,持仓数据!J113)</f>
        <v>372</v>
      </c>
      <c r="L178" s="21">
        <f t="shared" si="83"/>
        <v>0</v>
      </c>
      <c r="M178" s="28">
        <f t="shared" si="67"/>
        <v>5876.1120000000001</v>
      </c>
      <c r="N178" s="28">
        <f t="shared" si="68"/>
        <v>0</v>
      </c>
      <c r="O178" s="28">
        <f t="shared" si="69"/>
        <v>0</v>
      </c>
      <c r="P178" s="28">
        <f t="shared" si="70"/>
        <v>0</v>
      </c>
      <c r="Q178" s="28">
        <f t="shared" si="84"/>
        <v>0</v>
      </c>
      <c r="R178" s="28">
        <f t="shared" si="71"/>
        <v>5876.1120000000001</v>
      </c>
      <c r="S178" s="28">
        <f t="shared" si="85"/>
        <v>0</v>
      </c>
      <c r="T178" s="28">
        <f t="shared" si="86"/>
        <v>0</v>
      </c>
      <c r="U178" s="28">
        <f t="shared" si="89"/>
        <v>0</v>
      </c>
      <c r="V178" s="28">
        <f t="shared" si="87"/>
        <v>0</v>
      </c>
      <c r="W178" s="118"/>
      <c r="X178" s="143">
        <f t="shared" si="88"/>
        <v>18.527000000000001</v>
      </c>
      <c r="Y178" s="121">
        <f>交易记录!K13</f>
        <v>0.42800000000000005</v>
      </c>
      <c r="Z178" s="121">
        <f>交易记录!K44</f>
        <v>372</v>
      </c>
      <c r="AA178" s="30">
        <f t="shared" si="72"/>
        <v>0</v>
      </c>
      <c r="AB178" s="124">
        <f>交易记录!K77</f>
        <v>0</v>
      </c>
      <c r="AC178" s="124">
        <f>交易记录!K108</f>
        <v>0</v>
      </c>
      <c r="AD178" s="30">
        <f t="shared" si="95"/>
        <v>0</v>
      </c>
      <c r="AE178" s="121">
        <f>交易记录!K141</f>
        <v>0</v>
      </c>
      <c r="AF178" s="121">
        <f>交易记录!K172</f>
        <v>0</v>
      </c>
      <c r="AG178" s="30">
        <f t="shared" si="91"/>
        <v>0</v>
      </c>
      <c r="AH178" s="124">
        <f>交易记录!K205</f>
        <v>0</v>
      </c>
      <c r="AI178" s="124">
        <f>交易记录!K236</f>
        <v>0</v>
      </c>
      <c r="AJ178" s="30">
        <f t="shared" si="94"/>
        <v>0</v>
      </c>
      <c r="AK178" s="121">
        <f>交易记录!K269</f>
        <v>0</v>
      </c>
      <c r="AL178" s="121">
        <f>交易记录!K300</f>
        <v>0</v>
      </c>
      <c r="AM178" s="30">
        <f t="shared" si="93"/>
        <v>0</v>
      </c>
      <c r="AN178" s="124">
        <f>交易记录!K333</f>
        <v>0</v>
      </c>
      <c r="AO178" s="124">
        <f>交易记录!K364</f>
        <v>0</v>
      </c>
      <c r="AP178" s="30">
        <f t="shared" si="90"/>
        <v>0</v>
      </c>
      <c r="AQ178" s="121">
        <f>交易记录!K397</f>
        <v>0</v>
      </c>
      <c r="AR178" s="121">
        <f>交易记录!K428</f>
        <v>0</v>
      </c>
      <c r="AS178" s="30">
        <f t="shared" si="92"/>
        <v>0</v>
      </c>
      <c r="AT178" s="124">
        <f>交易记录!K461</f>
        <v>0</v>
      </c>
      <c r="AU178" s="124">
        <f>交易记录!K492</f>
        <v>0</v>
      </c>
      <c r="AV178" s="30">
        <f t="shared" si="73"/>
        <v>0</v>
      </c>
      <c r="AW178" s="121">
        <f>交易记录!K525</f>
        <v>0</v>
      </c>
      <c r="AX178" s="121">
        <f>交易记录!K556</f>
        <v>0</v>
      </c>
      <c r="AY178" s="30">
        <f t="shared" si="74"/>
        <v>0</v>
      </c>
      <c r="AZ178" s="124">
        <f>交易记录!K589</f>
        <v>0</v>
      </c>
      <c r="BA178" s="124">
        <f>交易记录!K620</f>
        <v>0</v>
      </c>
      <c r="BB178" s="30">
        <f t="shared" si="75"/>
        <v>0</v>
      </c>
      <c r="BC178" s="121">
        <f>交易记录!K653</f>
        <v>0</v>
      </c>
      <c r="BD178" s="121">
        <f>交易记录!K684</f>
        <v>0</v>
      </c>
      <c r="BE178" s="30">
        <f t="shared" si="76"/>
        <v>0</v>
      </c>
      <c r="BF178" s="124">
        <f>交易记录!K717</f>
        <v>0</v>
      </c>
      <c r="BG178" s="124">
        <f>交易记录!K748</f>
        <v>0</v>
      </c>
      <c r="BH178" s="30">
        <f t="shared" si="77"/>
        <v>0</v>
      </c>
      <c r="BI178" s="121">
        <f>交易记录!K781</f>
        <v>0</v>
      </c>
      <c r="BJ178" s="121">
        <f>交易记录!K812</f>
        <v>0</v>
      </c>
      <c r="BK178" s="30">
        <f t="shared" si="78"/>
        <v>0</v>
      </c>
      <c r="BL178" s="124">
        <f>交易记录!K845</f>
        <v>0</v>
      </c>
      <c r="BM178" s="124">
        <f>交易记录!K876</f>
        <v>0</v>
      </c>
      <c r="BN178" s="30">
        <f t="shared" si="79"/>
        <v>0</v>
      </c>
      <c r="BO178" s="121">
        <f>交易记录!K909</f>
        <v>0</v>
      </c>
      <c r="BP178" s="121">
        <f>交易记录!K940</f>
        <v>0</v>
      </c>
      <c r="BQ178" s="30">
        <f t="shared" si="80"/>
        <v>0</v>
      </c>
    </row>
    <row r="179" spans="1:69" ht="15">
      <c r="A179" s="125">
        <f>'维护-日期'!A$10</f>
        <v>46273</v>
      </c>
      <c r="B179" s="7" t="s">
        <v>15</v>
      </c>
      <c r="C179" s="144">
        <f t="shared" si="81"/>
        <v>19.308</v>
      </c>
      <c r="D179" s="144">
        <f>ROUND(INDEX(持仓数据!$C$3:$AG$26,MATCH('计算过程-数据汇总'!B179,持仓数据!$B$3:$B$26,0),MATCH('计算过程-数据汇总'!A179,'维护-日期'!$B$2:$AF$2,0)),3)</f>
        <v>19.308</v>
      </c>
      <c r="E179" s="98">
        <f t="shared" si="82"/>
        <v>19.308</v>
      </c>
      <c r="F179" s="22">
        <f>持仓数据!J81</f>
        <v>0.46100000000000002</v>
      </c>
      <c r="G179" s="97">
        <v>372</v>
      </c>
      <c r="H179" s="97">
        <v>372</v>
      </c>
      <c r="I179" s="64">
        <v>0</v>
      </c>
      <c r="J179" s="64">
        <v>0</v>
      </c>
      <c r="K179" s="21">
        <f>IF(持仓数据!J114="",0,持仓数据!J114)</f>
        <v>372</v>
      </c>
      <c r="L179" s="21">
        <f t="shared" si="83"/>
        <v>0</v>
      </c>
      <c r="M179" s="28">
        <f t="shared" si="67"/>
        <v>7182.576</v>
      </c>
      <c r="N179" s="28">
        <f t="shared" si="68"/>
        <v>0</v>
      </c>
      <c r="O179" s="28">
        <f t="shared" si="69"/>
        <v>0</v>
      </c>
      <c r="P179" s="28">
        <f t="shared" si="70"/>
        <v>0</v>
      </c>
      <c r="Q179" s="28">
        <f t="shared" si="84"/>
        <v>0</v>
      </c>
      <c r="R179" s="28">
        <f t="shared" si="71"/>
        <v>7182.576</v>
      </c>
      <c r="S179" s="28">
        <f t="shared" si="85"/>
        <v>0</v>
      </c>
      <c r="T179" s="28">
        <f t="shared" si="86"/>
        <v>0</v>
      </c>
      <c r="U179" s="28">
        <f t="shared" si="89"/>
        <v>0</v>
      </c>
      <c r="V179" s="28">
        <f t="shared" si="87"/>
        <v>0</v>
      </c>
      <c r="W179" s="118"/>
      <c r="X179" s="143">
        <f t="shared" si="88"/>
        <v>22.709</v>
      </c>
      <c r="Y179" s="121">
        <f>交易记录!K14</f>
        <v>0.46100000000000002</v>
      </c>
      <c r="Z179" s="121">
        <f>交易记录!K45</f>
        <v>372</v>
      </c>
      <c r="AA179" s="30">
        <f t="shared" si="72"/>
        <v>0</v>
      </c>
      <c r="AB179" s="124">
        <f>交易记录!K78</f>
        <v>0</v>
      </c>
      <c r="AC179" s="124">
        <f>交易记录!K109</f>
        <v>0</v>
      </c>
      <c r="AD179" s="30">
        <f t="shared" si="95"/>
        <v>0</v>
      </c>
      <c r="AE179" s="121">
        <f>交易记录!K142</f>
        <v>0</v>
      </c>
      <c r="AF179" s="121">
        <f>交易记录!K173</f>
        <v>0</v>
      </c>
      <c r="AG179" s="30">
        <f t="shared" si="91"/>
        <v>0</v>
      </c>
      <c r="AH179" s="124">
        <f>交易记录!K206</f>
        <v>0</v>
      </c>
      <c r="AI179" s="124">
        <f>交易记录!K237</f>
        <v>0</v>
      </c>
      <c r="AJ179" s="30">
        <f t="shared" si="94"/>
        <v>0</v>
      </c>
      <c r="AK179" s="121">
        <f>交易记录!K270</f>
        <v>0</v>
      </c>
      <c r="AL179" s="121">
        <f>交易记录!K301</f>
        <v>0</v>
      </c>
      <c r="AM179" s="30">
        <f t="shared" si="93"/>
        <v>0</v>
      </c>
      <c r="AN179" s="124">
        <f>交易记录!K334</f>
        <v>0</v>
      </c>
      <c r="AO179" s="124">
        <f>交易记录!K365</f>
        <v>0</v>
      </c>
      <c r="AP179" s="30">
        <f t="shared" si="90"/>
        <v>0</v>
      </c>
      <c r="AQ179" s="121">
        <f>交易记录!K398</f>
        <v>0</v>
      </c>
      <c r="AR179" s="121">
        <f>交易记录!K429</f>
        <v>0</v>
      </c>
      <c r="AS179" s="30">
        <f t="shared" si="92"/>
        <v>0</v>
      </c>
      <c r="AT179" s="124">
        <f>交易记录!K462</f>
        <v>0</v>
      </c>
      <c r="AU179" s="124">
        <f>交易记录!K493</f>
        <v>0</v>
      </c>
      <c r="AV179" s="30">
        <f t="shared" si="73"/>
        <v>0</v>
      </c>
      <c r="AW179" s="121">
        <f>交易记录!K526</f>
        <v>0</v>
      </c>
      <c r="AX179" s="121">
        <f>交易记录!K557</f>
        <v>0</v>
      </c>
      <c r="AY179" s="30">
        <f t="shared" si="74"/>
        <v>0</v>
      </c>
      <c r="AZ179" s="124">
        <f>交易记录!K590</f>
        <v>0</v>
      </c>
      <c r="BA179" s="124">
        <f>交易记录!K621</f>
        <v>0</v>
      </c>
      <c r="BB179" s="30">
        <f t="shared" si="75"/>
        <v>0</v>
      </c>
      <c r="BC179" s="121">
        <f>交易记录!K654</f>
        <v>0</v>
      </c>
      <c r="BD179" s="121">
        <f>交易记录!K685</f>
        <v>0</v>
      </c>
      <c r="BE179" s="30">
        <f t="shared" si="76"/>
        <v>0</v>
      </c>
      <c r="BF179" s="124">
        <f>交易记录!K718</f>
        <v>0</v>
      </c>
      <c r="BG179" s="124">
        <f>交易记录!K749</f>
        <v>0</v>
      </c>
      <c r="BH179" s="30">
        <f t="shared" si="77"/>
        <v>0</v>
      </c>
      <c r="BI179" s="121">
        <f>交易记录!K782</f>
        <v>0</v>
      </c>
      <c r="BJ179" s="121">
        <f>交易记录!K813</f>
        <v>0</v>
      </c>
      <c r="BK179" s="30">
        <f t="shared" si="78"/>
        <v>0</v>
      </c>
      <c r="BL179" s="124">
        <f>交易记录!K846</f>
        <v>0</v>
      </c>
      <c r="BM179" s="124">
        <f>交易记录!K877</f>
        <v>0</v>
      </c>
      <c r="BN179" s="30">
        <f t="shared" si="79"/>
        <v>0</v>
      </c>
      <c r="BO179" s="121">
        <f>交易记录!K910</f>
        <v>0</v>
      </c>
      <c r="BP179" s="121">
        <f>交易记录!K941</f>
        <v>0</v>
      </c>
      <c r="BQ179" s="30">
        <f t="shared" si="80"/>
        <v>0</v>
      </c>
    </row>
    <row r="180" spans="1:69" ht="15">
      <c r="A180" s="125">
        <f>'维护-日期'!A$10</f>
        <v>46273</v>
      </c>
      <c r="B180" s="7" t="s">
        <v>16</v>
      </c>
      <c r="C180" s="144">
        <f t="shared" si="81"/>
        <v>21.01</v>
      </c>
      <c r="D180" s="144">
        <f>ROUND(INDEX(持仓数据!$C$3:$AG$26,MATCH('计算过程-数据汇总'!B180,持仓数据!$B$3:$B$26,0),MATCH('计算过程-数据汇总'!A180,'维护-日期'!$B$2:$AF$2,0)),3)</f>
        <v>21.01</v>
      </c>
      <c r="E180" s="98">
        <f t="shared" si="82"/>
        <v>21.01</v>
      </c>
      <c r="F180" s="22">
        <f>持仓数据!J82</f>
        <v>0.46700000000000003</v>
      </c>
      <c r="G180" s="97">
        <v>372</v>
      </c>
      <c r="H180" s="97">
        <v>372</v>
      </c>
      <c r="I180" s="64">
        <v>0</v>
      </c>
      <c r="J180" s="64">
        <v>0</v>
      </c>
      <c r="K180" s="21">
        <f>IF(持仓数据!J115="",0,持仓数据!J115)</f>
        <v>372</v>
      </c>
      <c r="L180" s="21">
        <f t="shared" si="83"/>
        <v>0</v>
      </c>
      <c r="M180" s="28">
        <f t="shared" si="67"/>
        <v>7815.72</v>
      </c>
      <c r="N180" s="28">
        <f t="shared" si="68"/>
        <v>0</v>
      </c>
      <c r="O180" s="28">
        <f t="shared" si="69"/>
        <v>0</v>
      </c>
      <c r="P180" s="28">
        <f t="shared" si="70"/>
        <v>0</v>
      </c>
      <c r="Q180" s="28">
        <f t="shared" si="84"/>
        <v>0</v>
      </c>
      <c r="R180" s="28">
        <f t="shared" si="71"/>
        <v>7815.72</v>
      </c>
      <c r="S180" s="28">
        <f t="shared" si="85"/>
        <v>0</v>
      </c>
      <c r="T180" s="28">
        <f t="shared" si="86"/>
        <v>0</v>
      </c>
      <c r="U180" s="28">
        <f t="shared" si="89"/>
        <v>0</v>
      </c>
      <c r="V180" s="28">
        <f t="shared" si="87"/>
        <v>0</v>
      </c>
      <c r="W180" s="118"/>
      <c r="X180" s="143">
        <f t="shared" si="88"/>
        <v>24.745000000000001</v>
      </c>
      <c r="Y180" s="121">
        <f>交易记录!K15</f>
        <v>0.46700000000000003</v>
      </c>
      <c r="Z180" s="121">
        <f>交易记录!K46</f>
        <v>372</v>
      </c>
      <c r="AA180" s="30">
        <f t="shared" si="72"/>
        <v>0</v>
      </c>
      <c r="AB180" s="124">
        <f>交易记录!K79</f>
        <v>0</v>
      </c>
      <c r="AC180" s="124">
        <f>交易记录!K110</f>
        <v>0</v>
      </c>
      <c r="AD180" s="30">
        <f t="shared" si="95"/>
        <v>0</v>
      </c>
      <c r="AE180" s="121">
        <f>交易记录!K143</f>
        <v>0</v>
      </c>
      <c r="AF180" s="121">
        <f>交易记录!K174</f>
        <v>0</v>
      </c>
      <c r="AG180" s="30">
        <f t="shared" si="91"/>
        <v>0</v>
      </c>
      <c r="AH180" s="124">
        <f>交易记录!K207</f>
        <v>0</v>
      </c>
      <c r="AI180" s="124">
        <f>交易记录!K238</f>
        <v>0</v>
      </c>
      <c r="AJ180" s="30">
        <f t="shared" si="94"/>
        <v>0</v>
      </c>
      <c r="AK180" s="121">
        <f>交易记录!K271</f>
        <v>0</v>
      </c>
      <c r="AL180" s="121">
        <f>交易记录!K302</f>
        <v>0</v>
      </c>
      <c r="AM180" s="30">
        <f t="shared" si="93"/>
        <v>0</v>
      </c>
      <c r="AN180" s="124">
        <f>交易记录!K335</f>
        <v>0</v>
      </c>
      <c r="AO180" s="124">
        <f>交易记录!K366</f>
        <v>0</v>
      </c>
      <c r="AP180" s="30">
        <f t="shared" si="90"/>
        <v>0</v>
      </c>
      <c r="AQ180" s="121">
        <f>交易记录!K399</f>
        <v>0</v>
      </c>
      <c r="AR180" s="121">
        <f>交易记录!K430</f>
        <v>0</v>
      </c>
      <c r="AS180" s="30">
        <f t="shared" si="92"/>
        <v>0</v>
      </c>
      <c r="AT180" s="124">
        <f>交易记录!K463</f>
        <v>0</v>
      </c>
      <c r="AU180" s="124">
        <f>交易记录!K494</f>
        <v>0</v>
      </c>
      <c r="AV180" s="30">
        <f t="shared" si="73"/>
        <v>0</v>
      </c>
      <c r="AW180" s="121">
        <f>交易记录!K527</f>
        <v>0</v>
      </c>
      <c r="AX180" s="121">
        <f>交易记录!K558</f>
        <v>0</v>
      </c>
      <c r="AY180" s="30">
        <f t="shared" si="74"/>
        <v>0</v>
      </c>
      <c r="AZ180" s="124">
        <f>交易记录!K591</f>
        <v>0</v>
      </c>
      <c r="BA180" s="124">
        <f>交易记录!K622</f>
        <v>0</v>
      </c>
      <c r="BB180" s="30">
        <f t="shared" si="75"/>
        <v>0</v>
      </c>
      <c r="BC180" s="121">
        <f>交易记录!K655</f>
        <v>0</v>
      </c>
      <c r="BD180" s="121">
        <f>交易记录!K686</f>
        <v>0</v>
      </c>
      <c r="BE180" s="30">
        <f t="shared" si="76"/>
        <v>0</v>
      </c>
      <c r="BF180" s="124">
        <f>交易记录!K719</f>
        <v>0</v>
      </c>
      <c r="BG180" s="124">
        <f>交易记录!K750</f>
        <v>0</v>
      </c>
      <c r="BH180" s="30">
        <f t="shared" si="77"/>
        <v>0</v>
      </c>
      <c r="BI180" s="121">
        <f>交易记录!K783</f>
        <v>0</v>
      </c>
      <c r="BJ180" s="121">
        <f>交易记录!K814</f>
        <v>0</v>
      </c>
      <c r="BK180" s="30">
        <f t="shared" si="78"/>
        <v>0</v>
      </c>
      <c r="BL180" s="124">
        <f>交易记录!K847</f>
        <v>0</v>
      </c>
      <c r="BM180" s="124">
        <f>交易记录!K878</f>
        <v>0</v>
      </c>
      <c r="BN180" s="30">
        <f t="shared" si="79"/>
        <v>0</v>
      </c>
      <c r="BO180" s="121">
        <f>交易记录!K911</f>
        <v>0</v>
      </c>
      <c r="BP180" s="121">
        <f>交易记录!K942</f>
        <v>0</v>
      </c>
      <c r="BQ180" s="30">
        <f t="shared" si="80"/>
        <v>0</v>
      </c>
    </row>
    <row r="181" spans="1:69" ht="15">
      <c r="A181" s="125">
        <f>'维护-日期'!A$10</f>
        <v>46273</v>
      </c>
      <c r="B181" s="7" t="s">
        <v>17</v>
      </c>
      <c r="C181" s="144">
        <f t="shared" si="81"/>
        <v>21.329000000000001</v>
      </c>
      <c r="D181" s="144">
        <f>ROUND(INDEX(持仓数据!$C$3:$AG$26,MATCH('计算过程-数据汇总'!B181,持仓数据!$B$3:$B$26,0),MATCH('计算过程-数据汇总'!A181,'维护-日期'!$B$2:$AF$2,0)),3)</f>
        <v>21.329000000000001</v>
      </c>
      <c r="E181" s="98">
        <f t="shared" si="82"/>
        <v>21.329000000000001</v>
      </c>
      <c r="F181" s="22">
        <f>持仓数据!J83</f>
        <v>0.32100000000000001</v>
      </c>
      <c r="G181" s="97">
        <v>372</v>
      </c>
      <c r="H181" s="97">
        <v>372</v>
      </c>
      <c r="I181" s="64">
        <v>0</v>
      </c>
      <c r="J181" s="64">
        <v>0</v>
      </c>
      <c r="K181" s="21">
        <f>IF(持仓数据!J116="",0,持仓数据!J116)</f>
        <v>372</v>
      </c>
      <c r="L181" s="21">
        <f t="shared" si="83"/>
        <v>0</v>
      </c>
      <c r="M181" s="28">
        <f t="shared" si="67"/>
        <v>7934.3879999999999</v>
      </c>
      <c r="N181" s="28">
        <f t="shared" si="68"/>
        <v>0</v>
      </c>
      <c r="O181" s="28">
        <f t="shared" si="69"/>
        <v>0</v>
      </c>
      <c r="P181" s="28">
        <f t="shared" si="70"/>
        <v>0</v>
      </c>
      <c r="Q181" s="28">
        <f t="shared" si="84"/>
        <v>0</v>
      </c>
      <c r="R181" s="28">
        <f t="shared" si="71"/>
        <v>7934.3879999999999</v>
      </c>
      <c r="S181" s="28">
        <f t="shared" si="85"/>
        <v>0</v>
      </c>
      <c r="T181" s="28">
        <f t="shared" si="86"/>
        <v>0</v>
      </c>
      <c r="U181" s="28">
        <f t="shared" si="89"/>
        <v>0</v>
      </c>
      <c r="V181" s="28">
        <f t="shared" si="87"/>
        <v>0</v>
      </c>
      <c r="W181" s="118"/>
      <c r="X181" s="143">
        <f t="shared" si="88"/>
        <v>25.274000000000001</v>
      </c>
      <c r="Y181" s="121">
        <f>交易记录!K16</f>
        <v>0.32100000000000001</v>
      </c>
      <c r="Z181" s="121">
        <f>交易记录!K47</f>
        <v>372</v>
      </c>
      <c r="AA181" s="30">
        <f t="shared" si="72"/>
        <v>0</v>
      </c>
      <c r="AB181" s="124">
        <f>交易记录!K80</f>
        <v>0</v>
      </c>
      <c r="AC181" s="124">
        <f>交易记录!K111</f>
        <v>0</v>
      </c>
      <c r="AD181" s="30">
        <f t="shared" si="95"/>
        <v>0</v>
      </c>
      <c r="AE181" s="121">
        <f>交易记录!K144</f>
        <v>0</v>
      </c>
      <c r="AF181" s="121">
        <f>交易记录!K175</f>
        <v>0</v>
      </c>
      <c r="AG181" s="30">
        <f t="shared" si="91"/>
        <v>0</v>
      </c>
      <c r="AH181" s="124">
        <f>交易记录!K208</f>
        <v>0</v>
      </c>
      <c r="AI181" s="124">
        <f>交易记录!K239</f>
        <v>0</v>
      </c>
      <c r="AJ181" s="30">
        <f t="shared" si="94"/>
        <v>0</v>
      </c>
      <c r="AK181" s="121">
        <f>交易记录!K272</f>
        <v>0</v>
      </c>
      <c r="AL181" s="121">
        <f>交易记录!K303</f>
        <v>0</v>
      </c>
      <c r="AM181" s="30">
        <f t="shared" si="93"/>
        <v>0</v>
      </c>
      <c r="AN181" s="124">
        <f>交易记录!K336</f>
        <v>0</v>
      </c>
      <c r="AO181" s="124">
        <f>交易记录!K367</f>
        <v>0</v>
      </c>
      <c r="AP181" s="30">
        <f t="shared" si="90"/>
        <v>0</v>
      </c>
      <c r="AQ181" s="121">
        <f>交易记录!K400</f>
        <v>0</v>
      </c>
      <c r="AR181" s="121">
        <f>交易记录!K431</f>
        <v>0</v>
      </c>
      <c r="AS181" s="30">
        <f t="shared" si="92"/>
        <v>0</v>
      </c>
      <c r="AT181" s="124">
        <f>交易记录!K464</f>
        <v>0</v>
      </c>
      <c r="AU181" s="124">
        <f>交易记录!K495</f>
        <v>0</v>
      </c>
      <c r="AV181" s="30">
        <f t="shared" si="73"/>
        <v>0</v>
      </c>
      <c r="AW181" s="121">
        <f>交易记录!K528</f>
        <v>0</v>
      </c>
      <c r="AX181" s="121">
        <f>交易记录!K559</f>
        <v>0</v>
      </c>
      <c r="AY181" s="30">
        <f t="shared" si="74"/>
        <v>0</v>
      </c>
      <c r="AZ181" s="124">
        <f>交易记录!K592</f>
        <v>0</v>
      </c>
      <c r="BA181" s="124">
        <f>交易记录!K623</f>
        <v>0</v>
      </c>
      <c r="BB181" s="30">
        <f t="shared" si="75"/>
        <v>0</v>
      </c>
      <c r="BC181" s="121">
        <f>交易记录!K656</f>
        <v>0</v>
      </c>
      <c r="BD181" s="121">
        <f>交易记录!K687</f>
        <v>0</v>
      </c>
      <c r="BE181" s="30">
        <f t="shared" si="76"/>
        <v>0</v>
      </c>
      <c r="BF181" s="124">
        <f>交易记录!K720</f>
        <v>0</v>
      </c>
      <c r="BG181" s="124">
        <f>交易记录!K751</f>
        <v>0</v>
      </c>
      <c r="BH181" s="30">
        <f t="shared" si="77"/>
        <v>0</v>
      </c>
      <c r="BI181" s="121">
        <f>交易记录!K784</f>
        <v>0</v>
      </c>
      <c r="BJ181" s="121">
        <f>交易记录!K815</f>
        <v>0</v>
      </c>
      <c r="BK181" s="30">
        <f t="shared" si="78"/>
        <v>0</v>
      </c>
      <c r="BL181" s="124">
        <f>交易记录!K848</f>
        <v>0</v>
      </c>
      <c r="BM181" s="124">
        <f>交易记录!K879</f>
        <v>0</v>
      </c>
      <c r="BN181" s="30">
        <f t="shared" si="79"/>
        <v>0</v>
      </c>
      <c r="BO181" s="121">
        <f>交易记录!K912</f>
        <v>0</v>
      </c>
      <c r="BP181" s="121">
        <f>交易记录!K943</f>
        <v>0</v>
      </c>
      <c r="BQ181" s="30">
        <f t="shared" si="80"/>
        <v>0</v>
      </c>
    </row>
    <row r="182" spans="1:69" ht="15">
      <c r="A182" s="125">
        <f>'维护-日期'!A$10</f>
        <v>46273</v>
      </c>
      <c r="B182" s="7" t="s">
        <v>18</v>
      </c>
      <c r="C182" s="144">
        <f t="shared" si="81"/>
        <v>22.643999999999998</v>
      </c>
      <c r="D182" s="144">
        <f>ROUND(INDEX(持仓数据!$C$3:$AG$26,MATCH('计算过程-数据汇总'!B182,持仓数据!$B$3:$B$26,0),MATCH('计算过程-数据汇总'!A182,'维护-日期'!$B$2:$AF$2,0)),3)</f>
        <v>22.643999999999998</v>
      </c>
      <c r="E182" s="98">
        <f t="shared" si="82"/>
        <v>22.643999999999998</v>
      </c>
      <c r="F182" s="22">
        <f>持仓数据!J84</f>
        <v>7.8E-2</v>
      </c>
      <c r="G182" s="97">
        <v>372</v>
      </c>
      <c r="H182" s="97">
        <v>372</v>
      </c>
      <c r="I182" s="64">
        <v>0</v>
      </c>
      <c r="J182" s="64">
        <v>0</v>
      </c>
      <c r="K182" s="21">
        <f>IF(持仓数据!J117="",0,持仓数据!J117)</f>
        <v>372</v>
      </c>
      <c r="L182" s="21">
        <f t="shared" si="83"/>
        <v>0</v>
      </c>
      <c r="M182" s="28">
        <f t="shared" si="67"/>
        <v>8423.5679999999993</v>
      </c>
      <c r="N182" s="28">
        <f t="shared" si="68"/>
        <v>0</v>
      </c>
      <c r="O182" s="28">
        <f t="shared" si="69"/>
        <v>0</v>
      </c>
      <c r="P182" s="28">
        <f t="shared" si="70"/>
        <v>0</v>
      </c>
      <c r="Q182" s="28">
        <f t="shared" si="84"/>
        <v>0</v>
      </c>
      <c r="R182" s="28">
        <f t="shared" si="71"/>
        <v>8423.5679999999993</v>
      </c>
      <c r="S182" s="28">
        <f t="shared" si="85"/>
        <v>0</v>
      </c>
      <c r="T182" s="28">
        <f t="shared" si="86"/>
        <v>0</v>
      </c>
      <c r="U182" s="28">
        <f t="shared" si="89"/>
        <v>0</v>
      </c>
      <c r="V182" s="28">
        <f t="shared" si="87"/>
        <v>0</v>
      </c>
      <c r="W182" s="118"/>
      <c r="X182" s="143">
        <f t="shared" si="88"/>
        <v>27.094999999999999</v>
      </c>
      <c r="Y182" s="121">
        <f>交易记录!K17</f>
        <v>7.8E-2</v>
      </c>
      <c r="Z182" s="121">
        <f>交易记录!K48</f>
        <v>372</v>
      </c>
      <c r="AA182" s="30">
        <f t="shared" si="72"/>
        <v>0</v>
      </c>
      <c r="AB182" s="124">
        <f>交易记录!K81</f>
        <v>0</v>
      </c>
      <c r="AC182" s="124">
        <f>交易记录!K112</f>
        <v>0</v>
      </c>
      <c r="AD182" s="30">
        <f t="shared" si="95"/>
        <v>0</v>
      </c>
      <c r="AE182" s="121">
        <f>交易记录!K145</f>
        <v>0</v>
      </c>
      <c r="AF182" s="121">
        <f>交易记录!K176</f>
        <v>0</v>
      </c>
      <c r="AG182" s="30">
        <f t="shared" si="91"/>
        <v>0</v>
      </c>
      <c r="AH182" s="124">
        <f>交易记录!K209</f>
        <v>0</v>
      </c>
      <c r="AI182" s="124">
        <f>交易记录!K240</f>
        <v>0</v>
      </c>
      <c r="AJ182" s="30">
        <f t="shared" si="94"/>
        <v>0</v>
      </c>
      <c r="AK182" s="121">
        <f>交易记录!K273</f>
        <v>0</v>
      </c>
      <c r="AL182" s="121">
        <f>交易记录!K304</f>
        <v>0</v>
      </c>
      <c r="AM182" s="30">
        <f t="shared" si="93"/>
        <v>0</v>
      </c>
      <c r="AN182" s="124">
        <f>交易记录!K337</f>
        <v>0</v>
      </c>
      <c r="AO182" s="124">
        <f>交易记录!K368</f>
        <v>0</v>
      </c>
      <c r="AP182" s="30">
        <f t="shared" si="90"/>
        <v>0</v>
      </c>
      <c r="AQ182" s="121">
        <f>交易记录!K401</f>
        <v>0</v>
      </c>
      <c r="AR182" s="121">
        <f>交易记录!K432</f>
        <v>0</v>
      </c>
      <c r="AS182" s="30">
        <f t="shared" si="92"/>
        <v>0</v>
      </c>
      <c r="AT182" s="124">
        <f>交易记录!K465</f>
        <v>0</v>
      </c>
      <c r="AU182" s="124">
        <f>交易记录!K496</f>
        <v>0</v>
      </c>
      <c r="AV182" s="30">
        <f t="shared" si="73"/>
        <v>0</v>
      </c>
      <c r="AW182" s="121">
        <f>交易记录!K529</f>
        <v>0</v>
      </c>
      <c r="AX182" s="121">
        <f>交易记录!K560</f>
        <v>0</v>
      </c>
      <c r="AY182" s="30">
        <f t="shared" si="74"/>
        <v>0</v>
      </c>
      <c r="AZ182" s="124">
        <f>交易记录!K593</f>
        <v>0</v>
      </c>
      <c r="BA182" s="124">
        <f>交易记录!K624</f>
        <v>0</v>
      </c>
      <c r="BB182" s="30">
        <f t="shared" si="75"/>
        <v>0</v>
      </c>
      <c r="BC182" s="121">
        <f>交易记录!K657</f>
        <v>0</v>
      </c>
      <c r="BD182" s="121">
        <f>交易记录!K688</f>
        <v>0</v>
      </c>
      <c r="BE182" s="30">
        <f t="shared" si="76"/>
        <v>0</v>
      </c>
      <c r="BF182" s="124">
        <f>交易记录!K721</f>
        <v>0</v>
      </c>
      <c r="BG182" s="124">
        <f>交易记录!K752</f>
        <v>0</v>
      </c>
      <c r="BH182" s="30">
        <f t="shared" si="77"/>
        <v>0</v>
      </c>
      <c r="BI182" s="121">
        <f>交易记录!K785</f>
        <v>0</v>
      </c>
      <c r="BJ182" s="121">
        <f>交易记录!K816</f>
        <v>0</v>
      </c>
      <c r="BK182" s="30">
        <f t="shared" si="78"/>
        <v>0</v>
      </c>
      <c r="BL182" s="124">
        <f>交易记录!K849</f>
        <v>0</v>
      </c>
      <c r="BM182" s="124">
        <f>交易记录!K880</f>
        <v>0</v>
      </c>
      <c r="BN182" s="30">
        <f t="shared" si="79"/>
        <v>0</v>
      </c>
      <c r="BO182" s="121">
        <f>交易记录!K913</f>
        <v>0</v>
      </c>
      <c r="BP182" s="121">
        <f>交易记录!K944</f>
        <v>0</v>
      </c>
      <c r="BQ182" s="30">
        <f t="shared" si="80"/>
        <v>0</v>
      </c>
    </row>
    <row r="183" spans="1:69" ht="15">
      <c r="A183" s="125">
        <f>'维护-日期'!A$10</f>
        <v>46273</v>
      </c>
      <c r="B183" s="7" t="s">
        <v>19</v>
      </c>
      <c r="C183" s="144">
        <f t="shared" si="81"/>
        <v>22.904</v>
      </c>
      <c r="D183" s="144">
        <f>ROUND(INDEX(持仓数据!$C$3:$AG$26,MATCH('计算过程-数据汇总'!B183,持仓数据!$B$3:$B$26,0),MATCH('计算过程-数据汇总'!A183,'维护-日期'!$B$2:$AF$2,0)),3)</f>
        <v>22.904</v>
      </c>
      <c r="E183" s="98">
        <f t="shared" si="82"/>
        <v>22.904</v>
      </c>
      <c r="F183" s="22">
        <f>持仓数据!J85</f>
        <v>0.19500000000000001</v>
      </c>
      <c r="G183" s="97">
        <v>372</v>
      </c>
      <c r="H183" s="97">
        <v>372</v>
      </c>
      <c r="I183" s="64">
        <v>0</v>
      </c>
      <c r="J183" s="64">
        <v>0</v>
      </c>
      <c r="K183" s="21">
        <f>IF(持仓数据!J118="",0,持仓数据!J118)</f>
        <v>372</v>
      </c>
      <c r="L183" s="21">
        <f t="shared" si="83"/>
        <v>0</v>
      </c>
      <c r="M183" s="28">
        <f t="shared" si="67"/>
        <v>8520.2880000000005</v>
      </c>
      <c r="N183" s="28">
        <f t="shared" si="68"/>
        <v>0</v>
      </c>
      <c r="O183" s="28">
        <f t="shared" si="69"/>
        <v>0</v>
      </c>
      <c r="P183" s="28">
        <f t="shared" si="70"/>
        <v>0</v>
      </c>
      <c r="Q183" s="28">
        <f t="shared" si="84"/>
        <v>0</v>
      </c>
      <c r="R183" s="28">
        <f t="shared" si="71"/>
        <v>8520.2880000000005</v>
      </c>
      <c r="S183" s="28">
        <f t="shared" si="85"/>
        <v>0</v>
      </c>
      <c r="T183" s="28">
        <f t="shared" si="86"/>
        <v>0</v>
      </c>
      <c r="U183" s="28">
        <f t="shared" si="89"/>
        <v>0</v>
      </c>
      <c r="V183" s="28">
        <f t="shared" si="87"/>
        <v>0</v>
      </c>
      <c r="W183" s="118"/>
      <c r="X183" s="143">
        <f t="shared" si="88"/>
        <v>27.29</v>
      </c>
      <c r="Y183" s="121">
        <f>交易记录!K18</f>
        <v>0.19500000000000001</v>
      </c>
      <c r="Z183" s="121">
        <f>交易记录!K49</f>
        <v>372</v>
      </c>
      <c r="AA183" s="30">
        <f t="shared" si="72"/>
        <v>0</v>
      </c>
      <c r="AB183" s="124">
        <f>交易记录!K82</f>
        <v>0</v>
      </c>
      <c r="AC183" s="124">
        <f>交易记录!K113</f>
        <v>0</v>
      </c>
      <c r="AD183" s="30">
        <f t="shared" si="95"/>
        <v>0</v>
      </c>
      <c r="AE183" s="121">
        <f>交易记录!K146</f>
        <v>0</v>
      </c>
      <c r="AF183" s="121">
        <f>交易记录!K177</f>
        <v>0</v>
      </c>
      <c r="AG183" s="30">
        <f t="shared" si="91"/>
        <v>0</v>
      </c>
      <c r="AH183" s="124">
        <f>交易记录!K210</f>
        <v>0</v>
      </c>
      <c r="AI183" s="124">
        <f>交易记录!K241</f>
        <v>0</v>
      </c>
      <c r="AJ183" s="30">
        <f t="shared" si="94"/>
        <v>0</v>
      </c>
      <c r="AK183" s="121">
        <f>交易记录!K274</f>
        <v>0</v>
      </c>
      <c r="AL183" s="121">
        <f>交易记录!K305</f>
        <v>0</v>
      </c>
      <c r="AM183" s="30">
        <f t="shared" si="93"/>
        <v>0</v>
      </c>
      <c r="AN183" s="124">
        <f>交易记录!K338</f>
        <v>0</v>
      </c>
      <c r="AO183" s="124">
        <f>交易记录!K369</f>
        <v>0</v>
      </c>
      <c r="AP183" s="30">
        <f t="shared" si="90"/>
        <v>0</v>
      </c>
      <c r="AQ183" s="121">
        <f>交易记录!K402</f>
        <v>0</v>
      </c>
      <c r="AR183" s="121">
        <f>交易记录!K433</f>
        <v>0</v>
      </c>
      <c r="AS183" s="30">
        <f t="shared" si="92"/>
        <v>0</v>
      </c>
      <c r="AT183" s="124">
        <f>交易记录!K466</f>
        <v>0</v>
      </c>
      <c r="AU183" s="124">
        <f>交易记录!K497</f>
        <v>0</v>
      </c>
      <c r="AV183" s="30">
        <f t="shared" si="73"/>
        <v>0</v>
      </c>
      <c r="AW183" s="121">
        <f>交易记录!K530</f>
        <v>0</v>
      </c>
      <c r="AX183" s="121">
        <f>交易记录!K561</f>
        <v>0</v>
      </c>
      <c r="AY183" s="30">
        <f t="shared" si="74"/>
        <v>0</v>
      </c>
      <c r="AZ183" s="124">
        <f>交易记录!K594</f>
        <v>0</v>
      </c>
      <c r="BA183" s="124">
        <f>交易记录!K625</f>
        <v>0</v>
      </c>
      <c r="BB183" s="30">
        <f t="shared" si="75"/>
        <v>0</v>
      </c>
      <c r="BC183" s="121">
        <f>交易记录!K658</f>
        <v>0</v>
      </c>
      <c r="BD183" s="121">
        <f>交易记录!K689</f>
        <v>0</v>
      </c>
      <c r="BE183" s="30">
        <f t="shared" si="76"/>
        <v>0</v>
      </c>
      <c r="BF183" s="124">
        <f>交易记录!K722</f>
        <v>0</v>
      </c>
      <c r="BG183" s="124">
        <f>交易记录!K753</f>
        <v>0</v>
      </c>
      <c r="BH183" s="30">
        <f t="shared" si="77"/>
        <v>0</v>
      </c>
      <c r="BI183" s="121">
        <f>交易记录!K786</f>
        <v>0</v>
      </c>
      <c r="BJ183" s="121">
        <f>交易记录!K817</f>
        <v>0</v>
      </c>
      <c r="BK183" s="30">
        <f t="shared" si="78"/>
        <v>0</v>
      </c>
      <c r="BL183" s="124">
        <f>交易记录!K850</f>
        <v>0</v>
      </c>
      <c r="BM183" s="124">
        <f>交易记录!K881</f>
        <v>0</v>
      </c>
      <c r="BN183" s="30">
        <f t="shared" si="79"/>
        <v>0</v>
      </c>
      <c r="BO183" s="121">
        <f>交易记录!K914</f>
        <v>0</v>
      </c>
      <c r="BP183" s="121">
        <f>交易记录!K945</f>
        <v>0</v>
      </c>
      <c r="BQ183" s="30">
        <f t="shared" si="80"/>
        <v>0</v>
      </c>
    </row>
    <row r="184" spans="1:69" ht="15">
      <c r="A184" s="125">
        <f>'维护-日期'!A$10</f>
        <v>46273</v>
      </c>
      <c r="B184" s="7" t="s">
        <v>20</v>
      </c>
      <c r="C184" s="144">
        <f t="shared" si="81"/>
        <v>22.071000000000002</v>
      </c>
      <c r="D184" s="144">
        <f>ROUND(INDEX(持仓数据!$C$3:$AG$26,MATCH('计算过程-数据汇总'!B184,持仓数据!$B$3:$B$26,0),MATCH('计算过程-数据汇总'!A184,'维护-日期'!$B$2:$AF$2,0)),3)</f>
        <v>22.071000000000002</v>
      </c>
      <c r="E184" s="98">
        <f t="shared" si="82"/>
        <v>22.071000000000002</v>
      </c>
      <c r="F184" s="22">
        <f>持仓数据!J86</f>
        <v>0.34599999999999997</v>
      </c>
      <c r="G184" s="97">
        <v>372</v>
      </c>
      <c r="H184" s="97">
        <v>372</v>
      </c>
      <c r="I184" s="64">
        <v>0</v>
      </c>
      <c r="J184" s="64">
        <v>0</v>
      </c>
      <c r="K184" s="21">
        <f>IF(持仓数据!J119="",0,持仓数据!J119)</f>
        <v>372</v>
      </c>
      <c r="L184" s="21">
        <f t="shared" si="83"/>
        <v>0</v>
      </c>
      <c r="M184" s="28">
        <f t="shared" si="67"/>
        <v>8210.4120000000003</v>
      </c>
      <c r="N184" s="28">
        <f t="shared" si="68"/>
        <v>0</v>
      </c>
      <c r="O184" s="28">
        <f t="shared" si="69"/>
        <v>0</v>
      </c>
      <c r="P184" s="28">
        <f t="shared" si="70"/>
        <v>0</v>
      </c>
      <c r="Q184" s="28">
        <f t="shared" si="84"/>
        <v>0</v>
      </c>
      <c r="R184" s="28">
        <f t="shared" si="71"/>
        <v>8210.4120000000003</v>
      </c>
      <c r="S184" s="28">
        <f t="shared" si="85"/>
        <v>0</v>
      </c>
      <c r="T184" s="28">
        <f t="shared" si="86"/>
        <v>0</v>
      </c>
      <c r="U184" s="28">
        <f t="shared" si="89"/>
        <v>0</v>
      </c>
      <c r="V184" s="28">
        <f t="shared" si="87"/>
        <v>0</v>
      </c>
      <c r="W184" s="118"/>
      <c r="X184" s="143">
        <f t="shared" si="88"/>
        <v>26.138999999999999</v>
      </c>
      <c r="Y184" s="121">
        <f>交易记录!K19</f>
        <v>0.34599999999999997</v>
      </c>
      <c r="Z184" s="121">
        <f>交易记录!K50</f>
        <v>372</v>
      </c>
      <c r="AA184" s="30">
        <f t="shared" si="72"/>
        <v>0</v>
      </c>
      <c r="AB184" s="124">
        <f>交易记录!K83</f>
        <v>0</v>
      </c>
      <c r="AC184" s="124">
        <f>交易记录!K114</f>
        <v>0</v>
      </c>
      <c r="AD184" s="30">
        <f t="shared" si="95"/>
        <v>0</v>
      </c>
      <c r="AE184" s="121">
        <f>交易记录!K147</f>
        <v>0</v>
      </c>
      <c r="AF184" s="121">
        <f>交易记录!K178</f>
        <v>0</v>
      </c>
      <c r="AG184" s="30">
        <f t="shared" si="91"/>
        <v>0</v>
      </c>
      <c r="AH184" s="124">
        <f>交易记录!K211</f>
        <v>0</v>
      </c>
      <c r="AI184" s="124">
        <f>交易记录!K242</f>
        <v>0</v>
      </c>
      <c r="AJ184" s="30">
        <f t="shared" si="94"/>
        <v>0</v>
      </c>
      <c r="AK184" s="121">
        <f>交易记录!K275</f>
        <v>0</v>
      </c>
      <c r="AL184" s="121">
        <f>交易记录!K306</f>
        <v>0</v>
      </c>
      <c r="AM184" s="30">
        <f t="shared" si="93"/>
        <v>0</v>
      </c>
      <c r="AN184" s="124">
        <f>交易记录!K339</f>
        <v>0</v>
      </c>
      <c r="AO184" s="124">
        <f>交易记录!K370</f>
        <v>0</v>
      </c>
      <c r="AP184" s="30">
        <f t="shared" si="90"/>
        <v>0</v>
      </c>
      <c r="AQ184" s="121">
        <f>交易记录!K403</f>
        <v>0</v>
      </c>
      <c r="AR184" s="121">
        <f>交易记录!K434</f>
        <v>0</v>
      </c>
      <c r="AS184" s="30">
        <f t="shared" si="92"/>
        <v>0</v>
      </c>
      <c r="AT184" s="124">
        <f>交易记录!K467</f>
        <v>0</v>
      </c>
      <c r="AU184" s="124">
        <f>交易记录!K498</f>
        <v>0</v>
      </c>
      <c r="AV184" s="30">
        <f t="shared" si="73"/>
        <v>0</v>
      </c>
      <c r="AW184" s="121">
        <f>交易记录!K531</f>
        <v>0</v>
      </c>
      <c r="AX184" s="121">
        <f>交易记录!K562</f>
        <v>0</v>
      </c>
      <c r="AY184" s="30">
        <f t="shared" si="74"/>
        <v>0</v>
      </c>
      <c r="AZ184" s="124">
        <f>交易记录!K595</f>
        <v>0</v>
      </c>
      <c r="BA184" s="124">
        <f>交易记录!K626</f>
        <v>0</v>
      </c>
      <c r="BB184" s="30">
        <f t="shared" si="75"/>
        <v>0</v>
      </c>
      <c r="BC184" s="121">
        <f>交易记录!K659</f>
        <v>0</v>
      </c>
      <c r="BD184" s="121">
        <f>交易记录!K690</f>
        <v>0</v>
      </c>
      <c r="BE184" s="30">
        <f t="shared" si="76"/>
        <v>0</v>
      </c>
      <c r="BF184" s="124">
        <f>交易记录!K723</f>
        <v>0</v>
      </c>
      <c r="BG184" s="124">
        <f>交易记录!K754</f>
        <v>0</v>
      </c>
      <c r="BH184" s="30">
        <f t="shared" si="77"/>
        <v>0</v>
      </c>
      <c r="BI184" s="121">
        <f>交易记录!K787</f>
        <v>0</v>
      </c>
      <c r="BJ184" s="121">
        <f>交易记录!K818</f>
        <v>0</v>
      </c>
      <c r="BK184" s="30">
        <f t="shared" si="78"/>
        <v>0</v>
      </c>
      <c r="BL184" s="124">
        <f>交易记录!K851</f>
        <v>0</v>
      </c>
      <c r="BM184" s="124">
        <f>交易记录!K882</f>
        <v>0</v>
      </c>
      <c r="BN184" s="30">
        <f t="shared" si="79"/>
        <v>0</v>
      </c>
      <c r="BO184" s="121">
        <f>交易记录!K915</f>
        <v>0</v>
      </c>
      <c r="BP184" s="121">
        <f>交易记录!K946</f>
        <v>0</v>
      </c>
      <c r="BQ184" s="30">
        <f t="shared" si="80"/>
        <v>0</v>
      </c>
    </row>
    <row r="185" spans="1:69" ht="15">
      <c r="A185" s="125">
        <f>'维护-日期'!A$10</f>
        <v>46273</v>
      </c>
      <c r="B185" s="7" t="s">
        <v>21</v>
      </c>
      <c r="C185" s="144">
        <f t="shared" si="81"/>
        <v>22.087</v>
      </c>
      <c r="D185" s="144">
        <f>ROUND(INDEX(持仓数据!$C$3:$AG$26,MATCH('计算过程-数据汇总'!B185,持仓数据!$B$3:$B$26,0),MATCH('计算过程-数据汇总'!A185,'维护-日期'!$B$2:$AF$2,0)),3)</f>
        <v>22.087</v>
      </c>
      <c r="E185" s="98">
        <f t="shared" si="82"/>
        <v>22.087</v>
      </c>
      <c r="F185" s="22">
        <f>持仓数据!J87</f>
        <v>0.38</v>
      </c>
      <c r="G185" s="97">
        <v>372</v>
      </c>
      <c r="H185" s="97">
        <v>372</v>
      </c>
      <c r="I185" s="64">
        <v>0</v>
      </c>
      <c r="J185" s="64">
        <v>0</v>
      </c>
      <c r="K185" s="21">
        <f>IF(持仓数据!J120="",0,持仓数据!J120)</f>
        <v>372.00000000000006</v>
      </c>
      <c r="L185" s="21">
        <f t="shared" si="83"/>
        <v>0</v>
      </c>
      <c r="M185" s="28">
        <f t="shared" si="67"/>
        <v>8216.3639999999996</v>
      </c>
      <c r="N185" s="28">
        <f t="shared" si="68"/>
        <v>0</v>
      </c>
      <c r="O185" s="28">
        <f t="shared" si="69"/>
        <v>0</v>
      </c>
      <c r="P185" s="28">
        <f t="shared" si="70"/>
        <v>2.1600499167107046E-14</v>
      </c>
      <c r="Q185" s="28">
        <f t="shared" si="84"/>
        <v>0</v>
      </c>
      <c r="R185" s="28">
        <f t="shared" si="71"/>
        <v>8216.3640000000014</v>
      </c>
      <c r="S185" s="28">
        <f t="shared" si="85"/>
        <v>0</v>
      </c>
      <c r="T185" s="28">
        <f t="shared" si="86"/>
        <v>-1.2339000932115596E-12</v>
      </c>
      <c r="U185" s="28">
        <f t="shared" si="89"/>
        <v>0</v>
      </c>
      <c r="V185" s="28">
        <f t="shared" si="87"/>
        <v>0</v>
      </c>
      <c r="W185" s="118"/>
      <c r="X185" s="143">
        <f t="shared" si="88"/>
        <v>26.123999999999999</v>
      </c>
      <c r="Y185" s="121">
        <f>交易记录!K20</f>
        <v>0.38</v>
      </c>
      <c r="Z185" s="121">
        <f>交易记录!K51</f>
        <v>372</v>
      </c>
      <c r="AA185" s="30">
        <f t="shared" si="72"/>
        <v>0</v>
      </c>
      <c r="AB185" s="124">
        <f>交易记录!K84</f>
        <v>0</v>
      </c>
      <c r="AC185" s="124">
        <f>交易记录!K115</f>
        <v>0</v>
      </c>
      <c r="AD185" s="30">
        <f t="shared" si="95"/>
        <v>0</v>
      </c>
      <c r="AE185" s="121">
        <f>交易记录!K148</f>
        <v>0</v>
      </c>
      <c r="AF185" s="121">
        <f>交易记录!K179</f>
        <v>0</v>
      </c>
      <c r="AG185" s="30">
        <f t="shared" si="91"/>
        <v>0</v>
      </c>
      <c r="AH185" s="124">
        <f>交易记录!K212</f>
        <v>0</v>
      </c>
      <c r="AI185" s="124">
        <f>交易记录!K243</f>
        <v>0</v>
      </c>
      <c r="AJ185" s="30">
        <f t="shared" si="94"/>
        <v>0</v>
      </c>
      <c r="AK185" s="121">
        <f>交易记录!K276</f>
        <v>0</v>
      </c>
      <c r="AL185" s="121">
        <f>交易记录!K307</f>
        <v>0</v>
      </c>
      <c r="AM185" s="30">
        <f t="shared" si="93"/>
        <v>0</v>
      </c>
      <c r="AN185" s="124">
        <f>交易记录!K340</f>
        <v>0</v>
      </c>
      <c r="AO185" s="124">
        <f>交易记录!K371</f>
        <v>0</v>
      </c>
      <c r="AP185" s="30">
        <f t="shared" si="90"/>
        <v>0</v>
      </c>
      <c r="AQ185" s="121">
        <f>交易记录!K404</f>
        <v>0</v>
      </c>
      <c r="AR185" s="121">
        <f>交易记录!K435</f>
        <v>0</v>
      </c>
      <c r="AS185" s="30">
        <f t="shared" si="92"/>
        <v>0</v>
      </c>
      <c r="AT185" s="124">
        <f>交易记录!K468</f>
        <v>0</v>
      </c>
      <c r="AU185" s="124">
        <f>交易记录!K499</f>
        <v>0</v>
      </c>
      <c r="AV185" s="30">
        <f t="shared" si="73"/>
        <v>0</v>
      </c>
      <c r="AW185" s="121">
        <f>交易记录!K532</f>
        <v>0</v>
      </c>
      <c r="AX185" s="121">
        <f>交易记录!K563</f>
        <v>0</v>
      </c>
      <c r="AY185" s="30">
        <f t="shared" si="74"/>
        <v>0</v>
      </c>
      <c r="AZ185" s="124">
        <f>交易记录!K596</f>
        <v>0</v>
      </c>
      <c r="BA185" s="124">
        <f>交易记录!K627</f>
        <v>0</v>
      </c>
      <c r="BB185" s="30">
        <f t="shared" si="75"/>
        <v>0</v>
      </c>
      <c r="BC185" s="121">
        <f>交易记录!K660</f>
        <v>0</v>
      </c>
      <c r="BD185" s="121">
        <f>交易记录!K691</f>
        <v>0</v>
      </c>
      <c r="BE185" s="30">
        <f t="shared" si="76"/>
        <v>0</v>
      </c>
      <c r="BF185" s="124">
        <f>交易记录!K724</f>
        <v>0</v>
      </c>
      <c r="BG185" s="124">
        <f>交易记录!K755</f>
        <v>0</v>
      </c>
      <c r="BH185" s="30">
        <f t="shared" si="77"/>
        <v>0</v>
      </c>
      <c r="BI185" s="121">
        <f>交易记录!K788</f>
        <v>0</v>
      </c>
      <c r="BJ185" s="121">
        <f>交易记录!K819</f>
        <v>0</v>
      </c>
      <c r="BK185" s="30">
        <f t="shared" si="78"/>
        <v>0</v>
      </c>
      <c r="BL185" s="124">
        <f>交易记录!K852</f>
        <v>0</v>
      </c>
      <c r="BM185" s="124">
        <f>交易记录!K883</f>
        <v>0</v>
      </c>
      <c r="BN185" s="30">
        <f t="shared" si="79"/>
        <v>0</v>
      </c>
      <c r="BO185" s="121">
        <f>交易记录!K916</f>
        <v>0</v>
      </c>
      <c r="BP185" s="121">
        <f>交易记录!K947</f>
        <v>0</v>
      </c>
      <c r="BQ185" s="30">
        <f t="shared" si="80"/>
        <v>0</v>
      </c>
    </row>
    <row r="186" spans="1:69" ht="15">
      <c r="A186" s="125">
        <f>'维护-日期'!A$10</f>
        <v>46273</v>
      </c>
      <c r="B186" s="7" t="s">
        <v>22</v>
      </c>
      <c r="C186" s="144">
        <f t="shared" si="81"/>
        <v>23.077999999999999</v>
      </c>
      <c r="D186" s="144">
        <f>ROUND(INDEX(持仓数据!$C$3:$AG$26,MATCH('计算过程-数据汇总'!B186,持仓数据!$B$3:$B$26,0),MATCH('计算过程-数据汇总'!A186,'维护-日期'!$B$2:$AF$2,0)),3)</f>
        <v>23.077999999999999</v>
      </c>
      <c r="E186" s="98">
        <f t="shared" si="82"/>
        <v>23.077999999999999</v>
      </c>
      <c r="F186" s="22">
        <f>持仓数据!J88</f>
        <v>0.58600000000000008</v>
      </c>
      <c r="G186" s="97">
        <v>372</v>
      </c>
      <c r="H186" s="97">
        <v>372</v>
      </c>
      <c r="I186" s="64">
        <v>0</v>
      </c>
      <c r="J186" s="64">
        <v>0</v>
      </c>
      <c r="K186" s="21">
        <f>IF(持仓数据!J121="",0,持仓数据!J121)</f>
        <v>372</v>
      </c>
      <c r="L186" s="21">
        <f t="shared" si="83"/>
        <v>0</v>
      </c>
      <c r="M186" s="28">
        <f t="shared" si="67"/>
        <v>8585.0159999999996</v>
      </c>
      <c r="N186" s="28">
        <f t="shared" si="68"/>
        <v>0</v>
      </c>
      <c r="O186" s="28">
        <f t="shared" si="69"/>
        <v>0</v>
      </c>
      <c r="P186" s="28">
        <f t="shared" si="70"/>
        <v>0</v>
      </c>
      <c r="Q186" s="28">
        <f t="shared" si="84"/>
        <v>0</v>
      </c>
      <c r="R186" s="28">
        <f t="shared" si="71"/>
        <v>8585.0159999999996</v>
      </c>
      <c r="S186" s="28">
        <f t="shared" si="85"/>
        <v>0</v>
      </c>
      <c r="T186" s="28">
        <f t="shared" si="86"/>
        <v>0</v>
      </c>
      <c r="U186" s="28">
        <f t="shared" si="89"/>
        <v>0</v>
      </c>
      <c r="V186" s="28">
        <f t="shared" si="87"/>
        <v>0</v>
      </c>
      <c r="W186" s="118"/>
      <c r="X186" s="143">
        <f t="shared" si="88"/>
        <v>27.108000000000001</v>
      </c>
      <c r="Y186" s="121">
        <f>交易记录!K21</f>
        <v>0.58600000000000008</v>
      </c>
      <c r="Z186" s="121">
        <f>交易记录!K52</f>
        <v>372</v>
      </c>
      <c r="AA186" s="30">
        <f t="shared" si="72"/>
        <v>0</v>
      </c>
      <c r="AB186" s="124">
        <f>交易记录!K85</f>
        <v>0</v>
      </c>
      <c r="AC186" s="124">
        <f>交易记录!K116</f>
        <v>0</v>
      </c>
      <c r="AD186" s="30">
        <f t="shared" si="95"/>
        <v>0</v>
      </c>
      <c r="AE186" s="121">
        <f>交易记录!K149</f>
        <v>0</v>
      </c>
      <c r="AF186" s="121">
        <f>交易记录!K180</f>
        <v>0</v>
      </c>
      <c r="AG186" s="30">
        <f t="shared" si="91"/>
        <v>0</v>
      </c>
      <c r="AH186" s="124">
        <f>交易记录!K213</f>
        <v>0</v>
      </c>
      <c r="AI186" s="124">
        <f>交易记录!K244</f>
        <v>0</v>
      </c>
      <c r="AJ186" s="30">
        <f t="shared" si="94"/>
        <v>0</v>
      </c>
      <c r="AK186" s="121">
        <f>交易记录!K277</f>
        <v>0</v>
      </c>
      <c r="AL186" s="121">
        <f>交易记录!K308</f>
        <v>0</v>
      </c>
      <c r="AM186" s="30">
        <f t="shared" si="93"/>
        <v>0</v>
      </c>
      <c r="AN186" s="124">
        <f>交易记录!K341</f>
        <v>0</v>
      </c>
      <c r="AO186" s="124">
        <f>交易记录!K372</f>
        <v>0</v>
      </c>
      <c r="AP186" s="30">
        <f t="shared" si="90"/>
        <v>0</v>
      </c>
      <c r="AQ186" s="121">
        <f>交易记录!K405</f>
        <v>0</v>
      </c>
      <c r="AR186" s="121">
        <f>交易记录!K436</f>
        <v>0</v>
      </c>
      <c r="AS186" s="30">
        <f t="shared" si="92"/>
        <v>0</v>
      </c>
      <c r="AT186" s="124">
        <f>交易记录!K469</f>
        <v>0</v>
      </c>
      <c r="AU186" s="124">
        <f>交易记录!K500</f>
        <v>0</v>
      </c>
      <c r="AV186" s="30">
        <f t="shared" si="73"/>
        <v>0</v>
      </c>
      <c r="AW186" s="121">
        <f>交易记录!K533</f>
        <v>0</v>
      </c>
      <c r="AX186" s="121">
        <f>交易记录!K564</f>
        <v>0</v>
      </c>
      <c r="AY186" s="30">
        <f t="shared" si="74"/>
        <v>0</v>
      </c>
      <c r="AZ186" s="124">
        <f>交易记录!K597</f>
        <v>0</v>
      </c>
      <c r="BA186" s="124">
        <f>交易记录!K628</f>
        <v>0</v>
      </c>
      <c r="BB186" s="30">
        <f t="shared" si="75"/>
        <v>0</v>
      </c>
      <c r="BC186" s="121">
        <f>交易记录!K661</f>
        <v>0</v>
      </c>
      <c r="BD186" s="121">
        <f>交易记录!K692</f>
        <v>0</v>
      </c>
      <c r="BE186" s="30">
        <f t="shared" si="76"/>
        <v>0</v>
      </c>
      <c r="BF186" s="124">
        <f>交易记录!K725</f>
        <v>0</v>
      </c>
      <c r="BG186" s="124">
        <f>交易记录!K756</f>
        <v>0</v>
      </c>
      <c r="BH186" s="30">
        <f t="shared" si="77"/>
        <v>0</v>
      </c>
      <c r="BI186" s="121">
        <f>交易记录!K789</f>
        <v>0</v>
      </c>
      <c r="BJ186" s="121">
        <f>交易记录!K820</f>
        <v>0</v>
      </c>
      <c r="BK186" s="30">
        <f t="shared" si="78"/>
        <v>0</v>
      </c>
      <c r="BL186" s="124">
        <f>交易记录!K853</f>
        <v>0</v>
      </c>
      <c r="BM186" s="124">
        <f>交易记录!K884</f>
        <v>0</v>
      </c>
      <c r="BN186" s="30">
        <f t="shared" si="79"/>
        <v>0</v>
      </c>
      <c r="BO186" s="121">
        <f>交易记录!K917</f>
        <v>0</v>
      </c>
      <c r="BP186" s="121">
        <f>交易记录!K948</f>
        <v>0</v>
      </c>
      <c r="BQ186" s="30">
        <f t="shared" si="80"/>
        <v>0</v>
      </c>
    </row>
    <row r="187" spans="1:69" ht="15">
      <c r="A187" s="125">
        <f>'维护-日期'!A$10</f>
        <v>46273</v>
      </c>
      <c r="B187" s="7" t="s">
        <v>23</v>
      </c>
      <c r="C187" s="144">
        <f t="shared" si="81"/>
        <v>23.443000000000001</v>
      </c>
      <c r="D187" s="144">
        <f>ROUND(INDEX(持仓数据!$C$3:$AG$26,MATCH('计算过程-数据汇总'!B187,持仓数据!$B$3:$B$26,0),MATCH('计算过程-数据汇总'!A187,'维护-日期'!$B$2:$AF$2,0)),3)</f>
        <v>23.443000000000001</v>
      </c>
      <c r="E187" s="98">
        <f t="shared" si="82"/>
        <v>23.443000000000001</v>
      </c>
      <c r="F187" s="22">
        <f>持仓数据!J89</f>
        <v>0.63300000000000001</v>
      </c>
      <c r="G187" s="97">
        <v>372</v>
      </c>
      <c r="H187" s="97">
        <v>372</v>
      </c>
      <c r="I187" s="64">
        <v>0</v>
      </c>
      <c r="J187" s="64">
        <v>0</v>
      </c>
      <c r="K187" s="21">
        <f>IF(持仓数据!J122="",0,持仓数据!J122)</f>
        <v>372</v>
      </c>
      <c r="L187" s="21">
        <f t="shared" si="83"/>
        <v>0</v>
      </c>
      <c r="M187" s="28">
        <f t="shared" si="67"/>
        <v>8720.7960000000003</v>
      </c>
      <c r="N187" s="28">
        <f t="shared" si="68"/>
        <v>0</v>
      </c>
      <c r="O187" s="28">
        <f t="shared" si="69"/>
        <v>0</v>
      </c>
      <c r="P187" s="28">
        <f t="shared" si="70"/>
        <v>0</v>
      </c>
      <c r="Q187" s="28">
        <f t="shared" si="84"/>
        <v>0</v>
      </c>
      <c r="R187" s="28">
        <f t="shared" si="71"/>
        <v>8720.7960000000003</v>
      </c>
      <c r="S187" s="28">
        <f t="shared" si="85"/>
        <v>0</v>
      </c>
      <c r="T187" s="28">
        <f t="shared" si="86"/>
        <v>0</v>
      </c>
      <c r="U187" s="28">
        <f t="shared" si="89"/>
        <v>0</v>
      </c>
      <c r="V187" s="28">
        <f t="shared" si="87"/>
        <v>0</v>
      </c>
      <c r="W187" s="118"/>
      <c r="X187" s="143">
        <f t="shared" si="88"/>
        <v>27.498999999999999</v>
      </c>
      <c r="Y187" s="121">
        <f>交易记录!K22</f>
        <v>0.63300000000000001</v>
      </c>
      <c r="Z187" s="121">
        <f>交易记录!K53</f>
        <v>372</v>
      </c>
      <c r="AA187" s="30">
        <f t="shared" si="72"/>
        <v>0</v>
      </c>
      <c r="AB187" s="124">
        <f>交易记录!K86</f>
        <v>0</v>
      </c>
      <c r="AC187" s="124">
        <f>交易记录!K117</f>
        <v>0</v>
      </c>
      <c r="AD187" s="30">
        <f t="shared" si="95"/>
        <v>0</v>
      </c>
      <c r="AE187" s="121">
        <f>交易记录!K150</f>
        <v>0</v>
      </c>
      <c r="AF187" s="121">
        <f>交易记录!K181</f>
        <v>0</v>
      </c>
      <c r="AG187" s="30">
        <f t="shared" si="91"/>
        <v>0</v>
      </c>
      <c r="AH187" s="124">
        <f>交易记录!K214</f>
        <v>0</v>
      </c>
      <c r="AI187" s="124">
        <f>交易记录!K245</f>
        <v>0</v>
      </c>
      <c r="AJ187" s="30">
        <f t="shared" si="94"/>
        <v>0</v>
      </c>
      <c r="AK187" s="121">
        <f>交易记录!K278</f>
        <v>0</v>
      </c>
      <c r="AL187" s="121">
        <f>交易记录!K309</f>
        <v>0</v>
      </c>
      <c r="AM187" s="30">
        <f t="shared" si="93"/>
        <v>0</v>
      </c>
      <c r="AN187" s="124">
        <f>交易记录!K342</f>
        <v>0</v>
      </c>
      <c r="AO187" s="124">
        <f>交易记录!K373</f>
        <v>0</v>
      </c>
      <c r="AP187" s="30">
        <f t="shared" si="90"/>
        <v>0</v>
      </c>
      <c r="AQ187" s="121">
        <f>交易记录!K406</f>
        <v>0</v>
      </c>
      <c r="AR187" s="121">
        <f>交易记录!K437</f>
        <v>0</v>
      </c>
      <c r="AS187" s="30">
        <f t="shared" si="92"/>
        <v>0</v>
      </c>
      <c r="AT187" s="124">
        <f>交易记录!K470</f>
        <v>0</v>
      </c>
      <c r="AU187" s="124">
        <f>交易记录!K501</f>
        <v>0</v>
      </c>
      <c r="AV187" s="30">
        <f t="shared" si="73"/>
        <v>0</v>
      </c>
      <c r="AW187" s="121">
        <f>交易记录!K534</f>
        <v>0</v>
      </c>
      <c r="AX187" s="121">
        <f>交易记录!K565</f>
        <v>0</v>
      </c>
      <c r="AY187" s="30">
        <f t="shared" si="74"/>
        <v>0</v>
      </c>
      <c r="AZ187" s="124">
        <f>交易记录!K598</f>
        <v>0</v>
      </c>
      <c r="BA187" s="124">
        <f>交易记录!K629</f>
        <v>0</v>
      </c>
      <c r="BB187" s="30">
        <f t="shared" si="75"/>
        <v>0</v>
      </c>
      <c r="BC187" s="121">
        <f>交易记录!K662</f>
        <v>0</v>
      </c>
      <c r="BD187" s="121">
        <f>交易记录!K693</f>
        <v>0</v>
      </c>
      <c r="BE187" s="30">
        <f t="shared" si="76"/>
        <v>0</v>
      </c>
      <c r="BF187" s="124">
        <f>交易记录!K726</f>
        <v>0</v>
      </c>
      <c r="BG187" s="124">
        <f>交易记录!K757</f>
        <v>0</v>
      </c>
      <c r="BH187" s="30">
        <f t="shared" si="77"/>
        <v>0</v>
      </c>
      <c r="BI187" s="121">
        <f>交易记录!K790</f>
        <v>0</v>
      </c>
      <c r="BJ187" s="121">
        <f>交易记录!K821</f>
        <v>0</v>
      </c>
      <c r="BK187" s="30">
        <f t="shared" si="78"/>
        <v>0</v>
      </c>
      <c r="BL187" s="124">
        <f>交易记录!K854</f>
        <v>0</v>
      </c>
      <c r="BM187" s="124">
        <f>交易记录!K885</f>
        <v>0</v>
      </c>
      <c r="BN187" s="30">
        <f t="shared" si="79"/>
        <v>0</v>
      </c>
      <c r="BO187" s="121">
        <f>交易记录!K918</f>
        <v>0</v>
      </c>
      <c r="BP187" s="121">
        <f>交易记录!K949</f>
        <v>0</v>
      </c>
      <c r="BQ187" s="30">
        <f t="shared" si="80"/>
        <v>0</v>
      </c>
    </row>
    <row r="188" spans="1:69" ht="15">
      <c r="A188" s="125">
        <f>'维护-日期'!A$10</f>
        <v>46273</v>
      </c>
      <c r="B188" s="7" t="s">
        <v>24</v>
      </c>
      <c r="C188" s="144">
        <f t="shared" si="81"/>
        <v>23.85</v>
      </c>
      <c r="D188" s="144">
        <f>ROUND(INDEX(持仓数据!$C$3:$AG$26,MATCH('计算过程-数据汇总'!B188,持仓数据!$B$3:$B$26,0),MATCH('计算过程-数据汇总'!A188,'维护-日期'!$B$2:$AF$2,0)),3)</f>
        <v>23.85</v>
      </c>
      <c r="E188" s="98">
        <f t="shared" si="82"/>
        <v>23.85</v>
      </c>
      <c r="F188" s="22">
        <f>持仓数据!J90</f>
        <v>0.45400000000000001</v>
      </c>
      <c r="G188" s="97">
        <v>372</v>
      </c>
      <c r="H188" s="97">
        <v>372</v>
      </c>
      <c r="I188" s="64">
        <v>0</v>
      </c>
      <c r="J188" s="64">
        <v>0</v>
      </c>
      <c r="K188" s="21">
        <f>IF(持仓数据!J123="",0,持仓数据!J123)</f>
        <v>372</v>
      </c>
      <c r="L188" s="21">
        <f t="shared" si="83"/>
        <v>0</v>
      </c>
      <c r="M188" s="28">
        <f t="shared" si="67"/>
        <v>8872.2000000000007</v>
      </c>
      <c r="N188" s="28">
        <f t="shared" si="68"/>
        <v>0</v>
      </c>
      <c r="O188" s="28">
        <f t="shared" si="69"/>
        <v>0</v>
      </c>
      <c r="P188" s="28">
        <f t="shared" si="70"/>
        <v>0</v>
      </c>
      <c r="Q188" s="28">
        <f t="shared" si="84"/>
        <v>0</v>
      </c>
      <c r="R188" s="28">
        <f t="shared" si="71"/>
        <v>8872.2000000000007</v>
      </c>
      <c r="S188" s="28">
        <f t="shared" si="85"/>
        <v>0</v>
      </c>
      <c r="T188" s="28">
        <f t="shared" si="86"/>
        <v>0</v>
      </c>
      <c r="U188" s="28">
        <f t="shared" si="89"/>
        <v>0</v>
      </c>
      <c r="V188" s="28">
        <f t="shared" si="87"/>
        <v>0</v>
      </c>
      <c r="W188" s="118"/>
      <c r="X188" s="143">
        <f t="shared" si="88"/>
        <v>28.166</v>
      </c>
      <c r="Y188" s="121">
        <f>交易记录!K23</f>
        <v>0.45400000000000001</v>
      </c>
      <c r="Z188" s="121">
        <f>交易记录!K54</f>
        <v>372</v>
      </c>
      <c r="AA188" s="30">
        <f t="shared" si="72"/>
        <v>0</v>
      </c>
      <c r="AB188" s="124">
        <f>交易记录!K87</f>
        <v>0</v>
      </c>
      <c r="AC188" s="124">
        <f>交易记录!K118</f>
        <v>0</v>
      </c>
      <c r="AD188" s="30">
        <f t="shared" si="95"/>
        <v>0</v>
      </c>
      <c r="AE188" s="121">
        <f>交易记录!K151</f>
        <v>0</v>
      </c>
      <c r="AF188" s="121">
        <f>交易记录!K182</f>
        <v>0</v>
      </c>
      <c r="AG188" s="30">
        <f t="shared" si="91"/>
        <v>0</v>
      </c>
      <c r="AH188" s="124">
        <f>交易记录!K215</f>
        <v>0</v>
      </c>
      <c r="AI188" s="124">
        <f>交易记录!K246</f>
        <v>0</v>
      </c>
      <c r="AJ188" s="30">
        <f t="shared" si="94"/>
        <v>0</v>
      </c>
      <c r="AK188" s="121">
        <f>交易记录!K279</f>
        <v>0</v>
      </c>
      <c r="AL188" s="121">
        <f>交易记录!K310</f>
        <v>0</v>
      </c>
      <c r="AM188" s="30">
        <f t="shared" si="93"/>
        <v>0</v>
      </c>
      <c r="AN188" s="124">
        <f>交易记录!K343</f>
        <v>0</v>
      </c>
      <c r="AO188" s="124">
        <f>交易记录!K374</f>
        <v>0</v>
      </c>
      <c r="AP188" s="30">
        <f t="shared" si="90"/>
        <v>0</v>
      </c>
      <c r="AQ188" s="121">
        <f>交易记录!K407</f>
        <v>0</v>
      </c>
      <c r="AR188" s="121">
        <f>交易记录!K438</f>
        <v>0</v>
      </c>
      <c r="AS188" s="30">
        <f t="shared" si="92"/>
        <v>0</v>
      </c>
      <c r="AT188" s="124">
        <f>交易记录!K471</f>
        <v>0</v>
      </c>
      <c r="AU188" s="124">
        <f>交易记录!K502</f>
        <v>0</v>
      </c>
      <c r="AV188" s="30">
        <f t="shared" si="73"/>
        <v>0</v>
      </c>
      <c r="AW188" s="121">
        <f>交易记录!K535</f>
        <v>0</v>
      </c>
      <c r="AX188" s="121">
        <f>交易记录!K566</f>
        <v>0</v>
      </c>
      <c r="AY188" s="30">
        <f t="shared" si="74"/>
        <v>0</v>
      </c>
      <c r="AZ188" s="124">
        <f>交易记录!K599</f>
        <v>0</v>
      </c>
      <c r="BA188" s="124">
        <f>交易记录!K630</f>
        <v>0</v>
      </c>
      <c r="BB188" s="30">
        <f t="shared" si="75"/>
        <v>0</v>
      </c>
      <c r="BC188" s="121">
        <f>交易记录!K663</f>
        <v>0</v>
      </c>
      <c r="BD188" s="121">
        <f>交易记录!K694</f>
        <v>0</v>
      </c>
      <c r="BE188" s="30">
        <f t="shared" si="76"/>
        <v>0</v>
      </c>
      <c r="BF188" s="124">
        <f>交易记录!K727</f>
        <v>0</v>
      </c>
      <c r="BG188" s="124">
        <f>交易记录!K758</f>
        <v>0</v>
      </c>
      <c r="BH188" s="30">
        <f t="shared" si="77"/>
        <v>0</v>
      </c>
      <c r="BI188" s="121">
        <f>交易记录!K791</f>
        <v>0</v>
      </c>
      <c r="BJ188" s="121">
        <f>交易记录!K822</f>
        <v>0</v>
      </c>
      <c r="BK188" s="30">
        <f t="shared" si="78"/>
        <v>0</v>
      </c>
      <c r="BL188" s="124">
        <f>交易记录!K855</f>
        <v>0</v>
      </c>
      <c r="BM188" s="124">
        <f>交易记录!K886</f>
        <v>0</v>
      </c>
      <c r="BN188" s="30">
        <f t="shared" si="79"/>
        <v>0</v>
      </c>
      <c r="BO188" s="121">
        <f>交易记录!K919</f>
        <v>0</v>
      </c>
      <c r="BP188" s="121">
        <f>交易记录!K950</f>
        <v>0</v>
      </c>
      <c r="BQ188" s="30">
        <f t="shared" si="80"/>
        <v>0</v>
      </c>
    </row>
    <row r="189" spans="1:69" ht="15">
      <c r="A189" s="125">
        <f>'维护-日期'!A$10</f>
        <v>46273</v>
      </c>
      <c r="B189" s="7" t="s">
        <v>25</v>
      </c>
      <c r="C189" s="144">
        <f t="shared" si="81"/>
        <v>24.105</v>
      </c>
      <c r="D189" s="144">
        <f>ROUND(INDEX(持仓数据!$C$3:$AG$26,MATCH('计算过程-数据汇总'!B189,持仓数据!$B$3:$B$26,0),MATCH('计算过程-数据汇总'!A189,'维护-日期'!$B$2:$AF$2,0)),3)</f>
        <v>24.105</v>
      </c>
      <c r="E189" s="98">
        <f t="shared" si="82"/>
        <v>24.105</v>
      </c>
      <c r="F189" s="22">
        <f>持仓数据!J91</f>
        <v>1.1160000000000001</v>
      </c>
      <c r="G189" s="97">
        <v>372</v>
      </c>
      <c r="H189" s="97">
        <v>372</v>
      </c>
      <c r="I189" s="64">
        <v>0</v>
      </c>
      <c r="J189" s="64">
        <v>0</v>
      </c>
      <c r="K189" s="21">
        <f>IF(持仓数据!J124="",0,持仓数据!J124)</f>
        <v>372</v>
      </c>
      <c r="L189" s="21">
        <f t="shared" si="83"/>
        <v>0</v>
      </c>
      <c r="M189" s="28">
        <f t="shared" si="67"/>
        <v>8967.06</v>
      </c>
      <c r="N189" s="28">
        <f t="shared" si="68"/>
        <v>0</v>
      </c>
      <c r="O189" s="28">
        <f t="shared" si="69"/>
        <v>0</v>
      </c>
      <c r="P189" s="28">
        <f t="shared" si="70"/>
        <v>0</v>
      </c>
      <c r="Q189" s="28">
        <f t="shared" si="84"/>
        <v>0</v>
      </c>
      <c r="R189" s="28">
        <f t="shared" si="71"/>
        <v>8967.06</v>
      </c>
      <c r="S189" s="28">
        <f t="shared" si="85"/>
        <v>0</v>
      </c>
      <c r="T189" s="28">
        <f t="shared" si="86"/>
        <v>0</v>
      </c>
      <c r="U189" s="28">
        <f t="shared" si="89"/>
        <v>0</v>
      </c>
      <c r="V189" s="28">
        <f t="shared" si="87"/>
        <v>0</v>
      </c>
      <c r="W189" s="118"/>
      <c r="X189" s="143">
        <f t="shared" si="88"/>
        <v>27.81</v>
      </c>
      <c r="Y189" s="121">
        <f>交易记录!K24</f>
        <v>1.1160000000000001</v>
      </c>
      <c r="Z189" s="121">
        <f>交易记录!K55</f>
        <v>372</v>
      </c>
      <c r="AA189" s="30">
        <f t="shared" si="72"/>
        <v>0</v>
      </c>
      <c r="AB189" s="124">
        <f>交易记录!K88</f>
        <v>0</v>
      </c>
      <c r="AC189" s="124">
        <f>交易记录!K119</f>
        <v>0</v>
      </c>
      <c r="AD189" s="30">
        <f t="shared" si="95"/>
        <v>0</v>
      </c>
      <c r="AE189" s="121">
        <f>交易记录!K152</f>
        <v>0</v>
      </c>
      <c r="AF189" s="121">
        <f>交易记录!K183</f>
        <v>0</v>
      </c>
      <c r="AG189" s="30">
        <f t="shared" si="91"/>
        <v>0</v>
      </c>
      <c r="AH189" s="124">
        <f>交易记录!K216</f>
        <v>0</v>
      </c>
      <c r="AI189" s="124">
        <f>交易记录!K247</f>
        <v>0</v>
      </c>
      <c r="AJ189" s="30">
        <f t="shared" si="94"/>
        <v>0</v>
      </c>
      <c r="AK189" s="121">
        <f>交易记录!K280</f>
        <v>0</v>
      </c>
      <c r="AL189" s="121">
        <f>交易记录!K311</f>
        <v>0</v>
      </c>
      <c r="AM189" s="30">
        <f t="shared" si="93"/>
        <v>0</v>
      </c>
      <c r="AN189" s="124">
        <f>交易记录!K344</f>
        <v>0</v>
      </c>
      <c r="AO189" s="124">
        <f>交易记录!K375</f>
        <v>0</v>
      </c>
      <c r="AP189" s="30">
        <f t="shared" si="90"/>
        <v>0</v>
      </c>
      <c r="AQ189" s="121">
        <f>交易记录!K408</f>
        <v>0</v>
      </c>
      <c r="AR189" s="121">
        <f>交易记录!K439</f>
        <v>0</v>
      </c>
      <c r="AS189" s="30">
        <f t="shared" si="92"/>
        <v>0</v>
      </c>
      <c r="AT189" s="124">
        <f>交易记录!K472</f>
        <v>0</v>
      </c>
      <c r="AU189" s="124">
        <f>交易记录!K503</f>
        <v>0</v>
      </c>
      <c r="AV189" s="30">
        <f t="shared" si="73"/>
        <v>0</v>
      </c>
      <c r="AW189" s="121">
        <f>交易记录!K536</f>
        <v>0</v>
      </c>
      <c r="AX189" s="121">
        <f>交易记录!K567</f>
        <v>0</v>
      </c>
      <c r="AY189" s="30">
        <f t="shared" si="74"/>
        <v>0</v>
      </c>
      <c r="AZ189" s="124">
        <f>交易记录!K600</f>
        <v>0</v>
      </c>
      <c r="BA189" s="124">
        <f>交易记录!K631</f>
        <v>0</v>
      </c>
      <c r="BB189" s="30">
        <f t="shared" si="75"/>
        <v>0</v>
      </c>
      <c r="BC189" s="121">
        <f>交易记录!K664</f>
        <v>0</v>
      </c>
      <c r="BD189" s="121">
        <f>交易记录!K695</f>
        <v>0</v>
      </c>
      <c r="BE189" s="30">
        <f t="shared" si="76"/>
        <v>0</v>
      </c>
      <c r="BF189" s="124">
        <f>交易记录!K728</f>
        <v>0</v>
      </c>
      <c r="BG189" s="124">
        <f>交易记录!K759</f>
        <v>0</v>
      </c>
      <c r="BH189" s="30">
        <f t="shared" si="77"/>
        <v>0</v>
      </c>
      <c r="BI189" s="121">
        <f>交易记录!K792</f>
        <v>0</v>
      </c>
      <c r="BJ189" s="121">
        <f>交易记录!K823</f>
        <v>0</v>
      </c>
      <c r="BK189" s="30">
        <f t="shared" si="78"/>
        <v>0</v>
      </c>
      <c r="BL189" s="124">
        <f>交易记录!K856</f>
        <v>0</v>
      </c>
      <c r="BM189" s="124">
        <f>交易记录!K887</f>
        <v>0</v>
      </c>
      <c r="BN189" s="30">
        <f t="shared" si="79"/>
        <v>0</v>
      </c>
      <c r="BO189" s="121">
        <f>交易记录!K920</f>
        <v>0</v>
      </c>
      <c r="BP189" s="121">
        <f>交易记录!K951</f>
        <v>0</v>
      </c>
      <c r="BQ189" s="30">
        <f t="shared" si="80"/>
        <v>0</v>
      </c>
    </row>
    <row r="190" spans="1:69" ht="15">
      <c r="A190" s="125">
        <f>'维护-日期'!A$10</f>
        <v>46273</v>
      </c>
      <c r="B190" s="7" t="s">
        <v>26</v>
      </c>
      <c r="C190" s="144">
        <f t="shared" si="81"/>
        <v>24.047999999999998</v>
      </c>
      <c r="D190" s="144">
        <f>ROUND(INDEX(持仓数据!$C$3:$AG$26,MATCH('计算过程-数据汇总'!B190,持仓数据!$B$3:$B$26,0),MATCH('计算过程-数据汇总'!A190,'维护-日期'!$B$2:$AF$2,0)),3)</f>
        <v>24.047999999999998</v>
      </c>
      <c r="E190" s="98">
        <f t="shared" si="82"/>
        <v>24.047999999999998</v>
      </c>
      <c r="F190" s="22">
        <f>持仓数据!J92</f>
        <v>1</v>
      </c>
      <c r="G190" s="97">
        <v>372</v>
      </c>
      <c r="H190" s="97">
        <v>372</v>
      </c>
      <c r="I190" s="64">
        <v>0</v>
      </c>
      <c r="J190" s="64">
        <v>0</v>
      </c>
      <c r="K190" s="21">
        <f>IF(持仓数据!J125="",0,持仓数据!J125)</f>
        <v>372</v>
      </c>
      <c r="L190" s="21">
        <f t="shared" si="83"/>
        <v>0</v>
      </c>
      <c r="M190" s="28">
        <f t="shared" si="67"/>
        <v>8945.8559999999998</v>
      </c>
      <c r="N190" s="28">
        <f t="shared" si="68"/>
        <v>0</v>
      </c>
      <c r="O190" s="28">
        <f t="shared" si="69"/>
        <v>0</v>
      </c>
      <c r="P190" s="28">
        <f t="shared" si="70"/>
        <v>0</v>
      </c>
      <c r="Q190" s="28">
        <f t="shared" si="84"/>
        <v>0</v>
      </c>
      <c r="R190" s="28">
        <f t="shared" si="71"/>
        <v>8945.8559999999998</v>
      </c>
      <c r="S190" s="28">
        <f t="shared" si="85"/>
        <v>0</v>
      </c>
      <c r="T190" s="28">
        <f t="shared" si="86"/>
        <v>0</v>
      </c>
      <c r="U190" s="28">
        <f t="shared" si="89"/>
        <v>0</v>
      </c>
      <c r="V190" s="28">
        <f t="shared" si="87"/>
        <v>0</v>
      </c>
      <c r="W190" s="118"/>
      <c r="X190" s="143">
        <f t="shared" si="88"/>
        <v>27.858000000000001</v>
      </c>
      <c r="Y190" s="121">
        <f>交易记录!K25</f>
        <v>1</v>
      </c>
      <c r="Z190" s="121">
        <f>交易记录!K56</f>
        <v>372</v>
      </c>
      <c r="AA190" s="30">
        <f t="shared" si="72"/>
        <v>0</v>
      </c>
      <c r="AB190" s="124">
        <f>交易记录!K89</f>
        <v>0</v>
      </c>
      <c r="AC190" s="124">
        <f>交易记录!K120</f>
        <v>0</v>
      </c>
      <c r="AD190" s="30">
        <f t="shared" si="95"/>
        <v>0</v>
      </c>
      <c r="AE190" s="121">
        <f>交易记录!K153</f>
        <v>0</v>
      </c>
      <c r="AF190" s="121">
        <f>交易记录!K184</f>
        <v>0</v>
      </c>
      <c r="AG190" s="30">
        <f t="shared" si="91"/>
        <v>0</v>
      </c>
      <c r="AH190" s="124">
        <f>交易记录!K217</f>
        <v>0</v>
      </c>
      <c r="AI190" s="124">
        <f>交易记录!K248</f>
        <v>0</v>
      </c>
      <c r="AJ190" s="30">
        <f t="shared" si="94"/>
        <v>0</v>
      </c>
      <c r="AK190" s="121">
        <f>交易记录!K281</f>
        <v>0</v>
      </c>
      <c r="AL190" s="121">
        <f>交易记录!K312</f>
        <v>0</v>
      </c>
      <c r="AM190" s="30">
        <f t="shared" si="93"/>
        <v>0</v>
      </c>
      <c r="AN190" s="124">
        <f>交易记录!K345</f>
        <v>0</v>
      </c>
      <c r="AO190" s="124">
        <f>交易记录!K376</f>
        <v>0</v>
      </c>
      <c r="AP190" s="30">
        <f t="shared" si="90"/>
        <v>0</v>
      </c>
      <c r="AQ190" s="121">
        <f>交易记录!K409</f>
        <v>0</v>
      </c>
      <c r="AR190" s="121">
        <f>交易记录!K440</f>
        <v>0</v>
      </c>
      <c r="AS190" s="30">
        <f t="shared" si="92"/>
        <v>0</v>
      </c>
      <c r="AT190" s="124">
        <f>交易记录!K473</f>
        <v>0</v>
      </c>
      <c r="AU190" s="124">
        <f>交易记录!K504</f>
        <v>0</v>
      </c>
      <c r="AV190" s="30">
        <f t="shared" si="73"/>
        <v>0</v>
      </c>
      <c r="AW190" s="121">
        <f>交易记录!K537</f>
        <v>0</v>
      </c>
      <c r="AX190" s="121">
        <f>交易记录!K568</f>
        <v>0</v>
      </c>
      <c r="AY190" s="30">
        <f t="shared" si="74"/>
        <v>0</v>
      </c>
      <c r="AZ190" s="124">
        <f>交易记录!K601</f>
        <v>0</v>
      </c>
      <c r="BA190" s="124">
        <f>交易记录!K632</f>
        <v>0</v>
      </c>
      <c r="BB190" s="30">
        <f t="shared" si="75"/>
        <v>0</v>
      </c>
      <c r="BC190" s="121">
        <f>交易记录!K665</f>
        <v>0</v>
      </c>
      <c r="BD190" s="121">
        <f>交易记录!K696</f>
        <v>0</v>
      </c>
      <c r="BE190" s="30">
        <f t="shared" si="76"/>
        <v>0</v>
      </c>
      <c r="BF190" s="124">
        <f>交易记录!K729</f>
        <v>0</v>
      </c>
      <c r="BG190" s="124">
        <f>交易记录!K760</f>
        <v>0</v>
      </c>
      <c r="BH190" s="30">
        <f t="shared" si="77"/>
        <v>0</v>
      </c>
      <c r="BI190" s="121">
        <f>交易记录!K793</f>
        <v>0</v>
      </c>
      <c r="BJ190" s="121">
        <f>交易记录!K824</f>
        <v>0</v>
      </c>
      <c r="BK190" s="30">
        <f t="shared" si="78"/>
        <v>0</v>
      </c>
      <c r="BL190" s="124">
        <f>交易记录!K857</f>
        <v>0</v>
      </c>
      <c r="BM190" s="124">
        <f>交易记录!K888</f>
        <v>0</v>
      </c>
      <c r="BN190" s="30">
        <f t="shared" si="79"/>
        <v>0</v>
      </c>
      <c r="BO190" s="121">
        <f>交易记录!K921</f>
        <v>0</v>
      </c>
      <c r="BP190" s="121">
        <f>交易记录!K952</f>
        <v>0</v>
      </c>
      <c r="BQ190" s="30">
        <f t="shared" si="80"/>
        <v>0</v>
      </c>
    </row>
    <row r="191" spans="1:69" ht="15">
      <c r="A191" s="125">
        <f>'维护-日期'!A$10</f>
        <v>46273</v>
      </c>
      <c r="B191" s="7" t="s">
        <v>27</v>
      </c>
      <c r="C191" s="144">
        <f t="shared" si="81"/>
        <v>22.594000000000001</v>
      </c>
      <c r="D191" s="144">
        <f>ROUND(INDEX(持仓数据!$C$3:$AG$26,MATCH('计算过程-数据汇总'!B191,持仓数据!$B$3:$B$26,0),MATCH('计算过程-数据汇总'!A191,'维护-日期'!$B$2:$AF$2,0)),3)</f>
        <v>22.594000000000001</v>
      </c>
      <c r="E191" s="98">
        <f t="shared" si="82"/>
        <v>22.594000000000001</v>
      </c>
      <c r="F191" s="22">
        <f>持仓数据!J93</f>
        <v>0.95199999999999996</v>
      </c>
      <c r="G191" s="97">
        <v>372</v>
      </c>
      <c r="H191" s="97">
        <v>372</v>
      </c>
      <c r="I191" s="64">
        <v>0</v>
      </c>
      <c r="J191" s="64">
        <v>0</v>
      </c>
      <c r="K191" s="21">
        <f>IF(持仓数据!J126="",0,持仓数据!J126)</f>
        <v>372</v>
      </c>
      <c r="L191" s="21">
        <f t="shared" si="83"/>
        <v>0</v>
      </c>
      <c r="M191" s="28">
        <f t="shared" si="67"/>
        <v>8404.9680000000008</v>
      </c>
      <c r="N191" s="28">
        <f t="shared" si="68"/>
        <v>0</v>
      </c>
      <c r="O191" s="28">
        <f t="shared" si="69"/>
        <v>0</v>
      </c>
      <c r="P191" s="28">
        <f t="shared" si="70"/>
        <v>0</v>
      </c>
      <c r="Q191" s="28">
        <f t="shared" si="84"/>
        <v>0</v>
      </c>
      <c r="R191" s="28">
        <f t="shared" si="71"/>
        <v>8404.9680000000008</v>
      </c>
      <c r="S191" s="28">
        <f t="shared" si="85"/>
        <v>0</v>
      </c>
      <c r="T191" s="28">
        <f t="shared" si="86"/>
        <v>0</v>
      </c>
      <c r="U191" s="28">
        <f t="shared" si="89"/>
        <v>0</v>
      </c>
      <c r="V191" s="28">
        <f t="shared" si="87"/>
        <v>0</v>
      </c>
      <c r="W191" s="118"/>
      <c r="X191" s="143">
        <f t="shared" si="88"/>
        <v>26.161000000000001</v>
      </c>
      <c r="Y191" s="121">
        <f>交易记录!K26</f>
        <v>0.95199999999999996</v>
      </c>
      <c r="Z191" s="121">
        <f>交易记录!K57</f>
        <v>372</v>
      </c>
      <c r="AA191" s="30">
        <f t="shared" si="72"/>
        <v>0</v>
      </c>
      <c r="AB191" s="124">
        <f>交易记录!K90</f>
        <v>0</v>
      </c>
      <c r="AC191" s="124">
        <f>交易记录!K121</f>
        <v>0</v>
      </c>
      <c r="AD191" s="30">
        <f t="shared" si="95"/>
        <v>0</v>
      </c>
      <c r="AE191" s="121">
        <f>交易记录!K154</f>
        <v>0</v>
      </c>
      <c r="AF191" s="121">
        <f>交易记录!K185</f>
        <v>0</v>
      </c>
      <c r="AG191" s="30">
        <f t="shared" si="91"/>
        <v>0</v>
      </c>
      <c r="AH191" s="124">
        <f>交易记录!K218</f>
        <v>0</v>
      </c>
      <c r="AI191" s="124">
        <f>交易记录!K249</f>
        <v>0</v>
      </c>
      <c r="AJ191" s="30">
        <f t="shared" si="94"/>
        <v>0</v>
      </c>
      <c r="AK191" s="121">
        <f>交易记录!K282</f>
        <v>0</v>
      </c>
      <c r="AL191" s="121">
        <f>交易记录!K313</f>
        <v>0</v>
      </c>
      <c r="AM191" s="30">
        <f t="shared" si="93"/>
        <v>0</v>
      </c>
      <c r="AN191" s="124">
        <f>交易记录!K346</f>
        <v>0</v>
      </c>
      <c r="AO191" s="124">
        <f>交易记录!K377</f>
        <v>0</v>
      </c>
      <c r="AP191" s="30">
        <f t="shared" si="90"/>
        <v>0</v>
      </c>
      <c r="AQ191" s="121">
        <f>交易记录!K410</f>
        <v>0</v>
      </c>
      <c r="AR191" s="121">
        <f>交易记录!K441</f>
        <v>0</v>
      </c>
      <c r="AS191" s="30">
        <f t="shared" si="92"/>
        <v>0</v>
      </c>
      <c r="AT191" s="124">
        <f>交易记录!K474</f>
        <v>0</v>
      </c>
      <c r="AU191" s="124">
        <f>交易记录!K505</f>
        <v>0</v>
      </c>
      <c r="AV191" s="30">
        <f t="shared" si="73"/>
        <v>0</v>
      </c>
      <c r="AW191" s="121">
        <f>交易记录!K538</f>
        <v>0</v>
      </c>
      <c r="AX191" s="121">
        <f>交易记录!K569</f>
        <v>0</v>
      </c>
      <c r="AY191" s="30">
        <f t="shared" si="74"/>
        <v>0</v>
      </c>
      <c r="AZ191" s="124">
        <f>交易记录!K602</f>
        <v>0</v>
      </c>
      <c r="BA191" s="124">
        <f>交易记录!K633</f>
        <v>0</v>
      </c>
      <c r="BB191" s="30">
        <f t="shared" si="75"/>
        <v>0</v>
      </c>
      <c r="BC191" s="121">
        <f>交易记录!K666</f>
        <v>0</v>
      </c>
      <c r="BD191" s="121">
        <f>交易记录!K697</f>
        <v>0</v>
      </c>
      <c r="BE191" s="30">
        <f t="shared" si="76"/>
        <v>0</v>
      </c>
      <c r="BF191" s="124">
        <f>交易记录!K730</f>
        <v>0</v>
      </c>
      <c r="BG191" s="124">
        <f>交易记录!K761</f>
        <v>0</v>
      </c>
      <c r="BH191" s="30">
        <f t="shared" si="77"/>
        <v>0</v>
      </c>
      <c r="BI191" s="121">
        <f>交易记录!K794</f>
        <v>0</v>
      </c>
      <c r="BJ191" s="121">
        <f>交易记录!K825</f>
        <v>0</v>
      </c>
      <c r="BK191" s="30">
        <f t="shared" si="78"/>
        <v>0</v>
      </c>
      <c r="BL191" s="124">
        <f>交易记录!K858</f>
        <v>0</v>
      </c>
      <c r="BM191" s="124">
        <f>交易记录!K889</f>
        <v>0</v>
      </c>
      <c r="BN191" s="30">
        <f t="shared" si="79"/>
        <v>0</v>
      </c>
      <c r="BO191" s="121">
        <f>交易记录!K922</f>
        <v>0</v>
      </c>
      <c r="BP191" s="121">
        <f>交易记录!K953</f>
        <v>0</v>
      </c>
      <c r="BQ191" s="30">
        <f t="shared" si="80"/>
        <v>0</v>
      </c>
    </row>
    <row r="192" spans="1:69" ht="15">
      <c r="A192" s="125">
        <f>'维护-日期'!A$10</f>
        <v>46273</v>
      </c>
      <c r="B192" s="7" t="s">
        <v>28</v>
      </c>
      <c r="C192" s="144">
        <f t="shared" si="81"/>
        <v>19.387</v>
      </c>
      <c r="D192" s="144">
        <f>ROUND(INDEX(持仓数据!$C$3:$AG$26,MATCH('计算过程-数据汇总'!B192,持仓数据!$B$3:$B$26,0),MATCH('计算过程-数据汇总'!A192,'维护-日期'!$B$2:$AF$2,0)),3)</f>
        <v>19.387</v>
      </c>
      <c r="E192" s="98">
        <f t="shared" si="82"/>
        <v>19.387</v>
      </c>
      <c r="F192" s="22">
        <f>持仓数据!J94</f>
        <v>0.84300000000000008</v>
      </c>
      <c r="G192" s="97">
        <v>372</v>
      </c>
      <c r="H192" s="97">
        <v>372</v>
      </c>
      <c r="I192" s="64">
        <v>0</v>
      </c>
      <c r="J192" s="64">
        <v>0</v>
      </c>
      <c r="K192" s="21">
        <f>IF(持仓数据!J127="",0,持仓数据!J127)</f>
        <v>371.99999999999994</v>
      </c>
      <c r="L192" s="21">
        <f t="shared" si="83"/>
        <v>0</v>
      </c>
      <c r="M192" s="28">
        <f t="shared" si="67"/>
        <v>7211.9639999999999</v>
      </c>
      <c r="N192" s="28">
        <f t="shared" si="68"/>
        <v>0</v>
      </c>
      <c r="O192" s="28">
        <f t="shared" si="69"/>
        <v>0</v>
      </c>
      <c r="P192" s="28">
        <f t="shared" si="70"/>
        <v>-4.7919002099661161E-14</v>
      </c>
      <c r="Q192" s="28">
        <f t="shared" si="84"/>
        <v>0</v>
      </c>
      <c r="R192" s="28">
        <f t="shared" si="71"/>
        <v>7211.963999999999</v>
      </c>
      <c r="S192" s="28">
        <f t="shared" si="85"/>
        <v>0</v>
      </c>
      <c r="T192" s="28">
        <f t="shared" si="86"/>
        <v>1.0541043593548239E-12</v>
      </c>
      <c r="U192" s="28">
        <f t="shared" si="89"/>
        <v>0</v>
      </c>
      <c r="V192" s="28">
        <f t="shared" si="87"/>
        <v>0</v>
      </c>
      <c r="W192" s="118"/>
      <c r="X192" s="143">
        <f t="shared" si="88"/>
        <v>22.420999999999999</v>
      </c>
      <c r="Y192" s="121">
        <f>交易记录!K27</f>
        <v>0.84300000000000008</v>
      </c>
      <c r="Z192" s="121">
        <f>交易记录!K58</f>
        <v>372</v>
      </c>
      <c r="AA192" s="30">
        <f t="shared" si="72"/>
        <v>0</v>
      </c>
      <c r="AB192" s="124">
        <f>交易记录!K91</f>
        <v>0</v>
      </c>
      <c r="AC192" s="124">
        <f>交易记录!K122</f>
        <v>0</v>
      </c>
      <c r="AD192" s="30">
        <f t="shared" si="95"/>
        <v>0</v>
      </c>
      <c r="AE192" s="121">
        <f>交易记录!K155</f>
        <v>0</v>
      </c>
      <c r="AF192" s="121">
        <f>交易记录!K186</f>
        <v>0</v>
      </c>
      <c r="AG192" s="30">
        <f t="shared" si="91"/>
        <v>0</v>
      </c>
      <c r="AH192" s="124">
        <f>交易记录!K219</f>
        <v>0</v>
      </c>
      <c r="AI192" s="124">
        <f>交易记录!K250</f>
        <v>0</v>
      </c>
      <c r="AJ192" s="30">
        <f t="shared" si="94"/>
        <v>0</v>
      </c>
      <c r="AK192" s="121">
        <f>交易记录!K283</f>
        <v>0</v>
      </c>
      <c r="AL192" s="121">
        <f>交易记录!K314</f>
        <v>0</v>
      </c>
      <c r="AM192" s="30">
        <f t="shared" si="93"/>
        <v>0</v>
      </c>
      <c r="AN192" s="124">
        <f>交易记录!K347</f>
        <v>0</v>
      </c>
      <c r="AO192" s="124">
        <f>交易记录!K378</f>
        <v>0</v>
      </c>
      <c r="AP192" s="30">
        <f t="shared" si="90"/>
        <v>0</v>
      </c>
      <c r="AQ192" s="121">
        <f>交易记录!K411</f>
        <v>0</v>
      </c>
      <c r="AR192" s="121">
        <f>交易记录!K442</f>
        <v>0</v>
      </c>
      <c r="AS192" s="30">
        <f t="shared" si="92"/>
        <v>0</v>
      </c>
      <c r="AT192" s="124">
        <f>交易记录!K475</f>
        <v>0</v>
      </c>
      <c r="AU192" s="124">
        <f>交易记录!K506</f>
        <v>0</v>
      </c>
      <c r="AV192" s="30">
        <f t="shared" si="73"/>
        <v>0</v>
      </c>
      <c r="AW192" s="121">
        <f>交易记录!K539</f>
        <v>0</v>
      </c>
      <c r="AX192" s="121">
        <f>交易记录!K570</f>
        <v>0</v>
      </c>
      <c r="AY192" s="30">
        <f t="shared" si="74"/>
        <v>0</v>
      </c>
      <c r="AZ192" s="124">
        <f>交易记录!K603</f>
        <v>0</v>
      </c>
      <c r="BA192" s="124">
        <f>交易记录!K634</f>
        <v>0</v>
      </c>
      <c r="BB192" s="30">
        <f t="shared" si="75"/>
        <v>0</v>
      </c>
      <c r="BC192" s="121">
        <f>交易记录!K667</f>
        <v>0</v>
      </c>
      <c r="BD192" s="121">
        <f>交易记录!K698</f>
        <v>0</v>
      </c>
      <c r="BE192" s="30">
        <f t="shared" si="76"/>
        <v>0</v>
      </c>
      <c r="BF192" s="124">
        <f>交易记录!K731</f>
        <v>0</v>
      </c>
      <c r="BG192" s="124">
        <f>交易记录!K762</f>
        <v>0</v>
      </c>
      <c r="BH192" s="30">
        <f t="shared" si="77"/>
        <v>0</v>
      </c>
      <c r="BI192" s="121">
        <f>交易记录!K795</f>
        <v>0</v>
      </c>
      <c r="BJ192" s="121">
        <f>交易记录!K826</f>
        <v>0</v>
      </c>
      <c r="BK192" s="30">
        <f t="shared" si="78"/>
        <v>0</v>
      </c>
      <c r="BL192" s="124">
        <f>交易记录!K859</f>
        <v>0</v>
      </c>
      <c r="BM192" s="124">
        <f>交易记录!K890</f>
        <v>0</v>
      </c>
      <c r="BN192" s="30">
        <f t="shared" si="79"/>
        <v>0</v>
      </c>
      <c r="BO192" s="121">
        <f>交易记录!K923</f>
        <v>0</v>
      </c>
      <c r="BP192" s="121">
        <f>交易记录!K954</f>
        <v>0</v>
      </c>
      <c r="BQ192" s="30">
        <f t="shared" si="80"/>
        <v>0</v>
      </c>
    </row>
    <row r="193" spans="1:69" ht="15">
      <c r="A193" s="125">
        <f>'维护-日期'!A$10</f>
        <v>46273</v>
      </c>
      <c r="B193" s="7" t="s">
        <v>29</v>
      </c>
      <c r="C193" s="144">
        <f t="shared" si="81"/>
        <v>16.963000000000001</v>
      </c>
      <c r="D193" s="144">
        <f>ROUND(INDEX(持仓数据!$C$3:$AG$26,MATCH('计算过程-数据汇总'!B193,持仓数据!$B$3:$B$26,0),MATCH('计算过程-数据汇总'!A193,'维护-日期'!$B$2:$AF$2,0)),3)</f>
        <v>16.963000000000001</v>
      </c>
      <c r="E193" s="98">
        <f t="shared" si="82"/>
        <v>16.963000000000001</v>
      </c>
      <c r="F193" s="22">
        <f>持仓数据!J95</f>
        <v>0.33299999999999996</v>
      </c>
      <c r="G193" s="97">
        <v>372</v>
      </c>
      <c r="H193" s="97">
        <v>372</v>
      </c>
      <c r="I193" s="64">
        <v>0</v>
      </c>
      <c r="J193" s="64">
        <v>0</v>
      </c>
      <c r="K193" s="21">
        <f>IF(持仓数据!J128="",0,持仓数据!J128)</f>
        <v>372</v>
      </c>
      <c r="L193" s="21">
        <f t="shared" si="83"/>
        <v>0</v>
      </c>
      <c r="M193" s="28">
        <f t="shared" si="67"/>
        <v>6310.2360000000008</v>
      </c>
      <c r="N193" s="28">
        <f t="shared" si="68"/>
        <v>0</v>
      </c>
      <c r="O193" s="28">
        <f t="shared" si="69"/>
        <v>0</v>
      </c>
      <c r="P193" s="28">
        <f t="shared" si="70"/>
        <v>0</v>
      </c>
      <c r="Q193" s="28">
        <f t="shared" si="84"/>
        <v>0</v>
      </c>
      <c r="R193" s="28">
        <f t="shared" si="71"/>
        <v>6310.2360000000008</v>
      </c>
      <c r="S193" s="28">
        <f t="shared" si="85"/>
        <v>0</v>
      </c>
      <c r="T193" s="28">
        <f t="shared" si="86"/>
        <v>0</v>
      </c>
      <c r="U193" s="28">
        <f t="shared" si="89"/>
        <v>0</v>
      </c>
      <c r="V193" s="28">
        <f t="shared" si="87"/>
        <v>0</v>
      </c>
      <c r="W193" s="118"/>
      <c r="X193" s="143">
        <f t="shared" si="88"/>
        <v>20.023</v>
      </c>
      <c r="Y193" s="121">
        <f>交易记录!K28</f>
        <v>0.33299999999999996</v>
      </c>
      <c r="Z193" s="121">
        <f>交易记录!K59</f>
        <v>372</v>
      </c>
      <c r="AA193" s="30">
        <f t="shared" si="72"/>
        <v>0</v>
      </c>
      <c r="AB193" s="124">
        <f>交易记录!K92</f>
        <v>0</v>
      </c>
      <c r="AC193" s="124">
        <f>交易记录!K123</f>
        <v>0</v>
      </c>
      <c r="AD193" s="30">
        <f t="shared" si="95"/>
        <v>0</v>
      </c>
      <c r="AE193" s="121">
        <f>交易记录!K156</f>
        <v>0</v>
      </c>
      <c r="AF193" s="121">
        <f>交易记录!K187</f>
        <v>0</v>
      </c>
      <c r="AG193" s="30">
        <f t="shared" si="91"/>
        <v>0</v>
      </c>
      <c r="AH193" s="124">
        <f>交易记录!K220</f>
        <v>0</v>
      </c>
      <c r="AI193" s="124">
        <f>交易记录!K251</f>
        <v>0</v>
      </c>
      <c r="AJ193" s="30">
        <f t="shared" si="94"/>
        <v>0</v>
      </c>
      <c r="AK193" s="121">
        <f>交易记录!K284</f>
        <v>0</v>
      </c>
      <c r="AL193" s="121">
        <f>交易记录!K315</f>
        <v>0</v>
      </c>
      <c r="AM193" s="30">
        <f t="shared" si="93"/>
        <v>0</v>
      </c>
      <c r="AN193" s="124">
        <f>交易记录!K348</f>
        <v>0</v>
      </c>
      <c r="AO193" s="124">
        <f>交易记录!K379</f>
        <v>0</v>
      </c>
      <c r="AP193" s="30">
        <f t="shared" si="90"/>
        <v>0</v>
      </c>
      <c r="AQ193" s="121">
        <f>交易记录!K412</f>
        <v>0</v>
      </c>
      <c r="AR193" s="121">
        <f>交易记录!K443</f>
        <v>0</v>
      </c>
      <c r="AS193" s="30">
        <f t="shared" si="92"/>
        <v>0</v>
      </c>
      <c r="AT193" s="124">
        <f>交易记录!K476</f>
        <v>0</v>
      </c>
      <c r="AU193" s="124">
        <f>交易记录!K507</f>
        <v>0</v>
      </c>
      <c r="AV193" s="30">
        <f t="shared" si="73"/>
        <v>0</v>
      </c>
      <c r="AW193" s="121">
        <f>交易记录!K540</f>
        <v>0</v>
      </c>
      <c r="AX193" s="121">
        <f>交易记录!K571</f>
        <v>0</v>
      </c>
      <c r="AY193" s="30">
        <f t="shared" si="74"/>
        <v>0</v>
      </c>
      <c r="AZ193" s="124">
        <f>交易记录!K604</f>
        <v>0</v>
      </c>
      <c r="BA193" s="124">
        <f>交易记录!K635</f>
        <v>0</v>
      </c>
      <c r="BB193" s="30">
        <f t="shared" si="75"/>
        <v>0</v>
      </c>
      <c r="BC193" s="121">
        <f>交易记录!K668</f>
        <v>0</v>
      </c>
      <c r="BD193" s="121">
        <f>交易记录!K699</f>
        <v>0</v>
      </c>
      <c r="BE193" s="30">
        <f t="shared" si="76"/>
        <v>0</v>
      </c>
      <c r="BF193" s="124">
        <f>交易记录!K732</f>
        <v>0</v>
      </c>
      <c r="BG193" s="124">
        <f>交易记录!K763</f>
        <v>0</v>
      </c>
      <c r="BH193" s="30">
        <f t="shared" si="77"/>
        <v>0</v>
      </c>
      <c r="BI193" s="121">
        <f>交易记录!K796</f>
        <v>0</v>
      </c>
      <c r="BJ193" s="121">
        <f>交易记录!K827</f>
        <v>0</v>
      </c>
      <c r="BK193" s="30">
        <f t="shared" si="78"/>
        <v>0</v>
      </c>
      <c r="BL193" s="124">
        <f>交易记录!K860</f>
        <v>0</v>
      </c>
      <c r="BM193" s="124">
        <f>交易记录!K891</f>
        <v>0</v>
      </c>
      <c r="BN193" s="30">
        <f t="shared" si="79"/>
        <v>0</v>
      </c>
      <c r="BO193" s="121">
        <f>交易记录!K924</f>
        <v>0</v>
      </c>
      <c r="BP193" s="121">
        <f>交易记录!K955</f>
        <v>0</v>
      </c>
      <c r="BQ193" s="30">
        <f t="shared" si="80"/>
        <v>0</v>
      </c>
    </row>
    <row r="194" spans="1:69" ht="15">
      <c r="A194" s="125">
        <f>'维护-日期'!A$11</f>
        <v>46274</v>
      </c>
      <c r="B194" s="7" t="s">
        <v>6</v>
      </c>
      <c r="C194" s="144">
        <f t="shared" si="81"/>
        <v>16.655999999999999</v>
      </c>
      <c r="D194" s="144">
        <f>ROUND(INDEX(持仓数据!$C$3:$AG$26,MATCH('计算过程-数据汇总'!B194,持仓数据!$B$3:$B$26,0),MATCH('计算过程-数据汇总'!A194,'维护-日期'!$B$2:$AF$2,0)),3)</f>
        <v>16.655999999999999</v>
      </c>
      <c r="E194" s="98">
        <f t="shared" si="82"/>
        <v>16.655999999999999</v>
      </c>
      <c r="F194" s="22">
        <f>持仓数据!K72</f>
        <v>0.39700000000000002</v>
      </c>
      <c r="G194" s="97">
        <v>372</v>
      </c>
      <c r="H194" s="97">
        <v>372</v>
      </c>
      <c r="I194" s="64">
        <v>0</v>
      </c>
      <c r="J194" s="64">
        <v>0</v>
      </c>
      <c r="K194" s="21">
        <f>IF(持仓数据!K105="",0,持仓数据!K105)</f>
        <v>372</v>
      </c>
      <c r="L194" s="21">
        <f t="shared" si="83"/>
        <v>0</v>
      </c>
      <c r="M194" s="28">
        <f t="shared" ref="M194:M257" si="96">IFERROR(C194*G194,0)</f>
        <v>6196.0319999999992</v>
      </c>
      <c r="N194" s="28">
        <f t="shared" ref="N194:N257" si="97">IFERROR((D194-C194)*(G194-H194),0)</f>
        <v>0</v>
      </c>
      <c r="O194" s="28">
        <f t="shared" ref="O194:O257" si="98">IFERROR((E194-D194)*(G194-H194),0)</f>
        <v>0</v>
      </c>
      <c r="P194" s="28">
        <f t="shared" ref="P194:P257" si="99">IFERROR(F194*(K194-G194),0)</f>
        <v>0</v>
      </c>
      <c r="Q194" s="28">
        <f t="shared" si="84"/>
        <v>0</v>
      </c>
      <c r="R194" s="28">
        <f t="shared" ref="R194:R257" si="100">IFERROR(K194*C194,0)</f>
        <v>6196.0319999999992</v>
      </c>
      <c r="S194" s="28">
        <f t="shared" si="85"/>
        <v>0</v>
      </c>
      <c r="T194" s="28">
        <f t="shared" si="86"/>
        <v>0</v>
      </c>
      <c r="U194" s="28">
        <f t="shared" si="89"/>
        <v>0</v>
      </c>
      <c r="V194" s="28">
        <f t="shared" si="87"/>
        <v>0</v>
      </c>
      <c r="W194" s="118"/>
      <c r="X194" s="143">
        <f t="shared" si="88"/>
        <v>19.59</v>
      </c>
      <c r="Y194" s="121">
        <f>交易记录!L5</f>
        <v>0.39700000000000002</v>
      </c>
      <c r="Z194" s="121">
        <f>交易记录!L36</f>
        <v>372</v>
      </c>
      <c r="AA194" s="30">
        <f t="shared" ref="AA194:AA257" si="101">IFERROR((Z194-G194)*Y194,0)</f>
        <v>0</v>
      </c>
      <c r="AB194" s="124">
        <f>交易记录!L69</f>
        <v>0</v>
      </c>
      <c r="AC194" s="124">
        <f>交易记录!L100</f>
        <v>0</v>
      </c>
      <c r="AD194" s="30">
        <f t="shared" si="95"/>
        <v>0</v>
      </c>
      <c r="AE194" s="121">
        <f>交易记录!L133</f>
        <v>0</v>
      </c>
      <c r="AF194" s="121">
        <f>交易记录!L164</f>
        <v>0</v>
      </c>
      <c r="AG194" s="30">
        <f t="shared" si="91"/>
        <v>0</v>
      </c>
      <c r="AH194" s="124">
        <f>交易记录!L197</f>
        <v>0</v>
      </c>
      <c r="AI194" s="124">
        <f>交易记录!L228</f>
        <v>0</v>
      </c>
      <c r="AJ194" s="30">
        <f t="shared" si="94"/>
        <v>0</v>
      </c>
      <c r="AK194" s="121">
        <f>交易记录!L261</f>
        <v>0</v>
      </c>
      <c r="AL194" s="121">
        <f>交易记录!L292</f>
        <v>0</v>
      </c>
      <c r="AM194" s="30">
        <f t="shared" si="93"/>
        <v>0</v>
      </c>
      <c r="AN194" s="124">
        <f>交易记录!L325</f>
        <v>0</v>
      </c>
      <c r="AO194" s="124">
        <f>交易记录!L356</f>
        <v>0</v>
      </c>
      <c r="AP194" s="30">
        <f t="shared" si="90"/>
        <v>0</v>
      </c>
      <c r="AQ194" s="121">
        <f>交易记录!L389</f>
        <v>0</v>
      </c>
      <c r="AR194" s="121">
        <f>交易记录!L420</f>
        <v>0</v>
      </c>
      <c r="AS194" s="30">
        <f t="shared" si="92"/>
        <v>0</v>
      </c>
      <c r="AT194" s="124">
        <f>交易记录!L453</f>
        <v>0</v>
      </c>
      <c r="AU194" s="124">
        <f>交易记录!L484</f>
        <v>0</v>
      </c>
      <c r="AV194" s="30">
        <f t="shared" ref="AV194:AV257" si="102">IFERROR((AU194-$G194)*AT194,0)</f>
        <v>0</v>
      </c>
      <c r="AW194" s="121">
        <f>交易记录!L517</f>
        <v>0</v>
      </c>
      <c r="AX194" s="121">
        <f>交易记录!L548</f>
        <v>0</v>
      </c>
      <c r="AY194" s="30">
        <f t="shared" ref="AY194:AY257" si="103">IFERROR((AX194-$G194)*AW194,0)</f>
        <v>0</v>
      </c>
      <c r="AZ194" s="124">
        <f>交易记录!L581</f>
        <v>0</v>
      </c>
      <c r="BA194" s="124">
        <f>交易记录!L612</f>
        <v>0</v>
      </c>
      <c r="BB194" s="30">
        <f t="shared" ref="BB194:BB257" si="104">IFERROR((BA194-$G194)*AZ194,0)</f>
        <v>0</v>
      </c>
      <c r="BC194" s="121">
        <f>交易记录!L645</f>
        <v>0</v>
      </c>
      <c r="BD194" s="121">
        <f>交易记录!L676</f>
        <v>0</v>
      </c>
      <c r="BE194" s="30">
        <f t="shared" ref="BE194:BE257" si="105">IFERROR((BD194-$G194)*BC194,0)</f>
        <v>0</v>
      </c>
      <c r="BF194" s="124">
        <f>交易记录!L709</f>
        <v>0</v>
      </c>
      <c r="BG194" s="124">
        <f>交易记录!L740</f>
        <v>0</v>
      </c>
      <c r="BH194" s="30">
        <f t="shared" ref="BH194:BH257" si="106">IFERROR((BG194-$G194)*BF194,0)</f>
        <v>0</v>
      </c>
      <c r="BI194" s="121">
        <f>交易记录!L773</f>
        <v>0</v>
      </c>
      <c r="BJ194" s="121">
        <f>交易记录!L804</f>
        <v>0</v>
      </c>
      <c r="BK194" s="30">
        <f t="shared" ref="BK194:BK257" si="107">IFERROR((BJ194-$G194)*BI194,0)</f>
        <v>0</v>
      </c>
      <c r="BL194" s="124">
        <f>交易记录!L837</f>
        <v>0</v>
      </c>
      <c r="BM194" s="124">
        <f>交易记录!L868</f>
        <v>0</v>
      </c>
      <c r="BN194" s="30">
        <f t="shared" ref="BN194:BN257" si="108">IFERROR((BM194-$G194)*BL194,0)</f>
        <v>0</v>
      </c>
      <c r="BO194" s="121">
        <f>交易记录!L901</f>
        <v>0</v>
      </c>
      <c r="BP194" s="121">
        <f>交易记录!L932</f>
        <v>0</v>
      </c>
      <c r="BQ194" s="30">
        <f t="shared" ref="BQ194:BQ257" si="109">IFERROR((BP194-$G194)*BO194,0)</f>
        <v>0</v>
      </c>
    </row>
    <row r="195" spans="1:69" ht="15">
      <c r="A195" s="125">
        <f>'维护-日期'!A$11</f>
        <v>46274</v>
      </c>
      <c r="B195" s="7" t="s">
        <v>7</v>
      </c>
      <c r="C195" s="144">
        <f t="shared" ref="C195:C258" si="110">D195</f>
        <v>15.792</v>
      </c>
      <c r="D195" s="144">
        <f>ROUND(INDEX(持仓数据!$C$3:$AG$26,MATCH('计算过程-数据汇总'!B195,持仓数据!$B$3:$B$26,0),MATCH('计算过程-数据汇总'!A195,'维护-日期'!$B$2:$AF$2,0)),3)</f>
        <v>15.792</v>
      </c>
      <c r="E195" s="98">
        <f t="shared" ref="E195:E258" si="111">D195*1</f>
        <v>15.792</v>
      </c>
      <c r="F195" s="22">
        <f>持仓数据!K73</f>
        <v>0.26500000000000001</v>
      </c>
      <c r="G195" s="97">
        <v>372</v>
      </c>
      <c r="H195" s="97">
        <v>372</v>
      </c>
      <c r="I195" s="64">
        <v>0</v>
      </c>
      <c r="J195" s="64">
        <v>0</v>
      </c>
      <c r="K195" s="21">
        <f>IF(持仓数据!K106="",0,持仓数据!K106)</f>
        <v>372</v>
      </c>
      <c r="L195" s="21">
        <f t="shared" ref="L195:L258" si="112">I195*J195</f>
        <v>0</v>
      </c>
      <c r="M195" s="28">
        <f t="shared" si="96"/>
        <v>5874.6239999999998</v>
      </c>
      <c r="N195" s="28">
        <f t="shared" si="97"/>
        <v>0</v>
      </c>
      <c r="O195" s="28">
        <f t="shared" si="98"/>
        <v>0</v>
      </c>
      <c r="P195" s="28">
        <f t="shared" si="99"/>
        <v>0</v>
      </c>
      <c r="Q195" s="28">
        <f t="shared" ref="Q195:Q258" si="113">IFERROR(IF(ABS((E195-C195)/C195)&gt;0.2,IF(SUM(N195:O195)&lt;0,ABS(G195-H195)*(ABS(C195-E195)-C195*0.2),0),0),IF(SUM(N195:O195)&lt;0,ABS(G195-H195)*(ABS(C195-E195)-C195*0.2),0))</f>
        <v>0</v>
      </c>
      <c r="R195" s="28">
        <f t="shared" si="100"/>
        <v>5874.6239999999998</v>
      </c>
      <c r="S195" s="28">
        <f t="shared" ref="S195:S258" si="114">IFERROR((D195-E195)*(K195-G195),0)</f>
        <v>0</v>
      </c>
      <c r="T195" s="28">
        <f t="shared" ref="T195:T258" si="115">IFERROR((F195-D195)*(K195-G195),0)</f>
        <v>0</v>
      </c>
      <c r="U195" s="28">
        <f t="shared" si="89"/>
        <v>0</v>
      </c>
      <c r="V195" s="28">
        <f t="shared" ref="V195:V258" si="116">IFERROR((E195-D195)*(K195-H195),0)</f>
        <v>0</v>
      </c>
      <c r="W195" s="118"/>
      <c r="X195" s="143">
        <f t="shared" ref="X195:X258" si="117">ROUND(D195*1.2-SUM(Y195,AB195,AE195,AH195,AK195,AN195,AQ195,AT195,AW195,AZ195,BC195,BF195,BI195,BL195,BO195),3)</f>
        <v>18.684999999999999</v>
      </c>
      <c r="Y195" s="121">
        <f>交易记录!L6</f>
        <v>0.26500000000000001</v>
      </c>
      <c r="Z195" s="121">
        <f>交易记录!L37</f>
        <v>372</v>
      </c>
      <c r="AA195" s="30">
        <f t="shared" si="101"/>
        <v>0</v>
      </c>
      <c r="AB195" s="124">
        <f>交易记录!L70</f>
        <v>0</v>
      </c>
      <c r="AC195" s="124">
        <f>交易记录!L101</f>
        <v>0</v>
      </c>
      <c r="AD195" s="30">
        <f t="shared" si="95"/>
        <v>0</v>
      </c>
      <c r="AE195" s="121">
        <f>交易记录!L134</f>
        <v>0</v>
      </c>
      <c r="AF195" s="121">
        <f>交易记录!L165</f>
        <v>0</v>
      </c>
      <c r="AG195" s="30">
        <f t="shared" si="91"/>
        <v>0</v>
      </c>
      <c r="AH195" s="124">
        <f>交易记录!L198</f>
        <v>0</v>
      </c>
      <c r="AI195" s="124">
        <f>交易记录!L229</f>
        <v>0</v>
      </c>
      <c r="AJ195" s="30">
        <f t="shared" si="94"/>
        <v>0</v>
      </c>
      <c r="AK195" s="121">
        <f>交易记录!L262</f>
        <v>0</v>
      </c>
      <c r="AL195" s="121">
        <f>交易记录!L293</f>
        <v>0</v>
      </c>
      <c r="AM195" s="30">
        <f t="shared" si="93"/>
        <v>0</v>
      </c>
      <c r="AN195" s="124">
        <f>交易记录!L326</f>
        <v>0</v>
      </c>
      <c r="AO195" s="124">
        <f>交易记录!L357</f>
        <v>0</v>
      </c>
      <c r="AP195" s="30">
        <f t="shared" si="90"/>
        <v>0</v>
      </c>
      <c r="AQ195" s="121">
        <f>交易记录!L390</f>
        <v>0</v>
      </c>
      <c r="AR195" s="121">
        <f>交易记录!L421</f>
        <v>0</v>
      </c>
      <c r="AS195" s="30">
        <f t="shared" si="92"/>
        <v>0</v>
      </c>
      <c r="AT195" s="124">
        <f>交易记录!L454</f>
        <v>0</v>
      </c>
      <c r="AU195" s="124">
        <f>交易记录!L485</f>
        <v>0</v>
      </c>
      <c r="AV195" s="30">
        <f t="shared" si="102"/>
        <v>0</v>
      </c>
      <c r="AW195" s="121">
        <f>交易记录!L518</f>
        <v>0</v>
      </c>
      <c r="AX195" s="121">
        <f>交易记录!L549</f>
        <v>0</v>
      </c>
      <c r="AY195" s="30">
        <f t="shared" si="103"/>
        <v>0</v>
      </c>
      <c r="AZ195" s="124">
        <f>交易记录!L582</f>
        <v>0</v>
      </c>
      <c r="BA195" s="124">
        <f>交易记录!L613</f>
        <v>0</v>
      </c>
      <c r="BB195" s="30">
        <f t="shared" si="104"/>
        <v>0</v>
      </c>
      <c r="BC195" s="121">
        <f>交易记录!L646</f>
        <v>0</v>
      </c>
      <c r="BD195" s="121">
        <f>交易记录!L677</f>
        <v>0</v>
      </c>
      <c r="BE195" s="30">
        <f t="shared" si="105"/>
        <v>0</v>
      </c>
      <c r="BF195" s="124">
        <f>交易记录!L710</f>
        <v>0</v>
      </c>
      <c r="BG195" s="124">
        <f>交易记录!L741</f>
        <v>0</v>
      </c>
      <c r="BH195" s="30">
        <f t="shared" si="106"/>
        <v>0</v>
      </c>
      <c r="BI195" s="121">
        <f>交易记录!L774</f>
        <v>0</v>
      </c>
      <c r="BJ195" s="121">
        <f>交易记录!L805</f>
        <v>0</v>
      </c>
      <c r="BK195" s="30">
        <f t="shared" si="107"/>
        <v>0</v>
      </c>
      <c r="BL195" s="124">
        <f>交易记录!L838</f>
        <v>0</v>
      </c>
      <c r="BM195" s="124">
        <f>交易记录!L869</f>
        <v>0</v>
      </c>
      <c r="BN195" s="30">
        <f t="shared" si="108"/>
        <v>0</v>
      </c>
      <c r="BO195" s="121">
        <f>交易记录!L902</f>
        <v>0</v>
      </c>
      <c r="BP195" s="121">
        <f>交易记录!L933</f>
        <v>0</v>
      </c>
      <c r="BQ195" s="30">
        <f t="shared" si="109"/>
        <v>0</v>
      </c>
    </row>
    <row r="196" spans="1:69" ht="15">
      <c r="A196" s="125">
        <f>'维护-日期'!A$11</f>
        <v>46274</v>
      </c>
      <c r="B196" s="7" t="s">
        <v>8</v>
      </c>
      <c r="C196" s="144">
        <f t="shared" si="110"/>
        <v>14.821999999999999</v>
      </c>
      <c r="D196" s="144">
        <f>ROUND(INDEX(持仓数据!$C$3:$AG$26,MATCH('计算过程-数据汇总'!B196,持仓数据!$B$3:$B$26,0),MATCH('计算过程-数据汇总'!A196,'维护-日期'!$B$2:$AF$2,0)),3)</f>
        <v>14.821999999999999</v>
      </c>
      <c r="E196" s="98">
        <f t="shared" si="111"/>
        <v>14.821999999999999</v>
      </c>
      <c r="F196" s="22">
        <f>持仓数据!K74</f>
        <v>0.24199999999999999</v>
      </c>
      <c r="G196" s="97">
        <v>372</v>
      </c>
      <c r="H196" s="97">
        <v>372</v>
      </c>
      <c r="I196" s="64">
        <v>0</v>
      </c>
      <c r="J196" s="64">
        <v>0</v>
      </c>
      <c r="K196" s="21">
        <f>IF(持仓数据!K107="",0,持仓数据!K107)</f>
        <v>372</v>
      </c>
      <c r="L196" s="21">
        <f t="shared" si="112"/>
        <v>0</v>
      </c>
      <c r="M196" s="28">
        <f t="shared" si="96"/>
        <v>5513.7839999999997</v>
      </c>
      <c r="N196" s="28">
        <f t="shared" si="97"/>
        <v>0</v>
      </c>
      <c r="O196" s="28">
        <f t="shared" si="98"/>
        <v>0</v>
      </c>
      <c r="P196" s="28">
        <f t="shared" si="99"/>
        <v>0</v>
      </c>
      <c r="Q196" s="28">
        <f t="shared" si="113"/>
        <v>0</v>
      </c>
      <c r="R196" s="28">
        <f t="shared" si="100"/>
        <v>5513.7839999999997</v>
      </c>
      <c r="S196" s="28">
        <f t="shared" si="114"/>
        <v>0</v>
      </c>
      <c r="T196" s="28">
        <f t="shared" si="115"/>
        <v>0</v>
      </c>
      <c r="U196" s="28">
        <f t="shared" ref="U196:U259" si="118">IFERROR((D196-C196)*(K196-H196),0)</f>
        <v>0</v>
      </c>
      <c r="V196" s="28">
        <f t="shared" si="116"/>
        <v>0</v>
      </c>
      <c r="W196" s="118"/>
      <c r="X196" s="143">
        <f t="shared" si="117"/>
        <v>17.544</v>
      </c>
      <c r="Y196" s="121">
        <f>交易记录!L7</f>
        <v>0.24199999999999999</v>
      </c>
      <c r="Z196" s="121">
        <f>交易记录!L38</f>
        <v>372</v>
      </c>
      <c r="AA196" s="30">
        <f t="shared" si="101"/>
        <v>0</v>
      </c>
      <c r="AB196" s="124">
        <f>交易记录!L71</f>
        <v>0</v>
      </c>
      <c r="AC196" s="124">
        <f>交易记录!L102</f>
        <v>0</v>
      </c>
      <c r="AD196" s="30">
        <f t="shared" si="95"/>
        <v>0</v>
      </c>
      <c r="AE196" s="121">
        <f>交易记录!L135</f>
        <v>0</v>
      </c>
      <c r="AF196" s="121">
        <f>交易记录!L166</f>
        <v>0</v>
      </c>
      <c r="AG196" s="30">
        <f t="shared" si="91"/>
        <v>0</v>
      </c>
      <c r="AH196" s="124">
        <f>交易记录!L199</f>
        <v>0</v>
      </c>
      <c r="AI196" s="124">
        <f>交易记录!L230</f>
        <v>0</v>
      </c>
      <c r="AJ196" s="30">
        <f t="shared" si="94"/>
        <v>0</v>
      </c>
      <c r="AK196" s="121">
        <f>交易记录!L263</f>
        <v>0</v>
      </c>
      <c r="AL196" s="121">
        <f>交易记录!L294</f>
        <v>0</v>
      </c>
      <c r="AM196" s="30">
        <f t="shared" si="93"/>
        <v>0</v>
      </c>
      <c r="AN196" s="124">
        <f>交易记录!L327</f>
        <v>0</v>
      </c>
      <c r="AO196" s="124">
        <f>交易记录!L358</f>
        <v>0</v>
      </c>
      <c r="AP196" s="30">
        <f t="shared" si="90"/>
        <v>0</v>
      </c>
      <c r="AQ196" s="121">
        <f>交易记录!L391</f>
        <v>0</v>
      </c>
      <c r="AR196" s="121">
        <f>交易记录!L422</f>
        <v>0</v>
      </c>
      <c r="AS196" s="30">
        <f t="shared" si="92"/>
        <v>0</v>
      </c>
      <c r="AT196" s="124">
        <f>交易记录!L455</f>
        <v>0</v>
      </c>
      <c r="AU196" s="124">
        <f>交易记录!L486</f>
        <v>0</v>
      </c>
      <c r="AV196" s="30">
        <f t="shared" si="102"/>
        <v>0</v>
      </c>
      <c r="AW196" s="121">
        <f>交易记录!L519</f>
        <v>0</v>
      </c>
      <c r="AX196" s="121">
        <f>交易记录!L550</f>
        <v>0</v>
      </c>
      <c r="AY196" s="30">
        <f t="shared" si="103"/>
        <v>0</v>
      </c>
      <c r="AZ196" s="124">
        <f>交易记录!L583</f>
        <v>0</v>
      </c>
      <c r="BA196" s="124">
        <f>交易记录!L614</f>
        <v>0</v>
      </c>
      <c r="BB196" s="30">
        <f t="shared" si="104"/>
        <v>0</v>
      </c>
      <c r="BC196" s="121">
        <f>交易记录!L647</f>
        <v>0</v>
      </c>
      <c r="BD196" s="121">
        <f>交易记录!L678</f>
        <v>0</v>
      </c>
      <c r="BE196" s="30">
        <f t="shared" si="105"/>
        <v>0</v>
      </c>
      <c r="BF196" s="124">
        <f>交易记录!L711</f>
        <v>0</v>
      </c>
      <c r="BG196" s="124">
        <f>交易记录!L742</f>
        <v>0</v>
      </c>
      <c r="BH196" s="30">
        <f t="shared" si="106"/>
        <v>0</v>
      </c>
      <c r="BI196" s="121">
        <f>交易记录!L775</f>
        <v>0</v>
      </c>
      <c r="BJ196" s="121">
        <f>交易记录!L806</f>
        <v>0</v>
      </c>
      <c r="BK196" s="30">
        <f t="shared" si="107"/>
        <v>0</v>
      </c>
      <c r="BL196" s="124">
        <f>交易记录!L839</f>
        <v>0</v>
      </c>
      <c r="BM196" s="124">
        <f>交易记录!L870</f>
        <v>0</v>
      </c>
      <c r="BN196" s="30">
        <f t="shared" si="108"/>
        <v>0</v>
      </c>
      <c r="BO196" s="121">
        <f>交易记录!L903</f>
        <v>0</v>
      </c>
      <c r="BP196" s="121">
        <f>交易记录!L934</f>
        <v>0</v>
      </c>
      <c r="BQ196" s="30">
        <f t="shared" si="109"/>
        <v>0</v>
      </c>
    </row>
    <row r="197" spans="1:69" ht="15">
      <c r="A197" s="125">
        <f>'维护-日期'!A$11</f>
        <v>46274</v>
      </c>
      <c r="B197" s="7" t="s">
        <v>9</v>
      </c>
      <c r="C197" s="144">
        <f t="shared" si="110"/>
        <v>13.817</v>
      </c>
      <c r="D197" s="144">
        <f>ROUND(INDEX(持仓数据!$C$3:$AG$26,MATCH('计算过程-数据汇总'!B197,持仓数据!$B$3:$B$26,0),MATCH('计算过程-数据汇总'!A197,'维护-日期'!$B$2:$AF$2,0)),3)</f>
        <v>13.817</v>
      </c>
      <c r="E197" s="98">
        <f t="shared" si="111"/>
        <v>13.817</v>
      </c>
      <c r="F197" s="22">
        <f>持仓数据!K75</f>
        <v>0.09</v>
      </c>
      <c r="G197" s="97">
        <v>372</v>
      </c>
      <c r="H197" s="97">
        <v>372</v>
      </c>
      <c r="I197" s="64">
        <v>0</v>
      </c>
      <c r="J197" s="64">
        <v>0</v>
      </c>
      <c r="K197" s="21">
        <f>IF(持仓数据!K108="",0,持仓数据!K108)</f>
        <v>372</v>
      </c>
      <c r="L197" s="21">
        <f t="shared" si="112"/>
        <v>0</v>
      </c>
      <c r="M197" s="28">
        <f t="shared" si="96"/>
        <v>5139.924</v>
      </c>
      <c r="N197" s="28">
        <f t="shared" si="97"/>
        <v>0</v>
      </c>
      <c r="O197" s="28">
        <f t="shared" si="98"/>
        <v>0</v>
      </c>
      <c r="P197" s="28">
        <f t="shared" si="99"/>
        <v>0</v>
      </c>
      <c r="Q197" s="28">
        <f t="shared" si="113"/>
        <v>0</v>
      </c>
      <c r="R197" s="28">
        <f t="shared" si="100"/>
        <v>5139.924</v>
      </c>
      <c r="S197" s="28">
        <f t="shared" si="114"/>
        <v>0</v>
      </c>
      <c r="T197" s="28">
        <f t="shared" si="115"/>
        <v>0</v>
      </c>
      <c r="U197" s="28">
        <f t="shared" si="118"/>
        <v>0</v>
      </c>
      <c r="V197" s="28">
        <f t="shared" si="116"/>
        <v>0</v>
      </c>
      <c r="W197" s="118"/>
      <c r="X197" s="143">
        <f t="shared" si="117"/>
        <v>16.489999999999998</v>
      </c>
      <c r="Y197" s="121">
        <f>交易记录!L8</f>
        <v>0.09</v>
      </c>
      <c r="Z197" s="121">
        <f>交易记录!L39</f>
        <v>372</v>
      </c>
      <c r="AA197" s="30">
        <f t="shared" si="101"/>
        <v>0</v>
      </c>
      <c r="AB197" s="124">
        <f>交易记录!L72</f>
        <v>0</v>
      </c>
      <c r="AC197" s="124">
        <f>交易记录!L103</f>
        <v>0</v>
      </c>
      <c r="AD197" s="30">
        <f t="shared" si="95"/>
        <v>0</v>
      </c>
      <c r="AE197" s="121">
        <f>交易记录!L136</f>
        <v>0</v>
      </c>
      <c r="AF197" s="121">
        <f>交易记录!L167</f>
        <v>0</v>
      </c>
      <c r="AG197" s="30">
        <f t="shared" si="91"/>
        <v>0</v>
      </c>
      <c r="AH197" s="124">
        <f>交易记录!L200</f>
        <v>0</v>
      </c>
      <c r="AI197" s="124">
        <f>交易记录!L231</f>
        <v>0</v>
      </c>
      <c r="AJ197" s="30">
        <f t="shared" si="94"/>
        <v>0</v>
      </c>
      <c r="AK197" s="121">
        <f>交易记录!L264</f>
        <v>0</v>
      </c>
      <c r="AL197" s="121">
        <f>交易记录!L295</f>
        <v>0</v>
      </c>
      <c r="AM197" s="30">
        <f t="shared" si="93"/>
        <v>0</v>
      </c>
      <c r="AN197" s="124">
        <f>交易记录!L328</f>
        <v>0</v>
      </c>
      <c r="AO197" s="124">
        <f>交易记录!L359</f>
        <v>0</v>
      </c>
      <c r="AP197" s="30">
        <f t="shared" si="90"/>
        <v>0</v>
      </c>
      <c r="AQ197" s="121">
        <f>交易记录!L392</f>
        <v>0</v>
      </c>
      <c r="AR197" s="121">
        <f>交易记录!L423</f>
        <v>0</v>
      </c>
      <c r="AS197" s="30">
        <f t="shared" si="92"/>
        <v>0</v>
      </c>
      <c r="AT197" s="124">
        <f>交易记录!L456</f>
        <v>0</v>
      </c>
      <c r="AU197" s="124">
        <f>交易记录!L487</f>
        <v>0</v>
      </c>
      <c r="AV197" s="30">
        <f t="shared" si="102"/>
        <v>0</v>
      </c>
      <c r="AW197" s="121">
        <f>交易记录!L520</f>
        <v>0</v>
      </c>
      <c r="AX197" s="121">
        <f>交易记录!L551</f>
        <v>0</v>
      </c>
      <c r="AY197" s="30">
        <f t="shared" si="103"/>
        <v>0</v>
      </c>
      <c r="AZ197" s="124">
        <f>交易记录!L584</f>
        <v>0</v>
      </c>
      <c r="BA197" s="124">
        <f>交易记录!L615</f>
        <v>0</v>
      </c>
      <c r="BB197" s="30">
        <f t="shared" si="104"/>
        <v>0</v>
      </c>
      <c r="BC197" s="121">
        <f>交易记录!L648</f>
        <v>0</v>
      </c>
      <c r="BD197" s="121">
        <f>交易记录!L679</f>
        <v>0</v>
      </c>
      <c r="BE197" s="30">
        <f t="shared" si="105"/>
        <v>0</v>
      </c>
      <c r="BF197" s="124">
        <f>交易记录!L712</f>
        <v>0</v>
      </c>
      <c r="BG197" s="124">
        <f>交易记录!L743</f>
        <v>0</v>
      </c>
      <c r="BH197" s="30">
        <f t="shared" si="106"/>
        <v>0</v>
      </c>
      <c r="BI197" s="121">
        <f>交易记录!L776</f>
        <v>0</v>
      </c>
      <c r="BJ197" s="121">
        <f>交易记录!L807</f>
        <v>0</v>
      </c>
      <c r="BK197" s="30">
        <f t="shared" si="107"/>
        <v>0</v>
      </c>
      <c r="BL197" s="124">
        <f>交易记录!L840</f>
        <v>0</v>
      </c>
      <c r="BM197" s="124">
        <f>交易记录!L871</f>
        <v>0</v>
      </c>
      <c r="BN197" s="30">
        <f t="shared" si="108"/>
        <v>0</v>
      </c>
      <c r="BO197" s="121">
        <f>交易记录!L904</f>
        <v>0</v>
      </c>
      <c r="BP197" s="121">
        <f>交易记录!L935</f>
        <v>0</v>
      </c>
      <c r="BQ197" s="30">
        <f t="shared" si="109"/>
        <v>0</v>
      </c>
    </row>
    <row r="198" spans="1:69" ht="15">
      <c r="A198" s="125">
        <f>'维护-日期'!A$11</f>
        <v>46274</v>
      </c>
      <c r="B198" s="7" t="s">
        <v>10</v>
      </c>
      <c r="C198" s="144">
        <f t="shared" si="110"/>
        <v>13.388</v>
      </c>
      <c r="D198" s="144">
        <f>ROUND(INDEX(持仓数据!$C$3:$AG$26,MATCH('计算过程-数据汇总'!B198,持仓数据!$B$3:$B$26,0),MATCH('计算过程-数据汇总'!A198,'维护-日期'!$B$2:$AF$2,0)),3)</f>
        <v>13.388</v>
      </c>
      <c r="E198" s="98">
        <f t="shared" si="111"/>
        <v>13.388</v>
      </c>
      <c r="F198" s="22">
        <f>持仓数据!K76</f>
        <v>8.6999999999999994E-2</v>
      </c>
      <c r="G198" s="97">
        <v>372</v>
      </c>
      <c r="H198" s="97">
        <v>372</v>
      </c>
      <c r="I198" s="64">
        <v>0</v>
      </c>
      <c r="J198" s="64">
        <v>0</v>
      </c>
      <c r="K198" s="21">
        <f>IF(持仓数据!K109="",0,持仓数据!K109)</f>
        <v>372</v>
      </c>
      <c r="L198" s="21">
        <f t="shared" si="112"/>
        <v>0</v>
      </c>
      <c r="M198" s="28">
        <f t="shared" si="96"/>
        <v>4980.3360000000002</v>
      </c>
      <c r="N198" s="28">
        <f t="shared" si="97"/>
        <v>0</v>
      </c>
      <c r="O198" s="28">
        <f t="shared" si="98"/>
        <v>0</v>
      </c>
      <c r="P198" s="28">
        <f t="shared" si="99"/>
        <v>0</v>
      </c>
      <c r="Q198" s="28">
        <f t="shared" si="113"/>
        <v>0</v>
      </c>
      <c r="R198" s="28">
        <f t="shared" si="100"/>
        <v>4980.3360000000002</v>
      </c>
      <c r="S198" s="28">
        <f t="shared" si="114"/>
        <v>0</v>
      </c>
      <c r="T198" s="28">
        <f t="shared" si="115"/>
        <v>0</v>
      </c>
      <c r="U198" s="28">
        <f t="shared" si="118"/>
        <v>0</v>
      </c>
      <c r="V198" s="28">
        <f t="shared" si="116"/>
        <v>0</v>
      </c>
      <c r="W198" s="118"/>
      <c r="X198" s="143">
        <f t="shared" si="117"/>
        <v>15.978999999999999</v>
      </c>
      <c r="Y198" s="121">
        <f>交易记录!L9</f>
        <v>8.6999999999999994E-2</v>
      </c>
      <c r="Z198" s="121">
        <f>交易记录!L40</f>
        <v>372</v>
      </c>
      <c r="AA198" s="30">
        <f t="shared" si="101"/>
        <v>0</v>
      </c>
      <c r="AB198" s="124">
        <f>交易记录!L73</f>
        <v>0</v>
      </c>
      <c r="AC198" s="124">
        <f>交易记录!L104</f>
        <v>0</v>
      </c>
      <c r="AD198" s="30">
        <f t="shared" si="95"/>
        <v>0</v>
      </c>
      <c r="AE198" s="121">
        <f>交易记录!L137</f>
        <v>0</v>
      </c>
      <c r="AF198" s="121">
        <f>交易记录!L168</f>
        <v>0</v>
      </c>
      <c r="AG198" s="30">
        <f t="shared" si="91"/>
        <v>0</v>
      </c>
      <c r="AH198" s="124">
        <f>交易记录!L201</f>
        <v>0</v>
      </c>
      <c r="AI198" s="124">
        <f>交易记录!L232</f>
        <v>0</v>
      </c>
      <c r="AJ198" s="30">
        <f t="shared" si="94"/>
        <v>0</v>
      </c>
      <c r="AK198" s="121">
        <f>交易记录!L265</f>
        <v>0</v>
      </c>
      <c r="AL198" s="121">
        <f>交易记录!L296</f>
        <v>0</v>
      </c>
      <c r="AM198" s="30">
        <f t="shared" si="93"/>
        <v>0</v>
      </c>
      <c r="AN198" s="124">
        <f>交易记录!L329</f>
        <v>0</v>
      </c>
      <c r="AO198" s="124">
        <f>交易记录!L360</f>
        <v>0</v>
      </c>
      <c r="AP198" s="30">
        <f t="shared" ref="AP198:AP217" si="119">IFERROR((AO198-$G198)*AN198,0)</f>
        <v>0</v>
      </c>
      <c r="AQ198" s="121">
        <f>交易记录!L393</f>
        <v>0</v>
      </c>
      <c r="AR198" s="121">
        <f>交易记录!L424</f>
        <v>0</v>
      </c>
      <c r="AS198" s="30">
        <f t="shared" si="92"/>
        <v>0</v>
      </c>
      <c r="AT198" s="124">
        <f>交易记录!L457</f>
        <v>0</v>
      </c>
      <c r="AU198" s="124">
        <f>交易记录!L488</f>
        <v>0</v>
      </c>
      <c r="AV198" s="30">
        <f t="shared" si="102"/>
        <v>0</v>
      </c>
      <c r="AW198" s="121">
        <f>交易记录!L521</f>
        <v>0</v>
      </c>
      <c r="AX198" s="121">
        <f>交易记录!L552</f>
        <v>0</v>
      </c>
      <c r="AY198" s="30">
        <f t="shared" si="103"/>
        <v>0</v>
      </c>
      <c r="AZ198" s="124">
        <f>交易记录!L585</f>
        <v>0</v>
      </c>
      <c r="BA198" s="124">
        <f>交易记录!L616</f>
        <v>0</v>
      </c>
      <c r="BB198" s="30">
        <f t="shared" si="104"/>
        <v>0</v>
      </c>
      <c r="BC198" s="121">
        <f>交易记录!L649</f>
        <v>0</v>
      </c>
      <c r="BD198" s="121">
        <f>交易记录!L680</f>
        <v>0</v>
      </c>
      <c r="BE198" s="30">
        <f t="shared" si="105"/>
        <v>0</v>
      </c>
      <c r="BF198" s="124">
        <f>交易记录!L713</f>
        <v>0</v>
      </c>
      <c r="BG198" s="124">
        <f>交易记录!L744</f>
        <v>0</v>
      </c>
      <c r="BH198" s="30">
        <f t="shared" si="106"/>
        <v>0</v>
      </c>
      <c r="BI198" s="121">
        <f>交易记录!L777</f>
        <v>0</v>
      </c>
      <c r="BJ198" s="121">
        <f>交易记录!L808</f>
        <v>0</v>
      </c>
      <c r="BK198" s="30">
        <f t="shared" si="107"/>
        <v>0</v>
      </c>
      <c r="BL198" s="124">
        <f>交易记录!L841</f>
        <v>0</v>
      </c>
      <c r="BM198" s="124">
        <f>交易记录!L872</f>
        <v>0</v>
      </c>
      <c r="BN198" s="30">
        <f t="shared" si="108"/>
        <v>0</v>
      </c>
      <c r="BO198" s="121">
        <f>交易记录!L905</f>
        <v>0</v>
      </c>
      <c r="BP198" s="121">
        <f>交易记录!L936</f>
        <v>0</v>
      </c>
      <c r="BQ198" s="30">
        <f t="shared" si="109"/>
        <v>0</v>
      </c>
    </row>
    <row r="199" spans="1:69" ht="15">
      <c r="A199" s="125">
        <f>'维护-日期'!A$11</f>
        <v>46274</v>
      </c>
      <c r="B199" s="7" t="s">
        <v>11</v>
      </c>
      <c r="C199" s="144">
        <f t="shared" si="110"/>
        <v>13.087</v>
      </c>
      <c r="D199" s="144">
        <f>ROUND(INDEX(持仓数据!$C$3:$AG$26,MATCH('计算过程-数据汇总'!B199,持仓数据!$B$3:$B$26,0),MATCH('计算过程-数据汇总'!A199,'维护-日期'!$B$2:$AF$2,0)),3)</f>
        <v>13.087</v>
      </c>
      <c r="E199" s="98">
        <f t="shared" si="111"/>
        <v>13.087</v>
      </c>
      <c r="F199" s="22">
        <f>持仓数据!K77</f>
        <v>8.6999999999999994E-2</v>
      </c>
      <c r="G199" s="97">
        <v>372</v>
      </c>
      <c r="H199" s="97">
        <v>372</v>
      </c>
      <c r="I199" s="64">
        <v>0</v>
      </c>
      <c r="J199" s="64">
        <v>0</v>
      </c>
      <c r="K199" s="21">
        <f>IF(持仓数据!K110="",0,持仓数据!K110)</f>
        <v>372</v>
      </c>
      <c r="L199" s="21">
        <f t="shared" si="112"/>
        <v>0</v>
      </c>
      <c r="M199" s="28">
        <f t="shared" si="96"/>
        <v>4868.3639999999996</v>
      </c>
      <c r="N199" s="28">
        <f t="shared" si="97"/>
        <v>0</v>
      </c>
      <c r="O199" s="28">
        <f t="shared" si="98"/>
        <v>0</v>
      </c>
      <c r="P199" s="28">
        <f t="shared" si="99"/>
        <v>0</v>
      </c>
      <c r="Q199" s="28">
        <f t="shared" si="113"/>
        <v>0</v>
      </c>
      <c r="R199" s="28">
        <f t="shared" si="100"/>
        <v>4868.3639999999996</v>
      </c>
      <c r="S199" s="28">
        <f t="shared" si="114"/>
        <v>0</v>
      </c>
      <c r="T199" s="28">
        <f t="shared" si="115"/>
        <v>0</v>
      </c>
      <c r="U199" s="28">
        <f t="shared" si="118"/>
        <v>0</v>
      </c>
      <c r="V199" s="28">
        <f t="shared" si="116"/>
        <v>0</v>
      </c>
      <c r="W199" s="118"/>
      <c r="X199" s="143">
        <f t="shared" si="117"/>
        <v>15.617000000000001</v>
      </c>
      <c r="Y199" s="121">
        <f>交易记录!L10</f>
        <v>8.6999999999999994E-2</v>
      </c>
      <c r="Z199" s="121">
        <f>交易记录!L41</f>
        <v>372</v>
      </c>
      <c r="AA199" s="30">
        <f t="shared" si="101"/>
        <v>0</v>
      </c>
      <c r="AB199" s="124">
        <f>交易记录!L74</f>
        <v>0</v>
      </c>
      <c r="AC199" s="124">
        <f>交易记录!L105</f>
        <v>0</v>
      </c>
      <c r="AD199" s="30">
        <f t="shared" si="95"/>
        <v>0</v>
      </c>
      <c r="AE199" s="121">
        <f>交易记录!L138</f>
        <v>0</v>
      </c>
      <c r="AF199" s="121">
        <f>交易记录!L169</f>
        <v>0</v>
      </c>
      <c r="AG199" s="30">
        <f t="shared" ref="AG199:AG217" si="120">IFERROR((AF199-$G199)*AE199,0)</f>
        <v>0</v>
      </c>
      <c r="AH199" s="124">
        <f>交易记录!L202</f>
        <v>0</v>
      </c>
      <c r="AI199" s="124">
        <f>交易记录!L233</f>
        <v>0</v>
      </c>
      <c r="AJ199" s="30">
        <f t="shared" si="94"/>
        <v>0</v>
      </c>
      <c r="AK199" s="121">
        <f>交易记录!L266</f>
        <v>0</v>
      </c>
      <c r="AL199" s="121">
        <f>交易记录!L297</f>
        <v>0</v>
      </c>
      <c r="AM199" s="30">
        <f t="shared" si="93"/>
        <v>0</v>
      </c>
      <c r="AN199" s="124">
        <f>交易记录!L330</f>
        <v>0</v>
      </c>
      <c r="AO199" s="124">
        <f>交易记录!L361</f>
        <v>0</v>
      </c>
      <c r="AP199" s="30">
        <f t="shared" si="119"/>
        <v>0</v>
      </c>
      <c r="AQ199" s="121">
        <f>交易记录!L394</f>
        <v>0</v>
      </c>
      <c r="AR199" s="121">
        <f>交易记录!L425</f>
        <v>0</v>
      </c>
      <c r="AS199" s="30">
        <f t="shared" si="92"/>
        <v>0</v>
      </c>
      <c r="AT199" s="124">
        <f>交易记录!L458</f>
        <v>0</v>
      </c>
      <c r="AU199" s="124">
        <f>交易记录!L489</f>
        <v>0</v>
      </c>
      <c r="AV199" s="30">
        <f t="shared" si="102"/>
        <v>0</v>
      </c>
      <c r="AW199" s="121">
        <f>交易记录!L522</f>
        <v>0</v>
      </c>
      <c r="AX199" s="121">
        <f>交易记录!L553</f>
        <v>0</v>
      </c>
      <c r="AY199" s="30">
        <f t="shared" si="103"/>
        <v>0</v>
      </c>
      <c r="AZ199" s="124">
        <f>交易记录!L586</f>
        <v>0</v>
      </c>
      <c r="BA199" s="124">
        <f>交易记录!L617</f>
        <v>0</v>
      </c>
      <c r="BB199" s="30">
        <f t="shared" si="104"/>
        <v>0</v>
      </c>
      <c r="BC199" s="121">
        <f>交易记录!L650</f>
        <v>0</v>
      </c>
      <c r="BD199" s="121">
        <f>交易记录!L681</f>
        <v>0</v>
      </c>
      <c r="BE199" s="30">
        <f t="shared" si="105"/>
        <v>0</v>
      </c>
      <c r="BF199" s="124">
        <f>交易记录!L714</f>
        <v>0</v>
      </c>
      <c r="BG199" s="124">
        <f>交易记录!L745</f>
        <v>0</v>
      </c>
      <c r="BH199" s="30">
        <f t="shared" si="106"/>
        <v>0</v>
      </c>
      <c r="BI199" s="121">
        <f>交易记录!L778</f>
        <v>0</v>
      </c>
      <c r="BJ199" s="121">
        <f>交易记录!L809</f>
        <v>0</v>
      </c>
      <c r="BK199" s="30">
        <f t="shared" si="107"/>
        <v>0</v>
      </c>
      <c r="BL199" s="124">
        <f>交易记录!L842</f>
        <v>0</v>
      </c>
      <c r="BM199" s="124">
        <f>交易记录!L873</f>
        <v>0</v>
      </c>
      <c r="BN199" s="30">
        <f t="shared" si="108"/>
        <v>0</v>
      </c>
      <c r="BO199" s="121">
        <f>交易记录!L906</f>
        <v>0</v>
      </c>
      <c r="BP199" s="121">
        <f>交易记录!L937</f>
        <v>0</v>
      </c>
      <c r="BQ199" s="30">
        <f t="shared" si="109"/>
        <v>0</v>
      </c>
    </row>
    <row r="200" spans="1:69" ht="15">
      <c r="A200" s="125">
        <f>'维护-日期'!A$11</f>
        <v>46274</v>
      </c>
      <c r="B200" s="7" t="s">
        <v>12</v>
      </c>
      <c r="C200" s="144">
        <f t="shared" si="110"/>
        <v>12.95</v>
      </c>
      <c r="D200" s="144">
        <f>ROUND(INDEX(持仓数据!$C$3:$AG$26,MATCH('计算过程-数据汇总'!B200,持仓数据!$B$3:$B$26,0),MATCH('计算过程-数据汇总'!A200,'维护-日期'!$B$2:$AF$2,0)),3)</f>
        <v>12.95</v>
      </c>
      <c r="E200" s="98">
        <f t="shared" si="111"/>
        <v>12.95</v>
      </c>
      <c r="F200" s="22">
        <f>持仓数据!K78</f>
        <v>0.14499999999999999</v>
      </c>
      <c r="G200" s="97">
        <v>372</v>
      </c>
      <c r="H200" s="97">
        <v>372</v>
      </c>
      <c r="I200" s="64">
        <v>0</v>
      </c>
      <c r="J200" s="64">
        <v>0</v>
      </c>
      <c r="K200" s="21">
        <f>IF(持仓数据!K111="",0,持仓数据!K111)</f>
        <v>372</v>
      </c>
      <c r="L200" s="21">
        <f t="shared" si="112"/>
        <v>0</v>
      </c>
      <c r="M200" s="28">
        <f t="shared" si="96"/>
        <v>4817.3999999999996</v>
      </c>
      <c r="N200" s="28">
        <f t="shared" si="97"/>
        <v>0</v>
      </c>
      <c r="O200" s="28">
        <f t="shared" si="98"/>
        <v>0</v>
      </c>
      <c r="P200" s="28">
        <f t="shared" si="99"/>
        <v>0</v>
      </c>
      <c r="Q200" s="28">
        <f t="shared" si="113"/>
        <v>0</v>
      </c>
      <c r="R200" s="28">
        <f t="shared" si="100"/>
        <v>4817.3999999999996</v>
      </c>
      <c r="S200" s="28">
        <f t="shared" si="114"/>
        <v>0</v>
      </c>
      <c r="T200" s="28">
        <f t="shared" si="115"/>
        <v>0</v>
      </c>
      <c r="U200" s="28">
        <f t="shared" si="118"/>
        <v>0</v>
      </c>
      <c r="V200" s="28">
        <f t="shared" si="116"/>
        <v>0</v>
      </c>
      <c r="W200" s="118"/>
      <c r="X200" s="143">
        <f t="shared" si="117"/>
        <v>15.395</v>
      </c>
      <c r="Y200" s="121">
        <f>交易记录!L11</f>
        <v>0.14499999999999999</v>
      </c>
      <c r="Z200" s="121">
        <f>交易记录!L42</f>
        <v>372</v>
      </c>
      <c r="AA200" s="30">
        <f t="shared" si="101"/>
        <v>0</v>
      </c>
      <c r="AB200" s="124">
        <f>交易记录!L75</f>
        <v>0</v>
      </c>
      <c r="AC200" s="124">
        <f>交易记录!L106</f>
        <v>0</v>
      </c>
      <c r="AD200" s="30">
        <f t="shared" si="95"/>
        <v>0</v>
      </c>
      <c r="AE200" s="121">
        <f>交易记录!L139</f>
        <v>0</v>
      </c>
      <c r="AF200" s="121">
        <f>交易记录!L170</f>
        <v>0</v>
      </c>
      <c r="AG200" s="30">
        <f t="shared" si="120"/>
        <v>0</v>
      </c>
      <c r="AH200" s="124">
        <f>交易记录!L203</f>
        <v>0</v>
      </c>
      <c r="AI200" s="124">
        <f>交易记录!L234</f>
        <v>0</v>
      </c>
      <c r="AJ200" s="30">
        <f t="shared" si="94"/>
        <v>0</v>
      </c>
      <c r="AK200" s="121">
        <f>交易记录!L267</f>
        <v>0</v>
      </c>
      <c r="AL200" s="121">
        <f>交易记录!L298</f>
        <v>0</v>
      </c>
      <c r="AM200" s="30">
        <f t="shared" si="93"/>
        <v>0</v>
      </c>
      <c r="AN200" s="124">
        <f>交易记录!L331</f>
        <v>0</v>
      </c>
      <c r="AO200" s="124">
        <f>交易记录!L362</f>
        <v>0</v>
      </c>
      <c r="AP200" s="30">
        <f t="shared" si="119"/>
        <v>0</v>
      </c>
      <c r="AQ200" s="121">
        <f>交易记录!L395</f>
        <v>0</v>
      </c>
      <c r="AR200" s="121">
        <f>交易记录!L426</f>
        <v>0</v>
      </c>
      <c r="AS200" s="30">
        <f t="shared" ref="AS200:AS217" si="121">IFERROR((AR200-$G200)*AQ200,0)</f>
        <v>0</v>
      </c>
      <c r="AT200" s="124">
        <f>交易记录!L459</f>
        <v>0</v>
      </c>
      <c r="AU200" s="124">
        <f>交易记录!L490</f>
        <v>0</v>
      </c>
      <c r="AV200" s="30">
        <f t="shared" si="102"/>
        <v>0</v>
      </c>
      <c r="AW200" s="121">
        <f>交易记录!L523</f>
        <v>0</v>
      </c>
      <c r="AX200" s="121">
        <f>交易记录!L554</f>
        <v>0</v>
      </c>
      <c r="AY200" s="30">
        <f t="shared" si="103"/>
        <v>0</v>
      </c>
      <c r="AZ200" s="124">
        <f>交易记录!L587</f>
        <v>0</v>
      </c>
      <c r="BA200" s="124">
        <f>交易记录!L618</f>
        <v>0</v>
      </c>
      <c r="BB200" s="30">
        <f t="shared" si="104"/>
        <v>0</v>
      </c>
      <c r="BC200" s="121">
        <f>交易记录!L651</f>
        <v>0</v>
      </c>
      <c r="BD200" s="121">
        <f>交易记录!L682</f>
        <v>0</v>
      </c>
      <c r="BE200" s="30">
        <f t="shared" si="105"/>
        <v>0</v>
      </c>
      <c r="BF200" s="124">
        <f>交易记录!L715</f>
        <v>0</v>
      </c>
      <c r="BG200" s="124">
        <f>交易记录!L746</f>
        <v>0</v>
      </c>
      <c r="BH200" s="30">
        <f t="shared" si="106"/>
        <v>0</v>
      </c>
      <c r="BI200" s="121">
        <f>交易记录!L779</f>
        <v>0</v>
      </c>
      <c r="BJ200" s="121">
        <f>交易记录!L810</f>
        <v>0</v>
      </c>
      <c r="BK200" s="30">
        <f t="shared" si="107"/>
        <v>0</v>
      </c>
      <c r="BL200" s="124">
        <f>交易记录!L843</f>
        <v>0</v>
      </c>
      <c r="BM200" s="124">
        <f>交易记录!L874</f>
        <v>0</v>
      </c>
      <c r="BN200" s="30">
        <f t="shared" si="108"/>
        <v>0</v>
      </c>
      <c r="BO200" s="121">
        <f>交易记录!L907</f>
        <v>0</v>
      </c>
      <c r="BP200" s="121">
        <f>交易记录!L938</f>
        <v>0</v>
      </c>
      <c r="BQ200" s="30">
        <f t="shared" si="109"/>
        <v>0</v>
      </c>
    </row>
    <row r="201" spans="1:69" ht="15">
      <c r="A201" s="125">
        <f>'维护-日期'!A$11</f>
        <v>46274</v>
      </c>
      <c r="B201" s="7" t="s">
        <v>13</v>
      </c>
      <c r="C201" s="144">
        <f t="shared" si="110"/>
        <v>13.266999999999999</v>
      </c>
      <c r="D201" s="144">
        <f>ROUND(INDEX(持仓数据!$C$3:$AG$26,MATCH('计算过程-数据汇总'!B201,持仓数据!$B$3:$B$26,0),MATCH('计算过程-数据汇总'!A201,'维护-日期'!$B$2:$AF$2,0)),3)</f>
        <v>13.266999999999999</v>
      </c>
      <c r="E201" s="98">
        <f t="shared" si="111"/>
        <v>13.266999999999999</v>
      </c>
      <c r="F201" s="22">
        <f>持仓数据!K79</f>
        <v>0.307</v>
      </c>
      <c r="G201" s="97">
        <v>372</v>
      </c>
      <c r="H201" s="97">
        <v>372</v>
      </c>
      <c r="I201" s="64">
        <v>0</v>
      </c>
      <c r="J201" s="64">
        <v>0</v>
      </c>
      <c r="K201" s="21">
        <f>IF(持仓数据!K112="",0,持仓数据!K112)</f>
        <v>372</v>
      </c>
      <c r="L201" s="21">
        <f t="shared" si="112"/>
        <v>0</v>
      </c>
      <c r="M201" s="28">
        <f t="shared" si="96"/>
        <v>4935.3239999999996</v>
      </c>
      <c r="N201" s="28">
        <f t="shared" si="97"/>
        <v>0</v>
      </c>
      <c r="O201" s="28">
        <f t="shared" si="98"/>
        <v>0</v>
      </c>
      <c r="P201" s="28">
        <f t="shared" si="99"/>
        <v>0</v>
      </c>
      <c r="Q201" s="28">
        <f t="shared" si="113"/>
        <v>0</v>
      </c>
      <c r="R201" s="28">
        <f t="shared" si="100"/>
        <v>4935.3239999999996</v>
      </c>
      <c r="S201" s="28">
        <f t="shared" si="114"/>
        <v>0</v>
      </c>
      <c r="T201" s="28">
        <f t="shared" si="115"/>
        <v>0</v>
      </c>
      <c r="U201" s="28">
        <f t="shared" si="118"/>
        <v>0</v>
      </c>
      <c r="V201" s="28">
        <f t="shared" si="116"/>
        <v>0</v>
      </c>
      <c r="W201" s="118"/>
      <c r="X201" s="143">
        <f t="shared" si="117"/>
        <v>15.613</v>
      </c>
      <c r="Y201" s="121">
        <f>交易记录!L12</f>
        <v>0.307</v>
      </c>
      <c r="Z201" s="121">
        <f>交易记录!L43</f>
        <v>372</v>
      </c>
      <c r="AA201" s="30">
        <f t="shared" si="101"/>
        <v>0</v>
      </c>
      <c r="AB201" s="124">
        <f>交易记录!L76</f>
        <v>0</v>
      </c>
      <c r="AC201" s="124">
        <f>交易记录!L107</f>
        <v>0</v>
      </c>
      <c r="AD201" s="30">
        <f t="shared" si="95"/>
        <v>0</v>
      </c>
      <c r="AE201" s="121">
        <f>交易记录!L140</f>
        <v>0</v>
      </c>
      <c r="AF201" s="121">
        <f>交易记录!L171</f>
        <v>0</v>
      </c>
      <c r="AG201" s="30">
        <f t="shared" si="120"/>
        <v>0</v>
      </c>
      <c r="AH201" s="124">
        <f>交易记录!L204</f>
        <v>0</v>
      </c>
      <c r="AI201" s="124">
        <f>交易记录!L235</f>
        <v>0</v>
      </c>
      <c r="AJ201" s="30">
        <f t="shared" si="94"/>
        <v>0</v>
      </c>
      <c r="AK201" s="121">
        <f>交易记录!L268</f>
        <v>0</v>
      </c>
      <c r="AL201" s="121">
        <f>交易记录!L299</f>
        <v>0</v>
      </c>
      <c r="AM201" s="30">
        <f t="shared" si="93"/>
        <v>0</v>
      </c>
      <c r="AN201" s="124">
        <f>交易记录!L332</f>
        <v>0</v>
      </c>
      <c r="AO201" s="124">
        <f>交易记录!L363</f>
        <v>0</v>
      </c>
      <c r="AP201" s="30">
        <f t="shared" si="119"/>
        <v>0</v>
      </c>
      <c r="AQ201" s="121">
        <f>交易记录!L396</f>
        <v>0</v>
      </c>
      <c r="AR201" s="121">
        <f>交易记录!L427</f>
        <v>0</v>
      </c>
      <c r="AS201" s="30">
        <f t="shared" si="121"/>
        <v>0</v>
      </c>
      <c r="AT201" s="124">
        <f>交易记录!L460</f>
        <v>0</v>
      </c>
      <c r="AU201" s="124">
        <f>交易记录!L491</f>
        <v>0</v>
      </c>
      <c r="AV201" s="30">
        <f t="shared" si="102"/>
        <v>0</v>
      </c>
      <c r="AW201" s="121">
        <f>交易记录!L524</f>
        <v>0</v>
      </c>
      <c r="AX201" s="121">
        <f>交易记录!L555</f>
        <v>0</v>
      </c>
      <c r="AY201" s="30">
        <f t="shared" si="103"/>
        <v>0</v>
      </c>
      <c r="AZ201" s="124">
        <f>交易记录!L588</f>
        <v>0</v>
      </c>
      <c r="BA201" s="124">
        <f>交易记录!L619</f>
        <v>0</v>
      </c>
      <c r="BB201" s="30">
        <f t="shared" si="104"/>
        <v>0</v>
      </c>
      <c r="BC201" s="121">
        <f>交易记录!L652</f>
        <v>0</v>
      </c>
      <c r="BD201" s="121">
        <f>交易记录!L683</f>
        <v>0</v>
      </c>
      <c r="BE201" s="30">
        <f t="shared" si="105"/>
        <v>0</v>
      </c>
      <c r="BF201" s="124">
        <f>交易记录!L716</f>
        <v>0</v>
      </c>
      <c r="BG201" s="124">
        <f>交易记录!L747</f>
        <v>0</v>
      </c>
      <c r="BH201" s="30">
        <f t="shared" si="106"/>
        <v>0</v>
      </c>
      <c r="BI201" s="121">
        <f>交易记录!L780</f>
        <v>0</v>
      </c>
      <c r="BJ201" s="121">
        <f>交易记录!L811</f>
        <v>0</v>
      </c>
      <c r="BK201" s="30">
        <f t="shared" si="107"/>
        <v>0</v>
      </c>
      <c r="BL201" s="124">
        <f>交易记录!L844</f>
        <v>0</v>
      </c>
      <c r="BM201" s="124">
        <f>交易记录!L875</f>
        <v>0</v>
      </c>
      <c r="BN201" s="30">
        <f t="shared" si="108"/>
        <v>0</v>
      </c>
      <c r="BO201" s="121">
        <f>交易记录!L908</f>
        <v>0</v>
      </c>
      <c r="BP201" s="121">
        <f>交易记录!L939</f>
        <v>0</v>
      </c>
      <c r="BQ201" s="30">
        <f t="shared" si="109"/>
        <v>0</v>
      </c>
    </row>
    <row r="202" spans="1:69" ht="15">
      <c r="A202" s="125">
        <f>'维护-日期'!A$11</f>
        <v>46274</v>
      </c>
      <c r="B202" s="7" t="s">
        <v>14</v>
      </c>
      <c r="C202" s="144">
        <f t="shared" si="110"/>
        <v>15.795999999999999</v>
      </c>
      <c r="D202" s="144">
        <f>ROUND(INDEX(持仓数据!$C$3:$AG$26,MATCH('计算过程-数据汇总'!B202,持仓数据!$B$3:$B$26,0),MATCH('计算过程-数据汇总'!A202,'维护-日期'!$B$2:$AF$2,0)),3)</f>
        <v>15.795999999999999</v>
      </c>
      <c r="E202" s="98">
        <f t="shared" si="111"/>
        <v>15.795999999999999</v>
      </c>
      <c r="F202" s="22">
        <f>持仓数据!K80</f>
        <v>0.42800000000000005</v>
      </c>
      <c r="G202" s="97">
        <v>372</v>
      </c>
      <c r="H202" s="97">
        <v>372</v>
      </c>
      <c r="I202" s="64">
        <v>0</v>
      </c>
      <c r="J202" s="64">
        <v>0</v>
      </c>
      <c r="K202" s="21">
        <f>IF(持仓数据!K113="",0,持仓数据!K113)</f>
        <v>372</v>
      </c>
      <c r="L202" s="21">
        <f t="shared" si="112"/>
        <v>0</v>
      </c>
      <c r="M202" s="28">
        <f t="shared" si="96"/>
        <v>5876.1120000000001</v>
      </c>
      <c r="N202" s="28">
        <f t="shared" si="97"/>
        <v>0</v>
      </c>
      <c r="O202" s="28">
        <f t="shared" si="98"/>
        <v>0</v>
      </c>
      <c r="P202" s="28">
        <f t="shared" si="99"/>
        <v>0</v>
      </c>
      <c r="Q202" s="28">
        <f t="shared" si="113"/>
        <v>0</v>
      </c>
      <c r="R202" s="28">
        <f t="shared" si="100"/>
        <v>5876.1120000000001</v>
      </c>
      <c r="S202" s="28">
        <f t="shared" si="114"/>
        <v>0</v>
      </c>
      <c r="T202" s="28">
        <f t="shared" si="115"/>
        <v>0</v>
      </c>
      <c r="U202" s="28">
        <f t="shared" si="118"/>
        <v>0</v>
      </c>
      <c r="V202" s="28">
        <f t="shared" si="116"/>
        <v>0</v>
      </c>
      <c r="W202" s="118"/>
      <c r="X202" s="143">
        <f t="shared" si="117"/>
        <v>18.527000000000001</v>
      </c>
      <c r="Y202" s="121">
        <f>交易记录!L13</f>
        <v>0.42800000000000005</v>
      </c>
      <c r="Z202" s="121">
        <f>交易记录!L44</f>
        <v>372</v>
      </c>
      <c r="AA202" s="30">
        <f t="shared" si="101"/>
        <v>0</v>
      </c>
      <c r="AB202" s="124">
        <f>交易记录!L77</f>
        <v>0</v>
      </c>
      <c r="AC202" s="124">
        <f>交易记录!L108</f>
        <v>0</v>
      </c>
      <c r="AD202" s="30">
        <f t="shared" si="95"/>
        <v>0</v>
      </c>
      <c r="AE202" s="121">
        <f>交易记录!L141</f>
        <v>0</v>
      </c>
      <c r="AF202" s="121">
        <f>交易记录!L172</f>
        <v>0</v>
      </c>
      <c r="AG202" s="30">
        <f t="shared" si="120"/>
        <v>0</v>
      </c>
      <c r="AH202" s="124">
        <f>交易记录!L205</f>
        <v>0</v>
      </c>
      <c r="AI202" s="124">
        <f>交易记录!L236</f>
        <v>0</v>
      </c>
      <c r="AJ202" s="30">
        <f t="shared" si="94"/>
        <v>0</v>
      </c>
      <c r="AK202" s="121">
        <f>交易记录!L269</f>
        <v>0</v>
      </c>
      <c r="AL202" s="121">
        <f>交易记录!L300</f>
        <v>0</v>
      </c>
      <c r="AM202" s="30">
        <f t="shared" ref="AM202:AM217" si="122">IFERROR((AL202-$G202)*AK202,0)</f>
        <v>0</v>
      </c>
      <c r="AN202" s="124">
        <f>交易记录!L333</f>
        <v>0</v>
      </c>
      <c r="AO202" s="124">
        <f>交易记录!L364</f>
        <v>0</v>
      </c>
      <c r="AP202" s="30">
        <f t="shared" si="119"/>
        <v>0</v>
      </c>
      <c r="AQ202" s="121">
        <f>交易记录!L397</f>
        <v>0</v>
      </c>
      <c r="AR202" s="121">
        <f>交易记录!L428</f>
        <v>0</v>
      </c>
      <c r="AS202" s="30">
        <f t="shared" si="121"/>
        <v>0</v>
      </c>
      <c r="AT202" s="124">
        <f>交易记录!L461</f>
        <v>0</v>
      </c>
      <c r="AU202" s="124">
        <f>交易记录!L492</f>
        <v>0</v>
      </c>
      <c r="AV202" s="30">
        <f t="shared" si="102"/>
        <v>0</v>
      </c>
      <c r="AW202" s="121">
        <f>交易记录!L525</f>
        <v>0</v>
      </c>
      <c r="AX202" s="121">
        <f>交易记录!L556</f>
        <v>0</v>
      </c>
      <c r="AY202" s="30">
        <f t="shared" si="103"/>
        <v>0</v>
      </c>
      <c r="AZ202" s="124">
        <f>交易记录!L589</f>
        <v>0</v>
      </c>
      <c r="BA202" s="124">
        <f>交易记录!L620</f>
        <v>0</v>
      </c>
      <c r="BB202" s="30">
        <f t="shared" si="104"/>
        <v>0</v>
      </c>
      <c r="BC202" s="121">
        <f>交易记录!L653</f>
        <v>0</v>
      </c>
      <c r="BD202" s="121">
        <f>交易记录!L684</f>
        <v>0</v>
      </c>
      <c r="BE202" s="30">
        <f t="shared" si="105"/>
        <v>0</v>
      </c>
      <c r="BF202" s="124">
        <f>交易记录!L717</f>
        <v>0</v>
      </c>
      <c r="BG202" s="124">
        <f>交易记录!L748</f>
        <v>0</v>
      </c>
      <c r="BH202" s="30">
        <f t="shared" si="106"/>
        <v>0</v>
      </c>
      <c r="BI202" s="121">
        <f>交易记录!L781</f>
        <v>0</v>
      </c>
      <c r="BJ202" s="121">
        <f>交易记录!L812</f>
        <v>0</v>
      </c>
      <c r="BK202" s="30">
        <f t="shared" si="107"/>
        <v>0</v>
      </c>
      <c r="BL202" s="124">
        <f>交易记录!L845</f>
        <v>0</v>
      </c>
      <c r="BM202" s="124">
        <f>交易记录!L876</f>
        <v>0</v>
      </c>
      <c r="BN202" s="30">
        <f t="shared" si="108"/>
        <v>0</v>
      </c>
      <c r="BO202" s="121">
        <f>交易记录!L909</f>
        <v>0</v>
      </c>
      <c r="BP202" s="121">
        <f>交易记录!L940</f>
        <v>0</v>
      </c>
      <c r="BQ202" s="30">
        <f t="shared" si="109"/>
        <v>0</v>
      </c>
    </row>
    <row r="203" spans="1:69" ht="15">
      <c r="A203" s="125">
        <f>'维护-日期'!A$11</f>
        <v>46274</v>
      </c>
      <c r="B203" s="7" t="s">
        <v>15</v>
      </c>
      <c r="C203" s="144">
        <f t="shared" si="110"/>
        <v>19.308</v>
      </c>
      <c r="D203" s="144">
        <f>ROUND(INDEX(持仓数据!$C$3:$AG$26,MATCH('计算过程-数据汇总'!B203,持仓数据!$B$3:$B$26,0),MATCH('计算过程-数据汇总'!A203,'维护-日期'!$B$2:$AF$2,0)),3)</f>
        <v>19.308</v>
      </c>
      <c r="E203" s="98">
        <f t="shared" si="111"/>
        <v>19.308</v>
      </c>
      <c r="F203" s="22">
        <f>持仓数据!K81</f>
        <v>0.46100000000000002</v>
      </c>
      <c r="G203" s="97">
        <v>372</v>
      </c>
      <c r="H203" s="97">
        <v>372</v>
      </c>
      <c r="I203" s="64">
        <v>0</v>
      </c>
      <c r="J203" s="64">
        <v>0</v>
      </c>
      <c r="K203" s="21">
        <f>IF(持仓数据!K114="",0,持仓数据!K114)</f>
        <v>372</v>
      </c>
      <c r="L203" s="21">
        <f t="shared" si="112"/>
        <v>0</v>
      </c>
      <c r="M203" s="28">
        <f t="shared" si="96"/>
        <v>7182.576</v>
      </c>
      <c r="N203" s="28">
        <f t="shared" si="97"/>
        <v>0</v>
      </c>
      <c r="O203" s="28">
        <f t="shared" si="98"/>
        <v>0</v>
      </c>
      <c r="P203" s="28">
        <f t="shared" si="99"/>
        <v>0</v>
      </c>
      <c r="Q203" s="28">
        <f t="shared" si="113"/>
        <v>0</v>
      </c>
      <c r="R203" s="28">
        <f t="shared" si="100"/>
        <v>7182.576</v>
      </c>
      <c r="S203" s="28">
        <f t="shared" si="114"/>
        <v>0</v>
      </c>
      <c r="T203" s="28">
        <f t="shared" si="115"/>
        <v>0</v>
      </c>
      <c r="U203" s="28">
        <f t="shared" si="118"/>
        <v>0</v>
      </c>
      <c r="V203" s="28">
        <f t="shared" si="116"/>
        <v>0</v>
      </c>
      <c r="W203" s="118"/>
      <c r="X203" s="143">
        <f t="shared" si="117"/>
        <v>22.709</v>
      </c>
      <c r="Y203" s="121">
        <f>交易记录!L14</f>
        <v>0.46100000000000002</v>
      </c>
      <c r="Z203" s="121">
        <f>交易记录!L45</f>
        <v>372</v>
      </c>
      <c r="AA203" s="30">
        <f t="shared" si="101"/>
        <v>0</v>
      </c>
      <c r="AB203" s="124">
        <f>交易记录!L78</f>
        <v>0</v>
      </c>
      <c r="AC203" s="124">
        <f>交易记录!L109</f>
        <v>0</v>
      </c>
      <c r="AD203" s="30">
        <f t="shared" si="95"/>
        <v>0</v>
      </c>
      <c r="AE203" s="121">
        <f>交易记录!L142</f>
        <v>0</v>
      </c>
      <c r="AF203" s="121">
        <f>交易记录!L173</f>
        <v>0</v>
      </c>
      <c r="AG203" s="30">
        <f t="shared" si="120"/>
        <v>0</v>
      </c>
      <c r="AH203" s="124">
        <f>交易记录!L206</f>
        <v>0</v>
      </c>
      <c r="AI203" s="124">
        <f>交易记录!L237</f>
        <v>0</v>
      </c>
      <c r="AJ203" s="30">
        <f t="shared" si="94"/>
        <v>0</v>
      </c>
      <c r="AK203" s="121">
        <f>交易记录!L270</f>
        <v>0</v>
      </c>
      <c r="AL203" s="121">
        <f>交易记录!L301</f>
        <v>0</v>
      </c>
      <c r="AM203" s="30">
        <f t="shared" si="122"/>
        <v>0</v>
      </c>
      <c r="AN203" s="124">
        <f>交易记录!L334</f>
        <v>0</v>
      </c>
      <c r="AO203" s="124">
        <f>交易记录!L365</f>
        <v>0</v>
      </c>
      <c r="AP203" s="30">
        <f t="shared" si="119"/>
        <v>0</v>
      </c>
      <c r="AQ203" s="121">
        <f>交易记录!L398</f>
        <v>0</v>
      </c>
      <c r="AR203" s="121">
        <f>交易记录!L429</f>
        <v>0</v>
      </c>
      <c r="AS203" s="30">
        <f t="shared" si="121"/>
        <v>0</v>
      </c>
      <c r="AT203" s="124">
        <f>交易记录!L462</f>
        <v>0</v>
      </c>
      <c r="AU203" s="124">
        <f>交易记录!L493</f>
        <v>0</v>
      </c>
      <c r="AV203" s="30">
        <f t="shared" si="102"/>
        <v>0</v>
      </c>
      <c r="AW203" s="121">
        <f>交易记录!L526</f>
        <v>0</v>
      </c>
      <c r="AX203" s="121">
        <f>交易记录!L557</f>
        <v>0</v>
      </c>
      <c r="AY203" s="30">
        <f t="shared" si="103"/>
        <v>0</v>
      </c>
      <c r="AZ203" s="124">
        <f>交易记录!L590</f>
        <v>0</v>
      </c>
      <c r="BA203" s="124">
        <f>交易记录!L621</f>
        <v>0</v>
      </c>
      <c r="BB203" s="30">
        <f t="shared" si="104"/>
        <v>0</v>
      </c>
      <c r="BC203" s="121">
        <f>交易记录!L654</f>
        <v>0</v>
      </c>
      <c r="BD203" s="121">
        <f>交易记录!L685</f>
        <v>0</v>
      </c>
      <c r="BE203" s="30">
        <f t="shared" si="105"/>
        <v>0</v>
      </c>
      <c r="BF203" s="124">
        <f>交易记录!L718</f>
        <v>0</v>
      </c>
      <c r="BG203" s="124">
        <f>交易记录!L749</f>
        <v>0</v>
      </c>
      <c r="BH203" s="30">
        <f t="shared" si="106"/>
        <v>0</v>
      </c>
      <c r="BI203" s="121">
        <f>交易记录!L782</f>
        <v>0</v>
      </c>
      <c r="BJ203" s="121">
        <f>交易记录!L813</f>
        <v>0</v>
      </c>
      <c r="BK203" s="30">
        <f t="shared" si="107"/>
        <v>0</v>
      </c>
      <c r="BL203" s="124">
        <f>交易记录!L846</f>
        <v>0</v>
      </c>
      <c r="BM203" s="124">
        <f>交易记录!L877</f>
        <v>0</v>
      </c>
      <c r="BN203" s="30">
        <f t="shared" si="108"/>
        <v>0</v>
      </c>
      <c r="BO203" s="121">
        <f>交易记录!L910</f>
        <v>0</v>
      </c>
      <c r="BP203" s="121">
        <f>交易记录!L941</f>
        <v>0</v>
      </c>
      <c r="BQ203" s="30">
        <f t="shared" si="109"/>
        <v>0</v>
      </c>
    </row>
    <row r="204" spans="1:69" ht="15">
      <c r="A204" s="125">
        <f>'维护-日期'!A$11</f>
        <v>46274</v>
      </c>
      <c r="B204" s="7" t="s">
        <v>16</v>
      </c>
      <c r="C204" s="144">
        <f t="shared" si="110"/>
        <v>21.01</v>
      </c>
      <c r="D204" s="144">
        <f>ROUND(INDEX(持仓数据!$C$3:$AG$26,MATCH('计算过程-数据汇总'!B204,持仓数据!$B$3:$B$26,0),MATCH('计算过程-数据汇总'!A204,'维护-日期'!$B$2:$AF$2,0)),3)</f>
        <v>21.01</v>
      </c>
      <c r="E204" s="98">
        <f t="shared" si="111"/>
        <v>21.01</v>
      </c>
      <c r="F204" s="22">
        <f>持仓数据!K82</f>
        <v>0.46700000000000003</v>
      </c>
      <c r="G204" s="97">
        <v>372</v>
      </c>
      <c r="H204" s="97">
        <v>372</v>
      </c>
      <c r="I204" s="64">
        <v>0</v>
      </c>
      <c r="J204" s="64">
        <v>0</v>
      </c>
      <c r="K204" s="21">
        <f>IF(持仓数据!K115="",0,持仓数据!K115)</f>
        <v>372</v>
      </c>
      <c r="L204" s="21">
        <f t="shared" si="112"/>
        <v>0</v>
      </c>
      <c r="M204" s="28">
        <f t="shared" si="96"/>
        <v>7815.72</v>
      </c>
      <c r="N204" s="28">
        <f t="shared" si="97"/>
        <v>0</v>
      </c>
      <c r="O204" s="28">
        <f t="shared" si="98"/>
        <v>0</v>
      </c>
      <c r="P204" s="28">
        <f t="shared" si="99"/>
        <v>0</v>
      </c>
      <c r="Q204" s="28">
        <f t="shared" si="113"/>
        <v>0</v>
      </c>
      <c r="R204" s="28">
        <f t="shared" si="100"/>
        <v>7815.72</v>
      </c>
      <c r="S204" s="28">
        <f t="shared" si="114"/>
        <v>0</v>
      </c>
      <c r="T204" s="28">
        <f t="shared" si="115"/>
        <v>0</v>
      </c>
      <c r="U204" s="28">
        <f t="shared" si="118"/>
        <v>0</v>
      </c>
      <c r="V204" s="28">
        <f t="shared" si="116"/>
        <v>0</v>
      </c>
      <c r="W204" s="118"/>
      <c r="X204" s="143">
        <f t="shared" si="117"/>
        <v>24.745000000000001</v>
      </c>
      <c r="Y204" s="121">
        <f>交易记录!L15</f>
        <v>0.46700000000000003</v>
      </c>
      <c r="Z204" s="121">
        <f>交易记录!L46</f>
        <v>372</v>
      </c>
      <c r="AA204" s="30">
        <f t="shared" si="101"/>
        <v>0</v>
      </c>
      <c r="AB204" s="124">
        <f>交易记录!L79</f>
        <v>0</v>
      </c>
      <c r="AC204" s="124">
        <f>交易记录!L110</f>
        <v>0</v>
      </c>
      <c r="AD204" s="30">
        <f t="shared" si="95"/>
        <v>0</v>
      </c>
      <c r="AE204" s="121">
        <f>交易记录!L143</f>
        <v>0</v>
      </c>
      <c r="AF204" s="121">
        <f>交易记录!L174</f>
        <v>0</v>
      </c>
      <c r="AG204" s="30">
        <f t="shared" si="120"/>
        <v>0</v>
      </c>
      <c r="AH204" s="124">
        <f>交易记录!L207</f>
        <v>0</v>
      </c>
      <c r="AI204" s="124">
        <f>交易记录!L238</f>
        <v>0</v>
      </c>
      <c r="AJ204" s="30">
        <f t="shared" si="94"/>
        <v>0</v>
      </c>
      <c r="AK204" s="121">
        <f>交易记录!L271</f>
        <v>0</v>
      </c>
      <c r="AL204" s="121">
        <f>交易记录!L302</f>
        <v>0</v>
      </c>
      <c r="AM204" s="30">
        <f t="shared" si="122"/>
        <v>0</v>
      </c>
      <c r="AN204" s="124">
        <f>交易记录!L335</f>
        <v>0</v>
      </c>
      <c r="AO204" s="124">
        <f>交易记录!L366</f>
        <v>0</v>
      </c>
      <c r="AP204" s="30">
        <f t="shared" si="119"/>
        <v>0</v>
      </c>
      <c r="AQ204" s="121">
        <f>交易记录!L399</f>
        <v>0</v>
      </c>
      <c r="AR204" s="121">
        <f>交易记录!L430</f>
        <v>0</v>
      </c>
      <c r="AS204" s="30">
        <f t="shared" si="121"/>
        <v>0</v>
      </c>
      <c r="AT204" s="124">
        <f>交易记录!L463</f>
        <v>0</v>
      </c>
      <c r="AU204" s="124">
        <f>交易记录!L494</f>
        <v>0</v>
      </c>
      <c r="AV204" s="30">
        <f t="shared" si="102"/>
        <v>0</v>
      </c>
      <c r="AW204" s="121">
        <f>交易记录!L527</f>
        <v>0</v>
      </c>
      <c r="AX204" s="121">
        <f>交易记录!L558</f>
        <v>0</v>
      </c>
      <c r="AY204" s="30">
        <f t="shared" si="103"/>
        <v>0</v>
      </c>
      <c r="AZ204" s="124">
        <f>交易记录!L591</f>
        <v>0</v>
      </c>
      <c r="BA204" s="124">
        <f>交易记录!L622</f>
        <v>0</v>
      </c>
      <c r="BB204" s="30">
        <f t="shared" si="104"/>
        <v>0</v>
      </c>
      <c r="BC204" s="121">
        <f>交易记录!L655</f>
        <v>0</v>
      </c>
      <c r="BD204" s="121">
        <f>交易记录!L686</f>
        <v>0</v>
      </c>
      <c r="BE204" s="30">
        <f t="shared" si="105"/>
        <v>0</v>
      </c>
      <c r="BF204" s="124">
        <f>交易记录!L719</f>
        <v>0</v>
      </c>
      <c r="BG204" s="124">
        <f>交易记录!L750</f>
        <v>0</v>
      </c>
      <c r="BH204" s="30">
        <f t="shared" si="106"/>
        <v>0</v>
      </c>
      <c r="BI204" s="121">
        <f>交易记录!L783</f>
        <v>0</v>
      </c>
      <c r="BJ204" s="121">
        <f>交易记录!L814</f>
        <v>0</v>
      </c>
      <c r="BK204" s="30">
        <f t="shared" si="107"/>
        <v>0</v>
      </c>
      <c r="BL204" s="124">
        <f>交易记录!L847</f>
        <v>0</v>
      </c>
      <c r="BM204" s="124">
        <f>交易记录!L878</f>
        <v>0</v>
      </c>
      <c r="BN204" s="30">
        <f t="shared" si="108"/>
        <v>0</v>
      </c>
      <c r="BO204" s="121">
        <f>交易记录!L911</f>
        <v>0</v>
      </c>
      <c r="BP204" s="121">
        <f>交易记录!L942</f>
        <v>0</v>
      </c>
      <c r="BQ204" s="30">
        <f t="shared" si="109"/>
        <v>0</v>
      </c>
    </row>
    <row r="205" spans="1:69" ht="15">
      <c r="A205" s="125">
        <f>'维护-日期'!A$11</f>
        <v>46274</v>
      </c>
      <c r="B205" s="7" t="s">
        <v>17</v>
      </c>
      <c r="C205" s="144">
        <f t="shared" si="110"/>
        <v>21.329000000000001</v>
      </c>
      <c r="D205" s="144">
        <f>ROUND(INDEX(持仓数据!$C$3:$AG$26,MATCH('计算过程-数据汇总'!B205,持仓数据!$B$3:$B$26,0),MATCH('计算过程-数据汇总'!A205,'维护-日期'!$B$2:$AF$2,0)),3)</f>
        <v>21.329000000000001</v>
      </c>
      <c r="E205" s="98">
        <f t="shared" si="111"/>
        <v>21.329000000000001</v>
      </c>
      <c r="F205" s="22">
        <f>持仓数据!K83</f>
        <v>0.32100000000000001</v>
      </c>
      <c r="G205" s="97">
        <v>372</v>
      </c>
      <c r="H205" s="97">
        <v>372</v>
      </c>
      <c r="I205" s="64">
        <v>0</v>
      </c>
      <c r="J205" s="64">
        <v>0</v>
      </c>
      <c r="K205" s="21">
        <f>IF(持仓数据!K116="",0,持仓数据!K116)</f>
        <v>372</v>
      </c>
      <c r="L205" s="21">
        <f t="shared" si="112"/>
        <v>0</v>
      </c>
      <c r="M205" s="28">
        <f t="shared" si="96"/>
        <v>7934.3879999999999</v>
      </c>
      <c r="N205" s="28">
        <f t="shared" si="97"/>
        <v>0</v>
      </c>
      <c r="O205" s="28">
        <f t="shared" si="98"/>
        <v>0</v>
      </c>
      <c r="P205" s="28">
        <f t="shared" si="99"/>
        <v>0</v>
      </c>
      <c r="Q205" s="28">
        <f t="shared" si="113"/>
        <v>0</v>
      </c>
      <c r="R205" s="28">
        <f t="shared" si="100"/>
        <v>7934.3879999999999</v>
      </c>
      <c r="S205" s="28">
        <f t="shared" si="114"/>
        <v>0</v>
      </c>
      <c r="T205" s="28">
        <f t="shared" si="115"/>
        <v>0</v>
      </c>
      <c r="U205" s="28">
        <f t="shared" si="118"/>
        <v>0</v>
      </c>
      <c r="V205" s="28">
        <f t="shared" si="116"/>
        <v>0</v>
      </c>
      <c r="W205" s="118"/>
      <c r="X205" s="143">
        <f t="shared" si="117"/>
        <v>25.274000000000001</v>
      </c>
      <c r="Y205" s="121">
        <f>交易记录!L16</f>
        <v>0.32100000000000001</v>
      </c>
      <c r="Z205" s="121">
        <f>交易记录!L47</f>
        <v>372</v>
      </c>
      <c r="AA205" s="30">
        <f t="shared" si="101"/>
        <v>0</v>
      </c>
      <c r="AB205" s="124">
        <f>交易记录!L80</f>
        <v>0</v>
      </c>
      <c r="AC205" s="124">
        <f>交易记录!L111</f>
        <v>0</v>
      </c>
      <c r="AD205" s="30">
        <f t="shared" si="95"/>
        <v>0</v>
      </c>
      <c r="AE205" s="121">
        <f>交易记录!L144</f>
        <v>0</v>
      </c>
      <c r="AF205" s="121">
        <f>交易记录!L175</f>
        <v>0</v>
      </c>
      <c r="AG205" s="30">
        <f t="shared" si="120"/>
        <v>0</v>
      </c>
      <c r="AH205" s="124">
        <f>交易记录!L208</f>
        <v>0</v>
      </c>
      <c r="AI205" s="124">
        <f>交易记录!L239</f>
        <v>0</v>
      </c>
      <c r="AJ205" s="30">
        <f t="shared" si="94"/>
        <v>0</v>
      </c>
      <c r="AK205" s="121">
        <f>交易记录!L272</f>
        <v>0</v>
      </c>
      <c r="AL205" s="121">
        <f>交易记录!L303</f>
        <v>0</v>
      </c>
      <c r="AM205" s="30">
        <f t="shared" si="122"/>
        <v>0</v>
      </c>
      <c r="AN205" s="124">
        <f>交易记录!L336</f>
        <v>0</v>
      </c>
      <c r="AO205" s="124">
        <f>交易记录!L367</f>
        <v>0</v>
      </c>
      <c r="AP205" s="30">
        <f t="shared" si="119"/>
        <v>0</v>
      </c>
      <c r="AQ205" s="121">
        <f>交易记录!L400</f>
        <v>0</v>
      </c>
      <c r="AR205" s="121">
        <f>交易记录!L431</f>
        <v>0</v>
      </c>
      <c r="AS205" s="30">
        <f t="shared" si="121"/>
        <v>0</v>
      </c>
      <c r="AT205" s="124">
        <f>交易记录!L464</f>
        <v>0</v>
      </c>
      <c r="AU205" s="124">
        <f>交易记录!L495</f>
        <v>0</v>
      </c>
      <c r="AV205" s="30">
        <f t="shared" si="102"/>
        <v>0</v>
      </c>
      <c r="AW205" s="121">
        <f>交易记录!L528</f>
        <v>0</v>
      </c>
      <c r="AX205" s="121">
        <f>交易记录!L559</f>
        <v>0</v>
      </c>
      <c r="AY205" s="30">
        <f t="shared" si="103"/>
        <v>0</v>
      </c>
      <c r="AZ205" s="124">
        <f>交易记录!L592</f>
        <v>0</v>
      </c>
      <c r="BA205" s="124">
        <f>交易记录!L623</f>
        <v>0</v>
      </c>
      <c r="BB205" s="30">
        <f t="shared" si="104"/>
        <v>0</v>
      </c>
      <c r="BC205" s="121">
        <f>交易记录!L656</f>
        <v>0</v>
      </c>
      <c r="BD205" s="121">
        <f>交易记录!L687</f>
        <v>0</v>
      </c>
      <c r="BE205" s="30">
        <f t="shared" si="105"/>
        <v>0</v>
      </c>
      <c r="BF205" s="124">
        <f>交易记录!L720</f>
        <v>0</v>
      </c>
      <c r="BG205" s="124">
        <f>交易记录!L751</f>
        <v>0</v>
      </c>
      <c r="BH205" s="30">
        <f t="shared" si="106"/>
        <v>0</v>
      </c>
      <c r="BI205" s="121">
        <f>交易记录!L784</f>
        <v>0</v>
      </c>
      <c r="BJ205" s="121">
        <f>交易记录!L815</f>
        <v>0</v>
      </c>
      <c r="BK205" s="30">
        <f t="shared" si="107"/>
        <v>0</v>
      </c>
      <c r="BL205" s="124">
        <f>交易记录!L848</f>
        <v>0</v>
      </c>
      <c r="BM205" s="124">
        <f>交易记录!L879</f>
        <v>0</v>
      </c>
      <c r="BN205" s="30">
        <f t="shared" si="108"/>
        <v>0</v>
      </c>
      <c r="BO205" s="121">
        <f>交易记录!L912</f>
        <v>0</v>
      </c>
      <c r="BP205" s="121">
        <f>交易记录!L943</f>
        <v>0</v>
      </c>
      <c r="BQ205" s="30">
        <f t="shared" si="109"/>
        <v>0</v>
      </c>
    </row>
    <row r="206" spans="1:69" ht="15">
      <c r="A206" s="125">
        <f>'维护-日期'!A$11</f>
        <v>46274</v>
      </c>
      <c r="B206" s="7" t="s">
        <v>18</v>
      </c>
      <c r="C206" s="144">
        <f t="shared" si="110"/>
        <v>22.643999999999998</v>
      </c>
      <c r="D206" s="144">
        <f>ROUND(INDEX(持仓数据!$C$3:$AG$26,MATCH('计算过程-数据汇总'!B206,持仓数据!$B$3:$B$26,0),MATCH('计算过程-数据汇总'!A206,'维护-日期'!$B$2:$AF$2,0)),3)</f>
        <v>22.643999999999998</v>
      </c>
      <c r="E206" s="98">
        <f t="shared" si="111"/>
        <v>22.643999999999998</v>
      </c>
      <c r="F206" s="22">
        <f>持仓数据!K84</f>
        <v>7.8E-2</v>
      </c>
      <c r="G206" s="97">
        <v>372</v>
      </c>
      <c r="H206" s="97">
        <v>372</v>
      </c>
      <c r="I206" s="64">
        <v>0</v>
      </c>
      <c r="J206" s="64">
        <v>0</v>
      </c>
      <c r="K206" s="21">
        <f>IF(持仓数据!K117="",0,持仓数据!K117)</f>
        <v>372</v>
      </c>
      <c r="L206" s="21">
        <f t="shared" si="112"/>
        <v>0</v>
      </c>
      <c r="M206" s="28">
        <f t="shared" si="96"/>
        <v>8423.5679999999993</v>
      </c>
      <c r="N206" s="28">
        <f t="shared" si="97"/>
        <v>0</v>
      </c>
      <c r="O206" s="28">
        <f t="shared" si="98"/>
        <v>0</v>
      </c>
      <c r="P206" s="28">
        <f t="shared" si="99"/>
        <v>0</v>
      </c>
      <c r="Q206" s="28">
        <f t="shared" si="113"/>
        <v>0</v>
      </c>
      <c r="R206" s="28">
        <f t="shared" si="100"/>
        <v>8423.5679999999993</v>
      </c>
      <c r="S206" s="28">
        <f t="shared" si="114"/>
        <v>0</v>
      </c>
      <c r="T206" s="28">
        <f t="shared" si="115"/>
        <v>0</v>
      </c>
      <c r="U206" s="28">
        <f t="shared" si="118"/>
        <v>0</v>
      </c>
      <c r="V206" s="28">
        <f t="shared" si="116"/>
        <v>0</v>
      </c>
      <c r="W206" s="118"/>
      <c r="X206" s="143">
        <f t="shared" si="117"/>
        <v>27.094999999999999</v>
      </c>
      <c r="Y206" s="121">
        <f>交易记录!L17</f>
        <v>7.8E-2</v>
      </c>
      <c r="Z206" s="121">
        <f>交易记录!L48</f>
        <v>372</v>
      </c>
      <c r="AA206" s="30">
        <f t="shared" si="101"/>
        <v>0</v>
      </c>
      <c r="AB206" s="124">
        <f>交易记录!L81</f>
        <v>0</v>
      </c>
      <c r="AC206" s="124">
        <f>交易记录!L112</f>
        <v>0</v>
      </c>
      <c r="AD206" s="30">
        <f t="shared" si="95"/>
        <v>0</v>
      </c>
      <c r="AE206" s="121">
        <f>交易记录!L145</f>
        <v>0</v>
      </c>
      <c r="AF206" s="121">
        <f>交易记录!L176</f>
        <v>0</v>
      </c>
      <c r="AG206" s="30">
        <f t="shared" si="120"/>
        <v>0</v>
      </c>
      <c r="AH206" s="124">
        <f>交易记录!L209</f>
        <v>0</v>
      </c>
      <c r="AI206" s="124">
        <f>交易记录!L240</f>
        <v>0</v>
      </c>
      <c r="AJ206" s="30">
        <f t="shared" ref="AJ206:AJ217" si="123">IFERROR((AI206-$G206)*AH206,0)</f>
        <v>0</v>
      </c>
      <c r="AK206" s="121">
        <f>交易记录!L273</f>
        <v>0</v>
      </c>
      <c r="AL206" s="121">
        <f>交易记录!L304</f>
        <v>0</v>
      </c>
      <c r="AM206" s="30">
        <f t="shared" si="122"/>
        <v>0</v>
      </c>
      <c r="AN206" s="124">
        <f>交易记录!L337</f>
        <v>0</v>
      </c>
      <c r="AO206" s="124">
        <f>交易记录!L368</f>
        <v>0</v>
      </c>
      <c r="AP206" s="30">
        <f t="shared" si="119"/>
        <v>0</v>
      </c>
      <c r="AQ206" s="121">
        <f>交易记录!L401</f>
        <v>0</v>
      </c>
      <c r="AR206" s="121">
        <f>交易记录!L432</f>
        <v>0</v>
      </c>
      <c r="AS206" s="30">
        <f t="shared" si="121"/>
        <v>0</v>
      </c>
      <c r="AT206" s="124">
        <f>交易记录!L465</f>
        <v>0</v>
      </c>
      <c r="AU206" s="124">
        <f>交易记录!L496</f>
        <v>0</v>
      </c>
      <c r="AV206" s="30">
        <f t="shared" si="102"/>
        <v>0</v>
      </c>
      <c r="AW206" s="121">
        <f>交易记录!L529</f>
        <v>0</v>
      </c>
      <c r="AX206" s="121">
        <f>交易记录!L560</f>
        <v>0</v>
      </c>
      <c r="AY206" s="30">
        <f t="shared" si="103"/>
        <v>0</v>
      </c>
      <c r="AZ206" s="124">
        <f>交易记录!L593</f>
        <v>0</v>
      </c>
      <c r="BA206" s="124">
        <f>交易记录!L624</f>
        <v>0</v>
      </c>
      <c r="BB206" s="30">
        <f t="shared" si="104"/>
        <v>0</v>
      </c>
      <c r="BC206" s="121">
        <f>交易记录!L657</f>
        <v>0</v>
      </c>
      <c r="BD206" s="121">
        <f>交易记录!L688</f>
        <v>0</v>
      </c>
      <c r="BE206" s="30">
        <f t="shared" si="105"/>
        <v>0</v>
      </c>
      <c r="BF206" s="124">
        <f>交易记录!L721</f>
        <v>0</v>
      </c>
      <c r="BG206" s="124">
        <f>交易记录!L752</f>
        <v>0</v>
      </c>
      <c r="BH206" s="30">
        <f t="shared" si="106"/>
        <v>0</v>
      </c>
      <c r="BI206" s="121">
        <f>交易记录!L785</f>
        <v>0</v>
      </c>
      <c r="BJ206" s="121">
        <f>交易记录!L816</f>
        <v>0</v>
      </c>
      <c r="BK206" s="30">
        <f t="shared" si="107"/>
        <v>0</v>
      </c>
      <c r="BL206" s="124">
        <f>交易记录!L849</f>
        <v>0</v>
      </c>
      <c r="BM206" s="124">
        <f>交易记录!L880</f>
        <v>0</v>
      </c>
      <c r="BN206" s="30">
        <f t="shared" si="108"/>
        <v>0</v>
      </c>
      <c r="BO206" s="121">
        <f>交易记录!L913</f>
        <v>0</v>
      </c>
      <c r="BP206" s="121">
        <f>交易记录!L944</f>
        <v>0</v>
      </c>
      <c r="BQ206" s="30">
        <f t="shared" si="109"/>
        <v>0</v>
      </c>
    </row>
    <row r="207" spans="1:69" ht="15">
      <c r="A207" s="125">
        <f>'维护-日期'!A$11</f>
        <v>46274</v>
      </c>
      <c r="B207" s="7" t="s">
        <v>19</v>
      </c>
      <c r="C207" s="144">
        <f t="shared" si="110"/>
        <v>22.904</v>
      </c>
      <c r="D207" s="144">
        <f>ROUND(INDEX(持仓数据!$C$3:$AG$26,MATCH('计算过程-数据汇总'!B207,持仓数据!$B$3:$B$26,0),MATCH('计算过程-数据汇总'!A207,'维护-日期'!$B$2:$AF$2,0)),3)</f>
        <v>22.904</v>
      </c>
      <c r="E207" s="98">
        <f t="shared" si="111"/>
        <v>22.904</v>
      </c>
      <c r="F207" s="22">
        <f>持仓数据!K85</f>
        <v>0.19500000000000001</v>
      </c>
      <c r="G207" s="97">
        <v>372</v>
      </c>
      <c r="H207" s="97">
        <v>372</v>
      </c>
      <c r="I207" s="64">
        <v>0</v>
      </c>
      <c r="J207" s="64">
        <v>0</v>
      </c>
      <c r="K207" s="21">
        <f>IF(持仓数据!K118="",0,持仓数据!K118)</f>
        <v>372</v>
      </c>
      <c r="L207" s="21">
        <f t="shared" si="112"/>
        <v>0</v>
      </c>
      <c r="M207" s="28">
        <f t="shared" si="96"/>
        <v>8520.2880000000005</v>
      </c>
      <c r="N207" s="28">
        <f t="shared" si="97"/>
        <v>0</v>
      </c>
      <c r="O207" s="28">
        <f t="shared" si="98"/>
        <v>0</v>
      </c>
      <c r="P207" s="28">
        <f t="shared" si="99"/>
        <v>0</v>
      </c>
      <c r="Q207" s="28">
        <f t="shared" si="113"/>
        <v>0</v>
      </c>
      <c r="R207" s="28">
        <f t="shared" si="100"/>
        <v>8520.2880000000005</v>
      </c>
      <c r="S207" s="28">
        <f t="shared" si="114"/>
        <v>0</v>
      </c>
      <c r="T207" s="28">
        <f t="shared" si="115"/>
        <v>0</v>
      </c>
      <c r="U207" s="28">
        <f t="shared" si="118"/>
        <v>0</v>
      </c>
      <c r="V207" s="28">
        <f t="shared" si="116"/>
        <v>0</v>
      </c>
      <c r="W207" s="118"/>
      <c r="X207" s="143">
        <f t="shared" si="117"/>
        <v>27.29</v>
      </c>
      <c r="Y207" s="121">
        <f>交易记录!L18</f>
        <v>0.19500000000000001</v>
      </c>
      <c r="Z207" s="121">
        <f>交易记录!L49</f>
        <v>372</v>
      </c>
      <c r="AA207" s="30">
        <f t="shared" si="101"/>
        <v>0</v>
      </c>
      <c r="AB207" s="124">
        <f>交易记录!L82</f>
        <v>0</v>
      </c>
      <c r="AC207" s="124">
        <f>交易记录!L113</f>
        <v>0</v>
      </c>
      <c r="AD207" s="30">
        <f t="shared" si="95"/>
        <v>0</v>
      </c>
      <c r="AE207" s="121">
        <f>交易记录!L146</f>
        <v>0</v>
      </c>
      <c r="AF207" s="121">
        <f>交易记录!L177</f>
        <v>0</v>
      </c>
      <c r="AG207" s="30">
        <f t="shared" si="120"/>
        <v>0</v>
      </c>
      <c r="AH207" s="124">
        <f>交易记录!L210</f>
        <v>0</v>
      </c>
      <c r="AI207" s="124">
        <f>交易记录!L241</f>
        <v>0</v>
      </c>
      <c r="AJ207" s="30">
        <f t="shared" si="123"/>
        <v>0</v>
      </c>
      <c r="AK207" s="121">
        <f>交易记录!L274</f>
        <v>0</v>
      </c>
      <c r="AL207" s="121">
        <f>交易记录!L305</f>
        <v>0</v>
      </c>
      <c r="AM207" s="30">
        <f t="shared" si="122"/>
        <v>0</v>
      </c>
      <c r="AN207" s="124">
        <f>交易记录!L338</f>
        <v>0</v>
      </c>
      <c r="AO207" s="124">
        <f>交易记录!L369</f>
        <v>0</v>
      </c>
      <c r="AP207" s="30">
        <f t="shared" si="119"/>
        <v>0</v>
      </c>
      <c r="AQ207" s="121">
        <f>交易记录!L402</f>
        <v>0</v>
      </c>
      <c r="AR207" s="121">
        <f>交易记录!L433</f>
        <v>0</v>
      </c>
      <c r="AS207" s="30">
        <f t="shared" si="121"/>
        <v>0</v>
      </c>
      <c r="AT207" s="124">
        <f>交易记录!L466</f>
        <v>0</v>
      </c>
      <c r="AU207" s="124">
        <f>交易记录!L497</f>
        <v>0</v>
      </c>
      <c r="AV207" s="30">
        <f t="shared" si="102"/>
        <v>0</v>
      </c>
      <c r="AW207" s="121">
        <f>交易记录!L530</f>
        <v>0</v>
      </c>
      <c r="AX207" s="121">
        <f>交易记录!L561</f>
        <v>0</v>
      </c>
      <c r="AY207" s="30">
        <f t="shared" si="103"/>
        <v>0</v>
      </c>
      <c r="AZ207" s="124">
        <f>交易记录!L594</f>
        <v>0</v>
      </c>
      <c r="BA207" s="124">
        <f>交易记录!L625</f>
        <v>0</v>
      </c>
      <c r="BB207" s="30">
        <f t="shared" si="104"/>
        <v>0</v>
      </c>
      <c r="BC207" s="121">
        <f>交易记录!L658</f>
        <v>0</v>
      </c>
      <c r="BD207" s="121">
        <f>交易记录!L689</f>
        <v>0</v>
      </c>
      <c r="BE207" s="30">
        <f t="shared" si="105"/>
        <v>0</v>
      </c>
      <c r="BF207" s="124">
        <f>交易记录!L722</f>
        <v>0</v>
      </c>
      <c r="BG207" s="124">
        <f>交易记录!L753</f>
        <v>0</v>
      </c>
      <c r="BH207" s="30">
        <f t="shared" si="106"/>
        <v>0</v>
      </c>
      <c r="BI207" s="121">
        <f>交易记录!L786</f>
        <v>0</v>
      </c>
      <c r="BJ207" s="121">
        <f>交易记录!L817</f>
        <v>0</v>
      </c>
      <c r="BK207" s="30">
        <f t="shared" si="107"/>
        <v>0</v>
      </c>
      <c r="BL207" s="124">
        <f>交易记录!L850</f>
        <v>0</v>
      </c>
      <c r="BM207" s="124">
        <f>交易记录!L881</f>
        <v>0</v>
      </c>
      <c r="BN207" s="30">
        <f t="shared" si="108"/>
        <v>0</v>
      </c>
      <c r="BO207" s="121">
        <f>交易记录!L914</f>
        <v>0</v>
      </c>
      <c r="BP207" s="121">
        <f>交易记录!L945</f>
        <v>0</v>
      </c>
      <c r="BQ207" s="30">
        <f t="shared" si="109"/>
        <v>0</v>
      </c>
    </row>
    <row r="208" spans="1:69" ht="15">
      <c r="A208" s="125">
        <f>'维护-日期'!A$11</f>
        <v>46274</v>
      </c>
      <c r="B208" s="7" t="s">
        <v>20</v>
      </c>
      <c r="C208" s="144">
        <f t="shared" si="110"/>
        <v>22.071000000000002</v>
      </c>
      <c r="D208" s="144">
        <f>ROUND(INDEX(持仓数据!$C$3:$AG$26,MATCH('计算过程-数据汇总'!B208,持仓数据!$B$3:$B$26,0),MATCH('计算过程-数据汇总'!A208,'维护-日期'!$B$2:$AF$2,0)),3)</f>
        <v>22.071000000000002</v>
      </c>
      <c r="E208" s="98">
        <f t="shared" si="111"/>
        <v>22.071000000000002</v>
      </c>
      <c r="F208" s="22">
        <f>持仓数据!K86</f>
        <v>0.34599999999999997</v>
      </c>
      <c r="G208" s="97">
        <v>372</v>
      </c>
      <c r="H208" s="97">
        <v>372</v>
      </c>
      <c r="I208" s="64">
        <v>0</v>
      </c>
      <c r="J208" s="64">
        <v>0</v>
      </c>
      <c r="K208" s="21">
        <f>IF(持仓数据!K119="",0,持仓数据!K119)</f>
        <v>372</v>
      </c>
      <c r="L208" s="21">
        <f t="shared" si="112"/>
        <v>0</v>
      </c>
      <c r="M208" s="28">
        <f t="shared" si="96"/>
        <v>8210.4120000000003</v>
      </c>
      <c r="N208" s="28">
        <f t="shared" si="97"/>
        <v>0</v>
      </c>
      <c r="O208" s="28">
        <f t="shared" si="98"/>
        <v>0</v>
      </c>
      <c r="P208" s="28">
        <f t="shared" si="99"/>
        <v>0</v>
      </c>
      <c r="Q208" s="28">
        <f t="shared" si="113"/>
        <v>0</v>
      </c>
      <c r="R208" s="28">
        <f t="shared" si="100"/>
        <v>8210.4120000000003</v>
      </c>
      <c r="S208" s="28">
        <f t="shared" si="114"/>
        <v>0</v>
      </c>
      <c r="T208" s="28">
        <f t="shared" si="115"/>
        <v>0</v>
      </c>
      <c r="U208" s="28">
        <f t="shared" si="118"/>
        <v>0</v>
      </c>
      <c r="V208" s="28">
        <f t="shared" si="116"/>
        <v>0</v>
      </c>
      <c r="W208" s="118"/>
      <c r="X208" s="143">
        <f t="shared" si="117"/>
        <v>26.138999999999999</v>
      </c>
      <c r="Y208" s="121">
        <f>交易记录!L19</f>
        <v>0.34599999999999997</v>
      </c>
      <c r="Z208" s="121">
        <f>交易记录!L50</f>
        <v>372</v>
      </c>
      <c r="AA208" s="30">
        <f t="shared" si="101"/>
        <v>0</v>
      </c>
      <c r="AB208" s="124">
        <f>交易记录!L83</f>
        <v>0</v>
      </c>
      <c r="AC208" s="124">
        <f>交易记录!L114</f>
        <v>0</v>
      </c>
      <c r="AD208" s="30">
        <f t="shared" ref="AD208:AD217" si="124">IFERROR((AC208-$G208)*AB208,0)</f>
        <v>0</v>
      </c>
      <c r="AE208" s="121">
        <f>交易记录!L147</f>
        <v>0</v>
      </c>
      <c r="AF208" s="121">
        <f>交易记录!L178</f>
        <v>0</v>
      </c>
      <c r="AG208" s="30">
        <f t="shared" si="120"/>
        <v>0</v>
      </c>
      <c r="AH208" s="124">
        <f>交易记录!L211</f>
        <v>0</v>
      </c>
      <c r="AI208" s="124">
        <f>交易记录!L242</f>
        <v>0</v>
      </c>
      <c r="AJ208" s="30">
        <f t="shared" si="123"/>
        <v>0</v>
      </c>
      <c r="AK208" s="121">
        <f>交易记录!L275</f>
        <v>0</v>
      </c>
      <c r="AL208" s="121">
        <f>交易记录!L306</f>
        <v>0</v>
      </c>
      <c r="AM208" s="30">
        <f t="shared" si="122"/>
        <v>0</v>
      </c>
      <c r="AN208" s="124">
        <f>交易记录!L339</f>
        <v>0</v>
      </c>
      <c r="AO208" s="124">
        <f>交易记录!L370</f>
        <v>0</v>
      </c>
      <c r="AP208" s="30">
        <f t="shared" si="119"/>
        <v>0</v>
      </c>
      <c r="AQ208" s="121">
        <f>交易记录!L403</f>
        <v>0</v>
      </c>
      <c r="AR208" s="121">
        <f>交易记录!L434</f>
        <v>0</v>
      </c>
      <c r="AS208" s="30">
        <f t="shared" si="121"/>
        <v>0</v>
      </c>
      <c r="AT208" s="124">
        <f>交易记录!L467</f>
        <v>0</v>
      </c>
      <c r="AU208" s="124">
        <f>交易记录!L498</f>
        <v>0</v>
      </c>
      <c r="AV208" s="30">
        <f t="shared" si="102"/>
        <v>0</v>
      </c>
      <c r="AW208" s="121">
        <f>交易记录!L531</f>
        <v>0</v>
      </c>
      <c r="AX208" s="121">
        <f>交易记录!L562</f>
        <v>0</v>
      </c>
      <c r="AY208" s="30">
        <f t="shared" si="103"/>
        <v>0</v>
      </c>
      <c r="AZ208" s="124">
        <f>交易记录!L595</f>
        <v>0</v>
      </c>
      <c r="BA208" s="124">
        <f>交易记录!L626</f>
        <v>0</v>
      </c>
      <c r="BB208" s="30">
        <f t="shared" si="104"/>
        <v>0</v>
      </c>
      <c r="BC208" s="121">
        <f>交易记录!L659</f>
        <v>0</v>
      </c>
      <c r="BD208" s="121">
        <f>交易记录!L690</f>
        <v>0</v>
      </c>
      <c r="BE208" s="30">
        <f t="shared" si="105"/>
        <v>0</v>
      </c>
      <c r="BF208" s="124">
        <f>交易记录!L723</f>
        <v>0</v>
      </c>
      <c r="BG208" s="124">
        <f>交易记录!L754</f>
        <v>0</v>
      </c>
      <c r="BH208" s="30">
        <f t="shared" si="106"/>
        <v>0</v>
      </c>
      <c r="BI208" s="121">
        <f>交易记录!L787</f>
        <v>0</v>
      </c>
      <c r="BJ208" s="121">
        <f>交易记录!L818</f>
        <v>0</v>
      </c>
      <c r="BK208" s="30">
        <f t="shared" si="107"/>
        <v>0</v>
      </c>
      <c r="BL208" s="124">
        <f>交易记录!L851</f>
        <v>0</v>
      </c>
      <c r="BM208" s="124">
        <f>交易记录!L882</f>
        <v>0</v>
      </c>
      <c r="BN208" s="30">
        <f t="shared" si="108"/>
        <v>0</v>
      </c>
      <c r="BO208" s="121">
        <f>交易记录!L915</f>
        <v>0</v>
      </c>
      <c r="BP208" s="121">
        <f>交易记录!L946</f>
        <v>0</v>
      </c>
      <c r="BQ208" s="30">
        <f t="shared" si="109"/>
        <v>0</v>
      </c>
    </row>
    <row r="209" spans="1:69" ht="15">
      <c r="A209" s="125">
        <f>'维护-日期'!A$11</f>
        <v>46274</v>
      </c>
      <c r="B209" s="7" t="s">
        <v>21</v>
      </c>
      <c r="C209" s="144">
        <f t="shared" si="110"/>
        <v>22.087</v>
      </c>
      <c r="D209" s="144">
        <f>ROUND(INDEX(持仓数据!$C$3:$AG$26,MATCH('计算过程-数据汇总'!B209,持仓数据!$B$3:$B$26,0),MATCH('计算过程-数据汇总'!A209,'维护-日期'!$B$2:$AF$2,0)),3)</f>
        <v>22.087</v>
      </c>
      <c r="E209" s="98">
        <f t="shared" si="111"/>
        <v>22.087</v>
      </c>
      <c r="F209" s="22">
        <f>持仓数据!K87</f>
        <v>0.38</v>
      </c>
      <c r="G209" s="97">
        <v>372</v>
      </c>
      <c r="H209" s="97">
        <v>372</v>
      </c>
      <c r="I209" s="64">
        <v>0</v>
      </c>
      <c r="J209" s="64">
        <v>0</v>
      </c>
      <c r="K209" s="21">
        <f>IF(持仓数据!K120="",0,持仓数据!K120)</f>
        <v>372.00000000000006</v>
      </c>
      <c r="L209" s="21">
        <f t="shared" si="112"/>
        <v>0</v>
      </c>
      <c r="M209" s="28">
        <f t="shared" si="96"/>
        <v>8216.3639999999996</v>
      </c>
      <c r="N209" s="28">
        <f t="shared" si="97"/>
        <v>0</v>
      </c>
      <c r="O209" s="28">
        <f t="shared" si="98"/>
        <v>0</v>
      </c>
      <c r="P209" s="28">
        <f t="shared" si="99"/>
        <v>2.1600499167107046E-14</v>
      </c>
      <c r="Q209" s="28">
        <f t="shared" si="113"/>
        <v>0</v>
      </c>
      <c r="R209" s="28">
        <f t="shared" si="100"/>
        <v>8216.3640000000014</v>
      </c>
      <c r="S209" s="28">
        <f t="shared" si="114"/>
        <v>0</v>
      </c>
      <c r="T209" s="28">
        <f t="shared" si="115"/>
        <v>-1.2339000932115596E-12</v>
      </c>
      <c r="U209" s="28">
        <f t="shared" si="118"/>
        <v>0</v>
      </c>
      <c r="V209" s="28">
        <f t="shared" si="116"/>
        <v>0</v>
      </c>
      <c r="W209" s="118"/>
      <c r="X209" s="143">
        <f t="shared" si="117"/>
        <v>26.123999999999999</v>
      </c>
      <c r="Y209" s="121">
        <f>交易记录!L20</f>
        <v>0.38</v>
      </c>
      <c r="Z209" s="121">
        <f>交易记录!L51</f>
        <v>372</v>
      </c>
      <c r="AA209" s="30">
        <f t="shared" si="101"/>
        <v>0</v>
      </c>
      <c r="AB209" s="124">
        <f>交易记录!L84</f>
        <v>0</v>
      </c>
      <c r="AC209" s="124">
        <f>交易记录!L115</f>
        <v>0</v>
      </c>
      <c r="AD209" s="30">
        <f t="shared" si="124"/>
        <v>0</v>
      </c>
      <c r="AE209" s="121">
        <f>交易记录!L148</f>
        <v>0</v>
      </c>
      <c r="AF209" s="121">
        <f>交易记录!L179</f>
        <v>0</v>
      </c>
      <c r="AG209" s="30">
        <f t="shared" si="120"/>
        <v>0</v>
      </c>
      <c r="AH209" s="124">
        <f>交易记录!L212</f>
        <v>0</v>
      </c>
      <c r="AI209" s="124">
        <f>交易记录!L243</f>
        <v>0</v>
      </c>
      <c r="AJ209" s="30">
        <f t="shared" si="123"/>
        <v>0</v>
      </c>
      <c r="AK209" s="121">
        <f>交易记录!L276</f>
        <v>0</v>
      </c>
      <c r="AL209" s="121">
        <f>交易记录!L307</f>
        <v>0</v>
      </c>
      <c r="AM209" s="30">
        <f t="shared" si="122"/>
        <v>0</v>
      </c>
      <c r="AN209" s="124">
        <f>交易记录!L340</f>
        <v>0</v>
      </c>
      <c r="AO209" s="124">
        <f>交易记录!L371</f>
        <v>0</v>
      </c>
      <c r="AP209" s="30">
        <f t="shared" si="119"/>
        <v>0</v>
      </c>
      <c r="AQ209" s="121">
        <f>交易记录!L404</f>
        <v>0</v>
      </c>
      <c r="AR209" s="121">
        <f>交易记录!L435</f>
        <v>0</v>
      </c>
      <c r="AS209" s="30">
        <f t="shared" si="121"/>
        <v>0</v>
      </c>
      <c r="AT209" s="124">
        <f>交易记录!L468</f>
        <v>0</v>
      </c>
      <c r="AU209" s="124">
        <f>交易记录!L499</f>
        <v>0</v>
      </c>
      <c r="AV209" s="30">
        <f t="shared" si="102"/>
        <v>0</v>
      </c>
      <c r="AW209" s="121">
        <f>交易记录!L532</f>
        <v>0</v>
      </c>
      <c r="AX209" s="121">
        <f>交易记录!L563</f>
        <v>0</v>
      </c>
      <c r="AY209" s="30">
        <f t="shared" si="103"/>
        <v>0</v>
      </c>
      <c r="AZ209" s="124">
        <f>交易记录!L596</f>
        <v>0</v>
      </c>
      <c r="BA209" s="124">
        <f>交易记录!L627</f>
        <v>0</v>
      </c>
      <c r="BB209" s="30">
        <f t="shared" si="104"/>
        <v>0</v>
      </c>
      <c r="BC209" s="121">
        <f>交易记录!L660</f>
        <v>0</v>
      </c>
      <c r="BD209" s="121">
        <f>交易记录!L691</f>
        <v>0</v>
      </c>
      <c r="BE209" s="30">
        <f t="shared" si="105"/>
        <v>0</v>
      </c>
      <c r="BF209" s="124">
        <f>交易记录!L724</f>
        <v>0</v>
      </c>
      <c r="BG209" s="124">
        <f>交易记录!L755</f>
        <v>0</v>
      </c>
      <c r="BH209" s="30">
        <f t="shared" si="106"/>
        <v>0</v>
      </c>
      <c r="BI209" s="121">
        <f>交易记录!L788</f>
        <v>0</v>
      </c>
      <c r="BJ209" s="121">
        <f>交易记录!L819</f>
        <v>0</v>
      </c>
      <c r="BK209" s="30">
        <f t="shared" si="107"/>
        <v>0</v>
      </c>
      <c r="BL209" s="124">
        <f>交易记录!L852</f>
        <v>0</v>
      </c>
      <c r="BM209" s="124">
        <f>交易记录!L883</f>
        <v>0</v>
      </c>
      <c r="BN209" s="30">
        <f t="shared" si="108"/>
        <v>0</v>
      </c>
      <c r="BO209" s="121">
        <f>交易记录!L916</f>
        <v>0</v>
      </c>
      <c r="BP209" s="121">
        <f>交易记录!L947</f>
        <v>0</v>
      </c>
      <c r="BQ209" s="30">
        <f t="shared" si="109"/>
        <v>0</v>
      </c>
    </row>
    <row r="210" spans="1:69" ht="15">
      <c r="A210" s="125">
        <f>'维护-日期'!A$11</f>
        <v>46274</v>
      </c>
      <c r="B210" s="7" t="s">
        <v>22</v>
      </c>
      <c r="C210" s="144">
        <f t="shared" si="110"/>
        <v>23.077999999999999</v>
      </c>
      <c r="D210" s="144">
        <f>ROUND(INDEX(持仓数据!$C$3:$AG$26,MATCH('计算过程-数据汇总'!B210,持仓数据!$B$3:$B$26,0),MATCH('计算过程-数据汇总'!A210,'维护-日期'!$B$2:$AF$2,0)),3)</f>
        <v>23.077999999999999</v>
      </c>
      <c r="E210" s="98">
        <f t="shared" si="111"/>
        <v>23.077999999999999</v>
      </c>
      <c r="F210" s="22">
        <f>持仓数据!K88</f>
        <v>0.58600000000000008</v>
      </c>
      <c r="G210" s="97">
        <v>372</v>
      </c>
      <c r="H210" s="97">
        <v>372</v>
      </c>
      <c r="I210" s="64">
        <v>0</v>
      </c>
      <c r="J210" s="64">
        <v>0</v>
      </c>
      <c r="K210" s="21">
        <f>IF(持仓数据!K121="",0,持仓数据!K121)</f>
        <v>372</v>
      </c>
      <c r="L210" s="21">
        <f t="shared" si="112"/>
        <v>0</v>
      </c>
      <c r="M210" s="28">
        <f t="shared" si="96"/>
        <v>8585.0159999999996</v>
      </c>
      <c r="N210" s="28">
        <f t="shared" si="97"/>
        <v>0</v>
      </c>
      <c r="O210" s="28">
        <f t="shared" si="98"/>
        <v>0</v>
      </c>
      <c r="P210" s="28">
        <f t="shared" si="99"/>
        <v>0</v>
      </c>
      <c r="Q210" s="28">
        <f t="shared" si="113"/>
        <v>0</v>
      </c>
      <c r="R210" s="28">
        <f t="shared" si="100"/>
        <v>8585.0159999999996</v>
      </c>
      <c r="S210" s="28">
        <f t="shared" si="114"/>
        <v>0</v>
      </c>
      <c r="T210" s="28">
        <f t="shared" si="115"/>
        <v>0</v>
      </c>
      <c r="U210" s="28">
        <f t="shared" si="118"/>
        <v>0</v>
      </c>
      <c r="V210" s="28">
        <f t="shared" si="116"/>
        <v>0</v>
      </c>
      <c r="W210" s="118"/>
      <c r="X210" s="143">
        <f t="shared" si="117"/>
        <v>27.108000000000001</v>
      </c>
      <c r="Y210" s="121">
        <f>交易记录!L21</f>
        <v>0.58600000000000008</v>
      </c>
      <c r="Z210" s="121">
        <f>交易记录!L52</f>
        <v>372</v>
      </c>
      <c r="AA210" s="30">
        <f t="shared" si="101"/>
        <v>0</v>
      </c>
      <c r="AB210" s="124">
        <f>交易记录!L85</f>
        <v>0</v>
      </c>
      <c r="AC210" s="124">
        <f>交易记录!L116</f>
        <v>0</v>
      </c>
      <c r="AD210" s="30">
        <f t="shared" si="124"/>
        <v>0</v>
      </c>
      <c r="AE210" s="121">
        <f>交易记录!L149</f>
        <v>0</v>
      </c>
      <c r="AF210" s="121">
        <f>交易记录!L180</f>
        <v>0</v>
      </c>
      <c r="AG210" s="30">
        <f t="shared" si="120"/>
        <v>0</v>
      </c>
      <c r="AH210" s="124">
        <f>交易记录!L213</f>
        <v>0</v>
      </c>
      <c r="AI210" s="124">
        <f>交易记录!L244</f>
        <v>0</v>
      </c>
      <c r="AJ210" s="30">
        <f t="shared" si="123"/>
        <v>0</v>
      </c>
      <c r="AK210" s="121">
        <f>交易记录!L277</f>
        <v>0</v>
      </c>
      <c r="AL210" s="121">
        <f>交易记录!L308</f>
        <v>0</v>
      </c>
      <c r="AM210" s="30">
        <f t="shared" si="122"/>
        <v>0</v>
      </c>
      <c r="AN210" s="124">
        <f>交易记录!L341</f>
        <v>0</v>
      </c>
      <c r="AO210" s="124">
        <f>交易记录!L372</f>
        <v>0</v>
      </c>
      <c r="AP210" s="30">
        <f t="shared" si="119"/>
        <v>0</v>
      </c>
      <c r="AQ210" s="121">
        <f>交易记录!L405</f>
        <v>0</v>
      </c>
      <c r="AR210" s="121">
        <f>交易记录!L436</f>
        <v>0</v>
      </c>
      <c r="AS210" s="30">
        <f t="shared" si="121"/>
        <v>0</v>
      </c>
      <c r="AT210" s="124">
        <f>交易记录!L469</f>
        <v>0</v>
      </c>
      <c r="AU210" s="124">
        <f>交易记录!L500</f>
        <v>0</v>
      </c>
      <c r="AV210" s="30">
        <f t="shared" si="102"/>
        <v>0</v>
      </c>
      <c r="AW210" s="121">
        <f>交易记录!L533</f>
        <v>0</v>
      </c>
      <c r="AX210" s="121">
        <f>交易记录!L564</f>
        <v>0</v>
      </c>
      <c r="AY210" s="30">
        <f t="shared" si="103"/>
        <v>0</v>
      </c>
      <c r="AZ210" s="124">
        <f>交易记录!L597</f>
        <v>0</v>
      </c>
      <c r="BA210" s="124">
        <f>交易记录!L628</f>
        <v>0</v>
      </c>
      <c r="BB210" s="30">
        <f t="shared" si="104"/>
        <v>0</v>
      </c>
      <c r="BC210" s="121">
        <f>交易记录!L661</f>
        <v>0</v>
      </c>
      <c r="BD210" s="121">
        <f>交易记录!L692</f>
        <v>0</v>
      </c>
      <c r="BE210" s="30">
        <f t="shared" si="105"/>
        <v>0</v>
      </c>
      <c r="BF210" s="124">
        <f>交易记录!L725</f>
        <v>0</v>
      </c>
      <c r="BG210" s="124">
        <f>交易记录!L756</f>
        <v>0</v>
      </c>
      <c r="BH210" s="30">
        <f t="shared" si="106"/>
        <v>0</v>
      </c>
      <c r="BI210" s="121">
        <f>交易记录!L789</f>
        <v>0</v>
      </c>
      <c r="BJ210" s="121">
        <f>交易记录!L820</f>
        <v>0</v>
      </c>
      <c r="BK210" s="30">
        <f t="shared" si="107"/>
        <v>0</v>
      </c>
      <c r="BL210" s="124">
        <f>交易记录!L853</f>
        <v>0</v>
      </c>
      <c r="BM210" s="124">
        <f>交易记录!L884</f>
        <v>0</v>
      </c>
      <c r="BN210" s="30">
        <f t="shared" si="108"/>
        <v>0</v>
      </c>
      <c r="BO210" s="121">
        <f>交易记录!L917</f>
        <v>0</v>
      </c>
      <c r="BP210" s="121">
        <f>交易记录!L948</f>
        <v>0</v>
      </c>
      <c r="BQ210" s="30">
        <f t="shared" si="109"/>
        <v>0</v>
      </c>
    </row>
    <row r="211" spans="1:69" ht="15">
      <c r="A211" s="125">
        <f>'维护-日期'!A$11</f>
        <v>46274</v>
      </c>
      <c r="B211" s="7" t="s">
        <v>23</v>
      </c>
      <c r="C211" s="144">
        <f t="shared" si="110"/>
        <v>23.443000000000001</v>
      </c>
      <c r="D211" s="144">
        <f>ROUND(INDEX(持仓数据!$C$3:$AG$26,MATCH('计算过程-数据汇总'!B211,持仓数据!$B$3:$B$26,0),MATCH('计算过程-数据汇总'!A211,'维护-日期'!$B$2:$AF$2,0)),3)</f>
        <v>23.443000000000001</v>
      </c>
      <c r="E211" s="98">
        <f t="shared" si="111"/>
        <v>23.443000000000001</v>
      </c>
      <c r="F211" s="22">
        <f>持仓数据!K89</f>
        <v>0.63300000000000001</v>
      </c>
      <c r="G211" s="97">
        <v>372</v>
      </c>
      <c r="H211" s="97">
        <v>372</v>
      </c>
      <c r="I211" s="64">
        <v>0</v>
      </c>
      <c r="J211" s="64">
        <v>0</v>
      </c>
      <c r="K211" s="21">
        <f>IF(持仓数据!K122="",0,持仓数据!K122)</f>
        <v>372</v>
      </c>
      <c r="L211" s="21">
        <f t="shared" si="112"/>
        <v>0</v>
      </c>
      <c r="M211" s="28">
        <f t="shared" si="96"/>
        <v>8720.7960000000003</v>
      </c>
      <c r="N211" s="28">
        <f t="shared" si="97"/>
        <v>0</v>
      </c>
      <c r="O211" s="28">
        <f t="shared" si="98"/>
        <v>0</v>
      </c>
      <c r="P211" s="28">
        <f t="shared" si="99"/>
        <v>0</v>
      </c>
      <c r="Q211" s="28">
        <f t="shared" si="113"/>
        <v>0</v>
      </c>
      <c r="R211" s="28">
        <f t="shared" si="100"/>
        <v>8720.7960000000003</v>
      </c>
      <c r="S211" s="28">
        <f t="shared" si="114"/>
        <v>0</v>
      </c>
      <c r="T211" s="28">
        <f t="shared" si="115"/>
        <v>0</v>
      </c>
      <c r="U211" s="28">
        <f t="shared" si="118"/>
        <v>0</v>
      </c>
      <c r="V211" s="28">
        <f t="shared" si="116"/>
        <v>0</v>
      </c>
      <c r="W211" s="118"/>
      <c r="X211" s="143">
        <f t="shared" si="117"/>
        <v>27.498999999999999</v>
      </c>
      <c r="Y211" s="121">
        <f>交易记录!L22</f>
        <v>0.63300000000000001</v>
      </c>
      <c r="Z211" s="121">
        <f>交易记录!L53</f>
        <v>372</v>
      </c>
      <c r="AA211" s="30">
        <f t="shared" si="101"/>
        <v>0</v>
      </c>
      <c r="AB211" s="124">
        <f>交易记录!L86</f>
        <v>0</v>
      </c>
      <c r="AC211" s="124">
        <f>交易记录!L117</f>
        <v>0</v>
      </c>
      <c r="AD211" s="30">
        <f t="shared" si="124"/>
        <v>0</v>
      </c>
      <c r="AE211" s="121">
        <f>交易记录!L150</f>
        <v>0</v>
      </c>
      <c r="AF211" s="121">
        <f>交易记录!L181</f>
        <v>0</v>
      </c>
      <c r="AG211" s="30">
        <f t="shared" si="120"/>
        <v>0</v>
      </c>
      <c r="AH211" s="124">
        <f>交易记录!L214</f>
        <v>0</v>
      </c>
      <c r="AI211" s="124">
        <f>交易记录!L245</f>
        <v>0</v>
      </c>
      <c r="AJ211" s="30">
        <f t="shared" si="123"/>
        <v>0</v>
      </c>
      <c r="AK211" s="121">
        <f>交易记录!L278</f>
        <v>0</v>
      </c>
      <c r="AL211" s="121">
        <f>交易记录!L309</f>
        <v>0</v>
      </c>
      <c r="AM211" s="30">
        <f t="shared" si="122"/>
        <v>0</v>
      </c>
      <c r="AN211" s="124">
        <f>交易记录!L342</f>
        <v>0</v>
      </c>
      <c r="AO211" s="124">
        <f>交易记录!L373</f>
        <v>0</v>
      </c>
      <c r="AP211" s="30">
        <f t="shared" si="119"/>
        <v>0</v>
      </c>
      <c r="AQ211" s="121">
        <f>交易记录!L406</f>
        <v>0</v>
      </c>
      <c r="AR211" s="121">
        <f>交易记录!L437</f>
        <v>0</v>
      </c>
      <c r="AS211" s="30">
        <f t="shared" si="121"/>
        <v>0</v>
      </c>
      <c r="AT211" s="124">
        <f>交易记录!L470</f>
        <v>0</v>
      </c>
      <c r="AU211" s="124">
        <f>交易记录!L501</f>
        <v>0</v>
      </c>
      <c r="AV211" s="30">
        <f t="shared" si="102"/>
        <v>0</v>
      </c>
      <c r="AW211" s="121">
        <f>交易记录!L534</f>
        <v>0</v>
      </c>
      <c r="AX211" s="121">
        <f>交易记录!L565</f>
        <v>0</v>
      </c>
      <c r="AY211" s="30">
        <f t="shared" si="103"/>
        <v>0</v>
      </c>
      <c r="AZ211" s="124">
        <f>交易记录!L598</f>
        <v>0</v>
      </c>
      <c r="BA211" s="124">
        <f>交易记录!L629</f>
        <v>0</v>
      </c>
      <c r="BB211" s="30">
        <f t="shared" si="104"/>
        <v>0</v>
      </c>
      <c r="BC211" s="121">
        <f>交易记录!L662</f>
        <v>0</v>
      </c>
      <c r="BD211" s="121">
        <f>交易记录!L693</f>
        <v>0</v>
      </c>
      <c r="BE211" s="30">
        <f t="shared" si="105"/>
        <v>0</v>
      </c>
      <c r="BF211" s="124">
        <f>交易记录!L726</f>
        <v>0</v>
      </c>
      <c r="BG211" s="124">
        <f>交易记录!L757</f>
        <v>0</v>
      </c>
      <c r="BH211" s="30">
        <f t="shared" si="106"/>
        <v>0</v>
      </c>
      <c r="BI211" s="121">
        <f>交易记录!L790</f>
        <v>0</v>
      </c>
      <c r="BJ211" s="121">
        <f>交易记录!L821</f>
        <v>0</v>
      </c>
      <c r="BK211" s="30">
        <f t="shared" si="107"/>
        <v>0</v>
      </c>
      <c r="BL211" s="124">
        <f>交易记录!L854</f>
        <v>0</v>
      </c>
      <c r="BM211" s="124">
        <f>交易记录!L885</f>
        <v>0</v>
      </c>
      <c r="BN211" s="30">
        <f t="shared" si="108"/>
        <v>0</v>
      </c>
      <c r="BO211" s="121">
        <f>交易记录!L918</f>
        <v>0</v>
      </c>
      <c r="BP211" s="121">
        <f>交易记录!L949</f>
        <v>0</v>
      </c>
      <c r="BQ211" s="30">
        <f t="shared" si="109"/>
        <v>0</v>
      </c>
    </row>
    <row r="212" spans="1:69" ht="15">
      <c r="A212" s="125">
        <f>'维护-日期'!A$11</f>
        <v>46274</v>
      </c>
      <c r="B212" s="7" t="s">
        <v>24</v>
      </c>
      <c r="C212" s="144">
        <f t="shared" si="110"/>
        <v>23.85</v>
      </c>
      <c r="D212" s="144">
        <f>ROUND(INDEX(持仓数据!$C$3:$AG$26,MATCH('计算过程-数据汇总'!B212,持仓数据!$B$3:$B$26,0),MATCH('计算过程-数据汇总'!A212,'维护-日期'!$B$2:$AF$2,0)),3)</f>
        <v>23.85</v>
      </c>
      <c r="E212" s="98">
        <f t="shared" si="111"/>
        <v>23.85</v>
      </c>
      <c r="F212" s="22">
        <f>持仓数据!K90</f>
        <v>0.45400000000000001</v>
      </c>
      <c r="G212" s="97">
        <v>372</v>
      </c>
      <c r="H212" s="97">
        <v>372</v>
      </c>
      <c r="I212" s="64">
        <v>0</v>
      </c>
      <c r="J212" s="64">
        <v>0</v>
      </c>
      <c r="K212" s="21">
        <f>IF(持仓数据!K123="",0,持仓数据!K123)</f>
        <v>372</v>
      </c>
      <c r="L212" s="21">
        <f t="shared" si="112"/>
        <v>0</v>
      </c>
      <c r="M212" s="28">
        <f t="shared" si="96"/>
        <v>8872.2000000000007</v>
      </c>
      <c r="N212" s="28">
        <f t="shared" si="97"/>
        <v>0</v>
      </c>
      <c r="O212" s="28">
        <f t="shared" si="98"/>
        <v>0</v>
      </c>
      <c r="P212" s="28">
        <f t="shared" si="99"/>
        <v>0</v>
      </c>
      <c r="Q212" s="28">
        <f t="shared" si="113"/>
        <v>0</v>
      </c>
      <c r="R212" s="28">
        <f t="shared" si="100"/>
        <v>8872.2000000000007</v>
      </c>
      <c r="S212" s="28">
        <f t="shared" si="114"/>
        <v>0</v>
      </c>
      <c r="T212" s="28">
        <f t="shared" si="115"/>
        <v>0</v>
      </c>
      <c r="U212" s="28">
        <f t="shared" si="118"/>
        <v>0</v>
      </c>
      <c r="V212" s="28">
        <f t="shared" si="116"/>
        <v>0</v>
      </c>
      <c r="W212" s="118"/>
      <c r="X212" s="143">
        <f t="shared" si="117"/>
        <v>28.166</v>
      </c>
      <c r="Y212" s="121">
        <f>交易记录!L23</f>
        <v>0.45400000000000001</v>
      </c>
      <c r="Z212" s="121">
        <f>交易记录!L54</f>
        <v>372</v>
      </c>
      <c r="AA212" s="30">
        <f t="shared" si="101"/>
        <v>0</v>
      </c>
      <c r="AB212" s="124">
        <f>交易记录!L87</f>
        <v>0</v>
      </c>
      <c r="AC212" s="124">
        <f>交易记录!L118</f>
        <v>0</v>
      </c>
      <c r="AD212" s="30">
        <f t="shared" si="124"/>
        <v>0</v>
      </c>
      <c r="AE212" s="121">
        <f>交易记录!L151</f>
        <v>0</v>
      </c>
      <c r="AF212" s="121">
        <f>交易记录!L182</f>
        <v>0</v>
      </c>
      <c r="AG212" s="30">
        <f t="shared" si="120"/>
        <v>0</v>
      </c>
      <c r="AH212" s="124">
        <f>交易记录!L215</f>
        <v>0</v>
      </c>
      <c r="AI212" s="124">
        <f>交易记录!L246</f>
        <v>0</v>
      </c>
      <c r="AJ212" s="30">
        <f t="shared" si="123"/>
        <v>0</v>
      </c>
      <c r="AK212" s="121">
        <f>交易记录!L279</f>
        <v>0</v>
      </c>
      <c r="AL212" s="121">
        <f>交易记录!L310</f>
        <v>0</v>
      </c>
      <c r="AM212" s="30">
        <f t="shared" si="122"/>
        <v>0</v>
      </c>
      <c r="AN212" s="124">
        <f>交易记录!L343</f>
        <v>0</v>
      </c>
      <c r="AO212" s="124">
        <f>交易记录!L374</f>
        <v>0</v>
      </c>
      <c r="AP212" s="30">
        <f t="shared" si="119"/>
        <v>0</v>
      </c>
      <c r="AQ212" s="121">
        <f>交易记录!L407</f>
        <v>0</v>
      </c>
      <c r="AR212" s="121">
        <f>交易记录!L438</f>
        <v>0</v>
      </c>
      <c r="AS212" s="30">
        <f t="shared" si="121"/>
        <v>0</v>
      </c>
      <c r="AT212" s="124">
        <f>交易记录!L471</f>
        <v>0</v>
      </c>
      <c r="AU212" s="124">
        <f>交易记录!L502</f>
        <v>0</v>
      </c>
      <c r="AV212" s="30">
        <f t="shared" si="102"/>
        <v>0</v>
      </c>
      <c r="AW212" s="121">
        <f>交易记录!L535</f>
        <v>0</v>
      </c>
      <c r="AX212" s="121">
        <f>交易记录!L566</f>
        <v>0</v>
      </c>
      <c r="AY212" s="30">
        <f t="shared" si="103"/>
        <v>0</v>
      </c>
      <c r="AZ212" s="124">
        <f>交易记录!L599</f>
        <v>0</v>
      </c>
      <c r="BA212" s="124">
        <f>交易记录!L630</f>
        <v>0</v>
      </c>
      <c r="BB212" s="30">
        <f t="shared" si="104"/>
        <v>0</v>
      </c>
      <c r="BC212" s="121">
        <f>交易记录!L663</f>
        <v>0</v>
      </c>
      <c r="BD212" s="121">
        <f>交易记录!L694</f>
        <v>0</v>
      </c>
      <c r="BE212" s="30">
        <f t="shared" si="105"/>
        <v>0</v>
      </c>
      <c r="BF212" s="124">
        <f>交易记录!L727</f>
        <v>0</v>
      </c>
      <c r="BG212" s="124">
        <f>交易记录!L758</f>
        <v>0</v>
      </c>
      <c r="BH212" s="30">
        <f t="shared" si="106"/>
        <v>0</v>
      </c>
      <c r="BI212" s="121">
        <f>交易记录!L791</f>
        <v>0</v>
      </c>
      <c r="BJ212" s="121">
        <f>交易记录!L822</f>
        <v>0</v>
      </c>
      <c r="BK212" s="30">
        <f t="shared" si="107"/>
        <v>0</v>
      </c>
      <c r="BL212" s="124">
        <f>交易记录!L855</f>
        <v>0</v>
      </c>
      <c r="BM212" s="124">
        <f>交易记录!L886</f>
        <v>0</v>
      </c>
      <c r="BN212" s="30">
        <f t="shared" si="108"/>
        <v>0</v>
      </c>
      <c r="BO212" s="121">
        <f>交易记录!L919</f>
        <v>0</v>
      </c>
      <c r="BP212" s="121">
        <f>交易记录!L950</f>
        <v>0</v>
      </c>
      <c r="BQ212" s="30">
        <f t="shared" si="109"/>
        <v>0</v>
      </c>
    </row>
    <row r="213" spans="1:69" ht="15">
      <c r="A213" s="125">
        <f>'维护-日期'!A$11</f>
        <v>46274</v>
      </c>
      <c r="B213" s="7" t="s">
        <v>25</v>
      </c>
      <c r="C213" s="144">
        <f t="shared" si="110"/>
        <v>24.105</v>
      </c>
      <c r="D213" s="144">
        <f>ROUND(INDEX(持仓数据!$C$3:$AG$26,MATCH('计算过程-数据汇总'!B213,持仓数据!$B$3:$B$26,0),MATCH('计算过程-数据汇总'!A213,'维护-日期'!$B$2:$AF$2,0)),3)</f>
        <v>24.105</v>
      </c>
      <c r="E213" s="98">
        <f t="shared" si="111"/>
        <v>24.105</v>
      </c>
      <c r="F213" s="22">
        <f>持仓数据!K91</f>
        <v>1.1160000000000001</v>
      </c>
      <c r="G213" s="97">
        <v>372</v>
      </c>
      <c r="H213" s="97">
        <v>372</v>
      </c>
      <c r="I213" s="64">
        <v>0</v>
      </c>
      <c r="J213" s="64">
        <v>0</v>
      </c>
      <c r="K213" s="21">
        <f>IF(持仓数据!K124="",0,持仓数据!K124)</f>
        <v>372</v>
      </c>
      <c r="L213" s="21">
        <f t="shared" si="112"/>
        <v>0</v>
      </c>
      <c r="M213" s="28">
        <f t="shared" si="96"/>
        <v>8967.06</v>
      </c>
      <c r="N213" s="28">
        <f t="shared" si="97"/>
        <v>0</v>
      </c>
      <c r="O213" s="28">
        <f t="shared" si="98"/>
        <v>0</v>
      </c>
      <c r="P213" s="28">
        <f t="shared" si="99"/>
        <v>0</v>
      </c>
      <c r="Q213" s="28">
        <f t="shared" si="113"/>
        <v>0</v>
      </c>
      <c r="R213" s="28">
        <f t="shared" si="100"/>
        <v>8967.06</v>
      </c>
      <c r="S213" s="28">
        <f t="shared" si="114"/>
        <v>0</v>
      </c>
      <c r="T213" s="28">
        <f t="shared" si="115"/>
        <v>0</v>
      </c>
      <c r="U213" s="28">
        <f t="shared" si="118"/>
        <v>0</v>
      </c>
      <c r="V213" s="28">
        <f t="shared" si="116"/>
        <v>0</v>
      </c>
      <c r="W213" s="118"/>
      <c r="X213" s="143">
        <f t="shared" si="117"/>
        <v>27.81</v>
      </c>
      <c r="Y213" s="121">
        <f>交易记录!L24</f>
        <v>1.1160000000000001</v>
      </c>
      <c r="Z213" s="121">
        <f>交易记录!L55</f>
        <v>372</v>
      </c>
      <c r="AA213" s="30">
        <f t="shared" si="101"/>
        <v>0</v>
      </c>
      <c r="AB213" s="124">
        <f>交易记录!L88</f>
        <v>0</v>
      </c>
      <c r="AC213" s="124">
        <f>交易记录!L119</f>
        <v>0</v>
      </c>
      <c r="AD213" s="30">
        <f t="shared" si="124"/>
        <v>0</v>
      </c>
      <c r="AE213" s="121">
        <f>交易记录!L152</f>
        <v>0</v>
      </c>
      <c r="AF213" s="121">
        <f>交易记录!L183</f>
        <v>0</v>
      </c>
      <c r="AG213" s="30">
        <f t="shared" si="120"/>
        <v>0</v>
      </c>
      <c r="AH213" s="124">
        <f>交易记录!L216</f>
        <v>0</v>
      </c>
      <c r="AI213" s="124">
        <f>交易记录!L247</f>
        <v>0</v>
      </c>
      <c r="AJ213" s="30">
        <f t="shared" si="123"/>
        <v>0</v>
      </c>
      <c r="AK213" s="121">
        <f>交易记录!L280</f>
        <v>0</v>
      </c>
      <c r="AL213" s="121">
        <f>交易记录!L311</f>
        <v>0</v>
      </c>
      <c r="AM213" s="30">
        <f t="shared" si="122"/>
        <v>0</v>
      </c>
      <c r="AN213" s="124">
        <f>交易记录!L344</f>
        <v>0</v>
      </c>
      <c r="AO213" s="124">
        <f>交易记录!L375</f>
        <v>0</v>
      </c>
      <c r="AP213" s="30">
        <f t="shared" si="119"/>
        <v>0</v>
      </c>
      <c r="AQ213" s="121">
        <f>交易记录!L408</f>
        <v>0</v>
      </c>
      <c r="AR213" s="121">
        <f>交易记录!L439</f>
        <v>0</v>
      </c>
      <c r="AS213" s="30">
        <f t="shared" si="121"/>
        <v>0</v>
      </c>
      <c r="AT213" s="124">
        <f>交易记录!L472</f>
        <v>0</v>
      </c>
      <c r="AU213" s="124">
        <f>交易记录!L503</f>
        <v>0</v>
      </c>
      <c r="AV213" s="30">
        <f t="shared" si="102"/>
        <v>0</v>
      </c>
      <c r="AW213" s="121">
        <f>交易记录!L536</f>
        <v>0</v>
      </c>
      <c r="AX213" s="121">
        <f>交易记录!L567</f>
        <v>0</v>
      </c>
      <c r="AY213" s="30">
        <f t="shared" si="103"/>
        <v>0</v>
      </c>
      <c r="AZ213" s="124">
        <f>交易记录!L600</f>
        <v>0</v>
      </c>
      <c r="BA213" s="124">
        <f>交易记录!L631</f>
        <v>0</v>
      </c>
      <c r="BB213" s="30">
        <f t="shared" si="104"/>
        <v>0</v>
      </c>
      <c r="BC213" s="121">
        <f>交易记录!L664</f>
        <v>0</v>
      </c>
      <c r="BD213" s="121">
        <f>交易记录!L695</f>
        <v>0</v>
      </c>
      <c r="BE213" s="30">
        <f t="shared" si="105"/>
        <v>0</v>
      </c>
      <c r="BF213" s="124">
        <f>交易记录!L728</f>
        <v>0</v>
      </c>
      <c r="BG213" s="124">
        <f>交易记录!L759</f>
        <v>0</v>
      </c>
      <c r="BH213" s="30">
        <f t="shared" si="106"/>
        <v>0</v>
      </c>
      <c r="BI213" s="121">
        <f>交易记录!L792</f>
        <v>0</v>
      </c>
      <c r="BJ213" s="121">
        <f>交易记录!L823</f>
        <v>0</v>
      </c>
      <c r="BK213" s="30">
        <f t="shared" si="107"/>
        <v>0</v>
      </c>
      <c r="BL213" s="124">
        <f>交易记录!L856</f>
        <v>0</v>
      </c>
      <c r="BM213" s="124">
        <f>交易记录!L887</f>
        <v>0</v>
      </c>
      <c r="BN213" s="30">
        <f t="shared" si="108"/>
        <v>0</v>
      </c>
      <c r="BO213" s="121">
        <f>交易记录!L920</f>
        <v>0</v>
      </c>
      <c r="BP213" s="121">
        <f>交易记录!L951</f>
        <v>0</v>
      </c>
      <c r="BQ213" s="30">
        <f t="shared" si="109"/>
        <v>0</v>
      </c>
    </row>
    <row r="214" spans="1:69" ht="15">
      <c r="A214" s="125">
        <f>'维护-日期'!A$11</f>
        <v>46274</v>
      </c>
      <c r="B214" s="7" t="s">
        <v>26</v>
      </c>
      <c r="C214" s="144">
        <f t="shared" si="110"/>
        <v>24.047999999999998</v>
      </c>
      <c r="D214" s="144">
        <f>ROUND(INDEX(持仓数据!$C$3:$AG$26,MATCH('计算过程-数据汇总'!B214,持仓数据!$B$3:$B$26,0),MATCH('计算过程-数据汇总'!A214,'维护-日期'!$B$2:$AF$2,0)),3)</f>
        <v>24.047999999999998</v>
      </c>
      <c r="E214" s="98">
        <f t="shared" si="111"/>
        <v>24.047999999999998</v>
      </c>
      <c r="F214" s="22">
        <f>持仓数据!K92</f>
        <v>1</v>
      </c>
      <c r="G214" s="97">
        <v>372</v>
      </c>
      <c r="H214" s="97">
        <v>372</v>
      </c>
      <c r="I214" s="64">
        <v>0</v>
      </c>
      <c r="J214" s="64">
        <v>0</v>
      </c>
      <c r="K214" s="21">
        <f>IF(持仓数据!K125="",0,持仓数据!K125)</f>
        <v>372</v>
      </c>
      <c r="L214" s="21">
        <f t="shared" si="112"/>
        <v>0</v>
      </c>
      <c r="M214" s="28">
        <f t="shared" si="96"/>
        <v>8945.8559999999998</v>
      </c>
      <c r="N214" s="28">
        <f t="shared" si="97"/>
        <v>0</v>
      </c>
      <c r="O214" s="28">
        <f t="shared" si="98"/>
        <v>0</v>
      </c>
      <c r="P214" s="28">
        <f t="shared" si="99"/>
        <v>0</v>
      </c>
      <c r="Q214" s="28">
        <f t="shared" si="113"/>
        <v>0</v>
      </c>
      <c r="R214" s="28">
        <f t="shared" si="100"/>
        <v>8945.8559999999998</v>
      </c>
      <c r="S214" s="28">
        <f t="shared" si="114"/>
        <v>0</v>
      </c>
      <c r="T214" s="28">
        <f t="shared" si="115"/>
        <v>0</v>
      </c>
      <c r="U214" s="28">
        <f t="shared" si="118"/>
        <v>0</v>
      </c>
      <c r="V214" s="28">
        <f t="shared" si="116"/>
        <v>0</v>
      </c>
      <c r="W214" s="118"/>
      <c r="X214" s="143">
        <f t="shared" si="117"/>
        <v>27.858000000000001</v>
      </c>
      <c r="Y214" s="121">
        <f>交易记录!L25</f>
        <v>1</v>
      </c>
      <c r="Z214" s="121">
        <f>交易记录!L56</f>
        <v>372</v>
      </c>
      <c r="AA214" s="30">
        <f t="shared" si="101"/>
        <v>0</v>
      </c>
      <c r="AB214" s="124">
        <f>交易记录!L89</f>
        <v>0</v>
      </c>
      <c r="AC214" s="124">
        <f>交易记录!L120</f>
        <v>0</v>
      </c>
      <c r="AD214" s="30">
        <f t="shared" si="124"/>
        <v>0</v>
      </c>
      <c r="AE214" s="121">
        <f>交易记录!L153</f>
        <v>0</v>
      </c>
      <c r="AF214" s="121">
        <f>交易记录!L184</f>
        <v>0</v>
      </c>
      <c r="AG214" s="30">
        <f t="shared" si="120"/>
        <v>0</v>
      </c>
      <c r="AH214" s="124">
        <f>交易记录!L217</f>
        <v>0</v>
      </c>
      <c r="AI214" s="124">
        <f>交易记录!L248</f>
        <v>0</v>
      </c>
      <c r="AJ214" s="30">
        <f t="shared" si="123"/>
        <v>0</v>
      </c>
      <c r="AK214" s="121">
        <f>交易记录!L281</f>
        <v>0</v>
      </c>
      <c r="AL214" s="121">
        <f>交易记录!L312</f>
        <v>0</v>
      </c>
      <c r="AM214" s="30">
        <f t="shared" si="122"/>
        <v>0</v>
      </c>
      <c r="AN214" s="124">
        <f>交易记录!L345</f>
        <v>0</v>
      </c>
      <c r="AO214" s="124">
        <f>交易记录!L376</f>
        <v>0</v>
      </c>
      <c r="AP214" s="30">
        <f t="shared" si="119"/>
        <v>0</v>
      </c>
      <c r="AQ214" s="121">
        <f>交易记录!L409</f>
        <v>0</v>
      </c>
      <c r="AR214" s="121">
        <f>交易记录!L440</f>
        <v>0</v>
      </c>
      <c r="AS214" s="30">
        <f t="shared" si="121"/>
        <v>0</v>
      </c>
      <c r="AT214" s="124">
        <f>交易记录!L473</f>
        <v>0</v>
      </c>
      <c r="AU214" s="124">
        <f>交易记录!L504</f>
        <v>0</v>
      </c>
      <c r="AV214" s="30">
        <f t="shared" si="102"/>
        <v>0</v>
      </c>
      <c r="AW214" s="121">
        <f>交易记录!L537</f>
        <v>0</v>
      </c>
      <c r="AX214" s="121">
        <f>交易记录!L568</f>
        <v>0</v>
      </c>
      <c r="AY214" s="30">
        <f t="shared" si="103"/>
        <v>0</v>
      </c>
      <c r="AZ214" s="124">
        <f>交易记录!L601</f>
        <v>0</v>
      </c>
      <c r="BA214" s="124">
        <f>交易记录!L632</f>
        <v>0</v>
      </c>
      <c r="BB214" s="30">
        <f t="shared" si="104"/>
        <v>0</v>
      </c>
      <c r="BC214" s="121">
        <f>交易记录!L665</f>
        <v>0</v>
      </c>
      <c r="BD214" s="121">
        <f>交易记录!L696</f>
        <v>0</v>
      </c>
      <c r="BE214" s="30">
        <f t="shared" si="105"/>
        <v>0</v>
      </c>
      <c r="BF214" s="124">
        <f>交易记录!L729</f>
        <v>0</v>
      </c>
      <c r="BG214" s="124">
        <f>交易记录!L760</f>
        <v>0</v>
      </c>
      <c r="BH214" s="30">
        <f t="shared" si="106"/>
        <v>0</v>
      </c>
      <c r="BI214" s="121">
        <f>交易记录!L793</f>
        <v>0</v>
      </c>
      <c r="BJ214" s="121">
        <f>交易记录!L824</f>
        <v>0</v>
      </c>
      <c r="BK214" s="30">
        <f t="shared" si="107"/>
        <v>0</v>
      </c>
      <c r="BL214" s="124">
        <f>交易记录!L857</f>
        <v>0</v>
      </c>
      <c r="BM214" s="124">
        <f>交易记录!L888</f>
        <v>0</v>
      </c>
      <c r="BN214" s="30">
        <f t="shared" si="108"/>
        <v>0</v>
      </c>
      <c r="BO214" s="121">
        <f>交易记录!L921</f>
        <v>0</v>
      </c>
      <c r="BP214" s="121">
        <f>交易记录!L952</f>
        <v>0</v>
      </c>
      <c r="BQ214" s="30">
        <f t="shared" si="109"/>
        <v>0</v>
      </c>
    </row>
    <row r="215" spans="1:69" ht="15">
      <c r="A215" s="125">
        <f>'维护-日期'!A$11</f>
        <v>46274</v>
      </c>
      <c r="B215" s="7" t="s">
        <v>27</v>
      </c>
      <c r="C215" s="144">
        <f t="shared" si="110"/>
        <v>22.594000000000001</v>
      </c>
      <c r="D215" s="144">
        <f>ROUND(INDEX(持仓数据!$C$3:$AG$26,MATCH('计算过程-数据汇总'!B215,持仓数据!$B$3:$B$26,0),MATCH('计算过程-数据汇总'!A215,'维护-日期'!$B$2:$AF$2,0)),3)</f>
        <v>22.594000000000001</v>
      </c>
      <c r="E215" s="98">
        <f t="shared" si="111"/>
        <v>22.594000000000001</v>
      </c>
      <c r="F215" s="22">
        <f>持仓数据!K93</f>
        <v>0.95199999999999996</v>
      </c>
      <c r="G215" s="97">
        <v>372</v>
      </c>
      <c r="H215" s="97">
        <v>372</v>
      </c>
      <c r="I215" s="64">
        <v>0</v>
      </c>
      <c r="J215" s="64">
        <v>0</v>
      </c>
      <c r="K215" s="21">
        <f>IF(持仓数据!K126="",0,持仓数据!K126)</f>
        <v>372</v>
      </c>
      <c r="L215" s="21">
        <f t="shared" si="112"/>
        <v>0</v>
      </c>
      <c r="M215" s="28">
        <f t="shared" si="96"/>
        <v>8404.9680000000008</v>
      </c>
      <c r="N215" s="28">
        <f t="shared" si="97"/>
        <v>0</v>
      </c>
      <c r="O215" s="28">
        <f t="shared" si="98"/>
        <v>0</v>
      </c>
      <c r="P215" s="28">
        <f t="shared" si="99"/>
        <v>0</v>
      </c>
      <c r="Q215" s="28">
        <f t="shared" si="113"/>
        <v>0</v>
      </c>
      <c r="R215" s="28">
        <f t="shared" si="100"/>
        <v>8404.9680000000008</v>
      </c>
      <c r="S215" s="28">
        <f t="shared" si="114"/>
        <v>0</v>
      </c>
      <c r="T215" s="28">
        <f t="shared" si="115"/>
        <v>0</v>
      </c>
      <c r="U215" s="28">
        <f t="shared" si="118"/>
        <v>0</v>
      </c>
      <c r="V215" s="28">
        <f t="shared" si="116"/>
        <v>0</v>
      </c>
      <c r="W215" s="118"/>
      <c r="X215" s="143">
        <f t="shared" si="117"/>
        <v>26.161000000000001</v>
      </c>
      <c r="Y215" s="121">
        <f>交易记录!L26</f>
        <v>0.95199999999999996</v>
      </c>
      <c r="Z215" s="121">
        <f>交易记录!L57</f>
        <v>372</v>
      </c>
      <c r="AA215" s="30">
        <f t="shared" si="101"/>
        <v>0</v>
      </c>
      <c r="AB215" s="124">
        <f>交易记录!L90</f>
        <v>0</v>
      </c>
      <c r="AC215" s="124">
        <f>交易记录!L121</f>
        <v>0</v>
      </c>
      <c r="AD215" s="30">
        <f t="shared" si="124"/>
        <v>0</v>
      </c>
      <c r="AE215" s="121">
        <f>交易记录!L154</f>
        <v>0</v>
      </c>
      <c r="AF215" s="121">
        <f>交易记录!L185</f>
        <v>0</v>
      </c>
      <c r="AG215" s="30">
        <f t="shared" si="120"/>
        <v>0</v>
      </c>
      <c r="AH215" s="124">
        <f>交易记录!L218</f>
        <v>0</v>
      </c>
      <c r="AI215" s="124">
        <f>交易记录!L249</f>
        <v>0</v>
      </c>
      <c r="AJ215" s="30">
        <f t="shared" si="123"/>
        <v>0</v>
      </c>
      <c r="AK215" s="121">
        <f>交易记录!L282</f>
        <v>0</v>
      </c>
      <c r="AL215" s="121">
        <f>交易记录!L313</f>
        <v>0</v>
      </c>
      <c r="AM215" s="30">
        <f t="shared" si="122"/>
        <v>0</v>
      </c>
      <c r="AN215" s="124">
        <f>交易记录!L346</f>
        <v>0</v>
      </c>
      <c r="AO215" s="124">
        <f>交易记录!L377</f>
        <v>0</v>
      </c>
      <c r="AP215" s="30">
        <f t="shared" si="119"/>
        <v>0</v>
      </c>
      <c r="AQ215" s="121">
        <f>交易记录!L410</f>
        <v>0</v>
      </c>
      <c r="AR215" s="121">
        <f>交易记录!L441</f>
        <v>0</v>
      </c>
      <c r="AS215" s="30">
        <f t="shared" si="121"/>
        <v>0</v>
      </c>
      <c r="AT215" s="124">
        <f>交易记录!L474</f>
        <v>0</v>
      </c>
      <c r="AU215" s="124">
        <f>交易记录!L505</f>
        <v>0</v>
      </c>
      <c r="AV215" s="30">
        <f t="shared" si="102"/>
        <v>0</v>
      </c>
      <c r="AW215" s="121">
        <f>交易记录!L538</f>
        <v>0</v>
      </c>
      <c r="AX215" s="121">
        <f>交易记录!L569</f>
        <v>0</v>
      </c>
      <c r="AY215" s="30">
        <f t="shared" si="103"/>
        <v>0</v>
      </c>
      <c r="AZ215" s="124">
        <f>交易记录!L602</f>
        <v>0</v>
      </c>
      <c r="BA215" s="124">
        <f>交易记录!L633</f>
        <v>0</v>
      </c>
      <c r="BB215" s="30">
        <f t="shared" si="104"/>
        <v>0</v>
      </c>
      <c r="BC215" s="121">
        <f>交易记录!L666</f>
        <v>0</v>
      </c>
      <c r="BD215" s="121">
        <f>交易记录!L697</f>
        <v>0</v>
      </c>
      <c r="BE215" s="30">
        <f t="shared" si="105"/>
        <v>0</v>
      </c>
      <c r="BF215" s="124">
        <f>交易记录!L730</f>
        <v>0</v>
      </c>
      <c r="BG215" s="124">
        <f>交易记录!L761</f>
        <v>0</v>
      </c>
      <c r="BH215" s="30">
        <f t="shared" si="106"/>
        <v>0</v>
      </c>
      <c r="BI215" s="121">
        <f>交易记录!L794</f>
        <v>0</v>
      </c>
      <c r="BJ215" s="121">
        <f>交易记录!L825</f>
        <v>0</v>
      </c>
      <c r="BK215" s="30">
        <f t="shared" si="107"/>
        <v>0</v>
      </c>
      <c r="BL215" s="124">
        <f>交易记录!L858</f>
        <v>0</v>
      </c>
      <c r="BM215" s="124">
        <f>交易记录!L889</f>
        <v>0</v>
      </c>
      <c r="BN215" s="30">
        <f t="shared" si="108"/>
        <v>0</v>
      </c>
      <c r="BO215" s="121">
        <f>交易记录!L922</f>
        <v>0</v>
      </c>
      <c r="BP215" s="121">
        <f>交易记录!L953</f>
        <v>0</v>
      </c>
      <c r="BQ215" s="30">
        <f t="shared" si="109"/>
        <v>0</v>
      </c>
    </row>
    <row r="216" spans="1:69" ht="15">
      <c r="A216" s="125">
        <f>'维护-日期'!A$11</f>
        <v>46274</v>
      </c>
      <c r="B216" s="7" t="s">
        <v>28</v>
      </c>
      <c r="C216" s="144">
        <f t="shared" si="110"/>
        <v>19.387</v>
      </c>
      <c r="D216" s="144">
        <f>ROUND(INDEX(持仓数据!$C$3:$AG$26,MATCH('计算过程-数据汇总'!B216,持仓数据!$B$3:$B$26,0),MATCH('计算过程-数据汇总'!A216,'维护-日期'!$B$2:$AF$2,0)),3)</f>
        <v>19.387</v>
      </c>
      <c r="E216" s="98">
        <f t="shared" si="111"/>
        <v>19.387</v>
      </c>
      <c r="F216" s="22">
        <f>持仓数据!K94</f>
        <v>0.84300000000000008</v>
      </c>
      <c r="G216" s="97">
        <v>372</v>
      </c>
      <c r="H216" s="97">
        <v>372</v>
      </c>
      <c r="I216" s="64">
        <v>0</v>
      </c>
      <c r="J216" s="64">
        <v>0</v>
      </c>
      <c r="K216" s="21">
        <f>IF(持仓数据!K127="",0,持仓数据!K127)</f>
        <v>371.99999999999994</v>
      </c>
      <c r="L216" s="21">
        <f t="shared" si="112"/>
        <v>0</v>
      </c>
      <c r="M216" s="28">
        <f t="shared" si="96"/>
        <v>7211.9639999999999</v>
      </c>
      <c r="N216" s="28">
        <f t="shared" si="97"/>
        <v>0</v>
      </c>
      <c r="O216" s="28">
        <f t="shared" si="98"/>
        <v>0</v>
      </c>
      <c r="P216" s="28">
        <f t="shared" si="99"/>
        <v>-4.7919002099661161E-14</v>
      </c>
      <c r="Q216" s="28">
        <f t="shared" si="113"/>
        <v>0</v>
      </c>
      <c r="R216" s="28">
        <f t="shared" si="100"/>
        <v>7211.963999999999</v>
      </c>
      <c r="S216" s="28">
        <f t="shared" si="114"/>
        <v>0</v>
      </c>
      <c r="T216" s="28">
        <f t="shared" si="115"/>
        <v>1.0541043593548239E-12</v>
      </c>
      <c r="U216" s="28">
        <f t="shared" si="118"/>
        <v>0</v>
      </c>
      <c r="V216" s="28">
        <f t="shared" si="116"/>
        <v>0</v>
      </c>
      <c r="W216" s="118"/>
      <c r="X216" s="143">
        <f t="shared" si="117"/>
        <v>22.420999999999999</v>
      </c>
      <c r="Y216" s="121">
        <f>交易记录!L27</f>
        <v>0.84300000000000008</v>
      </c>
      <c r="Z216" s="121">
        <f>交易记录!L58</f>
        <v>372</v>
      </c>
      <c r="AA216" s="30">
        <f t="shared" si="101"/>
        <v>0</v>
      </c>
      <c r="AB216" s="124">
        <f>交易记录!L91</f>
        <v>0</v>
      </c>
      <c r="AC216" s="124">
        <f>交易记录!L122</f>
        <v>0</v>
      </c>
      <c r="AD216" s="30">
        <f t="shared" si="124"/>
        <v>0</v>
      </c>
      <c r="AE216" s="121">
        <f>交易记录!L155</f>
        <v>0</v>
      </c>
      <c r="AF216" s="121">
        <f>交易记录!L186</f>
        <v>0</v>
      </c>
      <c r="AG216" s="30">
        <f t="shared" si="120"/>
        <v>0</v>
      </c>
      <c r="AH216" s="124">
        <f>交易记录!L219</f>
        <v>0</v>
      </c>
      <c r="AI216" s="124">
        <f>交易记录!L250</f>
        <v>0</v>
      </c>
      <c r="AJ216" s="30">
        <f t="shared" si="123"/>
        <v>0</v>
      </c>
      <c r="AK216" s="121">
        <f>交易记录!L283</f>
        <v>0</v>
      </c>
      <c r="AL216" s="121">
        <f>交易记录!L314</f>
        <v>0</v>
      </c>
      <c r="AM216" s="30">
        <f t="shared" si="122"/>
        <v>0</v>
      </c>
      <c r="AN216" s="124">
        <f>交易记录!L347</f>
        <v>0</v>
      </c>
      <c r="AO216" s="124">
        <f>交易记录!L378</f>
        <v>0</v>
      </c>
      <c r="AP216" s="30">
        <f t="shared" si="119"/>
        <v>0</v>
      </c>
      <c r="AQ216" s="121">
        <f>交易记录!L411</f>
        <v>0</v>
      </c>
      <c r="AR216" s="121">
        <f>交易记录!L442</f>
        <v>0</v>
      </c>
      <c r="AS216" s="30">
        <f t="shared" si="121"/>
        <v>0</v>
      </c>
      <c r="AT216" s="124">
        <f>交易记录!L475</f>
        <v>0</v>
      </c>
      <c r="AU216" s="124">
        <f>交易记录!L506</f>
        <v>0</v>
      </c>
      <c r="AV216" s="30">
        <f t="shared" si="102"/>
        <v>0</v>
      </c>
      <c r="AW216" s="121">
        <f>交易记录!L539</f>
        <v>0</v>
      </c>
      <c r="AX216" s="121">
        <f>交易记录!L570</f>
        <v>0</v>
      </c>
      <c r="AY216" s="30">
        <f t="shared" si="103"/>
        <v>0</v>
      </c>
      <c r="AZ216" s="124">
        <f>交易记录!L603</f>
        <v>0</v>
      </c>
      <c r="BA216" s="124">
        <f>交易记录!L634</f>
        <v>0</v>
      </c>
      <c r="BB216" s="30">
        <f t="shared" si="104"/>
        <v>0</v>
      </c>
      <c r="BC216" s="121">
        <f>交易记录!L667</f>
        <v>0</v>
      </c>
      <c r="BD216" s="121">
        <f>交易记录!L698</f>
        <v>0</v>
      </c>
      <c r="BE216" s="30">
        <f t="shared" si="105"/>
        <v>0</v>
      </c>
      <c r="BF216" s="124">
        <f>交易记录!L731</f>
        <v>0</v>
      </c>
      <c r="BG216" s="124">
        <f>交易记录!L762</f>
        <v>0</v>
      </c>
      <c r="BH216" s="30">
        <f t="shared" si="106"/>
        <v>0</v>
      </c>
      <c r="BI216" s="121">
        <f>交易记录!L795</f>
        <v>0</v>
      </c>
      <c r="BJ216" s="121">
        <f>交易记录!L826</f>
        <v>0</v>
      </c>
      <c r="BK216" s="30">
        <f t="shared" si="107"/>
        <v>0</v>
      </c>
      <c r="BL216" s="124">
        <f>交易记录!L859</f>
        <v>0</v>
      </c>
      <c r="BM216" s="124">
        <f>交易记录!L890</f>
        <v>0</v>
      </c>
      <c r="BN216" s="30">
        <f t="shared" si="108"/>
        <v>0</v>
      </c>
      <c r="BO216" s="121">
        <f>交易记录!L923</f>
        <v>0</v>
      </c>
      <c r="BP216" s="121">
        <f>交易记录!L954</f>
        <v>0</v>
      </c>
      <c r="BQ216" s="30">
        <f t="shared" si="109"/>
        <v>0</v>
      </c>
    </row>
    <row r="217" spans="1:69" ht="15">
      <c r="A217" s="125">
        <f>'维护-日期'!A$11</f>
        <v>46274</v>
      </c>
      <c r="B217" s="7" t="s">
        <v>29</v>
      </c>
      <c r="C217" s="144">
        <f t="shared" si="110"/>
        <v>16.963000000000001</v>
      </c>
      <c r="D217" s="144">
        <f>ROUND(INDEX(持仓数据!$C$3:$AG$26,MATCH('计算过程-数据汇总'!B217,持仓数据!$B$3:$B$26,0),MATCH('计算过程-数据汇总'!A217,'维护-日期'!$B$2:$AF$2,0)),3)</f>
        <v>16.963000000000001</v>
      </c>
      <c r="E217" s="98">
        <f t="shared" si="111"/>
        <v>16.963000000000001</v>
      </c>
      <c r="F217" s="22">
        <f>持仓数据!K95</f>
        <v>0.33299999999999996</v>
      </c>
      <c r="G217" s="97">
        <v>372</v>
      </c>
      <c r="H217" s="97">
        <v>372</v>
      </c>
      <c r="I217" s="64">
        <v>0</v>
      </c>
      <c r="J217" s="64">
        <v>0</v>
      </c>
      <c r="K217" s="21">
        <f>IF(持仓数据!K128="",0,持仓数据!K128)</f>
        <v>372</v>
      </c>
      <c r="L217" s="21">
        <f t="shared" si="112"/>
        <v>0</v>
      </c>
      <c r="M217" s="28">
        <f t="shared" si="96"/>
        <v>6310.2360000000008</v>
      </c>
      <c r="N217" s="28">
        <f t="shared" si="97"/>
        <v>0</v>
      </c>
      <c r="O217" s="28">
        <f t="shared" si="98"/>
        <v>0</v>
      </c>
      <c r="P217" s="28">
        <f t="shared" si="99"/>
        <v>0</v>
      </c>
      <c r="Q217" s="28">
        <f t="shared" si="113"/>
        <v>0</v>
      </c>
      <c r="R217" s="28">
        <f t="shared" si="100"/>
        <v>6310.2360000000008</v>
      </c>
      <c r="S217" s="28">
        <f t="shared" si="114"/>
        <v>0</v>
      </c>
      <c r="T217" s="28">
        <f t="shared" si="115"/>
        <v>0</v>
      </c>
      <c r="U217" s="28">
        <f t="shared" si="118"/>
        <v>0</v>
      </c>
      <c r="V217" s="28">
        <f t="shared" si="116"/>
        <v>0</v>
      </c>
      <c r="W217" s="118"/>
      <c r="X217" s="143">
        <f t="shared" si="117"/>
        <v>20.023</v>
      </c>
      <c r="Y217" s="121">
        <f>交易记录!L28</f>
        <v>0.33299999999999996</v>
      </c>
      <c r="Z217" s="121">
        <f>交易记录!L59</f>
        <v>372</v>
      </c>
      <c r="AA217" s="30">
        <f t="shared" si="101"/>
        <v>0</v>
      </c>
      <c r="AB217" s="124">
        <f>交易记录!L92</f>
        <v>0</v>
      </c>
      <c r="AC217" s="124">
        <f>交易记录!L123</f>
        <v>0</v>
      </c>
      <c r="AD217" s="30">
        <f t="shared" si="124"/>
        <v>0</v>
      </c>
      <c r="AE217" s="121">
        <f>交易记录!L156</f>
        <v>0</v>
      </c>
      <c r="AF217" s="121">
        <f>交易记录!L187</f>
        <v>0</v>
      </c>
      <c r="AG217" s="30">
        <f t="shared" si="120"/>
        <v>0</v>
      </c>
      <c r="AH217" s="124">
        <f>交易记录!L220</f>
        <v>0</v>
      </c>
      <c r="AI217" s="124">
        <f>交易记录!L251</f>
        <v>0</v>
      </c>
      <c r="AJ217" s="30">
        <f t="shared" si="123"/>
        <v>0</v>
      </c>
      <c r="AK217" s="121">
        <f>交易记录!L284</f>
        <v>0</v>
      </c>
      <c r="AL217" s="121">
        <f>交易记录!L315</f>
        <v>0</v>
      </c>
      <c r="AM217" s="30">
        <f t="shared" si="122"/>
        <v>0</v>
      </c>
      <c r="AN217" s="124">
        <f>交易记录!L348</f>
        <v>0</v>
      </c>
      <c r="AO217" s="124">
        <f>交易记录!L379</f>
        <v>0</v>
      </c>
      <c r="AP217" s="30">
        <f t="shared" si="119"/>
        <v>0</v>
      </c>
      <c r="AQ217" s="121">
        <f>交易记录!L412</f>
        <v>0</v>
      </c>
      <c r="AR217" s="121">
        <f>交易记录!L443</f>
        <v>0</v>
      </c>
      <c r="AS217" s="30">
        <f t="shared" si="121"/>
        <v>0</v>
      </c>
      <c r="AT217" s="124">
        <f>交易记录!L476</f>
        <v>0</v>
      </c>
      <c r="AU217" s="124">
        <f>交易记录!L507</f>
        <v>0</v>
      </c>
      <c r="AV217" s="30">
        <f t="shared" si="102"/>
        <v>0</v>
      </c>
      <c r="AW217" s="121">
        <f>交易记录!L540</f>
        <v>0</v>
      </c>
      <c r="AX217" s="121">
        <f>交易记录!L571</f>
        <v>0</v>
      </c>
      <c r="AY217" s="30">
        <f t="shared" si="103"/>
        <v>0</v>
      </c>
      <c r="AZ217" s="124">
        <f>交易记录!L604</f>
        <v>0</v>
      </c>
      <c r="BA217" s="124">
        <f>交易记录!L635</f>
        <v>0</v>
      </c>
      <c r="BB217" s="30">
        <f t="shared" si="104"/>
        <v>0</v>
      </c>
      <c r="BC217" s="121">
        <f>交易记录!L668</f>
        <v>0</v>
      </c>
      <c r="BD217" s="121">
        <f>交易记录!L699</f>
        <v>0</v>
      </c>
      <c r="BE217" s="30">
        <f t="shared" si="105"/>
        <v>0</v>
      </c>
      <c r="BF217" s="124">
        <f>交易记录!L732</f>
        <v>0</v>
      </c>
      <c r="BG217" s="124">
        <f>交易记录!L763</f>
        <v>0</v>
      </c>
      <c r="BH217" s="30">
        <f t="shared" si="106"/>
        <v>0</v>
      </c>
      <c r="BI217" s="121">
        <f>交易记录!L796</f>
        <v>0</v>
      </c>
      <c r="BJ217" s="121">
        <f>交易记录!L827</f>
        <v>0</v>
      </c>
      <c r="BK217" s="30">
        <f t="shared" si="107"/>
        <v>0</v>
      </c>
      <c r="BL217" s="124">
        <f>交易记录!L860</f>
        <v>0</v>
      </c>
      <c r="BM217" s="124">
        <f>交易记录!L891</f>
        <v>0</v>
      </c>
      <c r="BN217" s="30">
        <f t="shared" si="108"/>
        <v>0</v>
      </c>
      <c r="BO217" s="121">
        <f>交易记录!L924</f>
        <v>0</v>
      </c>
      <c r="BP217" s="121">
        <f>交易记录!L955</f>
        <v>0</v>
      </c>
      <c r="BQ217" s="30">
        <f t="shared" si="109"/>
        <v>0</v>
      </c>
    </row>
    <row r="218" spans="1:69" ht="15">
      <c r="A218" s="125">
        <f>'维护-日期'!A$12</f>
        <v>46275</v>
      </c>
      <c r="B218" s="7" t="s">
        <v>6</v>
      </c>
      <c r="C218" s="144">
        <f t="shared" si="110"/>
        <v>16.655999999999999</v>
      </c>
      <c r="D218" s="144">
        <f>ROUND(INDEX(持仓数据!$C$3:$AG$26,MATCH('计算过程-数据汇总'!B218,持仓数据!$B$3:$B$26,0),MATCH('计算过程-数据汇总'!A218,'维护-日期'!$B$2:$AF$2,0)),3)</f>
        <v>16.655999999999999</v>
      </c>
      <c r="E218" s="98">
        <f t="shared" si="111"/>
        <v>16.655999999999999</v>
      </c>
      <c r="F218" s="22">
        <f>持仓数据!L72</f>
        <v>0.39700000000000002</v>
      </c>
      <c r="G218" s="97">
        <v>372</v>
      </c>
      <c r="H218" s="97">
        <v>372</v>
      </c>
      <c r="I218" s="64">
        <v>0</v>
      </c>
      <c r="J218" s="64">
        <v>0</v>
      </c>
      <c r="K218" s="21">
        <f>IF(持仓数据!L105="",0,持仓数据!L105)</f>
        <v>372</v>
      </c>
      <c r="L218" s="21">
        <f t="shared" si="112"/>
        <v>0</v>
      </c>
      <c r="M218" s="28">
        <f t="shared" si="96"/>
        <v>6196.0319999999992</v>
      </c>
      <c r="N218" s="28">
        <f t="shared" si="97"/>
        <v>0</v>
      </c>
      <c r="O218" s="28">
        <f t="shared" si="98"/>
        <v>0</v>
      </c>
      <c r="P218" s="28">
        <f t="shared" si="99"/>
        <v>0</v>
      </c>
      <c r="Q218" s="28">
        <f t="shared" si="113"/>
        <v>0</v>
      </c>
      <c r="R218" s="28">
        <f t="shared" si="100"/>
        <v>6196.0319999999992</v>
      </c>
      <c r="S218" s="28">
        <f t="shared" si="114"/>
        <v>0</v>
      </c>
      <c r="T218" s="28">
        <f t="shared" si="115"/>
        <v>0</v>
      </c>
      <c r="U218" s="28">
        <f t="shared" si="118"/>
        <v>0</v>
      </c>
      <c r="V218" s="28">
        <f t="shared" si="116"/>
        <v>0</v>
      </c>
      <c r="W218" s="118"/>
      <c r="X218" s="143">
        <f t="shared" si="117"/>
        <v>19.59</v>
      </c>
      <c r="Y218" s="121">
        <f>交易记录!M5</f>
        <v>0.39700000000000002</v>
      </c>
      <c r="Z218" s="121">
        <f>交易记录!M36</f>
        <v>372</v>
      </c>
      <c r="AA218" s="30">
        <f t="shared" si="101"/>
        <v>0</v>
      </c>
      <c r="AB218" s="124">
        <f>交易记录!M69</f>
        <v>0</v>
      </c>
      <c r="AC218" s="124">
        <f>交易记录!M100</f>
        <v>0</v>
      </c>
      <c r="AD218" s="30">
        <f>IFERROR((AC218-$G218)*AB218,0)</f>
        <v>0</v>
      </c>
      <c r="AE218" s="121">
        <f>交易记录!M133</f>
        <v>0</v>
      </c>
      <c r="AF218" s="121">
        <f>交易记录!M164</f>
        <v>0</v>
      </c>
      <c r="AG218" s="30">
        <f>IFERROR((AF218-$G218)*AE218,0)</f>
        <v>0</v>
      </c>
      <c r="AH218" s="124">
        <f>交易记录!M197</f>
        <v>0</v>
      </c>
      <c r="AI218" s="124">
        <f>交易记录!M228</f>
        <v>0</v>
      </c>
      <c r="AJ218" s="30">
        <f>IFERROR((AI218-$G218)*AH218,0)</f>
        <v>0</v>
      </c>
      <c r="AK218" s="121">
        <f>交易记录!M261</f>
        <v>0</v>
      </c>
      <c r="AL218" s="121">
        <f>交易记录!M292</f>
        <v>0</v>
      </c>
      <c r="AM218" s="30">
        <f>IFERROR((AL218-$G218)*AK218,0)</f>
        <v>0</v>
      </c>
      <c r="AN218" s="124">
        <f>交易记录!M325</f>
        <v>0</v>
      </c>
      <c r="AO218" s="124">
        <f>交易记录!M356</f>
        <v>0</v>
      </c>
      <c r="AP218" s="30">
        <f>IFERROR((AO218-$G218)*AN218,0)</f>
        <v>0</v>
      </c>
      <c r="AQ218" s="121">
        <f>交易记录!M389</f>
        <v>0</v>
      </c>
      <c r="AR218" s="121">
        <f>交易记录!M420</f>
        <v>0</v>
      </c>
      <c r="AS218" s="30">
        <f>IFERROR((AR218-$G218)*AQ218,0)</f>
        <v>0</v>
      </c>
      <c r="AT218" s="124">
        <f>交易记录!M453</f>
        <v>0</v>
      </c>
      <c r="AU218" s="124">
        <f>交易记录!M484</f>
        <v>0</v>
      </c>
      <c r="AV218" s="30">
        <f t="shared" si="102"/>
        <v>0</v>
      </c>
      <c r="AW218" s="121">
        <f>交易记录!M517</f>
        <v>0</v>
      </c>
      <c r="AX218" s="121">
        <f>交易记录!M548</f>
        <v>0</v>
      </c>
      <c r="AY218" s="30">
        <f t="shared" si="103"/>
        <v>0</v>
      </c>
      <c r="AZ218" s="124">
        <f>交易记录!M581</f>
        <v>0</v>
      </c>
      <c r="BA218" s="124">
        <f>交易记录!M612</f>
        <v>0</v>
      </c>
      <c r="BB218" s="30">
        <f t="shared" si="104"/>
        <v>0</v>
      </c>
      <c r="BC218" s="121">
        <f>交易记录!M645</f>
        <v>0</v>
      </c>
      <c r="BD218" s="121">
        <f>交易记录!M676</f>
        <v>0</v>
      </c>
      <c r="BE218" s="30">
        <f t="shared" si="105"/>
        <v>0</v>
      </c>
      <c r="BF218" s="124">
        <f>交易记录!M709</f>
        <v>0</v>
      </c>
      <c r="BG218" s="124">
        <f>交易记录!M740</f>
        <v>0</v>
      </c>
      <c r="BH218" s="30">
        <f t="shared" si="106"/>
        <v>0</v>
      </c>
      <c r="BI218" s="121">
        <f>交易记录!M773</f>
        <v>0</v>
      </c>
      <c r="BJ218" s="121">
        <f>交易记录!M804</f>
        <v>0</v>
      </c>
      <c r="BK218" s="30">
        <f t="shared" si="107"/>
        <v>0</v>
      </c>
      <c r="BL218" s="124">
        <f>交易记录!M837</f>
        <v>0</v>
      </c>
      <c r="BM218" s="124">
        <f>交易记录!M868</f>
        <v>0</v>
      </c>
      <c r="BN218" s="30">
        <f t="shared" si="108"/>
        <v>0</v>
      </c>
      <c r="BO218" s="121">
        <f>交易记录!M901</f>
        <v>0</v>
      </c>
      <c r="BP218" s="121">
        <f>交易记录!M932</f>
        <v>0</v>
      </c>
      <c r="BQ218" s="30">
        <f t="shared" si="109"/>
        <v>0</v>
      </c>
    </row>
    <row r="219" spans="1:69" ht="15">
      <c r="A219" s="125">
        <f>'维护-日期'!A$12</f>
        <v>46275</v>
      </c>
      <c r="B219" s="7" t="s">
        <v>7</v>
      </c>
      <c r="C219" s="144">
        <f t="shared" si="110"/>
        <v>15.792</v>
      </c>
      <c r="D219" s="144">
        <f>ROUND(INDEX(持仓数据!$C$3:$AG$26,MATCH('计算过程-数据汇总'!B219,持仓数据!$B$3:$B$26,0),MATCH('计算过程-数据汇总'!A219,'维护-日期'!$B$2:$AF$2,0)),3)</f>
        <v>15.792</v>
      </c>
      <c r="E219" s="98">
        <f t="shared" si="111"/>
        <v>15.792</v>
      </c>
      <c r="F219" s="22">
        <f>持仓数据!L73</f>
        <v>0.26500000000000001</v>
      </c>
      <c r="G219" s="97">
        <v>372</v>
      </c>
      <c r="H219" s="97">
        <v>372</v>
      </c>
      <c r="I219" s="64">
        <v>0</v>
      </c>
      <c r="J219" s="64">
        <v>0</v>
      </c>
      <c r="K219" s="21">
        <f>IF(持仓数据!L106="",0,持仓数据!L106)</f>
        <v>372</v>
      </c>
      <c r="L219" s="21">
        <f t="shared" si="112"/>
        <v>0</v>
      </c>
      <c r="M219" s="28">
        <f t="shared" si="96"/>
        <v>5874.6239999999998</v>
      </c>
      <c r="N219" s="28">
        <f t="shared" si="97"/>
        <v>0</v>
      </c>
      <c r="O219" s="28">
        <f t="shared" si="98"/>
        <v>0</v>
      </c>
      <c r="P219" s="28">
        <f t="shared" si="99"/>
        <v>0</v>
      </c>
      <c r="Q219" s="28">
        <f t="shared" si="113"/>
        <v>0</v>
      </c>
      <c r="R219" s="28">
        <f t="shared" si="100"/>
        <v>5874.6239999999998</v>
      </c>
      <c r="S219" s="28">
        <f t="shared" si="114"/>
        <v>0</v>
      </c>
      <c r="T219" s="28">
        <f t="shared" si="115"/>
        <v>0</v>
      </c>
      <c r="U219" s="28">
        <f t="shared" si="118"/>
        <v>0</v>
      </c>
      <c r="V219" s="28">
        <f t="shared" si="116"/>
        <v>0</v>
      </c>
      <c r="W219" s="118"/>
      <c r="X219" s="143">
        <f t="shared" si="117"/>
        <v>18.684999999999999</v>
      </c>
      <c r="Y219" s="121">
        <f>交易记录!M6</f>
        <v>0.26500000000000001</v>
      </c>
      <c r="Z219" s="121">
        <f>交易记录!M37</f>
        <v>372</v>
      </c>
      <c r="AA219" s="30">
        <f t="shared" si="101"/>
        <v>0</v>
      </c>
      <c r="AB219" s="124">
        <f>交易记录!M70</f>
        <v>0</v>
      </c>
      <c r="AC219" s="124">
        <f>交易记录!M101</f>
        <v>0</v>
      </c>
      <c r="AD219" s="30">
        <f t="shared" ref="AD219:AD282" si="125">IFERROR((AC219-$G219)*AB219,0)</f>
        <v>0</v>
      </c>
      <c r="AE219" s="121">
        <f>交易记录!M134</f>
        <v>0</v>
      </c>
      <c r="AF219" s="121">
        <f>交易记录!M165</f>
        <v>0</v>
      </c>
      <c r="AG219" s="30">
        <f t="shared" ref="AG219:AG282" si="126">IFERROR((AF219-$G219)*AE219,0)</f>
        <v>0</v>
      </c>
      <c r="AH219" s="124">
        <f>交易记录!M198</f>
        <v>0</v>
      </c>
      <c r="AI219" s="124">
        <f>交易记录!M229</f>
        <v>0</v>
      </c>
      <c r="AJ219" s="30">
        <f t="shared" ref="AJ219:AJ282" si="127">IFERROR((AI219-$G219)*AH219,0)</f>
        <v>0</v>
      </c>
      <c r="AK219" s="121">
        <f>交易记录!M262</f>
        <v>0</v>
      </c>
      <c r="AL219" s="121">
        <f>交易记录!M293</f>
        <v>0</v>
      </c>
      <c r="AM219" s="30">
        <f t="shared" ref="AM219:AM282" si="128">IFERROR((AL219-$G219)*AK219,0)</f>
        <v>0</v>
      </c>
      <c r="AN219" s="124">
        <f>交易记录!M326</f>
        <v>0</v>
      </c>
      <c r="AO219" s="124">
        <f>交易记录!M357</f>
        <v>0</v>
      </c>
      <c r="AP219" s="30">
        <f t="shared" ref="AP219:AP282" si="129">IFERROR((AO219-$G219)*AN219,0)</f>
        <v>0</v>
      </c>
      <c r="AQ219" s="121">
        <f>交易记录!M390</f>
        <v>0</v>
      </c>
      <c r="AR219" s="121">
        <f>交易记录!M421</f>
        <v>0</v>
      </c>
      <c r="AS219" s="30">
        <f t="shared" ref="AS219:AS282" si="130">IFERROR((AR219-$G219)*AQ219,0)</f>
        <v>0</v>
      </c>
      <c r="AT219" s="124">
        <f>交易记录!M454</f>
        <v>0</v>
      </c>
      <c r="AU219" s="124">
        <f>交易记录!M485</f>
        <v>0</v>
      </c>
      <c r="AV219" s="30">
        <f t="shared" si="102"/>
        <v>0</v>
      </c>
      <c r="AW219" s="121">
        <f>交易记录!M518</f>
        <v>0</v>
      </c>
      <c r="AX219" s="121">
        <f>交易记录!M549</f>
        <v>0</v>
      </c>
      <c r="AY219" s="30">
        <f t="shared" si="103"/>
        <v>0</v>
      </c>
      <c r="AZ219" s="124">
        <f>交易记录!M582</f>
        <v>0</v>
      </c>
      <c r="BA219" s="124">
        <f>交易记录!M613</f>
        <v>0</v>
      </c>
      <c r="BB219" s="30">
        <f t="shared" si="104"/>
        <v>0</v>
      </c>
      <c r="BC219" s="121">
        <f>交易记录!M646</f>
        <v>0</v>
      </c>
      <c r="BD219" s="121">
        <f>交易记录!M677</f>
        <v>0</v>
      </c>
      <c r="BE219" s="30">
        <f t="shared" si="105"/>
        <v>0</v>
      </c>
      <c r="BF219" s="124">
        <f>交易记录!M710</f>
        <v>0</v>
      </c>
      <c r="BG219" s="124">
        <f>交易记录!M741</f>
        <v>0</v>
      </c>
      <c r="BH219" s="30">
        <f t="shared" si="106"/>
        <v>0</v>
      </c>
      <c r="BI219" s="121">
        <f>交易记录!M774</f>
        <v>0</v>
      </c>
      <c r="BJ219" s="121">
        <f>交易记录!M805</f>
        <v>0</v>
      </c>
      <c r="BK219" s="30">
        <f t="shared" si="107"/>
        <v>0</v>
      </c>
      <c r="BL219" s="124">
        <f>交易记录!M838</f>
        <v>0</v>
      </c>
      <c r="BM219" s="124">
        <f>交易记录!M869</f>
        <v>0</v>
      </c>
      <c r="BN219" s="30">
        <f t="shared" si="108"/>
        <v>0</v>
      </c>
      <c r="BO219" s="121">
        <f>交易记录!M902</f>
        <v>0</v>
      </c>
      <c r="BP219" s="121">
        <f>交易记录!M933</f>
        <v>0</v>
      </c>
      <c r="BQ219" s="30">
        <f t="shared" si="109"/>
        <v>0</v>
      </c>
    </row>
    <row r="220" spans="1:69" ht="15">
      <c r="A220" s="125">
        <f>'维护-日期'!A$12</f>
        <v>46275</v>
      </c>
      <c r="B220" s="7" t="s">
        <v>8</v>
      </c>
      <c r="C220" s="144">
        <f t="shared" si="110"/>
        <v>14.821999999999999</v>
      </c>
      <c r="D220" s="144">
        <f>ROUND(INDEX(持仓数据!$C$3:$AG$26,MATCH('计算过程-数据汇总'!B220,持仓数据!$B$3:$B$26,0),MATCH('计算过程-数据汇总'!A220,'维护-日期'!$B$2:$AF$2,0)),3)</f>
        <v>14.821999999999999</v>
      </c>
      <c r="E220" s="98">
        <f t="shared" si="111"/>
        <v>14.821999999999999</v>
      </c>
      <c r="F220" s="22">
        <f>持仓数据!L74</f>
        <v>0.24199999999999999</v>
      </c>
      <c r="G220" s="97">
        <v>372</v>
      </c>
      <c r="H220" s="97">
        <v>372</v>
      </c>
      <c r="I220" s="64">
        <v>0</v>
      </c>
      <c r="J220" s="64">
        <v>0</v>
      </c>
      <c r="K220" s="21">
        <f>IF(持仓数据!L107="",0,持仓数据!L107)</f>
        <v>372</v>
      </c>
      <c r="L220" s="21">
        <f t="shared" si="112"/>
        <v>0</v>
      </c>
      <c r="M220" s="28">
        <f t="shared" si="96"/>
        <v>5513.7839999999997</v>
      </c>
      <c r="N220" s="28">
        <f t="shared" si="97"/>
        <v>0</v>
      </c>
      <c r="O220" s="28">
        <f t="shared" si="98"/>
        <v>0</v>
      </c>
      <c r="P220" s="28">
        <f t="shared" si="99"/>
        <v>0</v>
      </c>
      <c r="Q220" s="28">
        <f t="shared" si="113"/>
        <v>0</v>
      </c>
      <c r="R220" s="28">
        <f t="shared" si="100"/>
        <v>5513.7839999999997</v>
      </c>
      <c r="S220" s="28">
        <f t="shared" si="114"/>
        <v>0</v>
      </c>
      <c r="T220" s="28">
        <f t="shared" si="115"/>
        <v>0</v>
      </c>
      <c r="U220" s="28">
        <f t="shared" si="118"/>
        <v>0</v>
      </c>
      <c r="V220" s="28">
        <f t="shared" si="116"/>
        <v>0</v>
      </c>
      <c r="W220" s="118"/>
      <c r="X220" s="143">
        <f t="shared" si="117"/>
        <v>17.544</v>
      </c>
      <c r="Y220" s="121">
        <f>交易记录!M7</f>
        <v>0.24199999999999999</v>
      </c>
      <c r="Z220" s="121">
        <f>交易记录!M38</f>
        <v>372</v>
      </c>
      <c r="AA220" s="30">
        <f t="shared" si="101"/>
        <v>0</v>
      </c>
      <c r="AB220" s="124">
        <f>交易记录!M71</f>
        <v>0</v>
      </c>
      <c r="AC220" s="124">
        <f>交易记录!M102</f>
        <v>0</v>
      </c>
      <c r="AD220" s="30">
        <f t="shared" si="125"/>
        <v>0</v>
      </c>
      <c r="AE220" s="121">
        <f>交易记录!M135</f>
        <v>0</v>
      </c>
      <c r="AF220" s="121">
        <f>交易记录!M166</f>
        <v>0</v>
      </c>
      <c r="AG220" s="30">
        <f t="shared" si="126"/>
        <v>0</v>
      </c>
      <c r="AH220" s="124">
        <f>交易记录!M199</f>
        <v>0</v>
      </c>
      <c r="AI220" s="124">
        <f>交易记录!M230</f>
        <v>0</v>
      </c>
      <c r="AJ220" s="30">
        <f t="shared" si="127"/>
        <v>0</v>
      </c>
      <c r="AK220" s="121">
        <f>交易记录!M263</f>
        <v>0</v>
      </c>
      <c r="AL220" s="121">
        <f>交易记录!M294</f>
        <v>0</v>
      </c>
      <c r="AM220" s="30">
        <f t="shared" si="128"/>
        <v>0</v>
      </c>
      <c r="AN220" s="124">
        <f>交易记录!M327</f>
        <v>0</v>
      </c>
      <c r="AO220" s="124">
        <f>交易记录!M358</f>
        <v>0</v>
      </c>
      <c r="AP220" s="30">
        <f t="shared" si="129"/>
        <v>0</v>
      </c>
      <c r="AQ220" s="121">
        <f>交易记录!M391</f>
        <v>0</v>
      </c>
      <c r="AR220" s="121">
        <f>交易记录!M422</f>
        <v>0</v>
      </c>
      <c r="AS220" s="30">
        <f t="shared" si="130"/>
        <v>0</v>
      </c>
      <c r="AT220" s="124">
        <f>交易记录!M455</f>
        <v>0</v>
      </c>
      <c r="AU220" s="124">
        <f>交易记录!M486</f>
        <v>0</v>
      </c>
      <c r="AV220" s="30">
        <f t="shared" si="102"/>
        <v>0</v>
      </c>
      <c r="AW220" s="121">
        <f>交易记录!M519</f>
        <v>0</v>
      </c>
      <c r="AX220" s="121">
        <f>交易记录!M550</f>
        <v>0</v>
      </c>
      <c r="AY220" s="30">
        <f t="shared" si="103"/>
        <v>0</v>
      </c>
      <c r="AZ220" s="124">
        <f>交易记录!M583</f>
        <v>0</v>
      </c>
      <c r="BA220" s="124">
        <f>交易记录!M614</f>
        <v>0</v>
      </c>
      <c r="BB220" s="30">
        <f t="shared" si="104"/>
        <v>0</v>
      </c>
      <c r="BC220" s="121">
        <f>交易记录!M647</f>
        <v>0</v>
      </c>
      <c r="BD220" s="121">
        <f>交易记录!M678</f>
        <v>0</v>
      </c>
      <c r="BE220" s="30">
        <f t="shared" si="105"/>
        <v>0</v>
      </c>
      <c r="BF220" s="124">
        <f>交易记录!M711</f>
        <v>0</v>
      </c>
      <c r="BG220" s="124">
        <f>交易记录!M742</f>
        <v>0</v>
      </c>
      <c r="BH220" s="30">
        <f t="shared" si="106"/>
        <v>0</v>
      </c>
      <c r="BI220" s="121">
        <f>交易记录!M775</f>
        <v>0</v>
      </c>
      <c r="BJ220" s="121">
        <f>交易记录!M806</f>
        <v>0</v>
      </c>
      <c r="BK220" s="30">
        <f t="shared" si="107"/>
        <v>0</v>
      </c>
      <c r="BL220" s="124">
        <f>交易记录!M839</f>
        <v>0</v>
      </c>
      <c r="BM220" s="124">
        <f>交易记录!M870</f>
        <v>0</v>
      </c>
      <c r="BN220" s="30">
        <f t="shared" si="108"/>
        <v>0</v>
      </c>
      <c r="BO220" s="121">
        <f>交易记录!M903</f>
        <v>0</v>
      </c>
      <c r="BP220" s="121">
        <f>交易记录!M934</f>
        <v>0</v>
      </c>
      <c r="BQ220" s="30">
        <f t="shared" si="109"/>
        <v>0</v>
      </c>
    </row>
    <row r="221" spans="1:69" ht="15">
      <c r="A221" s="125">
        <f>'维护-日期'!A$12</f>
        <v>46275</v>
      </c>
      <c r="B221" s="7" t="s">
        <v>9</v>
      </c>
      <c r="C221" s="144">
        <f t="shared" si="110"/>
        <v>13.817</v>
      </c>
      <c r="D221" s="144">
        <f>ROUND(INDEX(持仓数据!$C$3:$AG$26,MATCH('计算过程-数据汇总'!B221,持仓数据!$B$3:$B$26,0),MATCH('计算过程-数据汇总'!A221,'维护-日期'!$B$2:$AF$2,0)),3)</f>
        <v>13.817</v>
      </c>
      <c r="E221" s="98">
        <f t="shared" si="111"/>
        <v>13.817</v>
      </c>
      <c r="F221" s="22">
        <f>持仓数据!L75</f>
        <v>0.09</v>
      </c>
      <c r="G221" s="97">
        <v>372</v>
      </c>
      <c r="H221" s="97">
        <v>372</v>
      </c>
      <c r="I221" s="64">
        <v>0</v>
      </c>
      <c r="J221" s="64">
        <v>0</v>
      </c>
      <c r="K221" s="21">
        <f>IF(持仓数据!L108="",0,持仓数据!L108)</f>
        <v>372</v>
      </c>
      <c r="L221" s="21">
        <f t="shared" si="112"/>
        <v>0</v>
      </c>
      <c r="M221" s="28">
        <f t="shared" si="96"/>
        <v>5139.924</v>
      </c>
      <c r="N221" s="28">
        <f t="shared" si="97"/>
        <v>0</v>
      </c>
      <c r="O221" s="28">
        <f t="shared" si="98"/>
        <v>0</v>
      </c>
      <c r="P221" s="28">
        <f t="shared" si="99"/>
        <v>0</v>
      </c>
      <c r="Q221" s="28">
        <f t="shared" si="113"/>
        <v>0</v>
      </c>
      <c r="R221" s="28">
        <f t="shared" si="100"/>
        <v>5139.924</v>
      </c>
      <c r="S221" s="28">
        <f t="shared" si="114"/>
        <v>0</v>
      </c>
      <c r="T221" s="28">
        <f t="shared" si="115"/>
        <v>0</v>
      </c>
      <c r="U221" s="28">
        <f t="shared" si="118"/>
        <v>0</v>
      </c>
      <c r="V221" s="28">
        <f t="shared" si="116"/>
        <v>0</v>
      </c>
      <c r="W221" s="118"/>
      <c r="X221" s="143">
        <f t="shared" si="117"/>
        <v>16.489999999999998</v>
      </c>
      <c r="Y221" s="121">
        <f>交易记录!M8</f>
        <v>0.09</v>
      </c>
      <c r="Z221" s="121">
        <f>交易记录!M39</f>
        <v>372</v>
      </c>
      <c r="AA221" s="30">
        <f t="shared" si="101"/>
        <v>0</v>
      </c>
      <c r="AB221" s="124">
        <f>交易记录!M72</f>
        <v>0</v>
      </c>
      <c r="AC221" s="124">
        <f>交易记录!M103</f>
        <v>0</v>
      </c>
      <c r="AD221" s="30">
        <f t="shared" si="125"/>
        <v>0</v>
      </c>
      <c r="AE221" s="121">
        <f>交易记录!M136</f>
        <v>0</v>
      </c>
      <c r="AF221" s="121">
        <f>交易记录!M167</f>
        <v>0</v>
      </c>
      <c r="AG221" s="30">
        <f t="shared" si="126"/>
        <v>0</v>
      </c>
      <c r="AH221" s="124">
        <f>交易记录!M200</f>
        <v>0</v>
      </c>
      <c r="AI221" s="124">
        <f>交易记录!M231</f>
        <v>0</v>
      </c>
      <c r="AJ221" s="30">
        <f t="shared" si="127"/>
        <v>0</v>
      </c>
      <c r="AK221" s="121">
        <f>交易记录!M264</f>
        <v>0</v>
      </c>
      <c r="AL221" s="121">
        <f>交易记录!M295</f>
        <v>0</v>
      </c>
      <c r="AM221" s="30">
        <f t="shared" si="128"/>
        <v>0</v>
      </c>
      <c r="AN221" s="124">
        <f>交易记录!M328</f>
        <v>0</v>
      </c>
      <c r="AO221" s="124">
        <f>交易记录!M359</f>
        <v>0</v>
      </c>
      <c r="AP221" s="30">
        <f t="shared" si="129"/>
        <v>0</v>
      </c>
      <c r="AQ221" s="121">
        <f>交易记录!M392</f>
        <v>0</v>
      </c>
      <c r="AR221" s="121">
        <f>交易记录!M423</f>
        <v>0</v>
      </c>
      <c r="AS221" s="30">
        <f t="shared" si="130"/>
        <v>0</v>
      </c>
      <c r="AT221" s="124">
        <f>交易记录!M456</f>
        <v>0</v>
      </c>
      <c r="AU221" s="124">
        <f>交易记录!M487</f>
        <v>0</v>
      </c>
      <c r="AV221" s="30">
        <f t="shared" si="102"/>
        <v>0</v>
      </c>
      <c r="AW221" s="121">
        <f>交易记录!M520</f>
        <v>0</v>
      </c>
      <c r="AX221" s="121">
        <f>交易记录!M551</f>
        <v>0</v>
      </c>
      <c r="AY221" s="30">
        <f t="shared" si="103"/>
        <v>0</v>
      </c>
      <c r="AZ221" s="124">
        <f>交易记录!M584</f>
        <v>0</v>
      </c>
      <c r="BA221" s="124">
        <f>交易记录!M615</f>
        <v>0</v>
      </c>
      <c r="BB221" s="30">
        <f t="shared" si="104"/>
        <v>0</v>
      </c>
      <c r="BC221" s="121">
        <f>交易记录!M648</f>
        <v>0</v>
      </c>
      <c r="BD221" s="121">
        <f>交易记录!M679</f>
        <v>0</v>
      </c>
      <c r="BE221" s="30">
        <f t="shared" si="105"/>
        <v>0</v>
      </c>
      <c r="BF221" s="124">
        <f>交易记录!M712</f>
        <v>0</v>
      </c>
      <c r="BG221" s="124">
        <f>交易记录!M743</f>
        <v>0</v>
      </c>
      <c r="BH221" s="30">
        <f t="shared" si="106"/>
        <v>0</v>
      </c>
      <c r="BI221" s="121">
        <f>交易记录!M776</f>
        <v>0</v>
      </c>
      <c r="BJ221" s="121">
        <f>交易记录!M807</f>
        <v>0</v>
      </c>
      <c r="BK221" s="30">
        <f t="shared" si="107"/>
        <v>0</v>
      </c>
      <c r="BL221" s="124">
        <f>交易记录!M840</f>
        <v>0</v>
      </c>
      <c r="BM221" s="124">
        <f>交易记录!M871</f>
        <v>0</v>
      </c>
      <c r="BN221" s="30">
        <f t="shared" si="108"/>
        <v>0</v>
      </c>
      <c r="BO221" s="121">
        <f>交易记录!M904</f>
        <v>0</v>
      </c>
      <c r="BP221" s="121">
        <f>交易记录!M935</f>
        <v>0</v>
      </c>
      <c r="BQ221" s="30">
        <f t="shared" si="109"/>
        <v>0</v>
      </c>
    </row>
    <row r="222" spans="1:69" ht="15">
      <c r="A222" s="125">
        <f>'维护-日期'!A$12</f>
        <v>46275</v>
      </c>
      <c r="B222" s="7" t="s">
        <v>10</v>
      </c>
      <c r="C222" s="144">
        <f t="shared" si="110"/>
        <v>13.388</v>
      </c>
      <c r="D222" s="144">
        <f>ROUND(INDEX(持仓数据!$C$3:$AG$26,MATCH('计算过程-数据汇总'!B222,持仓数据!$B$3:$B$26,0),MATCH('计算过程-数据汇总'!A222,'维护-日期'!$B$2:$AF$2,0)),3)</f>
        <v>13.388</v>
      </c>
      <c r="E222" s="98">
        <f t="shared" si="111"/>
        <v>13.388</v>
      </c>
      <c r="F222" s="22">
        <f>持仓数据!L76</f>
        <v>8.6999999999999994E-2</v>
      </c>
      <c r="G222" s="97">
        <v>372</v>
      </c>
      <c r="H222" s="97">
        <v>372</v>
      </c>
      <c r="I222" s="64">
        <v>0</v>
      </c>
      <c r="J222" s="64">
        <v>0</v>
      </c>
      <c r="K222" s="21">
        <f>IF(持仓数据!L109="",0,持仓数据!L109)</f>
        <v>372</v>
      </c>
      <c r="L222" s="21">
        <f t="shared" si="112"/>
        <v>0</v>
      </c>
      <c r="M222" s="28">
        <f t="shared" si="96"/>
        <v>4980.3360000000002</v>
      </c>
      <c r="N222" s="28">
        <f t="shared" si="97"/>
        <v>0</v>
      </c>
      <c r="O222" s="28">
        <f t="shared" si="98"/>
        <v>0</v>
      </c>
      <c r="P222" s="28">
        <f t="shared" si="99"/>
        <v>0</v>
      </c>
      <c r="Q222" s="28">
        <f t="shared" si="113"/>
        <v>0</v>
      </c>
      <c r="R222" s="28">
        <f t="shared" si="100"/>
        <v>4980.3360000000002</v>
      </c>
      <c r="S222" s="28">
        <f t="shared" si="114"/>
        <v>0</v>
      </c>
      <c r="T222" s="28">
        <f t="shared" si="115"/>
        <v>0</v>
      </c>
      <c r="U222" s="28">
        <f t="shared" si="118"/>
        <v>0</v>
      </c>
      <c r="V222" s="28">
        <f t="shared" si="116"/>
        <v>0</v>
      </c>
      <c r="W222" s="118"/>
      <c r="X222" s="143">
        <f t="shared" si="117"/>
        <v>15.978999999999999</v>
      </c>
      <c r="Y222" s="121">
        <f>交易记录!M9</f>
        <v>8.6999999999999994E-2</v>
      </c>
      <c r="Z222" s="121">
        <f>交易记录!M40</f>
        <v>372</v>
      </c>
      <c r="AA222" s="30">
        <f t="shared" si="101"/>
        <v>0</v>
      </c>
      <c r="AB222" s="124">
        <f>交易记录!M73</f>
        <v>0</v>
      </c>
      <c r="AC222" s="124">
        <f>交易记录!M104</f>
        <v>0</v>
      </c>
      <c r="AD222" s="30">
        <f t="shared" si="125"/>
        <v>0</v>
      </c>
      <c r="AE222" s="121">
        <f>交易记录!M137</f>
        <v>0</v>
      </c>
      <c r="AF222" s="121">
        <f>交易记录!M168</f>
        <v>0</v>
      </c>
      <c r="AG222" s="30">
        <f t="shared" si="126"/>
        <v>0</v>
      </c>
      <c r="AH222" s="124">
        <f>交易记录!M201</f>
        <v>0</v>
      </c>
      <c r="AI222" s="124">
        <f>交易记录!M232</f>
        <v>0</v>
      </c>
      <c r="AJ222" s="30">
        <f t="shared" si="127"/>
        <v>0</v>
      </c>
      <c r="AK222" s="121">
        <f>交易记录!M265</f>
        <v>0</v>
      </c>
      <c r="AL222" s="121">
        <f>交易记录!M296</f>
        <v>0</v>
      </c>
      <c r="AM222" s="30">
        <f t="shared" si="128"/>
        <v>0</v>
      </c>
      <c r="AN222" s="124">
        <f>交易记录!M329</f>
        <v>0</v>
      </c>
      <c r="AO222" s="124">
        <f>交易记录!M360</f>
        <v>0</v>
      </c>
      <c r="AP222" s="30">
        <f t="shared" si="129"/>
        <v>0</v>
      </c>
      <c r="AQ222" s="121">
        <f>交易记录!M393</f>
        <v>0</v>
      </c>
      <c r="AR222" s="121">
        <f>交易记录!M424</f>
        <v>0</v>
      </c>
      <c r="AS222" s="30">
        <f t="shared" si="130"/>
        <v>0</v>
      </c>
      <c r="AT222" s="124">
        <f>交易记录!M457</f>
        <v>0</v>
      </c>
      <c r="AU222" s="124">
        <f>交易记录!M488</f>
        <v>0</v>
      </c>
      <c r="AV222" s="30">
        <f t="shared" si="102"/>
        <v>0</v>
      </c>
      <c r="AW222" s="121">
        <f>交易记录!M521</f>
        <v>0</v>
      </c>
      <c r="AX222" s="121">
        <f>交易记录!M552</f>
        <v>0</v>
      </c>
      <c r="AY222" s="30">
        <f t="shared" si="103"/>
        <v>0</v>
      </c>
      <c r="AZ222" s="124">
        <f>交易记录!M585</f>
        <v>0</v>
      </c>
      <c r="BA222" s="124">
        <f>交易记录!M616</f>
        <v>0</v>
      </c>
      <c r="BB222" s="30">
        <f t="shared" si="104"/>
        <v>0</v>
      </c>
      <c r="BC222" s="121">
        <f>交易记录!M649</f>
        <v>0</v>
      </c>
      <c r="BD222" s="121">
        <f>交易记录!M680</f>
        <v>0</v>
      </c>
      <c r="BE222" s="30">
        <f t="shared" si="105"/>
        <v>0</v>
      </c>
      <c r="BF222" s="124">
        <f>交易记录!M713</f>
        <v>0</v>
      </c>
      <c r="BG222" s="124">
        <f>交易记录!M744</f>
        <v>0</v>
      </c>
      <c r="BH222" s="30">
        <f t="shared" si="106"/>
        <v>0</v>
      </c>
      <c r="BI222" s="121">
        <f>交易记录!M777</f>
        <v>0</v>
      </c>
      <c r="BJ222" s="121">
        <f>交易记录!M808</f>
        <v>0</v>
      </c>
      <c r="BK222" s="30">
        <f t="shared" si="107"/>
        <v>0</v>
      </c>
      <c r="BL222" s="124">
        <f>交易记录!M841</f>
        <v>0</v>
      </c>
      <c r="BM222" s="124">
        <f>交易记录!M872</f>
        <v>0</v>
      </c>
      <c r="BN222" s="30">
        <f t="shared" si="108"/>
        <v>0</v>
      </c>
      <c r="BO222" s="121">
        <f>交易记录!M905</f>
        <v>0</v>
      </c>
      <c r="BP222" s="121">
        <f>交易记录!M936</f>
        <v>0</v>
      </c>
      <c r="BQ222" s="30">
        <f t="shared" si="109"/>
        <v>0</v>
      </c>
    </row>
    <row r="223" spans="1:69" ht="15">
      <c r="A223" s="125">
        <f>'维护-日期'!A$12</f>
        <v>46275</v>
      </c>
      <c r="B223" s="7" t="s">
        <v>11</v>
      </c>
      <c r="C223" s="144">
        <f t="shared" si="110"/>
        <v>13.087</v>
      </c>
      <c r="D223" s="144">
        <f>ROUND(INDEX(持仓数据!$C$3:$AG$26,MATCH('计算过程-数据汇总'!B223,持仓数据!$B$3:$B$26,0),MATCH('计算过程-数据汇总'!A223,'维护-日期'!$B$2:$AF$2,0)),3)</f>
        <v>13.087</v>
      </c>
      <c r="E223" s="98">
        <f t="shared" si="111"/>
        <v>13.087</v>
      </c>
      <c r="F223" s="22">
        <f>持仓数据!L77</f>
        <v>8.6999999999999994E-2</v>
      </c>
      <c r="G223" s="97">
        <v>372</v>
      </c>
      <c r="H223" s="97">
        <v>372</v>
      </c>
      <c r="I223" s="64">
        <v>0</v>
      </c>
      <c r="J223" s="64">
        <v>0</v>
      </c>
      <c r="K223" s="21">
        <f>IF(持仓数据!L110="",0,持仓数据!L110)</f>
        <v>372</v>
      </c>
      <c r="L223" s="21">
        <f t="shared" si="112"/>
        <v>0</v>
      </c>
      <c r="M223" s="28">
        <f t="shared" si="96"/>
        <v>4868.3639999999996</v>
      </c>
      <c r="N223" s="28">
        <f t="shared" si="97"/>
        <v>0</v>
      </c>
      <c r="O223" s="28">
        <f t="shared" si="98"/>
        <v>0</v>
      </c>
      <c r="P223" s="28">
        <f t="shared" si="99"/>
        <v>0</v>
      </c>
      <c r="Q223" s="28">
        <f t="shared" si="113"/>
        <v>0</v>
      </c>
      <c r="R223" s="28">
        <f t="shared" si="100"/>
        <v>4868.3639999999996</v>
      </c>
      <c r="S223" s="28">
        <f t="shared" si="114"/>
        <v>0</v>
      </c>
      <c r="T223" s="28">
        <f t="shared" si="115"/>
        <v>0</v>
      </c>
      <c r="U223" s="28">
        <f t="shared" si="118"/>
        <v>0</v>
      </c>
      <c r="V223" s="28">
        <f t="shared" si="116"/>
        <v>0</v>
      </c>
      <c r="W223" s="118"/>
      <c r="X223" s="143">
        <f t="shared" si="117"/>
        <v>15.617000000000001</v>
      </c>
      <c r="Y223" s="121">
        <f>交易记录!M10</f>
        <v>8.6999999999999994E-2</v>
      </c>
      <c r="Z223" s="121">
        <f>交易记录!M41</f>
        <v>372</v>
      </c>
      <c r="AA223" s="30">
        <f t="shared" si="101"/>
        <v>0</v>
      </c>
      <c r="AB223" s="124">
        <f>交易记录!M74</f>
        <v>0</v>
      </c>
      <c r="AC223" s="124">
        <f>交易记录!M105</f>
        <v>0</v>
      </c>
      <c r="AD223" s="30">
        <f t="shared" si="125"/>
        <v>0</v>
      </c>
      <c r="AE223" s="121">
        <f>交易记录!M138</f>
        <v>0</v>
      </c>
      <c r="AF223" s="121">
        <f>交易记录!M169</f>
        <v>0</v>
      </c>
      <c r="AG223" s="30">
        <f t="shared" si="126"/>
        <v>0</v>
      </c>
      <c r="AH223" s="124">
        <f>交易记录!M202</f>
        <v>0</v>
      </c>
      <c r="AI223" s="124">
        <f>交易记录!M233</f>
        <v>0</v>
      </c>
      <c r="AJ223" s="30">
        <f t="shared" si="127"/>
        <v>0</v>
      </c>
      <c r="AK223" s="121">
        <f>交易记录!M266</f>
        <v>0</v>
      </c>
      <c r="AL223" s="121">
        <f>交易记录!M297</f>
        <v>0</v>
      </c>
      <c r="AM223" s="30">
        <f t="shared" si="128"/>
        <v>0</v>
      </c>
      <c r="AN223" s="124">
        <f>交易记录!M330</f>
        <v>0</v>
      </c>
      <c r="AO223" s="124">
        <f>交易记录!M361</f>
        <v>0</v>
      </c>
      <c r="AP223" s="30">
        <f t="shared" si="129"/>
        <v>0</v>
      </c>
      <c r="AQ223" s="121">
        <f>交易记录!M394</f>
        <v>0</v>
      </c>
      <c r="AR223" s="121">
        <f>交易记录!M425</f>
        <v>0</v>
      </c>
      <c r="AS223" s="30">
        <f t="shared" si="130"/>
        <v>0</v>
      </c>
      <c r="AT223" s="124">
        <f>交易记录!M458</f>
        <v>0</v>
      </c>
      <c r="AU223" s="124">
        <f>交易记录!M489</f>
        <v>0</v>
      </c>
      <c r="AV223" s="30">
        <f t="shared" si="102"/>
        <v>0</v>
      </c>
      <c r="AW223" s="121">
        <f>交易记录!M522</f>
        <v>0</v>
      </c>
      <c r="AX223" s="121">
        <f>交易记录!M553</f>
        <v>0</v>
      </c>
      <c r="AY223" s="30">
        <f t="shared" si="103"/>
        <v>0</v>
      </c>
      <c r="AZ223" s="124">
        <f>交易记录!M586</f>
        <v>0</v>
      </c>
      <c r="BA223" s="124">
        <f>交易记录!M617</f>
        <v>0</v>
      </c>
      <c r="BB223" s="30">
        <f t="shared" si="104"/>
        <v>0</v>
      </c>
      <c r="BC223" s="121">
        <f>交易记录!M650</f>
        <v>0</v>
      </c>
      <c r="BD223" s="121">
        <f>交易记录!M681</f>
        <v>0</v>
      </c>
      <c r="BE223" s="30">
        <f t="shared" si="105"/>
        <v>0</v>
      </c>
      <c r="BF223" s="124">
        <f>交易记录!M714</f>
        <v>0</v>
      </c>
      <c r="BG223" s="124">
        <f>交易记录!M745</f>
        <v>0</v>
      </c>
      <c r="BH223" s="30">
        <f t="shared" si="106"/>
        <v>0</v>
      </c>
      <c r="BI223" s="121">
        <f>交易记录!M778</f>
        <v>0</v>
      </c>
      <c r="BJ223" s="121">
        <f>交易记录!M809</f>
        <v>0</v>
      </c>
      <c r="BK223" s="30">
        <f t="shared" si="107"/>
        <v>0</v>
      </c>
      <c r="BL223" s="124">
        <f>交易记录!M842</f>
        <v>0</v>
      </c>
      <c r="BM223" s="124">
        <f>交易记录!M873</f>
        <v>0</v>
      </c>
      <c r="BN223" s="30">
        <f t="shared" si="108"/>
        <v>0</v>
      </c>
      <c r="BO223" s="121">
        <f>交易记录!M906</f>
        <v>0</v>
      </c>
      <c r="BP223" s="121">
        <f>交易记录!M937</f>
        <v>0</v>
      </c>
      <c r="BQ223" s="30">
        <f t="shared" si="109"/>
        <v>0</v>
      </c>
    </row>
    <row r="224" spans="1:69" ht="15">
      <c r="A224" s="125">
        <f>'维护-日期'!A$12</f>
        <v>46275</v>
      </c>
      <c r="B224" s="7" t="s">
        <v>12</v>
      </c>
      <c r="C224" s="144">
        <f t="shared" si="110"/>
        <v>12.95</v>
      </c>
      <c r="D224" s="144">
        <f>ROUND(INDEX(持仓数据!$C$3:$AG$26,MATCH('计算过程-数据汇总'!B224,持仓数据!$B$3:$B$26,0),MATCH('计算过程-数据汇总'!A224,'维护-日期'!$B$2:$AF$2,0)),3)</f>
        <v>12.95</v>
      </c>
      <c r="E224" s="98">
        <f t="shared" si="111"/>
        <v>12.95</v>
      </c>
      <c r="F224" s="22">
        <f>持仓数据!L78</f>
        <v>0.14499999999999999</v>
      </c>
      <c r="G224" s="97">
        <v>372</v>
      </c>
      <c r="H224" s="97">
        <v>372</v>
      </c>
      <c r="I224" s="64">
        <v>0</v>
      </c>
      <c r="J224" s="64">
        <v>0</v>
      </c>
      <c r="K224" s="21">
        <f>IF(持仓数据!L111="",0,持仓数据!L111)</f>
        <v>372</v>
      </c>
      <c r="L224" s="21">
        <f t="shared" si="112"/>
        <v>0</v>
      </c>
      <c r="M224" s="28">
        <f t="shared" si="96"/>
        <v>4817.3999999999996</v>
      </c>
      <c r="N224" s="28">
        <f t="shared" si="97"/>
        <v>0</v>
      </c>
      <c r="O224" s="28">
        <f t="shared" si="98"/>
        <v>0</v>
      </c>
      <c r="P224" s="28">
        <f t="shared" si="99"/>
        <v>0</v>
      </c>
      <c r="Q224" s="28">
        <f t="shared" si="113"/>
        <v>0</v>
      </c>
      <c r="R224" s="28">
        <f t="shared" si="100"/>
        <v>4817.3999999999996</v>
      </c>
      <c r="S224" s="28">
        <f t="shared" si="114"/>
        <v>0</v>
      </c>
      <c r="T224" s="28">
        <f t="shared" si="115"/>
        <v>0</v>
      </c>
      <c r="U224" s="28">
        <f t="shared" si="118"/>
        <v>0</v>
      </c>
      <c r="V224" s="28">
        <f t="shared" si="116"/>
        <v>0</v>
      </c>
      <c r="W224" s="118"/>
      <c r="X224" s="143">
        <f t="shared" si="117"/>
        <v>15.395</v>
      </c>
      <c r="Y224" s="121">
        <f>交易记录!M11</f>
        <v>0.14499999999999999</v>
      </c>
      <c r="Z224" s="121">
        <f>交易记录!M42</f>
        <v>372</v>
      </c>
      <c r="AA224" s="30">
        <f t="shared" si="101"/>
        <v>0</v>
      </c>
      <c r="AB224" s="124">
        <f>交易记录!M75</f>
        <v>0</v>
      </c>
      <c r="AC224" s="124">
        <f>交易记录!M106</f>
        <v>0</v>
      </c>
      <c r="AD224" s="30">
        <f t="shared" si="125"/>
        <v>0</v>
      </c>
      <c r="AE224" s="121">
        <f>交易记录!M139</f>
        <v>0</v>
      </c>
      <c r="AF224" s="121">
        <f>交易记录!M170</f>
        <v>0</v>
      </c>
      <c r="AG224" s="30">
        <f t="shared" si="126"/>
        <v>0</v>
      </c>
      <c r="AH224" s="124">
        <f>交易记录!M203</f>
        <v>0</v>
      </c>
      <c r="AI224" s="124">
        <f>交易记录!M234</f>
        <v>0</v>
      </c>
      <c r="AJ224" s="30">
        <f t="shared" si="127"/>
        <v>0</v>
      </c>
      <c r="AK224" s="121">
        <f>交易记录!M267</f>
        <v>0</v>
      </c>
      <c r="AL224" s="121">
        <f>交易记录!M298</f>
        <v>0</v>
      </c>
      <c r="AM224" s="30">
        <f t="shared" si="128"/>
        <v>0</v>
      </c>
      <c r="AN224" s="124">
        <f>交易记录!M331</f>
        <v>0</v>
      </c>
      <c r="AO224" s="124">
        <f>交易记录!M362</f>
        <v>0</v>
      </c>
      <c r="AP224" s="30">
        <f t="shared" si="129"/>
        <v>0</v>
      </c>
      <c r="AQ224" s="121">
        <f>交易记录!M395</f>
        <v>0</v>
      </c>
      <c r="AR224" s="121">
        <f>交易记录!M426</f>
        <v>0</v>
      </c>
      <c r="AS224" s="30">
        <f t="shared" si="130"/>
        <v>0</v>
      </c>
      <c r="AT224" s="124">
        <f>交易记录!M459</f>
        <v>0</v>
      </c>
      <c r="AU224" s="124">
        <f>交易记录!M490</f>
        <v>0</v>
      </c>
      <c r="AV224" s="30">
        <f t="shared" si="102"/>
        <v>0</v>
      </c>
      <c r="AW224" s="121">
        <f>交易记录!M523</f>
        <v>0</v>
      </c>
      <c r="AX224" s="121">
        <f>交易记录!M554</f>
        <v>0</v>
      </c>
      <c r="AY224" s="30">
        <f t="shared" si="103"/>
        <v>0</v>
      </c>
      <c r="AZ224" s="124">
        <f>交易记录!M587</f>
        <v>0</v>
      </c>
      <c r="BA224" s="124">
        <f>交易记录!M618</f>
        <v>0</v>
      </c>
      <c r="BB224" s="30">
        <f t="shared" si="104"/>
        <v>0</v>
      </c>
      <c r="BC224" s="121">
        <f>交易记录!M651</f>
        <v>0</v>
      </c>
      <c r="BD224" s="121">
        <f>交易记录!M682</f>
        <v>0</v>
      </c>
      <c r="BE224" s="30">
        <f t="shared" si="105"/>
        <v>0</v>
      </c>
      <c r="BF224" s="124">
        <f>交易记录!M715</f>
        <v>0</v>
      </c>
      <c r="BG224" s="124">
        <f>交易记录!M746</f>
        <v>0</v>
      </c>
      <c r="BH224" s="30">
        <f t="shared" si="106"/>
        <v>0</v>
      </c>
      <c r="BI224" s="121">
        <f>交易记录!M779</f>
        <v>0</v>
      </c>
      <c r="BJ224" s="121">
        <f>交易记录!M810</f>
        <v>0</v>
      </c>
      <c r="BK224" s="30">
        <f t="shared" si="107"/>
        <v>0</v>
      </c>
      <c r="BL224" s="124">
        <f>交易记录!M843</f>
        <v>0</v>
      </c>
      <c r="BM224" s="124">
        <f>交易记录!M874</f>
        <v>0</v>
      </c>
      <c r="BN224" s="30">
        <f t="shared" si="108"/>
        <v>0</v>
      </c>
      <c r="BO224" s="121">
        <f>交易记录!M907</f>
        <v>0</v>
      </c>
      <c r="BP224" s="121">
        <f>交易记录!M938</f>
        <v>0</v>
      </c>
      <c r="BQ224" s="30">
        <f t="shared" si="109"/>
        <v>0</v>
      </c>
    </row>
    <row r="225" spans="1:69" ht="15">
      <c r="A225" s="125">
        <f>'维护-日期'!A$12</f>
        <v>46275</v>
      </c>
      <c r="B225" s="7" t="s">
        <v>13</v>
      </c>
      <c r="C225" s="144">
        <f t="shared" si="110"/>
        <v>13.266999999999999</v>
      </c>
      <c r="D225" s="144">
        <f>ROUND(INDEX(持仓数据!$C$3:$AG$26,MATCH('计算过程-数据汇总'!B225,持仓数据!$B$3:$B$26,0),MATCH('计算过程-数据汇总'!A225,'维护-日期'!$B$2:$AF$2,0)),3)</f>
        <v>13.266999999999999</v>
      </c>
      <c r="E225" s="98">
        <f t="shared" si="111"/>
        <v>13.266999999999999</v>
      </c>
      <c r="F225" s="22">
        <f>持仓数据!L79</f>
        <v>0.307</v>
      </c>
      <c r="G225" s="97">
        <v>372</v>
      </c>
      <c r="H225" s="97">
        <v>372</v>
      </c>
      <c r="I225" s="64">
        <v>0</v>
      </c>
      <c r="J225" s="64">
        <v>0</v>
      </c>
      <c r="K225" s="21">
        <f>IF(持仓数据!L112="",0,持仓数据!L112)</f>
        <v>372</v>
      </c>
      <c r="L225" s="21">
        <f t="shared" si="112"/>
        <v>0</v>
      </c>
      <c r="M225" s="28">
        <f t="shared" si="96"/>
        <v>4935.3239999999996</v>
      </c>
      <c r="N225" s="28">
        <f t="shared" si="97"/>
        <v>0</v>
      </c>
      <c r="O225" s="28">
        <f t="shared" si="98"/>
        <v>0</v>
      </c>
      <c r="P225" s="28">
        <f t="shared" si="99"/>
        <v>0</v>
      </c>
      <c r="Q225" s="28">
        <f t="shared" si="113"/>
        <v>0</v>
      </c>
      <c r="R225" s="28">
        <f t="shared" si="100"/>
        <v>4935.3239999999996</v>
      </c>
      <c r="S225" s="28">
        <f t="shared" si="114"/>
        <v>0</v>
      </c>
      <c r="T225" s="28">
        <f t="shared" si="115"/>
        <v>0</v>
      </c>
      <c r="U225" s="28">
        <f t="shared" si="118"/>
        <v>0</v>
      </c>
      <c r="V225" s="28">
        <f t="shared" si="116"/>
        <v>0</v>
      </c>
      <c r="W225" s="118"/>
      <c r="X225" s="143">
        <f t="shared" si="117"/>
        <v>15.613</v>
      </c>
      <c r="Y225" s="121">
        <f>交易记录!M12</f>
        <v>0.307</v>
      </c>
      <c r="Z225" s="121">
        <f>交易记录!M43</f>
        <v>372</v>
      </c>
      <c r="AA225" s="30">
        <f t="shared" si="101"/>
        <v>0</v>
      </c>
      <c r="AB225" s="124">
        <f>交易记录!M76</f>
        <v>0</v>
      </c>
      <c r="AC225" s="124">
        <f>交易记录!M107</f>
        <v>0</v>
      </c>
      <c r="AD225" s="30">
        <f t="shared" si="125"/>
        <v>0</v>
      </c>
      <c r="AE225" s="121">
        <f>交易记录!M140</f>
        <v>0</v>
      </c>
      <c r="AF225" s="121">
        <f>交易记录!M171</f>
        <v>0</v>
      </c>
      <c r="AG225" s="30">
        <f t="shared" si="126"/>
        <v>0</v>
      </c>
      <c r="AH225" s="124">
        <f>交易记录!M204</f>
        <v>0</v>
      </c>
      <c r="AI225" s="124">
        <f>交易记录!M235</f>
        <v>0</v>
      </c>
      <c r="AJ225" s="30">
        <f t="shared" si="127"/>
        <v>0</v>
      </c>
      <c r="AK225" s="121">
        <f>交易记录!M268</f>
        <v>0</v>
      </c>
      <c r="AL225" s="121">
        <f>交易记录!M299</f>
        <v>0</v>
      </c>
      <c r="AM225" s="30">
        <f t="shared" si="128"/>
        <v>0</v>
      </c>
      <c r="AN225" s="124">
        <f>交易记录!M332</f>
        <v>0</v>
      </c>
      <c r="AO225" s="124">
        <f>交易记录!M363</f>
        <v>0</v>
      </c>
      <c r="AP225" s="30">
        <f t="shared" si="129"/>
        <v>0</v>
      </c>
      <c r="AQ225" s="121">
        <f>交易记录!M396</f>
        <v>0</v>
      </c>
      <c r="AR225" s="121">
        <f>交易记录!M427</f>
        <v>0</v>
      </c>
      <c r="AS225" s="30">
        <f t="shared" si="130"/>
        <v>0</v>
      </c>
      <c r="AT225" s="124">
        <f>交易记录!M460</f>
        <v>0</v>
      </c>
      <c r="AU225" s="124">
        <f>交易记录!M491</f>
        <v>0</v>
      </c>
      <c r="AV225" s="30">
        <f t="shared" si="102"/>
        <v>0</v>
      </c>
      <c r="AW225" s="121">
        <f>交易记录!M524</f>
        <v>0</v>
      </c>
      <c r="AX225" s="121">
        <f>交易记录!M555</f>
        <v>0</v>
      </c>
      <c r="AY225" s="30">
        <f t="shared" si="103"/>
        <v>0</v>
      </c>
      <c r="AZ225" s="124">
        <f>交易记录!M588</f>
        <v>0</v>
      </c>
      <c r="BA225" s="124">
        <f>交易记录!M619</f>
        <v>0</v>
      </c>
      <c r="BB225" s="30">
        <f t="shared" si="104"/>
        <v>0</v>
      </c>
      <c r="BC225" s="121">
        <f>交易记录!M652</f>
        <v>0</v>
      </c>
      <c r="BD225" s="121">
        <f>交易记录!M683</f>
        <v>0</v>
      </c>
      <c r="BE225" s="30">
        <f t="shared" si="105"/>
        <v>0</v>
      </c>
      <c r="BF225" s="124">
        <f>交易记录!M716</f>
        <v>0</v>
      </c>
      <c r="BG225" s="124">
        <f>交易记录!M747</f>
        <v>0</v>
      </c>
      <c r="BH225" s="30">
        <f t="shared" si="106"/>
        <v>0</v>
      </c>
      <c r="BI225" s="121">
        <f>交易记录!M780</f>
        <v>0</v>
      </c>
      <c r="BJ225" s="121">
        <f>交易记录!M811</f>
        <v>0</v>
      </c>
      <c r="BK225" s="30">
        <f t="shared" si="107"/>
        <v>0</v>
      </c>
      <c r="BL225" s="124">
        <f>交易记录!M844</f>
        <v>0</v>
      </c>
      <c r="BM225" s="124">
        <f>交易记录!M875</f>
        <v>0</v>
      </c>
      <c r="BN225" s="30">
        <f t="shared" si="108"/>
        <v>0</v>
      </c>
      <c r="BO225" s="121">
        <f>交易记录!M908</f>
        <v>0</v>
      </c>
      <c r="BP225" s="121">
        <f>交易记录!M939</f>
        <v>0</v>
      </c>
      <c r="BQ225" s="30">
        <f t="shared" si="109"/>
        <v>0</v>
      </c>
    </row>
    <row r="226" spans="1:69" ht="15">
      <c r="A226" s="125">
        <f>'维护-日期'!A$12</f>
        <v>46275</v>
      </c>
      <c r="B226" s="7" t="s">
        <v>14</v>
      </c>
      <c r="C226" s="144">
        <f t="shared" si="110"/>
        <v>15.795999999999999</v>
      </c>
      <c r="D226" s="144">
        <f>ROUND(INDEX(持仓数据!$C$3:$AG$26,MATCH('计算过程-数据汇总'!B226,持仓数据!$B$3:$B$26,0),MATCH('计算过程-数据汇总'!A226,'维护-日期'!$B$2:$AF$2,0)),3)</f>
        <v>15.795999999999999</v>
      </c>
      <c r="E226" s="98">
        <f t="shared" si="111"/>
        <v>15.795999999999999</v>
      </c>
      <c r="F226" s="22">
        <f>持仓数据!L80</f>
        <v>0.42800000000000005</v>
      </c>
      <c r="G226" s="97">
        <v>372</v>
      </c>
      <c r="H226" s="97">
        <v>372</v>
      </c>
      <c r="I226" s="64">
        <v>0</v>
      </c>
      <c r="J226" s="64">
        <v>0</v>
      </c>
      <c r="K226" s="21">
        <f>IF(持仓数据!L113="",0,持仓数据!L113)</f>
        <v>372</v>
      </c>
      <c r="L226" s="21">
        <f t="shared" si="112"/>
        <v>0</v>
      </c>
      <c r="M226" s="28">
        <f t="shared" si="96"/>
        <v>5876.1120000000001</v>
      </c>
      <c r="N226" s="28">
        <f t="shared" si="97"/>
        <v>0</v>
      </c>
      <c r="O226" s="28">
        <f t="shared" si="98"/>
        <v>0</v>
      </c>
      <c r="P226" s="28">
        <f t="shared" si="99"/>
        <v>0</v>
      </c>
      <c r="Q226" s="28">
        <f t="shared" si="113"/>
        <v>0</v>
      </c>
      <c r="R226" s="28">
        <f t="shared" si="100"/>
        <v>5876.1120000000001</v>
      </c>
      <c r="S226" s="28">
        <f t="shared" si="114"/>
        <v>0</v>
      </c>
      <c r="T226" s="28">
        <f t="shared" si="115"/>
        <v>0</v>
      </c>
      <c r="U226" s="28">
        <f t="shared" si="118"/>
        <v>0</v>
      </c>
      <c r="V226" s="28">
        <f t="shared" si="116"/>
        <v>0</v>
      </c>
      <c r="W226" s="118"/>
      <c r="X226" s="143">
        <f t="shared" si="117"/>
        <v>18.527000000000001</v>
      </c>
      <c r="Y226" s="121">
        <f>交易记录!M13</f>
        <v>0.42800000000000005</v>
      </c>
      <c r="Z226" s="121">
        <f>交易记录!M44</f>
        <v>372</v>
      </c>
      <c r="AA226" s="30">
        <f t="shared" si="101"/>
        <v>0</v>
      </c>
      <c r="AB226" s="124">
        <f>交易记录!M77</f>
        <v>0</v>
      </c>
      <c r="AC226" s="124">
        <f>交易记录!M108</f>
        <v>0</v>
      </c>
      <c r="AD226" s="30">
        <f t="shared" si="125"/>
        <v>0</v>
      </c>
      <c r="AE226" s="121">
        <f>交易记录!M141</f>
        <v>0</v>
      </c>
      <c r="AF226" s="121">
        <f>交易记录!M172</f>
        <v>0</v>
      </c>
      <c r="AG226" s="30">
        <f t="shared" si="126"/>
        <v>0</v>
      </c>
      <c r="AH226" s="124">
        <f>交易记录!M205</f>
        <v>0</v>
      </c>
      <c r="AI226" s="124">
        <f>交易记录!M236</f>
        <v>0</v>
      </c>
      <c r="AJ226" s="30">
        <f t="shared" si="127"/>
        <v>0</v>
      </c>
      <c r="AK226" s="121">
        <f>交易记录!M269</f>
        <v>0</v>
      </c>
      <c r="AL226" s="121">
        <f>交易记录!M300</f>
        <v>0</v>
      </c>
      <c r="AM226" s="30">
        <f t="shared" si="128"/>
        <v>0</v>
      </c>
      <c r="AN226" s="124">
        <f>交易记录!M333</f>
        <v>0</v>
      </c>
      <c r="AO226" s="124">
        <f>交易记录!M364</f>
        <v>0</v>
      </c>
      <c r="AP226" s="30">
        <f t="shared" si="129"/>
        <v>0</v>
      </c>
      <c r="AQ226" s="121">
        <f>交易记录!M397</f>
        <v>0</v>
      </c>
      <c r="AR226" s="121">
        <f>交易记录!M428</f>
        <v>0</v>
      </c>
      <c r="AS226" s="30">
        <f t="shared" si="130"/>
        <v>0</v>
      </c>
      <c r="AT226" s="124">
        <f>交易记录!M461</f>
        <v>0</v>
      </c>
      <c r="AU226" s="124">
        <f>交易记录!M492</f>
        <v>0</v>
      </c>
      <c r="AV226" s="30">
        <f t="shared" si="102"/>
        <v>0</v>
      </c>
      <c r="AW226" s="121">
        <f>交易记录!M525</f>
        <v>0</v>
      </c>
      <c r="AX226" s="121">
        <f>交易记录!M556</f>
        <v>0</v>
      </c>
      <c r="AY226" s="30">
        <f t="shared" si="103"/>
        <v>0</v>
      </c>
      <c r="AZ226" s="124">
        <f>交易记录!M589</f>
        <v>0</v>
      </c>
      <c r="BA226" s="124">
        <f>交易记录!M620</f>
        <v>0</v>
      </c>
      <c r="BB226" s="30">
        <f t="shared" si="104"/>
        <v>0</v>
      </c>
      <c r="BC226" s="121">
        <f>交易记录!M653</f>
        <v>0</v>
      </c>
      <c r="BD226" s="121">
        <f>交易记录!M684</f>
        <v>0</v>
      </c>
      <c r="BE226" s="30">
        <f t="shared" si="105"/>
        <v>0</v>
      </c>
      <c r="BF226" s="124">
        <f>交易记录!M717</f>
        <v>0</v>
      </c>
      <c r="BG226" s="124">
        <f>交易记录!M748</f>
        <v>0</v>
      </c>
      <c r="BH226" s="30">
        <f t="shared" si="106"/>
        <v>0</v>
      </c>
      <c r="BI226" s="121">
        <f>交易记录!M781</f>
        <v>0</v>
      </c>
      <c r="BJ226" s="121">
        <f>交易记录!M812</f>
        <v>0</v>
      </c>
      <c r="BK226" s="30">
        <f t="shared" si="107"/>
        <v>0</v>
      </c>
      <c r="BL226" s="124">
        <f>交易记录!M845</f>
        <v>0</v>
      </c>
      <c r="BM226" s="124">
        <f>交易记录!M876</f>
        <v>0</v>
      </c>
      <c r="BN226" s="30">
        <f t="shared" si="108"/>
        <v>0</v>
      </c>
      <c r="BO226" s="121">
        <f>交易记录!M909</f>
        <v>0</v>
      </c>
      <c r="BP226" s="121">
        <f>交易记录!M940</f>
        <v>0</v>
      </c>
      <c r="BQ226" s="30">
        <f t="shared" si="109"/>
        <v>0</v>
      </c>
    </row>
    <row r="227" spans="1:69" ht="15">
      <c r="A227" s="125">
        <f>'维护-日期'!A$12</f>
        <v>46275</v>
      </c>
      <c r="B227" s="7" t="s">
        <v>15</v>
      </c>
      <c r="C227" s="144">
        <f t="shared" si="110"/>
        <v>19.308</v>
      </c>
      <c r="D227" s="144">
        <f>ROUND(INDEX(持仓数据!$C$3:$AG$26,MATCH('计算过程-数据汇总'!B227,持仓数据!$B$3:$B$26,0),MATCH('计算过程-数据汇总'!A227,'维护-日期'!$B$2:$AF$2,0)),3)</f>
        <v>19.308</v>
      </c>
      <c r="E227" s="98">
        <f t="shared" si="111"/>
        <v>19.308</v>
      </c>
      <c r="F227" s="22">
        <f>持仓数据!L81</f>
        <v>0.46100000000000002</v>
      </c>
      <c r="G227" s="97">
        <v>372</v>
      </c>
      <c r="H227" s="97">
        <v>372</v>
      </c>
      <c r="I227" s="64">
        <v>0</v>
      </c>
      <c r="J227" s="64">
        <v>0</v>
      </c>
      <c r="K227" s="21">
        <f>IF(持仓数据!L114="",0,持仓数据!L114)</f>
        <v>372</v>
      </c>
      <c r="L227" s="21">
        <f t="shared" si="112"/>
        <v>0</v>
      </c>
      <c r="M227" s="28">
        <f t="shared" si="96"/>
        <v>7182.576</v>
      </c>
      <c r="N227" s="28">
        <f t="shared" si="97"/>
        <v>0</v>
      </c>
      <c r="O227" s="28">
        <f t="shared" si="98"/>
        <v>0</v>
      </c>
      <c r="P227" s="28">
        <f t="shared" si="99"/>
        <v>0</v>
      </c>
      <c r="Q227" s="28">
        <f t="shared" si="113"/>
        <v>0</v>
      </c>
      <c r="R227" s="28">
        <f t="shared" si="100"/>
        <v>7182.576</v>
      </c>
      <c r="S227" s="28">
        <f t="shared" si="114"/>
        <v>0</v>
      </c>
      <c r="T227" s="28">
        <f t="shared" si="115"/>
        <v>0</v>
      </c>
      <c r="U227" s="28">
        <f t="shared" si="118"/>
        <v>0</v>
      </c>
      <c r="V227" s="28">
        <f t="shared" si="116"/>
        <v>0</v>
      </c>
      <c r="W227" s="118"/>
      <c r="X227" s="143">
        <f t="shared" si="117"/>
        <v>22.709</v>
      </c>
      <c r="Y227" s="121">
        <f>交易记录!M14</f>
        <v>0.46100000000000002</v>
      </c>
      <c r="Z227" s="121">
        <f>交易记录!M45</f>
        <v>372</v>
      </c>
      <c r="AA227" s="30">
        <f t="shared" si="101"/>
        <v>0</v>
      </c>
      <c r="AB227" s="124">
        <f>交易记录!M78</f>
        <v>0</v>
      </c>
      <c r="AC227" s="124">
        <f>交易记录!M109</f>
        <v>0</v>
      </c>
      <c r="AD227" s="30">
        <f t="shared" si="125"/>
        <v>0</v>
      </c>
      <c r="AE227" s="121">
        <f>交易记录!M142</f>
        <v>0</v>
      </c>
      <c r="AF227" s="121">
        <f>交易记录!M173</f>
        <v>0</v>
      </c>
      <c r="AG227" s="30">
        <f t="shared" si="126"/>
        <v>0</v>
      </c>
      <c r="AH227" s="124">
        <f>交易记录!M206</f>
        <v>0</v>
      </c>
      <c r="AI227" s="124">
        <f>交易记录!M237</f>
        <v>0</v>
      </c>
      <c r="AJ227" s="30">
        <f t="shared" si="127"/>
        <v>0</v>
      </c>
      <c r="AK227" s="121">
        <f>交易记录!M270</f>
        <v>0</v>
      </c>
      <c r="AL227" s="121">
        <f>交易记录!M301</f>
        <v>0</v>
      </c>
      <c r="AM227" s="30">
        <f t="shared" si="128"/>
        <v>0</v>
      </c>
      <c r="AN227" s="124">
        <f>交易记录!M334</f>
        <v>0</v>
      </c>
      <c r="AO227" s="124">
        <f>交易记录!M365</f>
        <v>0</v>
      </c>
      <c r="AP227" s="30">
        <f t="shared" si="129"/>
        <v>0</v>
      </c>
      <c r="AQ227" s="121">
        <f>交易记录!M398</f>
        <v>0</v>
      </c>
      <c r="AR227" s="121">
        <f>交易记录!M429</f>
        <v>0</v>
      </c>
      <c r="AS227" s="30">
        <f t="shared" si="130"/>
        <v>0</v>
      </c>
      <c r="AT227" s="124">
        <f>交易记录!M462</f>
        <v>0</v>
      </c>
      <c r="AU227" s="124">
        <f>交易记录!M493</f>
        <v>0</v>
      </c>
      <c r="AV227" s="30">
        <f t="shared" si="102"/>
        <v>0</v>
      </c>
      <c r="AW227" s="121">
        <f>交易记录!M526</f>
        <v>0</v>
      </c>
      <c r="AX227" s="121">
        <f>交易记录!M557</f>
        <v>0</v>
      </c>
      <c r="AY227" s="30">
        <f t="shared" si="103"/>
        <v>0</v>
      </c>
      <c r="AZ227" s="124">
        <f>交易记录!M590</f>
        <v>0</v>
      </c>
      <c r="BA227" s="124">
        <f>交易记录!M621</f>
        <v>0</v>
      </c>
      <c r="BB227" s="30">
        <f t="shared" si="104"/>
        <v>0</v>
      </c>
      <c r="BC227" s="121">
        <f>交易记录!M654</f>
        <v>0</v>
      </c>
      <c r="BD227" s="121">
        <f>交易记录!M685</f>
        <v>0</v>
      </c>
      <c r="BE227" s="30">
        <f t="shared" si="105"/>
        <v>0</v>
      </c>
      <c r="BF227" s="124">
        <f>交易记录!M718</f>
        <v>0</v>
      </c>
      <c r="BG227" s="124">
        <f>交易记录!M749</f>
        <v>0</v>
      </c>
      <c r="BH227" s="30">
        <f t="shared" si="106"/>
        <v>0</v>
      </c>
      <c r="BI227" s="121">
        <f>交易记录!M782</f>
        <v>0</v>
      </c>
      <c r="BJ227" s="121">
        <f>交易记录!M813</f>
        <v>0</v>
      </c>
      <c r="BK227" s="30">
        <f t="shared" si="107"/>
        <v>0</v>
      </c>
      <c r="BL227" s="124">
        <f>交易记录!M846</f>
        <v>0</v>
      </c>
      <c r="BM227" s="124">
        <f>交易记录!M877</f>
        <v>0</v>
      </c>
      <c r="BN227" s="30">
        <f t="shared" si="108"/>
        <v>0</v>
      </c>
      <c r="BO227" s="121">
        <f>交易记录!M910</f>
        <v>0</v>
      </c>
      <c r="BP227" s="121">
        <f>交易记录!M941</f>
        <v>0</v>
      </c>
      <c r="BQ227" s="30">
        <f t="shared" si="109"/>
        <v>0</v>
      </c>
    </row>
    <row r="228" spans="1:69" ht="15">
      <c r="A228" s="125">
        <f>'维护-日期'!A$12</f>
        <v>46275</v>
      </c>
      <c r="B228" s="7" t="s">
        <v>16</v>
      </c>
      <c r="C228" s="144">
        <f t="shared" si="110"/>
        <v>21.01</v>
      </c>
      <c r="D228" s="144">
        <f>ROUND(INDEX(持仓数据!$C$3:$AG$26,MATCH('计算过程-数据汇总'!B228,持仓数据!$B$3:$B$26,0),MATCH('计算过程-数据汇总'!A228,'维护-日期'!$B$2:$AF$2,0)),3)</f>
        <v>21.01</v>
      </c>
      <c r="E228" s="98">
        <f t="shared" si="111"/>
        <v>21.01</v>
      </c>
      <c r="F228" s="22">
        <f>持仓数据!L82</f>
        <v>0.46700000000000003</v>
      </c>
      <c r="G228" s="97">
        <v>372</v>
      </c>
      <c r="H228" s="97">
        <v>372</v>
      </c>
      <c r="I228" s="64">
        <v>0</v>
      </c>
      <c r="J228" s="64">
        <v>0</v>
      </c>
      <c r="K228" s="21">
        <f>IF(持仓数据!L115="",0,持仓数据!L115)</f>
        <v>372</v>
      </c>
      <c r="L228" s="21">
        <f t="shared" si="112"/>
        <v>0</v>
      </c>
      <c r="M228" s="28">
        <f t="shared" si="96"/>
        <v>7815.72</v>
      </c>
      <c r="N228" s="28">
        <f t="shared" si="97"/>
        <v>0</v>
      </c>
      <c r="O228" s="28">
        <f t="shared" si="98"/>
        <v>0</v>
      </c>
      <c r="P228" s="28">
        <f t="shared" si="99"/>
        <v>0</v>
      </c>
      <c r="Q228" s="28">
        <f t="shared" si="113"/>
        <v>0</v>
      </c>
      <c r="R228" s="28">
        <f t="shared" si="100"/>
        <v>7815.72</v>
      </c>
      <c r="S228" s="28">
        <f t="shared" si="114"/>
        <v>0</v>
      </c>
      <c r="T228" s="28">
        <f t="shared" si="115"/>
        <v>0</v>
      </c>
      <c r="U228" s="28">
        <f t="shared" si="118"/>
        <v>0</v>
      </c>
      <c r="V228" s="28">
        <f t="shared" si="116"/>
        <v>0</v>
      </c>
      <c r="W228" s="118"/>
      <c r="X228" s="143">
        <f t="shared" si="117"/>
        <v>24.745000000000001</v>
      </c>
      <c r="Y228" s="121">
        <f>交易记录!M15</f>
        <v>0.46700000000000003</v>
      </c>
      <c r="Z228" s="121">
        <f>交易记录!M46</f>
        <v>372</v>
      </c>
      <c r="AA228" s="30">
        <f t="shared" si="101"/>
        <v>0</v>
      </c>
      <c r="AB228" s="124">
        <f>交易记录!M79</f>
        <v>0</v>
      </c>
      <c r="AC228" s="124">
        <f>交易记录!M110</f>
        <v>0</v>
      </c>
      <c r="AD228" s="30">
        <f t="shared" si="125"/>
        <v>0</v>
      </c>
      <c r="AE228" s="121">
        <f>交易记录!M143</f>
        <v>0</v>
      </c>
      <c r="AF228" s="121">
        <f>交易记录!M174</f>
        <v>0</v>
      </c>
      <c r="AG228" s="30">
        <f t="shared" si="126"/>
        <v>0</v>
      </c>
      <c r="AH228" s="124">
        <f>交易记录!M207</f>
        <v>0</v>
      </c>
      <c r="AI228" s="124">
        <f>交易记录!M238</f>
        <v>0</v>
      </c>
      <c r="AJ228" s="30">
        <f t="shared" si="127"/>
        <v>0</v>
      </c>
      <c r="AK228" s="121">
        <f>交易记录!M271</f>
        <v>0</v>
      </c>
      <c r="AL228" s="121">
        <f>交易记录!M302</f>
        <v>0</v>
      </c>
      <c r="AM228" s="30">
        <f t="shared" si="128"/>
        <v>0</v>
      </c>
      <c r="AN228" s="124">
        <f>交易记录!M335</f>
        <v>0</v>
      </c>
      <c r="AO228" s="124">
        <f>交易记录!M366</f>
        <v>0</v>
      </c>
      <c r="AP228" s="30">
        <f t="shared" si="129"/>
        <v>0</v>
      </c>
      <c r="AQ228" s="121">
        <f>交易记录!M399</f>
        <v>0</v>
      </c>
      <c r="AR228" s="121">
        <f>交易记录!M430</f>
        <v>0</v>
      </c>
      <c r="AS228" s="30">
        <f t="shared" si="130"/>
        <v>0</v>
      </c>
      <c r="AT228" s="124">
        <f>交易记录!M463</f>
        <v>0</v>
      </c>
      <c r="AU228" s="124">
        <f>交易记录!M494</f>
        <v>0</v>
      </c>
      <c r="AV228" s="30">
        <f t="shared" si="102"/>
        <v>0</v>
      </c>
      <c r="AW228" s="121">
        <f>交易记录!M527</f>
        <v>0</v>
      </c>
      <c r="AX228" s="121">
        <f>交易记录!M558</f>
        <v>0</v>
      </c>
      <c r="AY228" s="30">
        <f t="shared" si="103"/>
        <v>0</v>
      </c>
      <c r="AZ228" s="124">
        <f>交易记录!M591</f>
        <v>0</v>
      </c>
      <c r="BA228" s="124">
        <f>交易记录!M622</f>
        <v>0</v>
      </c>
      <c r="BB228" s="30">
        <f t="shared" si="104"/>
        <v>0</v>
      </c>
      <c r="BC228" s="121">
        <f>交易记录!M655</f>
        <v>0</v>
      </c>
      <c r="BD228" s="121">
        <f>交易记录!M686</f>
        <v>0</v>
      </c>
      <c r="BE228" s="30">
        <f t="shared" si="105"/>
        <v>0</v>
      </c>
      <c r="BF228" s="124">
        <f>交易记录!M719</f>
        <v>0</v>
      </c>
      <c r="BG228" s="124">
        <f>交易记录!M750</f>
        <v>0</v>
      </c>
      <c r="BH228" s="30">
        <f t="shared" si="106"/>
        <v>0</v>
      </c>
      <c r="BI228" s="121">
        <f>交易记录!M783</f>
        <v>0</v>
      </c>
      <c r="BJ228" s="121">
        <f>交易记录!M814</f>
        <v>0</v>
      </c>
      <c r="BK228" s="30">
        <f t="shared" si="107"/>
        <v>0</v>
      </c>
      <c r="BL228" s="124">
        <f>交易记录!M847</f>
        <v>0</v>
      </c>
      <c r="BM228" s="124">
        <f>交易记录!M878</f>
        <v>0</v>
      </c>
      <c r="BN228" s="30">
        <f t="shared" si="108"/>
        <v>0</v>
      </c>
      <c r="BO228" s="121">
        <f>交易记录!M911</f>
        <v>0</v>
      </c>
      <c r="BP228" s="121">
        <f>交易记录!M942</f>
        <v>0</v>
      </c>
      <c r="BQ228" s="30">
        <f t="shared" si="109"/>
        <v>0</v>
      </c>
    </row>
    <row r="229" spans="1:69" ht="15">
      <c r="A229" s="125">
        <f>'维护-日期'!A$12</f>
        <v>46275</v>
      </c>
      <c r="B229" s="7" t="s">
        <v>17</v>
      </c>
      <c r="C229" s="144">
        <f t="shared" si="110"/>
        <v>21.329000000000001</v>
      </c>
      <c r="D229" s="144">
        <f>ROUND(INDEX(持仓数据!$C$3:$AG$26,MATCH('计算过程-数据汇总'!B229,持仓数据!$B$3:$B$26,0),MATCH('计算过程-数据汇总'!A229,'维护-日期'!$B$2:$AF$2,0)),3)</f>
        <v>21.329000000000001</v>
      </c>
      <c r="E229" s="98">
        <f t="shared" si="111"/>
        <v>21.329000000000001</v>
      </c>
      <c r="F229" s="22">
        <f>持仓数据!L83</f>
        <v>0.32100000000000001</v>
      </c>
      <c r="G229" s="97">
        <v>372</v>
      </c>
      <c r="H229" s="97">
        <v>372</v>
      </c>
      <c r="I229" s="64">
        <v>0</v>
      </c>
      <c r="J229" s="64">
        <v>0</v>
      </c>
      <c r="K229" s="21">
        <f>IF(持仓数据!L116="",0,持仓数据!L116)</f>
        <v>372</v>
      </c>
      <c r="L229" s="21">
        <f t="shared" si="112"/>
        <v>0</v>
      </c>
      <c r="M229" s="28">
        <f t="shared" si="96"/>
        <v>7934.3879999999999</v>
      </c>
      <c r="N229" s="28">
        <f t="shared" si="97"/>
        <v>0</v>
      </c>
      <c r="O229" s="28">
        <f t="shared" si="98"/>
        <v>0</v>
      </c>
      <c r="P229" s="28">
        <f t="shared" si="99"/>
        <v>0</v>
      </c>
      <c r="Q229" s="28">
        <f t="shared" si="113"/>
        <v>0</v>
      </c>
      <c r="R229" s="28">
        <f t="shared" si="100"/>
        <v>7934.3879999999999</v>
      </c>
      <c r="S229" s="28">
        <f t="shared" si="114"/>
        <v>0</v>
      </c>
      <c r="T229" s="28">
        <f t="shared" si="115"/>
        <v>0</v>
      </c>
      <c r="U229" s="28">
        <f t="shared" si="118"/>
        <v>0</v>
      </c>
      <c r="V229" s="28">
        <f t="shared" si="116"/>
        <v>0</v>
      </c>
      <c r="W229" s="118"/>
      <c r="X229" s="143">
        <f t="shared" si="117"/>
        <v>25.274000000000001</v>
      </c>
      <c r="Y229" s="121">
        <f>交易记录!M16</f>
        <v>0.32100000000000001</v>
      </c>
      <c r="Z229" s="121">
        <f>交易记录!M47</f>
        <v>372</v>
      </c>
      <c r="AA229" s="30">
        <f t="shared" si="101"/>
        <v>0</v>
      </c>
      <c r="AB229" s="124">
        <f>交易记录!M80</f>
        <v>0</v>
      </c>
      <c r="AC229" s="124">
        <f>交易记录!M111</f>
        <v>0</v>
      </c>
      <c r="AD229" s="30">
        <f t="shared" si="125"/>
        <v>0</v>
      </c>
      <c r="AE229" s="121">
        <f>交易记录!M144</f>
        <v>0</v>
      </c>
      <c r="AF229" s="121">
        <f>交易记录!M175</f>
        <v>0</v>
      </c>
      <c r="AG229" s="30">
        <f t="shared" si="126"/>
        <v>0</v>
      </c>
      <c r="AH229" s="124">
        <f>交易记录!M208</f>
        <v>0</v>
      </c>
      <c r="AI229" s="124">
        <f>交易记录!M239</f>
        <v>0</v>
      </c>
      <c r="AJ229" s="30">
        <f t="shared" si="127"/>
        <v>0</v>
      </c>
      <c r="AK229" s="121">
        <f>交易记录!M272</f>
        <v>0</v>
      </c>
      <c r="AL229" s="121">
        <f>交易记录!M303</f>
        <v>0</v>
      </c>
      <c r="AM229" s="30">
        <f t="shared" si="128"/>
        <v>0</v>
      </c>
      <c r="AN229" s="124">
        <f>交易记录!M336</f>
        <v>0</v>
      </c>
      <c r="AO229" s="124">
        <f>交易记录!M367</f>
        <v>0</v>
      </c>
      <c r="AP229" s="30">
        <f t="shared" si="129"/>
        <v>0</v>
      </c>
      <c r="AQ229" s="121">
        <f>交易记录!M400</f>
        <v>0</v>
      </c>
      <c r="AR229" s="121">
        <f>交易记录!M431</f>
        <v>0</v>
      </c>
      <c r="AS229" s="30">
        <f t="shared" si="130"/>
        <v>0</v>
      </c>
      <c r="AT229" s="124">
        <f>交易记录!M464</f>
        <v>0</v>
      </c>
      <c r="AU229" s="124">
        <f>交易记录!M495</f>
        <v>0</v>
      </c>
      <c r="AV229" s="30">
        <f t="shared" si="102"/>
        <v>0</v>
      </c>
      <c r="AW229" s="121">
        <f>交易记录!M528</f>
        <v>0</v>
      </c>
      <c r="AX229" s="121">
        <f>交易记录!M559</f>
        <v>0</v>
      </c>
      <c r="AY229" s="30">
        <f t="shared" si="103"/>
        <v>0</v>
      </c>
      <c r="AZ229" s="124">
        <f>交易记录!M592</f>
        <v>0</v>
      </c>
      <c r="BA229" s="124">
        <f>交易记录!M623</f>
        <v>0</v>
      </c>
      <c r="BB229" s="30">
        <f t="shared" si="104"/>
        <v>0</v>
      </c>
      <c r="BC229" s="121">
        <f>交易记录!M656</f>
        <v>0</v>
      </c>
      <c r="BD229" s="121">
        <f>交易记录!M687</f>
        <v>0</v>
      </c>
      <c r="BE229" s="30">
        <f t="shared" si="105"/>
        <v>0</v>
      </c>
      <c r="BF229" s="124">
        <f>交易记录!M720</f>
        <v>0</v>
      </c>
      <c r="BG229" s="124">
        <f>交易记录!M751</f>
        <v>0</v>
      </c>
      <c r="BH229" s="30">
        <f t="shared" si="106"/>
        <v>0</v>
      </c>
      <c r="BI229" s="121">
        <f>交易记录!M784</f>
        <v>0</v>
      </c>
      <c r="BJ229" s="121">
        <f>交易记录!M815</f>
        <v>0</v>
      </c>
      <c r="BK229" s="30">
        <f t="shared" si="107"/>
        <v>0</v>
      </c>
      <c r="BL229" s="124">
        <f>交易记录!M848</f>
        <v>0</v>
      </c>
      <c r="BM229" s="124">
        <f>交易记录!M879</f>
        <v>0</v>
      </c>
      <c r="BN229" s="30">
        <f t="shared" si="108"/>
        <v>0</v>
      </c>
      <c r="BO229" s="121">
        <f>交易记录!M912</f>
        <v>0</v>
      </c>
      <c r="BP229" s="121">
        <f>交易记录!M943</f>
        <v>0</v>
      </c>
      <c r="BQ229" s="30">
        <f t="shared" si="109"/>
        <v>0</v>
      </c>
    </row>
    <row r="230" spans="1:69" ht="15">
      <c r="A230" s="125">
        <f>'维护-日期'!A$12</f>
        <v>46275</v>
      </c>
      <c r="B230" s="7" t="s">
        <v>18</v>
      </c>
      <c r="C230" s="144">
        <f t="shared" si="110"/>
        <v>22.643999999999998</v>
      </c>
      <c r="D230" s="144">
        <f>ROUND(INDEX(持仓数据!$C$3:$AG$26,MATCH('计算过程-数据汇总'!B230,持仓数据!$B$3:$B$26,0),MATCH('计算过程-数据汇总'!A230,'维护-日期'!$B$2:$AF$2,0)),3)</f>
        <v>22.643999999999998</v>
      </c>
      <c r="E230" s="98">
        <f t="shared" si="111"/>
        <v>22.643999999999998</v>
      </c>
      <c r="F230" s="22">
        <f>持仓数据!L84</f>
        <v>7.8E-2</v>
      </c>
      <c r="G230" s="97">
        <v>372</v>
      </c>
      <c r="H230" s="97">
        <v>372</v>
      </c>
      <c r="I230" s="64">
        <v>0</v>
      </c>
      <c r="J230" s="64">
        <v>0</v>
      </c>
      <c r="K230" s="21">
        <f>IF(持仓数据!L117="",0,持仓数据!L117)</f>
        <v>372</v>
      </c>
      <c r="L230" s="21">
        <f t="shared" si="112"/>
        <v>0</v>
      </c>
      <c r="M230" s="28">
        <f t="shared" si="96"/>
        <v>8423.5679999999993</v>
      </c>
      <c r="N230" s="28">
        <f t="shared" si="97"/>
        <v>0</v>
      </c>
      <c r="O230" s="28">
        <f t="shared" si="98"/>
        <v>0</v>
      </c>
      <c r="P230" s="28">
        <f t="shared" si="99"/>
        <v>0</v>
      </c>
      <c r="Q230" s="28">
        <f t="shared" si="113"/>
        <v>0</v>
      </c>
      <c r="R230" s="28">
        <f t="shared" si="100"/>
        <v>8423.5679999999993</v>
      </c>
      <c r="S230" s="28">
        <f t="shared" si="114"/>
        <v>0</v>
      </c>
      <c r="T230" s="28">
        <f t="shared" si="115"/>
        <v>0</v>
      </c>
      <c r="U230" s="28">
        <f t="shared" si="118"/>
        <v>0</v>
      </c>
      <c r="V230" s="28">
        <f t="shared" si="116"/>
        <v>0</v>
      </c>
      <c r="W230" s="118"/>
      <c r="X230" s="143">
        <f t="shared" si="117"/>
        <v>27.094999999999999</v>
      </c>
      <c r="Y230" s="121">
        <f>交易记录!M17</f>
        <v>7.8E-2</v>
      </c>
      <c r="Z230" s="121">
        <f>交易记录!M48</f>
        <v>372</v>
      </c>
      <c r="AA230" s="30">
        <f t="shared" si="101"/>
        <v>0</v>
      </c>
      <c r="AB230" s="124">
        <f>交易记录!M81</f>
        <v>0</v>
      </c>
      <c r="AC230" s="124">
        <f>交易记录!M112</f>
        <v>0</v>
      </c>
      <c r="AD230" s="30">
        <f t="shared" si="125"/>
        <v>0</v>
      </c>
      <c r="AE230" s="121">
        <f>交易记录!M145</f>
        <v>0</v>
      </c>
      <c r="AF230" s="121">
        <f>交易记录!M176</f>
        <v>0</v>
      </c>
      <c r="AG230" s="30">
        <f t="shared" si="126"/>
        <v>0</v>
      </c>
      <c r="AH230" s="124">
        <f>交易记录!M209</f>
        <v>0</v>
      </c>
      <c r="AI230" s="124">
        <f>交易记录!M240</f>
        <v>0</v>
      </c>
      <c r="AJ230" s="30">
        <f t="shared" si="127"/>
        <v>0</v>
      </c>
      <c r="AK230" s="121">
        <f>交易记录!M273</f>
        <v>0</v>
      </c>
      <c r="AL230" s="121">
        <f>交易记录!M304</f>
        <v>0</v>
      </c>
      <c r="AM230" s="30">
        <f t="shared" si="128"/>
        <v>0</v>
      </c>
      <c r="AN230" s="124">
        <f>交易记录!M337</f>
        <v>0</v>
      </c>
      <c r="AO230" s="124">
        <f>交易记录!M368</f>
        <v>0</v>
      </c>
      <c r="AP230" s="30">
        <f t="shared" si="129"/>
        <v>0</v>
      </c>
      <c r="AQ230" s="121">
        <f>交易记录!M401</f>
        <v>0</v>
      </c>
      <c r="AR230" s="121">
        <f>交易记录!M432</f>
        <v>0</v>
      </c>
      <c r="AS230" s="30">
        <f t="shared" si="130"/>
        <v>0</v>
      </c>
      <c r="AT230" s="124">
        <f>交易记录!M465</f>
        <v>0</v>
      </c>
      <c r="AU230" s="124">
        <f>交易记录!M496</f>
        <v>0</v>
      </c>
      <c r="AV230" s="30">
        <f t="shared" si="102"/>
        <v>0</v>
      </c>
      <c r="AW230" s="121">
        <f>交易记录!M529</f>
        <v>0</v>
      </c>
      <c r="AX230" s="121">
        <f>交易记录!M560</f>
        <v>0</v>
      </c>
      <c r="AY230" s="30">
        <f t="shared" si="103"/>
        <v>0</v>
      </c>
      <c r="AZ230" s="124">
        <f>交易记录!M593</f>
        <v>0</v>
      </c>
      <c r="BA230" s="124">
        <f>交易记录!M624</f>
        <v>0</v>
      </c>
      <c r="BB230" s="30">
        <f t="shared" si="104"/>
        <v>0</v>
      </c>
      <c r="BC230" s="121">
        <f>交易记录!M657</f>
        <v>0</v>
      </c>
      <c r="BD230" s="121">
        <f>交易记录!M688</f>
        <v>0</v>
      </c>
      <c r="BE230" s="30">
        <f t="shared" si="105"/>
        <v>0</v>
      </c>
      <c r="BF230" s="124">
        <f>交易记录!M721</f>
        <v>0</v>
      </c>
      <c r="BG230" s="124">
        <f>交易记录!M752</f>
        <v>0</v>
      </c>
      <c r="BH230" s="30">
        <f t="shared" si="106"/>
        <v>0</v>
      </c>
      <c r="BI230" s="121">
        <f>交易记录!M785</f>
        <v>0</v>
      </c>
      <c r="BJ230" s="121">
        <f>交易记录!M816</f>
        <v>0</v>
      </c>
      <c r="BK230" s="30">
        <f t="shared" si="107"/>
        <v>0</v>
      </c>
      <c r="BL230" s="124">
        <f>交易记录!M849</f>
        <v>0</v>
      </c>
      <c r="BM230" s="124">
        <f>交易记录!M880</f>
        <v>0</v>
      </c>
      <c r="BN230" s="30">
        <f t="shared" si="108"/>
        <v>0</v>
      </c>
      <c r="BO230" s="121">
        <f>交易记录!M913</f>
        <v>0</v>
      </c>
      <c r="BP230" s="121">
        <f>交易记录!M944</f>
        <v>0</v>
      </c>
      <c r="BQ230" s="30">
        <f t="shared" si="109"/>
        <v>0</v>
      </c>
    </row>
    <row r="231" spans="1:69" ht="15">
      <c r="A231" s="125">
        <f>'维护-日期'!A$12</f>
        <v>46275</v>
      </c>
      <c r="B231" s="7" t="s">
        <v>19</v>
      </c>
      <c r="C231" s="144">
        <f t="shared" si="110"/>
        <v>22.904</v>
      </c>
      <c r="D231" s="144">
        <f>ROUND(INDEX(持仓数据!$C$3:$AG$26,MATCH('计算过程-数据汇总'!B231,持仓数据!$B$3:$B$26,0),MATCH('计算过程-数据汇总'!A231,'维护-日期'!$B$2:$AF$2,0)),3)</f>
        <v>22.904</v>
      </c>
      <c r="E231" s="98">
        <f t="shared" si="111"/>
        <v>22.904</v>
      </c>
      <c r="F231" s="22">
        <f>持仓数据!L85</f>
        <v>0.19500000000000001</v>
      </c>
      <c r="G231" s="97">
        <v>372</v>
      </c>
      <c r="H231" s="97">
        <v>372</v>
      </c>
      <c r="I231" s="64">
        <v>0</v>
      </c>
      <c r="J231" s="64">
        <v>0</v>
      </c>
      <c r="K231" s="21">
        <f>IF(持仓数据!L118="",0,持仓数据!L118)</f>
        <v>372</v>
      </c>
      <c r="L231" s="21">
        <f t="shared" si="112"/>
        <v>0</v>
      </c>
      <c r="M231" s="28">
        <f t="shared" si="96"/>
        <v>8520.2880000000005</v>
      </c>
      <c r="N231" s="28">
        <f t="shared" si="97"/>
        <v>0</v>
      </c>
      <c r="O231" s="28">
        <f t="shared" si="98"/>
        <v>0</v>
      </c>
      <c r="P231" s="28">
        <f t="shared" si="99"/>
        <v>0</v>
      </c>
      <c r="Q231" s="28">
        <f t="shared" si="113"/>
        <v>0</v>
      </c>
      <c r="R231" s="28">
        <f t="shared" si="100"/>
        <v>8520.2880000000005</v>
      </c>
      <c r="S231" s="28">
        <f t="shared" si="114"/>
        <v>0</v>
      </c>
      <c r="T231" s="28">
        <f t="shared" si="115"/>
        <v>0</v>
      </c>
      <c r="U231" s="28">
        <f t="shared" si="118"/>
        <v>0</v>
      </c>
      <c r="V231" s="28">
        <f t="shared" si="116"/>
        <v>0</v>
      </c>
      <c r="W231" s="118"/>
      <c r="X231" s="143">
        <f t="shared" si="117"/>
        <v>27.29</v>
      </c>
      <c r="Y231" s="121">
        <f>交易记录!M18</f>
        <v>0.19500000000000001</v>
      </c>
      <c r="Z231" s="121">
        <f>交易记录!M49</f>
        <v>372</v>
      </c>
      <c r="AA231" s="30">
        <f t="shared" si="101"/>
        <v>0</v>
      </c>
      <c r="AB231" s="124">
        <f>交易记录!M82</f>
        <v>0</v>
      </c>
      <c r="AC231" s="124">
        <f>交易记录!M113</f>
        <v>0</v>
      </c>
      <c r="AD231" s="30">
        <f t="shared" si="125"/>
        <v>0</v>
      </c>
      <c r="AE231" s="121">
        <f>交易记录!M146</f>
        <v>0</v>
      </c>
      <c r="AF231" s="121">
        <f>交易记录!M177</f>
        <v>0</v>
      </c>
      <c r="AG231" s="30">
        <f t="shared" si="126"/>
        <v>0</v>
      </c>
      <c r="AH231" s="124">
        <f>交易记录!M210</f>
        <v>0</v>
      </c>
      <c r="AI231" s="124">
        <f>交易记录!M241</f>
        <v>0</v>
      </c>
      <c r="AJ231" s="30">
        <f t="shared" si="127"/>
        <v>0</v>
      </c>
      <c r="AK231" s="121">
        <f>交易记录!M274</f>
        <v>0</v>
      </c>
      <c r="AL231" s="121">
        <f>交易记录!M305</f>
        <v>0</v>
      </c>
      <c r="AM231" s="30">
        <f t="shared" si="128"/>
        <v>0</v>
      </c>
      <c r="AN231" s="124">
        <f>交易记录!M338</f>
        <v>0</v>
      </c>
      <c r="AO231" s="124">
        <f>交易记录!M369</f>
        <v>0</v>
      </c>
      <c r="AP231" s="30">
        <f t="shared" si="129"/>
        <v>0</v>
      </c>
      <c r="AQ231" s="121">
        <f>交易记录!M402</f>
        <v>0</v>
      </c>
      <c r="AR231" s="121">
        <f>交易记录!M433</f>
        <v>0</v>
      </c>
      <c r="AS231" s="30">
        <f t="shared" si="130"/>
        <v>0</v>
      </c>
      <c r="AT231" s="124">
        <f>交易记录!M466</f>
        <v>0</v>
      </c>
      <c r="AU231" s="124">
        <f>交易记录!M497</f>
        <v>0</v>
      </c>
      <c r="AV231" s="30">
        <f t="shared" si="102"/>
        <v>0</v>
      </c>
      <c r="AW231" s="121">
        <f>交易记录!M530</f>
        <v>0</v>
      </c>
      <c r="AX231" s="121">
        <f>交易记录!M561</f>
        <v>0</v>
      </c>
      <c r="AY231" s="30">
        <f t="shared" si="103"/>
        <v>0</v>
      </c>
      <c r="AZ231" s="124">
        <f>交易记录!M594</f>
        <v>0</v>
      </c>
      <c r="BA231" s="124">
        <f>交易记录!M625</f>
        <v>0</v>
      </c>
      <c r="BB231" s="30">
        <f t="shared" si="104"/>
        <v>0</v>
      </c>
      <c r="BC231" s="121">
        <f>交易记录!M658</f>
        <v>0</v>
      </c>
      <c r="BD231" s="121">
        <f>交易记录!M689</f>
        <v>0</v>
      </c>
      <c r="BE231" s="30">
        <f t="shared" si="105"/>
        <v>0</v>
      </c>
      <c r="BF231" s="124">
        <f>交易记录!M722</f>
        <v>0</v>
      </c>
      <c r="BG231" s="124">
        <f>交易记录!M753</f>
        <v>0</v>
      </c>
      <c r="BH231" s="30">
        <f t="shared" si="106"/>
        <v>0</v>
      </c>
      <c r="BI231" s="121">
        <f>交易记录!M786</f>
        <v>0</v>
      </c>
      <c r="BJ231" s="121">
        <f>交易记录!M817</f>
        <v>0</v>
      </c>
      <c r="BK231" s="30">
        <f t="shared" si="107"/>
        <v>0</v>
      </c>
      <c r="BL231" s="124">
        <f>交易记录!M850</f>
        <v>0</v>
      </c>
      <c r="BM231" s="124">
        <f>交易记录!M881</f>
        <v>0</v>
      </c>
      <c r="BN231" s="30">
        <f t="shared" si="108"/>
        <v>0</v>
      </c>
      <c r="BO231" s="121">
        <f>交易记录!M914</f>
        <v>0</v>
      </c>
      <c r="BP231" s="121">
        <f>交易记录!M945</f>
        <v>0</v>
      </c>
      <c r="BQ231" s="30">
        <f t="shared" si="109"/>
        <v>0</v>
      </c>
    </row>
    <row r="232" spans="1:69" ht="15">
      <c r="A232" s="125">
        <f>'维护-日期'!A$12</f>
        <v>46275</v>
      </c>
      <c r="B232" s="7" t="s">
        <v>20</v>
      </c>
      <c r="C232" s="144">
        <f t="shared" si="110"/>
        <v>22.071000000000002</v>
      </c>
      <c r="D232" s="144">
        <f>ROUND(INDEX(持仓数据!$C$3:$AG$26,MATCH('计算过程-数据汇总'!B232,持仓数据!$B$3:$B$26,0),MATCH('计算过程-数据汇总'!A232,'维护-日期'!$B$2:$AF$2,0)),3)</f>
        <v>22.071000000000002</v>
      </c>
      <c r="E232" s="98">
        <f t="shared" si="111"/>
        <v>22.071000000000002</v>
      </c>
      <c r="F232" s="22">
        <f>持仓数据!L86</f>
        <v>0.34599999999999997</v>
      </c>
      <c r="G232" s="97">
        <v>372</v>
      </c>
      <c r="H232" s="97">
        <v>372</v>
      </c>
      <c r="I232" s="64">
        <v>0</v>
      </c>
      <c r="J232" s="64">
        <v>0</v>
      </c>
      <c r="K232" s="21">
        <f>IF(持仓数据!L119="",0,持仓数据!L119)</f>
        <v>372</v>
      </c>
      <c r="L232" s="21">
        <f t="shared" si="112"/>
        <v>0</v>
      </c>
      <c r="M232" s="28">
        <f t="shared" si="96"/>
        <v>8210.4120000000003</v>
      </c>
      <c r="N232" s="28">
        <f t="shared" si="97"/>
        <v>0</v>
      </c>
      <c r="O232" s="28">
        <f t="shared" si="98"/>
        <v>0</v>
      </c>
      <c r="P232" s="28">
        <f t="shared" si="99"/>
        <v>0</v>
      </c>
      <c r="Q232" s="28">
        <f t="shared" si="113"/>
        <v>0</v>
      </c>
      <c r="R232" s="28">
        <f t="shared" si="100"/>
        <v>8210.4120000000003</v>
      </c>
      <c r="S232" s="28">
        <f t="shared" si="114"/>
        <v>0</v>
      </c>
      <c r="T232" s="28">
        <f t="shared" si="115"/>
        <v>0</v>
      </c>
      <c r="U232" s="28">
        <f t="shared" si="118"/>
        <v>0</v>
      </c>
      <c r="V232" s="28">
        <f t="shared" si="116"/>
        <v>0</v>
      </c>
      <c r="W232" s="118"/>
      <c r="X232" s="143">
        <f t="shared" si="117"/>
        <v>26.138999999999999</v>
      </c>
      <c r="Y232" s="121">
        <f>交易记录!M19</f>
        <v>0.34599999999999997</v>
      </c>
      <c r="Z232" s="121">
        <f>交易记录!M50</f>
        <v>372</v>
      </c>
      <c r="AA232" s="30">
        <f t="shared" si="101"/>
        <v>0</v>
      </c>
      <c r="AB232" s="124">
        <f>交易记录!M83</f>
        <v>0</v>
      </c>
      <c r="AC232" s="124">
        <f>交易记录!M114</f>
        <v>0</v>
      </c>
      <c r="AD232" s="30">
        <f t="shared" si="125"/>
        <v>0</v>
      </c>
      <c r="AE232" s="121">
        <f>交易记录!M147</f>
        <v>0</v>
      </c>
      <c r="AF232" s="121">
        <f>交易记录!M178</f>
        <v>0</v>
      </c>
      <c r="AG232" s="30">
        <f t="shared" si="126"/>
        <v>0</v>
      </c>
      <c r="AH232" s="124">
        <f>交易记录!M211</f>
        <v>0</v>
      </c>
      <c r="AI232" s="124">
        <f>交易记录!M242</f>
        <v>0</v>
      </c>
      <c r="AJ232" s="30">
        <f t="shared" si="127"/>
        <v>0</v>
      </c>
      <c r="AK232" s="121">
        <f>交易记录!M275</f>
        <v>0</v>
      </c>
      <c r="AL232" s="121">
        <f>交易记录!M306</f>
        <v>0</v>
      </c>
      <c r="AM232" s="30">
        <f t="shared" si="128"/>
        <v>0</v>
      </c>
      <c r="AN232" s="124">
        <f>交易记录!M339</f>
        <v>0</v>
      </c>
      <c r="AO232" s="124">
        <f>交易记录!M370</f>
        <v>0</v>
      </c>
      <c r="AP232" s="30">
        <f t="shared" si="129"/>
        <v>0</v>
      </c>
      <c r="AQ232" s="121">
        <f>交易记录!M403</f>
        <v>0</v>
      </c>
      <c r="AR232" s="121">
        <f>交易记录!M434</f>
        <v>0</v>
      </c>
      <c r="AS232" s="30">
        <f t="shared" si="130"/>
        <v>0</v>
      </c>
      <c r="AT232" s="124">
        <f>交易记录!M467</f>
        <v>0</v>
      </c>
      <c r="AU232" s="124">
        <f>交易记录!M498</f>
        <v>0</v>
      </c>
      <c r="AV232" s="30">
        <f t="shared" si="102"/>
        <v>0</v>
      </c>
      <c r="AW232" s="121">
        <f>交易记录!M531</f>
        <v>0</v>
      </c>
      <c r="AX232" s="121">
        <f>交易记录!M562</f>
        <v>0</v>
      </c>
      <c r="AY232" s="30">
        <f t="shared" si="103"/>
        <v>0</v>
      </c>
      <c r="AZ232" s="124">
        <f>交易记录!M595</f>
        <v>0</v>
      </c>
      <c r="BA232" s="124">
        <f>交易记录!M626</f>
        <v>0</v>
      </c>
      <c r="BB232" s="30">
        <f t="shared" si="104"/>
        <v>0</v>
      </c>
      <c r="BC232" s="121">
        <f>交易记录!M659</f>
        <v>0</v>
      </c>
      <c r="BD232" s="121">
        <f>交易记录!M690</f>
        <v>0</v>
      </c>
      <c r="BE232" s="30">
        <f t="shared" si="105"/>
        <v>0</v>
      </c>
      <c r="BF232" s="124">
        <f>交易记录!M723</f>
        <v>0</v>
      </c>
      <c r="BG232" s="124">
        <f>交易记录!M754</f>
        <v>0</v>
      </c>
      <c r="BH232" s="30">
        <f t="shared" si="106"/>
        <v>0</v>
      </c>
      <c r="BI232" s="121">
        <f>交易记录!M787</f>
        <v>0</v>
      </c>
      <c r="BJ232" s="121">
        <f>交易记录!M818</f>
        <v>0</v>
      </c>
      <c r="BK232" s="30">
        <f t="shared" si="107"/>
        <v>0</v>
      </c>
      <c r="BL232" s="124">
        <f>交易记录!M851</f>
        <v>0</v>
      </c>
      <c r="BM232" s="124">
        <f>交易记录!M882</f>
        <v>0</v>
      </c>
      <c r="BN232" s="30">
        <f t="shared" si="108"/>
        <v>0</v>
      </c>
      <c r="BO232" s="121">
        <f>交易记录!M915</f>
        <v>0</v>
      </c>
      <c r="BP232" s="121">
        <f>交易记录!M946</f>
        <v>0</v>
      </c>
      <c r="BQ232" s="30">
        <f t="shared" si="109"/>
        <v>0</v>
      </c>
    </row>
    <row r="233" spans="1:69" ht="15">
      <c r="A233" s="125">
        <f>'维护-日期'!A$12</f>
        <v>46275</v>
      </c>
      <c r="B233" s="7" t="s">
        <v>21</v>
      </c>
      <c r="C233" s="144">
        <f t="shared" si="110"/>
        <v>22.087</v>
      </c>
      <c r="D233" s="144">
        <f>ROUND(INDEX(持仓数据!$C$3:$AG$26,MATCH('计算过程-数据汇总'!B233,持仓数据!$B$3:$B$26,0),MATCH('计算过程-数据汇总'!A233,'维护-日期'!$B$2:$AF$2,0)),3)</f>
        <v>22.087</v>
      </c>
      <c r="E233" s="98">
        <f t="shared" si="111"/>
        <v>22.087</v>
      </c>
      <c r="F233" s="22">
        <f>持仓数据!L87</f>
        <v>0.38</v>
      </c>
      <c r="G233" s="97">
        <v>372</v>
      </c>
      <c r="H233" s="97">
        <v>372</v>
      </c>
      <c r="I233" s="64">
        <v>0</v>
      </c>
      <c r="J233" s="64">
        <v>0</v>
      </c>
      <c r="K233" s="21">
        <f>IF(持仓数据!L120="",0,持仓数据!L120)</f>
        <v>372.00000000000006</v>
      </c>
      <c r="L233" s="21">
        <f t="shared" si="112"/>
        <v>0</v>
      </c>
      <c r="M233" s="28">
        <f t="shared" si="96"/>
        <v>8216.3639999999996</v>
      </c>
      <c r="N233" s="28">
        <f t="shared" si="97"/>
        <v>0</v>
      </c>
      <c r="O233" s="28">
        <f t="shared" si="98"/>
        <v>0</v>
      </c>
      <c r="P233" s="28">
        <f t="shared" si="99"/>
        <v>2.1600499167107046E-14</v>
      </c>
      <c r="Q233" s="28">
        <f t="shared" si="113"/>
        <v>0</v>
      </c>
      <c r="R233" s="28">
        <f t="shared" si="100"/>
        <v>8216.3640000000014</v>
      </c>
      <c r="S233" s="28">
        <f t="shared" si="114"/>
        <v>0</v>
      </c>
      <c r="T233" s="28">
        <f t="shared" si="115"/>
        <v>-1.2339000932115596E-12</v>
      </c>
      <c r="U233" s="28">
        <f t="shared" si="118"/>
        <v>0</v>
      </c>
      <c r="V233" s="28">
        <f t="shared" si="116"/>
        <v>0</v>
      </c>
      <c r="W233" s="118"/>
      <c r="X233" s="143">
        <f t="shared" si="117"/>
        <v>26.123999999999999</v>
      </c>
      <c r="Y233" s="121">
        <f>交易记录!M20</f>
        <v>0.38</v>
      </c>
      <c r="Z233" s="121">
        <f>交易记录!M51</f>
        <v>372</v>
      </c>
      <c r="AA233" s="30">
        <f t="shared" si="101"/>
        <v>0</v>
      </c>
      <c r="AB233" s="124">
        <f>交易记录!M84</f>
        <v>0</v>
      </c>
      <c r="AC233" s="124">
        <f>交易记录!M115</f>
        <v>0</v>
      </c>
      <c r="AD233" s="30">
        <f t="shared" si="125"/>
        <v>0</v>
      </c>
      <c r="AE233" s="121">
        <f>交易记录!M148</f>
        <v>0</v>
      </c>
      <c r="AF233" s="121">
        <f>交易记录!M179</f>
        <v>0</v>
      </c>
      <c r="AG233" s="30">
        <f t="shared" si="126"/>
        <v>0</v>
      </c>
      <c r="AH233" s="124">
        <f>交易记录!M212</f>
        <v>0</v>
      </c>
      <c r="AI233" s="124">
        <f>交易记录!M243</f>
        <v>0</v>
      </c>
      <c r="AJ233" s="30">
        <f t="shared" si="127"/>
        <v>0</v>
      </c>
      <c r="AK233" s="121">
        <f>交易记录!M276</f>
        <v>0</v>
      </c>
      <c r="AL233" s="121">
        <f>交易记录!M307</f>
        <v>0</v>
      </c>
      <c r="AM233" s="30">
        <f t="shared" si="128"/>
        <v>0</v>
      </c>
      <c r="AN233" s="124">
        <f>交易记录!M340</f>
        <v>0</v>
      </c>
      <c r="AO233" s="124">
        <f>交易记录!M371</f>
        <v>0</v>
      </c>
      <c r="AP233" s="30">
        <f t="shared" si="129"/>
        <v>0</v>
      </c>
      <c r="AQ233" s="121">
        <f>交易记录!M404</f>
        <v>0</v>
      </c>
      <c r="AR233" s="121">
        <f>交易记录!M435</f>
        <v>0</v>
      </c>
      <c r="AS233" s="30">
        <f t="shared" si="130"/>
        <v>0</v>
      </c>
      <c r="AT233" s="124">
        <f>交易记录!M468</f>
        <v>0</v>
      </c>
      <c r="AU233" s="124">
        <f>交易记录!M499</f>
        <v>0</v>
      </c>
      <c r="AV233" s="30">
        <f t="shared" si="102"/>
        <v>0</v>
      </c>
      <c r="AW233" s="121">
        <f>交易记录!M532</f>
        <v>0</v>
      </c>
      <c r="AX233" s="121">
        <f>交易记录!M563</f>
        <v>0</v>
      </c>
      <c r="AY233" s="30">
        <f t="shared" si="103"/>
        <v>0</v>
      </c>
      <c r="AZ233" s="124">
        <f>交易记录!M596</f>
        <v>0</v>
      </c>
      <c r="BA233" s="124">
        <f>交易记录!M627</f>
        <v>0</v>
      </c>
      <c r="BB233" s="30">
        <f t="shared" si="104"/>
        <v>0</v>
      </c>
      <c r="BC233" s="121">
        <f>交易记录!M660</f>
        <v>0</v>
      </c>
      <c r="BD233" s="121">
        <f>交易记录!M691</f>
        <v>0</v>
      </c>
      <c r="BE233" s="30">
        <f t="shared" si="105"/>
        <v>0</v>
      </c>
      <c r="BF233" s="124">
        <f>交易记录!M724</f>
        <v>0</v>
      </c>
      <c r="BG233" s="124">
        <f>交易记录!M755</f>
        <v>0</v>
      </c>
      <c r="BH233" s="30">
        <f t="shared" si="106"/>
        <v>0</v>
      </c>
      <c r="BI233" s="121">
        <f>交易记录!M788</f>
        <v>0</v>
      </c>
      <c r="BJ233" s="121">
        <f>交易记录!M819</f>
        <v>0</v>
      </c>
      <c r="BK233" s="30">
        <f t="shared" si="107"/>
        <v>0</v>
      </c>
      <c r="BL233" s="124">
        <f>交易记录!M852</f>
        <v>0</v>
      </c>
      <c r="BM233" s="124">
        <f>交易记录!M883</f>
        <v>0</v>
      </c>
      <c r="BN233" s="30">
        <f t="shared" si="108"/>
        <v>0</v>
      </c>
      <c r="BO233" s="121">
        <f>交易记录!M916</f>
        <v>0</v>
      </c>
      <c r="BP233" s="121">
        <f>交易记录!M947</f>
        <v>0</v>
      </c>
      <c r="BQ233" s="30">
        <f t="shared" si="109"/>
        <v>0</v>
      </c>
    </row>
    <row r="234" spans="1:69" ht="15">
      <c r="A234" s="125">
        <f>'维护-日期'!A$12</f>
        <v>46275</v>
      </c>
      <c r="B234" s="7" t="s">
        <v>22</v>
      </c>
      <c r="C234" s="144">
        <f t="shared" si="110"/>
        <v>23.077999999999999</v>
      </c>
      <c r="D234" s="144">
        <f>ROUND(INDEX(持仓数据!$C$3:$AG$26,MATCH('计算过程-数据汇总'!B234,持仓数据!$B$3:$B$26,0),MATCH('计算过程-数据汇总'!A234,'维护-日期'!$B$2:$AF$2,0)),3)</f>
        <v>23.077999999999999</v>
      </c>
      <c r="E234" s="98">
        <f t="shared" si="111"/>
        <v>23.077999999999999</v>
      </c>
      <c r="F234" s="22">
        <f>持仓数据!L88</f>
        <v>0.58600000000000008</v>
      </c>
      <c r="G234" s="97">
        <v>372</v>
      </c>
      <c r="H234" s="97">
        <v>372</v>
      </c>
      <c r="I234" s="64">
        <v>0</v>
      </c>
      <c r="J234" s="64">
        <v>0</v>
      </c>
      <c r="K234" s="21">
        <f>IF(持仓数据!L121="",0,持仓数据!L121)</f>
        <v>372</v>
      </c>
      <c r="L234" s="21">
        <f t="shared" si="112"/>
        <v>0</v>
      </c>
      <c r="M234" s="28">
        <f t="shared" si="96"/>
        <v>8585.0159999999996</v>
      </c>
      <c r="N234" s="28">
        <f t="shared" si="97"/>
        <v>0</v>
      </c>
      <c r="O234" s="28">
        <f t="shared" si="98"/>
        <v>0</v>
      </c>
      <c r="P234" s="28">
        <f t="shared" si="99"/>
        <v>0</v>
      </c>
      <c r="Q234" s="28">
        <f t="shared" si="113"/>
        <v>0</v>
      </c>
      <c r="R234" s="28">
        <f t="shared" si="100"/>
        <v>8585.0159999999996</v>
      </c>
      <c r="S234" s="28">
        <f t="shared" si="114"/>
        <v>0</v>
      </c>
      <c r="T234" s="28">
        <f t="shared" si="115"/>
        <v>0</v>
      </c>
      <c r="U234" s="28">
        <f t="shared" si="118"/>
        <v>0</v>
      </c>
      <c r="V234" s="28">
        <f t="shared" si="116"/>
        <v>0</v>
      </c>
      <c r="W234" s="118"/>
      <c r="X234" s="143">
        <f t="shared" si="117"/>
        <v>27.108000000000001</v>
      </c>
      <c r="Y234" s="121">
        <f>交易记录!M21</f>
        <v>0.58600000000000008</v>
      </c>
      <c r="Z234" s="121">
        <f>交易记录!M52</f>
        <v>372</v>
      </c>
      <c r="AA234" s="30">
        <f t="shared" si="101"/>
        <v>0</v>
      </c>
      <c r="AB234" s="124">
        <f>交易记录!M85</f>
        <v>0</v>
      </c>
      <c r="AC234" s="124">
        <f>交易记录!M116</f>
        <v>0</v>
      </c>
      <c r="AD234" s="30">
        <f t="shared" si="125"/>
        <v>0</v>
      </c>
      <c r="AE234" s="121">
        <f>交易记录!M149</f>
        <v>0</v>
      </c>
      <c r="AF234" s="121">
        <f>交易记录!M180</f>
        <v>0</v>
      </c>
      <c r="AG234" s="30">
        <f t="shared" si="126"/>
        <v>0</v>
      </c>
      <c r="AH234" s="124">
        <f>交易记录!M213</f>
        <v>0</v>
      </c>
      <c r="AI234" s="124">
        <f>交易记录!M244</f>
        <v>0</v>
      </c>
      <c r="AJ234" s="30">
        <f t="shared" si="127"/>
        <v>0</v>
      </c>
      <c r="AK234" s="121">
        <f>交易记录!M277</f>
        <v>0</v>
      </c>
      <c r="AL234" s="121">
        <f>交易记录!M308</f>
        <v>0</v>
      </c>
      <c r="AM234" s="30">
        <f t="shared" si="128"/>
        <v>0</v>
      </c>
      <c r="AN234" s="124">
        <f>交易记录!M341</f>
        <v>0</v>
      </c>
      <c r="AO234" s="124">
        <f>交易记录!M372</f>
        <v>0</v>
      </c>
      <c r="AP234" s="30">
        <f t="shared" si="129"/>
        <v>0</v>
      </c>
      <c r="AQ234" s="121">
        <f>交易记录!M405</f>
        <v>0</v>
      </c>
      <c r="AR234" s="121">
        <f>交易记录!M436</f>
        <v>0</v>
      </c>
      <c r="AS234" s="30">
        <f t="shared" si="130"/>
        <v>0</v>
      </c>
      <c r="AT234" s="124">
        <f>交易记录!M469</f>
        <v>0</v>
      </c>
      <c r="AU234" s="124">
        <f>交易记录!M500</f>
        <v>0</v>
      </c>
      <c r="AV234" s="30">
        <f t="shared" si="102"/>
        <v>0</v>
      </c>
      <c r="AW234" s="121">
        <f>交易记录!M533</f>
        <v>0</v>
      </c>
      <c r="AX234" s="121">
        <f>交易记录!M564</f>
        <v>0</v>
      </c>
      <c r="AY234" s="30">
        <f t="shared" si="103"/>
        <v>0</v>
      </c>
      <c r="AZ234" s="124">
        <f>交易记录!M597</f>
        <v>0</v>
      </c>
      <c r="BA234" s="124">
        <f>交易记录!M628</f>
        <v>0</v>
      </c>
      <c r="BB234" s="30">
        <f t="shared" si="104"/>
        <v>0</v>
      </c>
      <c r="BC234" s="121">
        <f>交易记录!M661</f>
        <v>0</v>
      </c>
      <c r="BD234" s="121">
        <f>交易记录!M692</f>
        <v>0</v>
      </c>
      <c r="BE234" s="30">
        <f t="shared" si="105"/>
        <v>0</v>
      </c>
      <c r="BF234" s="124">
        <f>交易记录!M725</f>
        <v>0</v>
      </c>
      <c r="BG234" s="124">
        <f>交易记录!M756</f>
        <v>0</v>
      </c>
      <c r="BH234" s="30">
        <f t="shared" si="106"/>
        <v>0</v>
      </c>
      <c r="BI234" s="121">
        <f>交易记录!M789</f>
        <v>0</v>
      </c>
      <c r="BJ234" s="121">
        <f>交易记录!M820</f>
        <v>0</v>
      </c>
      <c r="BK234" s="30">
        <f t="shared" si="107"/>
        <v>0</v>
      </c>
      <c r="BL234" s="124">
        <f>交易记录!M853</f>
        <v>0</v>
      </c>
      <c r="BM234" s="124">
        <f>交易记录!M884</f>
        <v>0</v>
      </c>
      <c r="BN234" s="30">
        <f t="shared" si="108"/>
        <v>0</v>
      </c>
      <c r="BO234" s="121">
        <f>交易记录!M917</f>
        <v>0</v>
      </c>
      <c r="BP234" s="121">
        <f>交易记录!M948</f>
        <v>0</v>
      </c>
      <c r="BQ234" s="30">
        <f t="shared" si="109"/>
        <v>0</v>
      </c>
    </row>
    <row r="235" spans="1:69" ht="15">
      <c r="A235" s="125">
        <f>'维护-日期'!A$12</f>
        <v>46275</v>
      </c>
      <c r="B235" s="7" t="s">
        <v>23</v>
      </c>
      <c r="C235" s="144">
        <f t="shared" si="110"/>
        <v>23.443000000000001</v>
      </c>
      <c r="D235" s="144">
        <f>ROUND(INDEX(持仓数据!$C$3:$AG$26,MATCH('计算过程-数据汇总'!B235,持仓数据!$B$3:$B$26,0),MATCH('计算过程-数据汇总'!A235,'维护-日期'!$B$2:$AF$2,0)),3)</f>
        <v>23.443000000000001</v>
      </c>
      <c r="E235" s="98">
        <f t="shared" si="111"/>
        <v>23.443000000000001</v>
      </c>
      <c r="F235" s="22">
        <f>持仓数据!L89</f>
        <v>0.63300000000000001</v>
      </c>
      <c r="G235" s="97">
        <v>372</v>
      </c>
      <c r="H235" s="97">
        <v>372</v>
      </c>
      <c r="I235" s="64">
        <v>0</v>
      </c>
      <c r="J235" s="64">
        <v>0</v>
      </c>
      <c r="K235" s="21">
        <f>IF(持仓数据!L122="",0,持仓数据!L122)</f>
        <v>372</v>
      </c>
      <c r="L235" s="21">
        <f t="shared" si="112"/>
        <v>0</v>
      </c>
      <c r="M235" s="28">
        <f t="shared" si="96"/>
        <v>8720.7960000000003</v>
      </c>
      <c r="N235" s="28">
        <f t="shared" si="97"/>
        <v>0</v>
      </c>
      <c r="O235" s="28">
        <f t="shared" si="98"/>
        <v>0</v>
      </c>
      <c r="P235" s="28">
        <f t="shared" si="99"/>
        <v>0</v>
      </c>
      <c r="Q235" s="28">
        <f t="shared" si="113"/>
        <v>0</v>
      </c>
      <c r="R235" s="28">
        <f t="shared" si="100"/>
        <v>8720.7960000000003</v>
      </c>
      <c r="S235" s="28">
        <f t="shared" si="114"/>
        <v>0</v>
      </c>
      <c r="T235" s="28">
        <f t="shared" si="115"/>
        <v>0</v>
      </c>
      <c r="U235" s="28">
        <f t="shared" si="118"/>
        <v>0</v>
      </c>
      <c r="V235" s="28">
        <f t="shared" si="116"/>
        <v>0</v>
      </c>
      <c r="W235" s="118"/>
      <c r="X235" s="143">
        <f t="shared" si="117"/>
        <v>27.498999999999999</v>
      </c>
      <c r="Y235" s="121">
        <f>交易记录!M22</f>
        <v>0.63300000000000001</v>
      </c>
      <c r="Z235" s="121">
        <f>交易记录!M53</f>
        <v>372</v>
      </c>
      <c r="AA235" s="30">
        <f t="shared" si="101"/>
        <v>0</v>
      </c>
      <c r="AB235" s="124">
        <f>交易记录!M86</f>
        <v>0</v>
      </c>
      <c r="AC235" s="124">
        <f>交易记录!M117</f>
        <v>0</v>
      </c>
      <c r="AD235" s="30">
        <f t="shared" si="125"/>
        <v>0</v>
      </c>
      <c r="AE235" s="121">
        <f>交易记录!M150</f>
        <v>0</v>
      </c>
      <c r="AF235" s="121">
        <f>交易记录!M181</f>
        <v>0</v>
      </c>
      <c r="AG235" s="30">
        <f t="shared" si="126"/>
        <v>0</v>
      </c>
      <c r="AH235" s="124">
        <f>交易记录!M214</f>
        <v>0</v>
      </c>
      <c r="AI235" s="124">
        <f>交易记录!M245</f>
        <v>0</v>
      </c>
      <c r="AJ235" s="30">
        <f t="shared" si="127"/>
        <v>0</v>
      </c>
      <c r="AK235" s="121">
        <f>交易记录!M278</f>
        <v>0</v>
      </c>
      <c r="AL235" s="121">
        <f>交易记录!M309</f>
        <v>0</v>
      </c>
      <c r="AM235" s="30">
        <f t="shared" si="128"/>
        <v>0</v>
      </c>
      <c r="AN235" s="124">
        <f>交易记录!M342</f>
        <v>0</v>
      </c>
      <c r="AO235" s="124">
        <f>交易记录!M373</f>
        <v>0</v>
      </c>
      <c r="AP235" s="30">
        <f t="shared" si="129"/>
        <v>0</v>
      </c>
      <c r="AQ235" s="121">
        <f>交易记录!M406</f>
        <v>0</v>
      </c>
      <c r="AR235" s="121">
        <f>交易记录!M437</f>
        <v>0</v>
      </c>
      <c r="AS235" s="30">
        <f t="shared" si="130"/>
        <v>0</v>
      </c>
      <c r="AT235" s="124">
        <f>交易记录!M470</f>
        <v>0</v>
      </c>
      <c r="AU235" s="124">
        <f>交易记录!M501</f>
        <v>0</v>
      </c>
      <c r="AV235" s="30">
        <f t="shared" si="102"/>
        <v>0</v>
      </c>
      <c r="AW235" s="121">
        <f>交易记录!M534</f>
        <v>0</v>
      </c>
      <c r="AX235" s="121">
        <f>交易记录!M565</f>
        <v>0</v>
      </c>
      <c r="AY235" s="30">
        <f t="shared" si="103"/>
        <v>0</v>
      </c>
      <c r="AZ235" s="124">
        <f>交易记录!M598</f>
        <v>0</v>
      </c>
      <c r="BA235" s="124">
        <f>交易记录!M629</f>
        <v>0</v>
      </c>
      <c r="BB235" s="30">
        <f t="shared" si="104"/>
        <v>0</v>
      </c>
      <c r="BC235" s="121">
        <f>交易记录!M662</f>
        <v>0</v>
      </c>
      <c r="BD235" s="121">
        <f>交易记录!M693</f>
        <v>0</v>
      </c>
      <c r="BE235" s="30">
        <f t="shared" si="105"/>
        <v>0</v>
      </c>
      <c r="BF235" s="124">
        <f>交易记录!M726</f>
        <v>0</v>
      </c>
      <c r="BG235" s="124">
        <f>交易记录!M757</f>
        <v>0</v>
      </c>
      <c r="BH235" s="30">
        <f t="shared" si="106"/>
        <v>0</v>
      </c>
      <c r="BI235" s="121">
        <f>交易记录!M790</f>
        <v>0</v>
      </c>
      <c r="BJ235" s="121">
        <f>交易记录!M821</f>
        <v>0</v>
      </c>
      <c r="BK235" s="30">
        <f t="shared" si="107"/>
        <v>0</v>
      </c>
      <c r="BL235" s="124">
        <f>交易记录!M854</f>
        <v>0</v>
      </c>
      <c r="BM235" s="124">
        <f>交易记录!M885</f>
        <v>0</v>
      </c>
      <c r="BN235" s="30">
        <f t="shared" si="108"/>
        <v>0</v>
      </c>
      <c r="BO235" s="121">
        <f>交易记录!M918</f>
        <v>0</v>
      </c>
      <c r="BP235" s="121">
        <f>交易记录!M949</f>
        <v>0</v>
      </c>
      <c r="BQ235" s="30">
        <f t="shared" si="109"/>
        <v>0</v>
      </c>
    </row>
    <row r="236" spans="1:69" ht="15">
      <c r="A236" s="125">
        <f>'维护-日期'!A$12</f>
        <v>46275</v>
      </c>
      <c r="B236" s="7" t="s">
        <v>24</v>
      </c>
      <c r="C236" s="144">
        <f t="shared" si="110"/>
        <v>23.85</v>
      </c>
      <c r="D236" s="144">
        <f>ROUND(INDEX(持仓数据!$C$3:$AG$26,MATCH('计算过程-数据汇总'!B236,持仓数据!$B$3:$B$26,0),MATCH('计算过程-数据汇总'!A236,'维护-日期'!$B$2:$AF$2,0)),3)</f>
        <v>23.85</v>
      </c>
      <c r="E236" s="98">
        <f t="shared" si="111"/>
        <v>23.85</v>
      </c>
      <c r="F236" s="22">
        <f>持仓数据!L90</f>
        <v>0.45400000000000001</v>
      </c>
      <c r="G236" s="97">
        <v>372</v>
      </c>
      <c r="H236" s="97">
        <v>372</v>
      </c>
      <c r="I236" s="64">
        <v>0</v>
      </c>
      <c r="J236" s="64">
        <v>0</v>
      </c>
      <c r="K236" s="21">
        <f>IF(持仓数据!L123="",0,持仓数据!L123)</f>
        <v>372</v>
      </c>
      <c r="L236" s="21">
        <f t="shared" si="112"/>
        <v>0</v>
      </c>
      <c r="M236" s="28">
        <f t="shared" si="96"/>
        <v>8872.2000000000007</v>
      </c>
      <c r="N236" s="28">
        <f t="shared" si="97"/>
        <v>0</v>
      </c>
      <c r="O236" s="28">
        <f t="shared" si="98"/>
        <v>0</v>
      </c>
      <c r="P236" s="28">
        <f t="shared" si="99"/>
        <v>0</v>
      </c>
      <c r="Q236" s="28">
        <f t="shared" si="113"/>
        <v>0</v>
      </c>
      <c r="R236" s="28">
        <f t="shared" si="100"/>
        <v>8872.2000000000007</v>
      </c>
      <c r="S236" s="28">
        <f t="shared" si="114"/>
        <v>0</v>
      </c>
      <c r="T236" s="28">
        <f t="shared" si="115"/>
        <v>0</v>
      </c>
      <c r="U236" s="28">
        <f t="shared" si="118"/>
        <v>0</v>
      </c>
      <c r="V236" s="28">
        <f t="shared" si="116"/>
        <v>0</v>
      </c>
      <c r="W236" s="118"/>
      <c r="X236" s="143">
        <f t="shared" si="117"/>
        <v>28.166</v>
      </c>
      <c r="Y236" s="121">
        <f>交易记录!M23</f>
        <v>0.45400000000000001</v>
      </c>
      <c r="Z236" s="121">
        <f>交易记录!M54</f>
        <v>372</v>
      </c>
      <c r="AA236" s="30">
        <f t="shared" si="101"/>
        <v>0</v>
      </c>
      <c r="AB236" s="124">
        <f>交易记录!M87</f>
        <v>0</v>
      </c>
      <c r="AC236" s="124">
        <f>交易记录!M118</f>
        <v>0</v>
      </c>
      <c r="AD236" s="30">
        <f t="shared" si="125"/>
        <v>0</v>
      </c>
      <c r="AE236" s="121">
        <f>交易记录!M151</f>
        <v>0</v>
      </c>
      <c r="AF236" s="121">
        <f>交易记录!M182</f>
        <v>0</v>
      </c>
      <c r="AG236" s="30">
        <f t="shared" si="126"/>
        <v>0</v>
      </c>
      <c r="AH236" s="124">
        <f>交易记录!M215</f>
        <v>0</v>
      </c>
      <c r="AI236" s="124">
        <f>交易记录!M246</f>
        <v>0</v>
      </c>
      <c r="AJ236" s="30">
        <f t="shared" si="127"/>
        <v>0</v>
      </c>
      <c r="AK236" s="121">
        <f>交易记录!M279</f>
        <v>0</v>
      </c>
      <c r="AL236" s="121">
        <f>交易记录!M310</f>
        <v>0</v>
      </c>
      <c r="AM236" s="30">
        <f t="shared" si="128"/>
        <v>0</v>
      </c>
      <c r="AN236" s="124">
        <f>交易记录!M343</f>
        <v>0</v>
      </c>
      <c r="AO236" s="124">
        <f>交易记录!M374</f>
        <v>0</v>
      </c>
      <c r="AP236" s="30">
        <f t="shared" si="129"/>
        <v>0</v>
      </c>
      <c r="AQ236" s="121">
        <f>交易记录!M407</f>
        <v>0</v>
      </c>
      <c r="AR236" s="121">
        <f>交易记录!M438</f>
        <v>0</v>
      </c>
      <c r="AS236" s="30">
        <f t="shared" si="130"/>
        <v>0</v>
      </c>
      <c r="AT236" s="124">
        <f>交易记录!M471</f>
        <v>0</v>
      </c>
      <c r="AU236" s="124">
        <f>交易记录!M502</f>
        <v>0</v>
      </c>
      <c r="AV236" s="30">
        <f t="shared" si="102"/>
        <v>0</v>
      </c>
      <c r="AW236" s="121">
        <f>交易记录!M535</f>
        <v>0</v>
      </c>
      <c r="AX236" s="121">
        <f>交易记录!M566</f>
        <v>0</v>
      </c>
      <c r="AY236" s="30">
        <f t="shared" si="103"/>
        <v>0</v>
      </c>
      <c r="AZ236" s="124">
        <f>交易记录!M599</f>
        <v>0</v>
      </c>
      <c r="BA236" s="124">
        <f>交易记录!M630</f>
        <v>0</v>
      </c>
      <c r="BB236" s="30">
        <f t="shared" si="104"/>
        <v>0</v>
      </c>
      <c r="BC236" s="121">
        <f>交易记录!M663</f>
        <v>0</v>
      </c>
      <c r="BD236" s="121">
        <f>交易记录!M694</f>
        <v>0</v>
      </c>
      <c r="BE236" s="30">
        <f t="shared" si="105"/>
        <v>0</v>
      </c>
      <c r="BF236" s="124">
        <f>交易记录!M727</f>
        <v>0</v>
      </c>
      <c r="BG236" s="124">
        <f>交易记录!M758</f>
        <v>0</v>
      </c>
      <c r="BH236" s="30">
        <f t="shared" si="106"/>
        <v>0</v>
      </c>
      <c r="BI236" s="121">
        <f>交易记录!M791</f>
        <v>0</v>
      </c>
      <c r="BJ236" s="121">
        <f>交易记录!M822</f>
        <v>0</v>
      </c>
      <c r="BK236" s="30">
        <f t="shared" si="107"/>
        <v>0</v>
      </c>
      <c r="BL236" s="124">
        <f>交易记录!M855</f>
        <v>0</v>
      </c>
      <c r="BM236" s="124">
        <f>交易记录!M886</f>
        <v>0</v>
      </c>
      <c r="BN236" s="30">
        <f t="shared" si="108"/>
        <v>0</v>
      </c>
      <c r="BO236" s="121">
        <f>交易记录!M919</f>
        <v>0</v>
      </c>
      <c r="BP236" s="121">
        <f>交易记录!M950</f>
        <v>0</v>
      </c>
      <c r="BQ236" s="30">
        <f t="shared" si="109"/>
        <v>0</v>
      </c>
    </row>
    <row r="237" spans="1:69" ht="15">
      <c r="A237" s="125">
        <f>'维护-日期'!A$12</f>
        <v>46275</v>
      </c>
      <c r="B237" s="7" t="s">
        <v>25</v>
      </c>
      <c r="C237" s="144">
        <f t="shared" si="110"/>
        <v>24.105</v>
      </c>
      <c r="D237" s="144">
        <f>ROUND(INDEX(持仓数据!$C$3:$AG$26,MATCH('计算过程-数据汇总'!B237,持仓数据!$B$3:$B$26,0),MATCH('计算过程-数据汇总'!A237,'维护-日期'!$B$2:$AF$2,0)),3)</f>
        <v>24.105</v>
      </c>
      <c r="E237" s="98">
        <f t="shared" si="111"/>
        <v>24.105</v>
      </c>
      <c r="F237" s="22">
        <f>持仓数据!L91</f>
        <v>1.1160000000000001</v>
      </c>
      <c r="G237" s="97">
        <v>372</v>
      </c>
      <c r="H237" s="97">
        <v>372</v>
      </c>
      <c r="I237" s="64">
        <v>0</v>
      </c>
      <c r="J237" s="64">
        <v>0</v>
      </c>
      <c r="K237" s="21">
        <f>IF(持仓数据!L124="",0,持仓数据!L124)</f>
        <v>372</v>
      </c>
      <c r="L237" s="21">
        <f t="shared" si="112"/>
        <v>0</v>
      </c>
      <c r="M237" s="28">
        <f t="shared" si="96"/>
        <v>8967.06</v>
      </c>
      <c r="N237" s="28">
        <f t="shared" si="97"/>
        <v>0</v>
      </c>
      <c r="O237" s="28">
        <f t="shared" si="98"/>
        <v>0</v>
      </c>
      <c r="P237" s="28">
        <f t="shared" si="99"/>
        <v>0</v>
      </c>
      <c r="Q237" s="28">
        <f t="shared" si="113"/>
        <v>0</v>
      </c>
      <c r="R237" s="28">
        <f t="shared" si="100"/>
        <v>8967.06</v>
      </c>
      <c r="S237" s="28">
        <f t="shared" si="114"/>
        <v>0</v>
      </c>
      <c r="T237" s="28">
        <f t="shared" si="115"/>
        <v>0</v>
      </c>
      <c r="U237" s="28">
        <f t="shared" si="118"/>
        <v>0</v>
      </c>
      <c r="V237" s="28">
        <f t="shared" si="116"/>
        <v>0</v>
      </c>
      <c r="W237" s="118"/>
      <c r="X237" s="143">
        <f t="shared" si="117"/>
        <v>27.81</v>
      </c>
      <c r="Y237" s="121">
        <f>交易记录!M24</f>
        <v>1.1160000000000001</v>
      </c>
      <c r="Z237" s="121">
        <f>交易记录!M55</f>
        <v>372</v>
      </c>
      <c r="AA237" s="30">
        <f t="shared" si="101"/>
        <v>0</v>
      </c>
      <c r="AB237" s="124">
        <f>交易记录!M88</f>
        <v>0</v>
      </c>
      <c r="AC237" s="124">
        <f>交易记录!M119</f>
        <v>0</v>
      </c>
      <c r="AD237" s="30">
        <f t="shared" si="125"/>
        <v>0</v>
      </c>
      <c r="AE237" s="121">
        <f>交易记录!M152</f>
        <v>0</v>
      </c>
      <c r="AF237" s="121">
        <f>交易记录!M183</f>
        <v>0</v>
      </c>
      <c r="AG237" s="30">
        <f t="shared" si="126"/>
        <v>0</v>
      </c>
      <c r="AH237" s="124">
        <f>交易记录!M216</f>
        <v>0</v>
      </c>
      <c r="AI237" s="124">
        <f>交易记录!M247</f>
        <v>0</v>
      </c>
      <c r="AJ237" s="30">
        <f t="shared" si="127"/>
        <v>0</v>
      </c>
      <c r="AK237" s="121">
        <f>交易记录!M280</f>
        <v>0</v>
      </c>
      <c r="AL237" s="121">
        <f>交易记录!M311</f>
        <v>0</v>
      </c>
      <c r="AM237" s="30">
        <f t="shared" si="128"/>
        <v>0</v>
      </c>
      <c r="AN237" s="124">
        <f>交易记录!M344</f>
        <v>0</v>
      </c>
      <c r="AO237" s="124">
        <f>交易记录!M375</f>
        <v>0</v>
      </c>
      <c r="AP237" s="30">
        <f t="shared" si="129"/>
        <v>0</v>
      </c>
      <c r="AQ237" s="121">
        <f>交易记录!M408</f>
        <v>0</v>
      </c>
      <c r="AR237" s="121">
        <f>交易记录!M439</f>
        <v>0</v>
      </c>
      <c r="AS237" s="30">
        <f t="shared" si="130"/>
        <v>0</v>
      </c>
      <c r="AT237" s="124">
        <f>交易记录!M472</f>
        <v>0</v>
      </c>
      <c r="AU237" s="124">
        <f>交易记录!M503</f>
        <v>0</v>
      </c>
      <c r="AV237" s="30">
        <f t="shared" si="102"/>
        <v>0</v>
      </c>
      <c r="AW237" s="121">
        <f>交易记录!M536</f>
        <v>0</v>
      </c>
      <c r="AX237" s="121">
        <f>交易记录!M567</f>
        <v>0</v>
      </c>
      <c r="AY237" s="30">
        <f t="shared" si="103"/>
        <v>0</v>
      </c>
      <c r="AZ237" s="124">
        <f>交易记录!M600</f>
        <v>0</v>
      </c>
      <c r="BA237" s="124">
        <f>交易记录!M631</f>
        <v>0</v>
      </c>
      <c r="BB237" s="30">
        <f t="shared" si="104"/>
        <v>0</v>
      </c>
      <c r="BC237" s="121">
        <f>交易记录!M664</f>
        <v>0</v>
      </c>
      <c r="BD237" s="121">
        <f>交易记录!M695</f>
        <v>0</v>
      </c>
      <c r="BE237" s="30">
        <f t="shared" si="105"/>
        <v>0</v>
      </c>
      <c r="BF237" s="124">
        <f>交易记录!M728</f>
        <v>0</v>
      </c>
      <c r="BG237" s="124">
        <f>交易记录!M759</f>
        <v>0</v>
      </c>
      <c r="BH237" s="30">
        <f t="shared" si="106"/>
        <v>0</v>
      </c>
      <c r="BI237" s="121">
        <f>交易记录!M792</f>
        <v>0</v>
      </c>
      <c r="BJ237" s="121">
        <f>交易记录!M823</f>
        <v>0</v>
      </c>
      <c r="BK237" s="30">
        <f t="shared" si="107"/>
        <v>0</v>
      </c>
      <c r="BL237" s="124">
        <f>交易记录!M856</f>
        <v>0</v>
      </c>
      <c r="BM237" s="124">
        <f>交易记录!M887</f>
        <v>0</v>
      </c>
      <c r="BN237" s="30">
        <f t="shared" si="108"/>
        <v>0</v>
      </c>
      <c r="BO237" s="121">
        <f>交易记录!M920</f>
        <v>0</v>
      </c>
      <c r="BP237" s="121">
        <f>交易记录!M951</f>
        <v>0</v>
      </c>
      <c r="BQ237" s="30">
        <f t="shared" si="109"/>
        <v>0</v>
      </c>
    </row>
    <row r="238" spans="1:69" ht="15">
      <c r="A238" s="125">
        <f>'维护-日期'!A$12</f>
        <v>46275</v>
      </c>
      <c r="B238" s="7" t="s">
        <v>26</v>
      </c>
      <c r="C238" s="144">
        <f t="shared" si="110"/>
        <v>24.047999999999998</v>
      </c>
      <c r="D238" s="144">
        <f>ROUND(INDEX(持仓数据!$C$3:$AG$26,MATCH('计算过程-数据汇总'!B238,持仓数据!$B$3:$B$26,0),MATCH('计算过程-数据汇总'!A238,'维护-日期'!$B$2:$AF$2,0)),3)</f>
        <v>24.047999999999998</v>
      </c>
      <c r="E238" s="98">
        <f t="shared" si="111"/>
        <v>24.047999999999998</v>
      </c>
      <c r="F238" s="22">
        <f>持仓数据!L92</f>
        <v>1</v>
      </c>
      <c r="G238" s="97">
        <v>372</v>
      </c>
      <c r="H238" s="97">
        <v>372</v>
      </c>
      <c r="I238" s="64">
        <v>0</v>
      </c>
      <c r="J238" s="64">
        <v>0</v>
      </c>
      <c r="K238" s="21">
        <f>IF(持仓数据!L125="",0,持仓数据!L125)</f>
        <v>372</v>
      </c>
      <c r="L238" s="21">
        <f t="shared" si="112"/>
        <v>0</v>
      </c>
      <c r="M238" s="28">
        <f t="shared" si="96"/>
        <v>8945.8559999999998</v>
      </c>
      <c r="N238" s="28">
        <f t="shared" si="97"/>
        <v>0</v>
      </c>
      <c r="O238" s="28">
        <f t="shared" si="98"/>
        <v>0</v>
      </c>
      <c r="P238" s="28">
        <f t="shared" si="99"/>
        <v>0</v>
      </c>
      <c r="Q238" s="28">
        <f t="shared" si="113"/>
        <v>0</v>
      </c>
      <c r="R238" s="28">
        <f t="shared" si="100"/>
        <v>8945.8559999999998</v>
      </c>
      <c r="S238" s="28">
        <f t="shared" si="114"/>
        <v>0</v>
      </c>
      <c r="T238" s="28">
        <f t="shared" si="115"/>
        <v>0</v>
      </c>
      <c r="U238" s="28">
        <f t="shared" si="118"/>
        <v>0</v>
      </c>
      <c r="V238" s="28">
        <f t="shared" si="116"/>
        <v>0</v>
      </c>
      <c r="W238" s="118"/>
      <c r="X238" s="143">
        <f t="shared" si="117"/>
        <v>27.858000000000001</v>
      </c>
      <c r="Y238" s="121">
        <f>交易记录!M25</f>
        <v>1</v>
      </c>
      <c r="Z238" s="121">
        <f>交易记录!M56</f>
        <v>372</v>
      </c>
      <c r="AA238" s="30">
        <f t="shared" si="101"/>
        <v>0</v>
      </c>
      <c r="AB238" s="124">
        <f>交易记录!M89</f>
        <v>0</v>
      </c>
      <c r="AC238" s="124">
        <f>交易记录!M120</f>
        <v>0</v>
      </c>
      <c r="AD238" s="30">
        <f t="shared" si="125"/>
        <v>0</v>
      </c>
      <c r="AE238" s="121">
        <f>交易记录!M153</f>
        <v>0</v>
      </c>
      <c r="AF238" s="121">
        <f>交易记录!M184</f>
        <v>0</v>
      </c>
      <c r="AG238" s="30">
        <f t="shared" si="126"/>
        <v>0</v>
      </c>
      <c r="AH238" s="124">
        <f>交易记录!M217</f>
        <v>0</v>
      </c>
      <c r="AI238" s="124">
        <f>交易记录!M248</f>
        <v>0</v>
      </c>
      <c r="AJ238" s="30">
        <f t="shared" si="127"/>
        <v>0</v>
      </c>
      <c r="AK238" s="121">
        <f>交易记录!M281</f>
        <v>0</v>
      </c>
      <c r="AL238" s="121">
        <f>交易记录!M312</f>
        <v>0</v>
      </c>
      <c r="AM238" s="30">
        <f t="shared" si="128"/>
        <v>0</v>
      </c>
      <c r="AN238" s="124">
        <f>交易记录!M345</f>
        <v>0</v>
      </c>
      <c r="AO238" s="124">
        <f>交易记录!M376</f>
        <v>0</v>
      </c>
      <c r="AP238" s="30">
        <f t="shared" si="129"/>
        <v>0</v>
      </c>
      <c r="AQ238" s="121">
        <f>交易记录!M409</f>
        <v>0</v>
      </c>
      <c r="AR238" s="121">
        <f>交易记录!M440</f>
        <v>0</v>
      </c>
      <c r="AS238" s="30">
        <f t="shared" si="130"/>
        <v>0</v>
      </c>
      <c r="AT238" s="124">
        <f>交易记录!M473</f>
        <v>0</v>
      </c>
      <c r="AU238" s="124">
        <f>交易记录!M504</f>
        <v>0</v>
      </c>
      <c r="AV238" s="30">
        <f t="shared" si="102"/>
        <v>0</v>
      </c>
      <c r="AW238" s="121">
        <f>交易记录!M537</f>
        <v>0</v>
      </c>
      <c r="AX238" s="121">
        <f>交易记录!M568</f>
        <v>0</v>
      </c>
      <c r="AY238" s="30">
        <f t="shared" si="103"/>
        <v>0</v>
      </c>
      <c r="AZ238" s="124">
        <f>交易记录!M601</f>
        <v>0</v>
      </c>
      <c r="BA238" s="124">
        <f>交易记录!M632</f>
        <v>0</v>
      </c>
      <c r="BB238" s="30">
        <f t="shared" si="104"/>
        <v>0</v>
      </c>
      <c r="BC238" s="121">
        <f>交易记录!M665</f>
        <v>0</v>
      </c>
      <c r="BD238" s="121">
        <f>交易记录!M696</f>
        <v>0</v>
      </c>
      <c r="BE238" s="30">
        <f t="shared" si="105"/>
        <v>0</v>
      </c>
      <c r="BF238" s="124">
        <f>交易记录!M729</f>
        <v>0</v>
      </c>
      <c r="BG238" s="124">
        <f>交易记录!M760</f>
        <v>0</v>
      </c>
      <c r="BH238" s="30">
        <f t="shared" si="106"/>
        <v>0</v>
      </c>
      <c r="BI238" s="121">
        <f>交易记录!M793</f>
        <v>0</v>
      </c>
      <c r="BJ238" s="121">
        <f>交易记录!M824</f>
        <v>0</v>
      </c>
      <c r="BK238" s="30">
        <f t="shared" si="107"/>
        <v>0</v>
      </c>
      <c r="BL238" s="124">
        <f>交易记录!M857</f>
        <v>0</v>
      </c>
      <c r="BM238" s="124">
        <f>交易记录!M888</f>
        <v>0</v>
      </c>
      <c r="BN238" s="30">
        <f t="shared" si="108"/>
        <v>0</v>
      </c>
      <c r="BO238" s="121">
        <f>交易记录!M921</f>
        <v>0</v>
      </c>
      <c r="BP238" s="121">
        <f>交易记录!M952</f>
        <v>0</v>
      </c>
      <c r="BQ238" s="30">
        <f t="shared" si="109"/>
        <v>0</v>
      </c>
    </row>
    <row r="239" spans="1:69" ht="15">
      <c r="A239" s="125">
        <f>'维护-日期'!A$12</f>
        <v>46275</v>
      </c>
      <c r="B239" s="7" t="s">
        <v>27</v>
      </c>
      <c r="C239" s="144">
        <f t="shared" si="110"/>
        <v>22.594000000000001</v>
      </c>
      <c r="D239" s="144">
        <f>ROUND(INDEX(持仓数据!$C$3:$AG$26,MATCH('计算过程-数据汇总'!B239,持仓数据!$B$3:$B$26,0),MATCH('计算过程-数据汇总'!A239,'维护-日期'!$B$2:$AF$2,0)),3)</f>
        <v>22.594000000000001</v>
      </c>
      <c r="E239" s="98">
        <f t="shared" si="111"/>
        <v>22.594000000000001</v>
      </c>
      <c r="F239" s="22">
        <f>持仓数据!L93</f>
        <v>0.95199999999999996</v>
      </c>
      <c r="G239" s="97">
        <v>372</v>
      </c>
      <c r="H239" s="97">
        <v>372</v>
      </c>
      <c r="I239" s="64">
        <v>0</v>
      </c>
      <c r="J239" s="64">
        <v>0</v>
      </c>
      <c r="K239" s="21">
        <f>IF(持仓数据!L126="",0,持仓数据!L126)</f>
        <v>372</v>
      </c>
      <c r="L239" s="21">
        <f t="shared" si="112"/>
        <v>0</v>
      </c>
      <c r="M239" s="28">
        <f t="shared" si="96"/>
        <v>8404.9680000000008</v>
      </c>
      <c r="N239" s="28">
        <f t="shared" si="97"/>
        <v>0</v>
      </c>
      <c r="O239" s="28">
        <f t="shared" si="98"/>
        <v>0</v>
      </c>
      <c r="P239" s="28">
        <f t="shared" si="99"/>
        <v>0</v>
      </c>
      <c r="Q239" s="28">
        <f t="shared" si="113"/>
        <v>0</v>
      </c>
      <c r="R239" s="28">
        <f t="shared" si="100"/>
        <v>8404.9680000000008</v>
      </c>
      <c r="S239" s="28">
        <f t="shared" si="114"/>
        <v>0</v>
      </c>
      <c r="T239" s="28">
        <f t="shared" si="115"/>
        <v>0</v>
      </c>
      <c r="U239" s="28">
        <f t="shared" si="118"/>
        <v>0</v>
      </c>
      <c r="V239" s="28">
        <f t="shared" si="116"/>
        <v>0</v>
      </c>
      <c r="W239" s="118"/>
      <c r="X239" s="143">
        <f t="shared" si="117"/>
        <v>26.161000000000001</v>
      </c>
      <c r="Y239" s="121">
        <f>交易记录!M26</f>
        <v>0.95199999999999996</v>
      </c>
      <c r="Z239" s="121">
        <f>交易记录!M57</f>
        <v>372</v>
      </c>
      <c r="AA239" s="30">
        <f t="shared" si="101"/>
        <v>0</v>
      </c>
      <c r="AB239" s="124">
        <f>交易记录!M90</f>
        <v>0</v>
      </c>
      <c r="AC239" s="124">
        <f>交易记录!M121</f>
        <v>0</v>
      </c>
      <c r="AD239" s="30">
        <f t="shared" si="125"/>
        <v>0</v>
      </c>
      <c r="AE239" s="121">
        <f>交易记录!M154</f>
        <v>0</v>
      </c>
      <c r="AF239" s="121">
        <f>交易记录!M185</f>
        <v>0</v>
      </c>
      <c r="AG239" s="30">
        <f t="shared" si="126"/>
        <v>0</v>
      </c>
      <c r="AH239" s="124">
        <f>交易记录!M218</f>
        <v>0</v>
      </c>
      <c r="AI239" s="124">
        <f>交易记录!M249</f>
        <v>0</v>
      </c>
      <c r="AJ239" s="30">
        <f t="shared" si="127"/>
        <v>0</v>
      </c>
      <c r="AK239" s="121">
        <f>交易记录!M282</f>
        <v>0</v>
      </c>
      <c r="AL239" s="121">
        <f>交易记录!M313</f>
        <v>0</v>
      </c>
      <c r="AM239" s="30">
        <f t="shared" si="128"/>
        <v>0</v>
      </c>
      <c r="AN239" s="124">
        <f>交易记录!M346</f>
        <v>0</v>
      </c>
      <c r="AO239" s="124">
        <f>交易记录!M377</f>
        <v>0</v>
      </c>
      <c r="AP239" s="30">
        <f t="shared" si="129"/>
        <v>0</v>
      </c>
      <c r="AQ239" s="121">
        <f>交易记录!M410</f>
        <v>0</v>
      </c>
      <c r="AR239" s="121">
        <f>交易记录!M441</f>
        <v>0</v>
      </c>
      <c r="AS239" s="30">
        <f t="shared" si="130"/>
        <v>0</v>
      </c>
      <c r="AT239" s="124">
        <f>交易记录!M474</f>
        <v>0</v>
      </c>
      <c r="AU239" s="124">
        <f>交易记录!M505</f>
        <v>0</v>
      </c>
      <c r="AV239" s="30">
        <f t="shared" si="102"/>
        <v>0</v>
      </c>
      <c r="AW239" s="121">
        <f>交易记录!M538</f>
        <v>0</v>
      </c>
      <c r="AX239" s="121">
        <f>交易记录!M569</f>
        <v>0</v>
      </c>
      <c r="AY239" s="30">
        <f t="shared" si="103"/>
        <v>0</v>
      </c>
      <c r="AZ239" s="124">
        <f>交易记录!M602</f>
        <v>0</v>
      </c>
      <c r="BA239" s="124">
        <f>交易记录!M633</f>
        <v>0</v>
      </c>
      <c r="BB239" s="30">
        <f t="shared" si="104"/>
        <v>0</v>
      </c>
      <c r="BC239" s="121">
        <f>交易记录!M666</f>
        <v>0</v>
      </c>
      <c r="BD239" s="121">
        <f>交易记录!M697</f>
        <v>0</v>
      </c>
      <c r="BE239" s="30">
        <f t="shared" si="105"/>
        <v>0</v>
      </c>
      <c r="BF239" s="124">
        <f>交易记录!M730</f>
        <v>0</v>
      </c>
      <c r="BG239" s="124">
        <f>交易记录!M761</f>
        <v>0</v>
      </c>
      <c r="BH239" s="30">
        <f t="shared" si="106"/>
        <v>0</v>
      </c>
      <c r="BI239" s="121">
        <f>交易记录!M794</f>
        <v>0</v>
      </c>
      <c r="BJ239" s="121">
        <f>交易记录!M825</f>
        <v>0</v>
      </c>
      <c r="BK239" s="30">
        <f t="shared" si="107"/>
        <v>0</v>
      </c>
      <c r="BL239" s="124">
        <f>交易记录!M858</f>
        <v>0</v>
      </c>
      <c r="BM239" s="124">
        <f>交易记录!M889</f>
        <v>0</v>
      </c>
      <c r="BN239" s="30">
        <f t="shared" si="108"/>
        <v>0</v>
      </c>
      <c r="BO239" s="121">
        <f>交易记录!M922</f>
        <v>0</v>
      </c>
      <c r="BP239" s="121">
        <f>交易记录!M953</f>
        <v>0</v>
      </c>
      <c r="BQ239" s="30">
        <f t="shared" si="109"/>
        <v>0</v>
      </c>
    </row>
    <row r="240" spans="1:69" ht="15">
      <c r="A240" s="125">
        <f>'维护-日期'!A$12</f>
        <v>46275</v>
      </c>
      <c r="B240" s="7" t="s">
        <v>28</v>
      </c>
      <c r="C240" s="144">
        <f t="shared" si="110"/>
        <v>19.387</v>
      </c>
      <c r="D240" s="144">
        <f>ROUND(INDEX(持仓数据!$C$3:$AG$26,MATCH('计算过程-数据汇总'!B240,持仓数据!$B$3:$B$26,0),MATCH('计算过程-数据汇总'!A240,'维护-日期'!$B$2:$AF$2,0)),3)</f>
        <v>19.387</v>
      </c>
      <c r="E240" s="98">
        <f t="shared" si="111"/>
        <v>19.387</v>
      </c>
      <c r="F240" s="22">
        <f>持仓数据!L94</f>
        <v>0.84300000000000008</v>
      </c>
      <c r="G240" s="97">
        <v>372</v>
      </c>
      <c r="H240" s="97">
        <v>372</v>
      </c>
      <c r="I240" s="64">
        <v>0</v>
      </c>
      <c r="J240" s="64">
        <v>0</v>
      </c>
      <c r="K240" s="21">
        <f>IF(持仓数据!L127="",0,持仓数据!L127)</f>
        <v>371.99999999999994</v>
      </c>
      <c r="L240" s="21">
        <f t="shared" si="112"/>
        <v>0</v>
      </c>
      <c r="M240" s="28">
        <f t="shared" si="96"/>
        <v>7211.9639999999999</v>
      </c>
      <c r="N240" s="28">
        <f t="shared" si="97"/>
        <v>0</v>
      </c>
      <c r="O240" s="28">
        <f t="shared" si="98"/>
        <v>0</v>
      </c>
      <c r="P240" s="28">
        <f t="shared" si="99"/>
        <v>-4.7919002099661161E-14</v>
      </c>
      <c r="Q240" s="28">
        <f t="shared" si="113"/>
        <v>0</v>
      </c>
      <c r="R240" s="28">
        <f t="shared" si="100"/>
        <v>7211.963999999999</v>
      </c>
      <c r="S240" s="28">
        <f t="shared" si="114"/>
        <v>0</v>
      </c>
      <c r="T240" s="28">
        <f t="shared" si="115"/>
        <v>1.0541043593548239E-12</v>
      </c>
      <c r="U240" s="28">
        <f t="shared" si="118"/>
        <v>0</v>
      </c>
      <c r="V240" s="28">
        <f t="shared" si="116"/>
        <v>0</v>
      </c>
      <c r="W240" s="118"/>
      <c r="X240" s="143">
        <f t="shared" si="117"/>
        <v>22.420999999999999</v>
      </c>
      <c r="Y240" s="121">
        <f>交易记录!M27</f>
        <v>0.84300000000000008</v>
      </c>
      <c r="Z240" s="121">
        <f>交易记录!M58</f>
        <v>372</v>
      </c>
      <c r="AA240" s="30">
        <f t="shared" si="101"/>
        <v>0</v>
      </c>
      <c r="AB240" s="124">
        <f>交易记录!M91</f>
        <v>0</v>
      </c>
      <c r="AC240" s="124">
        <f>交易记录!M122</f>
        <v>0</v>
      </c>
      <c r="AD240" s="30">
        <f t="shared" si="125"/>
        <v>0</v>
      </c>
      <c r="AE240" s="121">
        <f>交易记录!M155</f>
        <v>0</v>
      </c>
      <c r="AF240" s="121">
        <f>交易记录!M186</f>
        <v>0</v>
      </c>
      <c r="AG240" s="30">
        <f t="shared" si="126"/>
        <v>0</v>
      </c>
      <c r="AH240" s="124">
        <f>交易记录!M219</f>
        <v>0</v>
      </c>
      <c r="AI240" s="124">
        <f>交易记录!M250</f>
        <v>0</v>
      </c>
      <c r="AJ240" s="30">
        <f t="shared" si="127"/>
        <v>0</v>
      </c>
      <c r="AK240" s="121">
        <f>交易记录!M283</f>
        <v>0</v>
      </c>
      <c r="AL240" s="121">
        <f>交易记录!M314</f>
        <v>0</v>
      </c>
      <c r="AM240" s="30">
        <f t="shared" si="128"/>
        <v>0</v>
      </c>
      <c r="AN240" s="124">
        <f>交易记录!M347</f>
        <v>0</v>
      </c>
      <c r="AO240" s="124">
        <f>交易记录!M378</f>
        <v>0</v>
      </c>
      <c r="AP240" s="30">
        <f t="shared" si="129"/>
        <v>0</v>
      </c>
      <c r="AQ240" s="121">
        <f>交易记录!M411</f>
        <v>0</v>
      </c>
      <c r="AR240" s="121">
        <f>交易记录!M442</f>
        <v>0</v>
      </c>
      <c r="AS240" s="30">
        <f t="shared" si="130"/>
        <v>0</v>
      </c>
      <c r="AT240" s="124">
        <f>交易记录!M475</f>
        <v>0</v>
      </c>
      <c r="AU240" s="124">
        <f>交易记录!M506</f>
        <v>0</v>
      </c>
      <c r="AV240" s="30">
        <f t="shared" si="102"/>
        <v>0</v>
      </c>
      <c r="AW240" s="121">
        <f>交易记录!M539</f>
        <v>0</v>
      </c>
      <c r="AX240" s="121">
        <f>交易记录!M570</f>
        <v>0</v>
      </c>
      <c r="AY240" s="30">
        <f t="shared" si="103"/>
        <v>0</v>
      </c>
      <c r="AZ240" s="124">
        <f>交易记录!M603</f>
        <v>0</v>
      </c>
      <c r="BA240" s="124">
        <f>交易记录!M634</f>
        <v>0</v>
      </c>
      <c r="BB240" s="30">
        <f t="shared" si="104"/>
        <v>0</v>
      </c>
      <c r="BC240" s="121">
        <f>交易记录!M667</f>
        <v>0</v>
      </c>
      <c r="BD240" s="121">
        <f>交易记录!M698</f>
        <v>0</v>
      </c>
      <c r="BE240" s="30">
        <f t="shared" si="105"/>
        <v>0</v>
      </c>
      <c r="BF240" s="124">
        <f>交易记录!M731</f>
        <v>0</v>
      </c>
      <c r="BG240" s="124">
        <f>交易记录!M762</f>
        <v>0</v>
      </c>
      <c r="BH240" s="30">
        <f t="shared" si="106"/>
        <v>0</v>
      </c>
      <c r="BI240" s="121">
        <f>交易记录!M795</f>
        <v>0</v>
      </c>
      <c r="BJ240" s="121">
        <f>交易记录!M826</f>
        <v>0</v>
      </c>
      <c r="BK240" s="30">
        <f t="shared" si="107"/>
        <v>0</v>
      </c>
      <c r="BL240" s="124">
        <f>交易记录!M859</f>
        <v>0</v>
      </c>
      <c r="BM240" s="124">
        <f>交易记录!M890</f>
        <v>0</v>
      </c>
      <c r="BN240" s="30">
        <f t="shared" si="108"/>
        <v>0</v>
      </c>
      <c r="BO240" s="121">
        <f>交易记录!M923</f>
        <v>0</v>
      </c>
      <c r="BP240" s="121">
        <f>交易记录!M954</f>
        <v>0</v>
      </c>
      <c r="BQ240" s="30">
        <f t="shared" si="109"/>
        <v>0</v>
      </c>
    </row>
    <row r="241" spans="1:69" ht="15">
      <c r="A241" s="125">
        <f>'维护-日期'!A$12</f>
        <v>46275</v>
      </c>
      <c r="B241" s="7" t="s">
        <v>29</v>
      </c>
      <c r="C241" s="144">
        <f t="shared" si="110"/>
        <v>16.963000000000001</v>
      </c>
      <c r="D241" s="144">
        <f>ROUND(INDEX(持仓数据!$C$3:$AG$26,MATCH('计算过程-数据汇总'!B241,持仓数据!$B$3:$B$26,0),MATCH('计算过程-数据汇总'!A241,'维护-日期'!$B$2:$AF$2,0)),3)</f>
        <v>16.963000000000001</v>
      </c>
      <c r="E241" s="98">
        <f t="shared" si="111"/>
        <v>16.963000000000001</v>
      </c>
      <c r="F241" s="22">
        <f>持仓数据!L95</f>
        <v>0.33299999999999996</v>
      </c>
      <c r="G241" s="97">
        <v>372</v>
      </c>
      <c r="H241" s="97">
        <v>372</v>
      </c>
      <c r="I241" s="64">
        <v>0</v>
      </c>
      <c r="J241" s="64">
        <v>0</v>
      </c>
      <c r="K241" s="21">
        <f>IF(持仓数据!L128="",0,持仓数据!L128)</f>
        <v>372</v>
      </c>
      <c r="L241" s="21">
        <f t="shared" si="112"/>
        <v>0</v>
      </c>
      <c r="M241" s="28">
        <f t="shared" si="96"/>
        <v>6310.2360000000008</v>
      </c>
      <c r="N241" s="28">
        <f t="shared" si="97"/>
        <v>0</v>
      </c>
      <c r="O241" s="28">
        <f t="shared" si="98"/>
        <v>0</v>
      </c>
      <c r="P241" s="28">
        <f t="shared" si="99"/>
        <v>0</v>
      </c>
      <c r="Q241" s="28">
        <f t="shared" si="113"/>
        <v>0</v>
      </c>
      <c r="R241" s="28">
        <f t="shared" si="100"/>
        <v>6310.2360000000008</v>
      </c>
      <c r="S241" s="28">
        <f t="shared" si="114"/>
        <v>0</v>
      </c>
      <c r="T241" s="28">
        <f t="shared" si="115"/>
        <v>0</v>
      </c>
      <c r="U241" s="28">
        <f t="shared" si="118"/>
        <v>0</v>
      </c>
      <c r="V241" s="28">
        <f t="shared" si="116"/>
        <v>0</v>
      </c>
      <c r="W241" s="118"/>
      <c r="X241" s="143">
        <f t="shared" si="117"/>
        <v>20.023</v>
      </c>
      <c r="Y241" s="121">
        <f>交易记录!M28</f>
        <v>0.33299999999999996</v>
      </c>
      <c r="Z241" s="121">
        <f>交易记录!M59</f>
        <v>372</v>
      </c>
      <c r="AA241" s="30">
        <f t="shared" si="101"/>
        <v>0</v>
      </c>
      <c r="AB241" s="124">
        <f>交易记录!M92</f>
        <v>0</v>
      </c>
      <c r="AC241" s="124">
        <f>交易记录!M123</f>
        <v>0</v>
      </c>
      <c r="AD241" s="30">
        <f t="shared" si="125"/>
        <v>0</v>
      </c>
      <c r="AE241" s="121">
        <f>交易记录!M156</f>
        <v>0</v>
      </c>
      <c r="AF241" s="121">
        <f>交易记录!M187</f>
        <v>0</v>
      </c>
      <c r="AG241" s="30">
        <f t="shared" si="126"/>
        <v>0</v>
      </c>
      <c r="AH241" s="124">
        <f>交易记录!M220</f>
        <v>0</v>
      </c>
      <c r="AI241" s="124">
        <f>交易记录!M251</f>
        <v>0</v>
      </c>
      <c r="AJ241" s="30">
        <f t="shared" si="127"/>
        <v>0</v>
      </c>
      <c r="AK241" s="121">
        <f>交易记录!M284</f>
        <v>0</v>
      </c>
      <c r="AL241" s="121">
        <f>交易记录!M315</f>
        <v>0</v>
      </c>
      <c r="AM241" s="30">
        <f t="shared" si="128"/>
        <v>0</v>
      </c>
      <c r="AN241" s="124">
        <f>交易记录!M348</f>
        <v>0</v>
      </c>
      <c r="AO241" s="124">
        <f>交易记录!M379</f>
        <v>0</v>
      </c>
      <c r="AP241" s="30">
        <f t="shared" si="129"/>
        <v>0</v>
      </c>
      <c r="AQ241" s="121">
        <f>交易记录!M412</f>
        <v>0</v>
      </c>
      <c r="AR241" s="121">
        <f>交易记录!M443</f>
        <v>0</v>
      </c>
      <c r="AS241" s="30">
        <f t="shared" si="130"/>
        <v>0</v>
      </c>
      <c r="AT241" s="124">
        <f>交易记录!M476</f>
        <v>0</v>
      </c>
      <c r="AU241" s="124">
        <f>交易记录!M507</f>
        <v>0</v>
      </c>
      <c r="AV241" s="30">
        <f t="shared" si="102"/>
        <v>0</v>
      </c>
      <c r="AW241" s="121">
        <f>交易记录!M540</f>
        <v>0</v>
      </c>
      <c r="AX241" s="121">
        <f>交易记录!M571</f>
        <v>0</v>
      </c>
      <c r="AY241" s="30">
        <f t="shared" si="103"/>
        <v>0</v>
      </c>
      <c r="AZ241" s="124">
        <f>交易记录!M604</f>
        <v>0</v>
      </c>
      <c r="BA241" s="124">
        <f>交易记录!M635</f>
        <v>0</v>
      </c>
      <c r="BB241" s="30">
        <f t="shared" si="104"/>
        <v>0</v>
      </c>
      <c r="BC241" s="121">
        <f>交易记录!M668</f>
        <v>0</v>
      </c>
      <c r="BD241" s="121">
        <f>交易记录!M699</f>
        <v>0</v>
      </c>
      <c r="BE241" s="30">
        <f t="shared" si="105"/>
        <v>0</v>
      </c>
      <c r="BF241" s="124">
        <f>交易记录!M732</f>
        <v>0</v>
      </c>
      <c r="BG241" s="124">
        <f>交易记录!M763</f>
        <v>0</v>
      </c>
      <c r="BH241" s="30">
        <f t="shared" si="106"/>
        <v>0</v>
      </c>
      <c r="BI241" s="121">
        <f>交易记录!M796</f>
        <v>0</v>
      </c>
      <c r="BJ241" s="121">
        <f>交易记录!M827</f>
        <v>0</v>
      </c>
      <c r="BK241" s="30">
        <f t="shared" si="107"/>
        <v>0</v>
      </c>
      <c r="BL241" s="124">
        <f>交易记录!M860</f>
        <v>0</v>
      </c>
      <c r="BM241" s="124">
        <f>交易记录!M891</f>
        <v>0</v>
      </c>
      <c r="BN241" s="30">
        <f t="shared" si="108"/>
        <v>0</v>
      </c>
      <c r="BO241" s="121">
        <f>交易记录!M924</f>
        <v>0</v>
      </c>
      <c r="BP241" s="121">
        <f>交易记录!M955</f>
        <v>0</v>
      </c>
      <c r="BQ241" s="30">
        <f t="shared" si="109"/>
        <v>0</v>
      </c>
    </row>
    <row r="242" spans="1:69" ht="15">
      <c r="A242" s="125">
        <f>'维护-日期'!A$13</f>
        <v>46276</v>
      </c>
      <c r="B242" s="7" t="s">
        <v>6</v>
      </c>
      <c r="C242" s="144">
        <f t="shared" si="110"/>
        <v>16.655999999999999</v>
      </c>
      <c r="D242" s="144">
        <f>ROUND(INDEX(持仓数据!$C$3:$AG$26,MATCH('计算过程-数据汇总'!B242,持仓数据!$B$3:$B$26,0),MATCH('计算过程-数据汇总'!A242,'维护-日期'!$B$2:$AF$2,0)),3)</f>
        <v>16.655999999999999</v>
      </c>
      <c r="E242" s="98">
        <f t="shared" si="111"/>
        <v>16.655999999999999</v>
      </c>
      <c r="F242" s="22">
        <f>持仓数据!M72</f>
        <v>0.39700000000000002</v>
      </c>
      <c r="G242" s="97">
        <v>372</v>
      </c>
      <c r="H242" s="97">
        <v>372</v>
      </c>
      <c r="I242" s="64">
        <v>0</v>
      </c>
      <c r="J242" s="64">
        <v>0</v>
      </c>
      <c r="K242" s="21">
        <f>IF(持仓数据!M105="",0,持仓数据!M105)</f>
        <v>372</v>
      </c>
      <c r="L242" s="21">
        <f t="shared" si="112"/>
        <v>0</v>
      </c>
      <c r="M242" s="28">
        <f t="shared" si="96"/>
        <v>6196.0319999999992</v>
      </c>
      <c r="N242" s="28">
        <f t="shared" si="97"/>
        <v>0</v>
      </c>
      <c r="O242" s="28">
        <f t="shared" si="98"/>
        <v>0</v>
      </c>
      <c r="P242" s="28">
        <f t="shared" si="99"/>
        <v>0</v>
      </c>
      <c r="Q242" s="28">
        <f t="shared" si="113"/>
        <v>0</v>
      </c>
      <c r="R242" s="28">
        <f t="shared" si="100"/>
        <v>6196.0319999999992</v>
      </c>
      <c r="S242" s="28">
        <f t="shared" si="114"/>
        <v>0</v>
      </c>
      <c r="T242" s="28">
        <f t="shared" si="115"/>
        <v>0</v>
      </c>
      <c r="U242" s="28">
        <f t="shared" si="118"/>
        <v>0</v>
      </c>
      <c r="V242" s="28">
        <f t="shared" si="116"/>
        <v>0</v>
      </c>
      <c r="W242" s="118"/>
      <c r="X242" s="143">
        <f t="shared" si="117"/>
        <v>19.59</v>
      </c>
      <c r="Y242" s="121">
        <f>交易记录!N5</f>
        <v>0.39700000000000002</v>
      </c>
      <c r="Z242" s="121">
        <f>交易记录!N36</f>
        <v>372</v>
      </c>
      <c r="AA242" s="30">
        <f t="shared" si="101"/>
        <v>0</v>
      </c>
      <c r="AB242" s="124">
        <f>交易记录!N69</f>
        <v>0</v>
      </c>
      <c r="AC242" s="124">
        <f>交易记录!N100</f>
        <v>0</v>
      </c>
      <c r="AD242" s="30">
        <f t="shared" si="125"/>
        <v>0</v>
      </c>
      <c r="AE242" s="121">
        <f>交易记录!N133</f>
        <v>0</v>
      </c>
      <c r="AF242" s="121">
        <f>交易记录!N164</f>
        <v>0</v>
      </c>
      <c r="AG242" s="30">
        <f t="shared" si="126"/>
        <v>0</v>
      </c>
      <c r="AH242" s="124">
        <f>交易记录!N197</f>
        <v>0</v>
      </c>
      <c r="AI242" s="124">
        <f>交易记录!N228</f>
        <v>0</v>
      </c>
      <c r="AJ242" s="30">
        <f t="shared" si="127"/>
        <v>0</v>
      </c>
      <c r="AK242" s="121">
        <f>交易记录!N261</f>
        <v>0</v>
      </c>
      <c r="AL242" s="121">
        <f>交易记录!N292</f>
        <v>0</v>
      </c>
      <c r="AM242" s="30">
        <f t="shared" si="128"/>
        <v>0</v>
      </c>
      <c r="AN242" s="124">
        <f>交易记录!N325</f>
        <v>0</v>
      </c>
      <c r="AO242" s="124">
        <f>交易记录!N356</f>
        <v>0</v>
      </c>
      <c r="AP242" s="30">
        <f t="shared" si="129"/>
        <v>0</v>
      </c>
      <c r="AQ242" s="121">
        <f>交易记录!N389</f>
        <v>0</v>
      </c>
      <c r="AR242" s="121">
        <f>交易记录!N420</f>
        <v>0</v>
      </c>
      <c r="AS242" s="30">
        <f t="shared" si="130"/>
        <v>0</v>
      </c>
      <c r="AT242" s="124">
        <f>交易记录!N453</f>
        <v>0</v>
      </c>
      <c r="AU242" s="124">
        <f>交易记录!N484</f>
        <v>0</v>
      </c>
      <c r="AV242" s="30">
        <f t="shared" si="102"/>
        <v>0</v>
      </c>
      <c r="AW242" s="121">
        <f>交易记录!N517</f>
        <v>0</v>
      </c>
      <c r="AX242" s="121">
        <f>交易记录!N548</f>
        <v>0</v>
      </c>
      <c r="AY242" s="30">
        <f t="shared" si="103"/>
        <v>0</v>
      </c>
      <c r="AZ242" s="124">
        <f>交易记录!N581</f>
        <v>0</v>
      </c>
      <c r="BA242" s="124">
        <f>交易记录!N612</f>
        <v>0</v>
      </c>
      <c r="BB242" s="30">
        <f t="shared" si="104"/>
        <v>0</v>
      </c>
      <c r="BC242" s="121">
        <f>交易记录!N645</f>
        <v>0</v>
      </c>
      <c r="BD242" s="121">
        <f>交易记录!N676</f>
        <v>0</v>
      </c>
      <c r="BE242" s="30">
        <f t="shared" si="105"/>
        <v>0</v>
      </c>
      <c r="BF242" s="124">
        <f>交易记录!N709</f>
        <v>0</v>
      </c>
      <c r="BG242" s="124">
        <f>交易记录!N740</f>
        <v>0</v>
      </c>
      <c r="BH242" s="30">
        <f t="shared" si="106"/>
        <v>0</v>
      </c>
      <c r="BI242" s="121">
        <f>交易记录!N773</f>
        <v>0</v>
      </c>
      <c r="BJ242" s="121">
        <f>交易记录!N804</f>
        <v>0</v>
      </c>
      <c r="BK242" s="30">
        <f t="shared" si="107"/>
        <v>0</v>
      </c>
      <c r="BL242" s="124">
        <f>交易记录!N837</f>
        <v>0</v>
      </c>
      <c r="BM242" s="124">
        <f>交易记录!N868</f>
        <v>0</v>
      </c>
      <c r="BN242" s="30">
        <f t="shared" si="108"/>
        <v>0</v>
      </c>
      <c r="BO242" s="121">
        <f>交易记录!N901</f>
        <v>0</v>
      </c>
      <c r="BP242" s="121">
        <f>交易记录!N932</f>
        <v>0</v>
      </c>
      <c r="BQ242" s="30">
        <f t="shared" si="109"/>
        <v>0</v>
      </c>
    </row>
    <row r="243" spans="1:69" ht="15">
      <c r="A243" s="125">
        <f>'维护-日期'!A$13</f>
        <v>46276</v>
      </c>
      <c r="B243" s="7" t="s">
        <v>7</v>
      </c>
      <c r="C243" s="144">
        <f t="shared" si="110"/>
        <v>15.792</v>
      </c>
      <c r="D243" s="144">
        <f>ROUND(INDEX(持仓数据!$C$3:$AG$26,MATCH('计算过程-数据汇总'!B243,持仓数据!$B$3:$B$26,0),MATCH('计算过程-数据汇总'!A243,'维护-日期'!$B$2:$AF$2,0)),3)</f>
        <v>15.792</v>
      </c>
      <c r="E243" s="98">
        <f t="shared" si="111"/>
        <v>15.792</v>
      </c>
      <c r="F243" s="22">
        <f>持仓数据!M73</f>
        <v>0.26500000000000001</v>
      </c>
      <c r="G243" s="97">
        <v>372</v>
      </c>
      <c r="H243" s="97">
        <v>372</v>
      </c>
      <c r="I243" s="64">
        <v>0</v>
      </c>
      <c r="J243" s="64">
        <v>0</v>
      </c>
      <c r="K243" s="21">
        <f>IF(持仓数据!M106="",0,持仓数据!M106)</f>
        <v>372</v>
      </c>
      <c r="L243" s="21">
        <f t="shared" si="112"/>
        <v>0</v>
      </c>
      <c r="M243" s="28">
        <f t="shared" si="96"/>
        <v>5874.6239999999998</v>
      </c>
      <c r="N243" s="28">
        <f t="shared" si="97"/>
        <v>0</v>
      </c>
      <c r="O243" s="28">
        <f t="shared" si="98"/>
        <v>0</v>
      </c>
      <c r="P243" s="28">
        <f t="shared" si="99"/>
        <v>0</v>
      </c>
      <c r="Q243" s="28">
        <f t="shared" si="113"/>
        <v>0</v>
      </c>
      <c r="R243" s="28">
        <f t="shared" si="100"/>
        <v>5874.6239999999998</v>
      </c>
      <c r="S243" s="28">
        <f t="shared" si="114"/>
        <v>0</v>
      </c>
      <c r="T243" s="28">
        <f t="shared" si="115"/>
        <v>0</v>
      </c>
      <c r="U243" s="28">
        <f t="shared" si="118"/>
        <v>0</v>
      </c>
      <c r="V243" s="28">
        <f t="shared" si="116"/>
        <v>0</v>
      </c>
      <c r="W243" s="118"/>
      <c r="X243" s="143">
        <f t="shared" si="117"/>
        <v>18.684999999999999</v>
      </c>
      <c r="Y243" s="121">
        <f>交易记录!N6</f>
        <v>0.26500000000000001</v>
      </c>
      <c r="Z243" s="121">
        <f>交易记录!N37</f>
        <v>372</v>
      </c>
      <c r="AA243" s="30">
        <f t="shared" si="101"/>
        <v>0</v>
      </c>
      <c r="AB243" s="124">
        <f>交易记录!N70</f>
        <v>0</v>
      </c>
      <c r="AC243" s="124">
        <f>交易记录!N101</f>
        <v>0</v>
      </c>
      <c r="AD243" s="30">
        <f t="shared" si="125"/>
        <v>0</v>
      </c>
      <c r="AE243" s="121">
        <f>交易记录!N134</f>
        <v>0</v>
      </c>
      <c r="AF243" s="121">
        <f>交易记录!N165</f>
        <v>0</v>
      </c>
      <c r="AG243" s="30">
        <f t="shared" si="126"/>
        <v>0</v>
      </c>
      <c r="AH243" s="124">
        <f>交易记录!N198</f>
        <v>0</v>
      </c>
      <c r="AI243" s="124">
        <f>交易记录!N229</f>
        <v>0</v>
      </c>
      <c r="AJ243" s="30">
        <f t="shared" si="127"/>
        <v>0</v>
      </c>
      <c r="AK243" s="121">
        <f>交易记录!N262</f>
        <v>0</v>
      </c>
      <c r="AL243" s="121">
        <f>交易记录!N293</f>
        <v>0</v>
      </c>
      <c r="AM243" s="30">
        <f t="shared" si="128"/>
        <v>0</v>
      </c>
      <c r="AN243" s="124">
        <f>交易记录!N326</f>
        <v>0</v>
      </c>
      <c r="AO243" s="124">
        <f>交易记录!N357</f>
        <v>0</v>
      </c>
      <c r="AP243" s="30">
        <f t="shared" si="129"/>
        <v>0</v>
      </c>
      <c r="AQ243" s="121">
        <f>交易记录!N390</f>
        <v>0</v>
      </c>
      <c r="AR243" s="121">
        <f>交易记录!N421</f>
        <v>0</v>
      </c>
      <c r="AS243" s="30">
        <f t="shared" si="130"/>
        <v>0</v>
      </c>
      <c r="AT243" s="124">
        <f>交易记录!N454</f>
        <v>0</v>
      </c>
      <c r="AU243" s="124">
        <f>交易记录!N485</f>
        <v>0</v>
      </c>
      <c r="AV243" s="30">
        <f t="shared" si="102"/>
        <v>0</v>
      </c>
      <c r="AW243" s="121">
        <f>交易记录!N518</f>
        <v>0</v>
      </c>
      <c r="AX243" s="121">
        <f>交易记录!N549</f>
        <v>0</v>
      </c>
      <c r="AY243" s="30">
        <f t="shared" si="103"/>
        <v>0</v>
      </c>
      <c r="AZ243" s="124">
        <f>交易记录!N582</f>
        <v>0</v>
      </c>
      <c r="BA243" s="124">
        <f>交易记录!N613</f>
        <v>0</v>
      </c>
      <c r="BB243" s="30">
        <f t="shared" si="104"/>
        <v>0</v>
      </c>
      <c r="BC243" s="121">
        <f>交易记录!N646</f>
        <v>0</v>
      </c>
      <c r="BD243" s="121">
        <f>交易记录!N677</f>
        <v>0</v>
      </c>
      <c r="BE243" s="30">
        <f t="shared" si="105"/>
        <v>0</v>
      </c>
      <c r="BF243" s="124">
        <f>交易记录!N710</f>
        <v>0</v>
      </c>
      <c r="BG243" s="124">
        <f>交易记录!N741</f>
        <v>0</v>
      </c>
      <c r="BH243" s="30">
        <f t="shared" si="106"/>
        <v>0</v>
      </c>
      <c r="BI243" s="121">
        <f>交易记录!N774</f>
        <v>0</v>
      </c>
      <c r="BJ243" s="121">
        <f>交易记录!N805</f>
        <v>0</v>
      </c>
      <c r="BK243" s="30">
        <f t="shared" si="107"/>
        <v>0</v>
      </c>
      <c r="BL243" s="124">
        <f>交易记录!N838</f>
        <v>0</v>
      </c>
      <c r="BM243" s="124">
        <f>交易记录!N869</f>
        <v>0</v>
      </c>
      <c r="BN243" s="30">
        <f t="shared" si="108"/>
        <v>0</v>
      </c>
      <c r="BO243" s="121">
        <f>交易记录!N902</f>
        <v>0</v>
      </c>
      <c r="BP243" s="121">
        <f>交易记录!N933</f>
        <v>0</v>
      </c>
      <c r="BQ243" s="30">
        <f t="shared" si="109"/>
        <v>0</v>
      </c>
    </row>
    <row r="244" spans="1:69" ht="15">
      <c r="A244" s="125">
        <f>'维护-日期'!A$13</f>
        <v>46276</v>
      </c>
      <c r="B244" s="7" t="s">
        <v>8</v>
      </c>
      <c r="C244" s="144">
        <f t="shared" si="110"/>
        <v>14.821999999999999</v>
      </c>
      <c r="D244" s="144">
        <f>ROUND(INDEX(持仓数据!$C$3:$AG$26,MATCH('计算过程-数据汇总'!B244,持仓数据!$B$3:$B$26,0),MATCH('计算过程-数据汇总'!A244,'维护-日期'!$B$2:$AF$2,0)),3)</f>
        <v>14.821999999999999</v>
      </c>
      <c r="E244" s="98">
        <f t="shared" si="111"/>
        <v>14.821999999999999</v>
      </c>
      <c r="F244" s="22">
        <f>持仓数据!M74</f>
        <v>0.24199999999999999</v>
      </c>
      <c r="G244" s="97">
        <v>372</v>
      </c>
      <c r="H244" s="97">
        <v>372</v>
      </c>
      <c r="I244" s="64">
        <v>0</v>
      </c>
      <c r="J244" s="64">
        <v>0</v>
      </c>
      <c r="K244" s="21">
        <f>IF(持仓数据!M107="",0,持仓数据!M107)</f>
        <v>372</v>
      </c>
      <c r="L244" s="21">
        <f t="shared" si="112"/>
        <v>0</v>
      </c>
      <c r="M244" s="28">
        <f t="shared" si="96"/>
        <v>5513.7839999999997</v>
      </c>
      <c r="N244" s="28">
        <f t="shared" si="97"/>
        <v>0</v>
      </c>
      <c r="O244" s="28">
        <f t="shared" si="98"/>
        <v>0</v>
      </c>
      <c r="P244" s="28">
        <f t="shared" si="99"/>
        <v>0</v>
      </c>
      <c r="Q244" s="28">
        <f t="shared" si="113"/>
        <v>0</v>
      </c>
      <c r="R244" s="28">
        <f t="shared" si="100"/>
        <v>5513.7839999999997</v>
      </c>
      <c r="S244" s="28">
        <f t="shared" si="114"/>
        <v>0</v>
      </c>
      <c r="T244" s="28">
        <f t="shared" si="115"/>
        <v>0</v>
      </c>
      <c r="U244" s="28">
        <f t="shared" si="118"/>
        <v>0</v>
      </c>
      <c r="V244" s="28">
        <f t="shared" si="116"/>
        <v>0</v>
      </c>
      <c r="W244" s="118"/>
      <c r="X244" s="143">
        <f t="shared" si="117"/>
        <v>17.544</v>
      </c>
      <c r="Y244" s="121">
        <f>交易记录!N7</f>
        <v>0.24199999999999999</v>
      </c>
      <c r="Z244" s="121">
        <f>交易记录!N38</f>
        <v>372</v>
      </c>
      <c r="AA244" s="30">
        <f t="shared" si="101"/>
        <v>0</v>
      </c>
      <c r="AB244" s="124">
        <f>交易记录!N71</f>
        <v>0</v>
      </c>
      <c r="AC244" s="124">
        <f>交易记录!N102</f>
        <v>0</v>
      </c>
      <c r="AD244" s="30">
        <f t="shared" si="125"/>
        <v>0</v>
      </c>
      <c r="AE244" s="121">
        <f>交易记录!N135</f>
        <v>0</v>
      </c>
      <c r="AF244" s="121">
        <f>交易记录!N166</f>
        <v>0</v>
      </c>
      <c r="AG244" s="30">
        <f t="shared" si="126"/>
        <v>0</v>
      </c>
      <c r="AH244" s="124">
        <f>交易记录!N199</f>
        <v>0</v>
      </c>
      <c r="AI244" s="124">
        <f>交易记录!N230</f>
        <v>0</v>
      </c>
      <c r="AJ244" s="30">
        <f t="shared" si="127"/>
        <v>0</v>
      </c>
      <c r="AK244" s="121">
        <f>交易记录!N263</f>
        <v>0</v>
      </c>
      <c r="AL244" s="121">
        <f>交易记录!N294</f>
        <v>0</v>
      </c>
      <c r="AM244" s="30">
        <f t="shared" si="128"/>
        <v>0</v>
      </c>
      <c r="AN244" s="124">
        <f>交易记录!N327</f>
        <v>0</v>
      </c>
      <c r="AO244" s="124">
        <f>交易记录!N358</f>
        <v>0</v>
      </c>
      <c r="AP244" s="30">
        <f t="shared" si="129"/>
        <v>0</v>
      </c>
      <c r="AQ244" s="121">
        <f>交易记录!N391</f>
        <v>0</v>
      </c>
      <c r="AR244" s="121">
        <f>交易记录!N422</f>
        <v>0</v>
      </c>
      <c r="AS244" s="30">
        <f t="shared" si="130"/>
        <v>0</v>
      </c>
      <c r="AT244" s="124">
        <f>交易记录!N455</f>
        <v>0</v>
      </c>
      <c r="AU244" s="124">
        <f>交易记录!N486</f>
        <v>0</v>
      </c>
      <c r="AV244" s="30">
        <f t="shared" si="102"/>
        <v>0</v>
      </c>
      <c r="AW244" s="121">
        <f>交易记录!N519</f>
        <v>0</v>
      </c>
      <c r="AX244" s="121">
        <f>交易记录!N550</f>
        <v>0</v>
      </c>
      <c r="AY244" s="30">
        <f t="shared" si="103"/>
        <v>0</v>
      </c>
      <c r="AZ244" s="124">
        <f>交易记录!N583</f>
        <v>0</v>
      </c>
      <c r="BA244" s="124">
        <f>交易记录!N614</f>
        <v>0</v>
      </c>
      <c r="BB244" s="30">
        <f t="shared" si="104"/>
        <v>0</v>
      </c>
      <c r="BC244" s="121">
        <f>交易记录!N647</f>
        <v>0</v>
      </c>
      <c r="BD244" s="121">
        <f>交易记录!N678</f>
        <v>0</v>
      </c>
      <c r="BE244" s="30">
        <f t="shared" si="105"/>
        <v>0</v>
      </c>
      <c r="BF244" s="124">
        <f>交易记录!N711</f>
        <v>0</v>
      </c>
      <c r="BG244" s="124">
        <f>交易记录!N742</f>
        <v>0</v>
      </c>
      <c r="BH244" s="30">
        <f t="shared" si="106"/>
        <v>0</v>
      </c>
      <c r="BI244" s="121">
        <f>交易记录!N775</f>
        <v>0</v>
      </c>
      <c r="BJ244" s="121">
        <f>交易记录!N806</f>
        <v>0</v>
      </c>
      <c r="BK244" s="30">
        <f t="shared" si="107"/>
        <v>0</v>
      </c>
      <c r="BL244" s="124">
        <f>交易记录!N839</f>
        <v>0</v>
      </c>
      <c r="BM244" s="124">
        <f>交易记录!N870</f>
        <v>0</v>
      </c>
      <c r="BN244" s="30">
        <f t="shared" si="108"/>
        <v>0</v>
      </c>
      <c r="BO244" s="121">
        <f>交易记录!N903</f>
        <v>0</v>
      </c>
      <c r="BP244" s="121">
        <f>交易记录!N934</f>
        <v>0</v>
      </c>
      <c r="BQ244" s="30">
        <f t="shared" si="109"/>
        <v>0</v>
      </c>
    </row>
    <row r="245" spans="1:69" ht="15">
      <c r="A245" s="125">
        <f>'维护-日期'!A$13</f>
        <v>46276</v>
      </c>
      <c r="B245" s="7" t="s">
        <v>9</v>
      </c>
      <c r="C245" s="144">
        <f t="shared" si="110"/>
        <v>13.817</v>
      </c>
      <c r="D245" s="144">
        <f>ROUND(INDEX(持仓数据!$C$3:$AG$26,MATCH('计算过程-数据汇总'!B245,持仓数据!$B$3:$B$26,0),MATCH('计算过程-数据汇总'!A245,'维护-日期'!$B$2:$AF$2,0)),3)</f>
        <v>13.817</v>
      </c>
      <c r="E245" s="98">
        <f t="shared" si="111"/>
        <v>13.817</v>
      </c>
      <c r="F245" s="22">
        <f>持仓数据!M75</f>
        <v>0.09</v>
      </c>
      <c r="G245" s="97">
        <v>372</v>
      </c>
      <c r="H245" s="97">
        <v>372</v>
      </c>
      <c r="I245" s="64">
        <v>0</v>
      </c>
      <c r="J245" s="64">
        <v>0</v>
      </c>
      <c r="K245" s="21">
        <f>IF(持仓数据!M108="",0,持仓数据!M108)</f>
        <v>372</v>
      </c>
      <c r="L245" s="21">
        <f t="shared" si="112"/>
        <v>0</v>
      </c>
      <c r="M245" s="28">
        <f t="shared" si="96"/>
        <v>5139.924</v>
      </c>
      <c r="N245" s="28">
        <f t="shared" si="97"/>
        <v>0</v>
      </c>
      <c r="O245" s="28">
        <f t="shared" si="98"/>
        <v>0</v>
      </c>
      <c r="P245" s="28">
        <f t="shared" si="99"/>
        <v>0</v>
      </c>
      <c r="Q245" s="28">
        <f t="shared" si="113"/>
        <v>0</v>
      </c>
      <c r="R245" s="28">
        <f t="shared" si="100"/>
        <v>5139.924</v>
      </c>
      <c r="S245" s="28">
        <f t="shared" si="114"/>
        <v>0</v>
      </c>
      <c r="T245" s="28">
        <f t="shared" si="115"/>
        <v>0</v>
      </c>
      <c r="U245" s="28">
        <f t="shared" si="118"/>
        <v>0</v>
      </c>
      <c r="V245" s="28">
        <f t="shared" si="116"/>
        <v>0</v>
      </c>
      <c r="W245" s="118"/>
      <c r="X245" s="143">
        <f t="shared" si="117"/>
        <v>16.489999999999998</v>
      </c>
      <c r="Y245" s="121">
        <f>交易记录!N8</f>
        <v>0.09</v>
      </c>
      <c r="Z245" s="121">
        <f>交易记录!N39</f>
        <v>372</v>
      </c>
      <c r="AA245" s="30">
        <f t="shared" si="101"/>
        <v>0</v>
      </c>
      <c r="AB245" s="124">
        <f>交易记录!N72</f>
        <v>0</v>
      </c>
      <c r="AC245" s="124">
        <f>交易记录!N103</f>
        <v>0</v>
      </c>
      <c r="AD245" s="30">
        <f t="shared" si="125"/>
        <v>0</v>
      </c>
      <c r="AE245" s="121">
        <f>交易记录!N136</f>
        <v>0</v>
      </c>
      <c r="AF245" s="121">
        <f>交易记录!N167</f>
        <v>0</v>
      </c>
      <c r="AG245" s="30">
        <f t="shared" si="126"/>
        <v>0</v>
      </c>
      <c r="AH245" s="124">
        <f>交易记录!N200</f>
        <v>0</v>
      </c>
      <c r="AI245" s="124">
        <f>交易记录!N231</f>
        <v>0</v>
      </c>
      <c r="AJ245" s="30">
        <f t="shared" si="127"/>
        <v>0</v>
      </c>
      <c r="AK245" s="121">
        <f>交易记录!N264</f>
        <v>0</v>
      </c>
      <c r="AL245" s="121">
        <f>交易记录!N295</f>
        <v>0</v>
      </c>
      <c r="AM245" s="30">
        <f t="shared" si="128"/>
        <v>0</v>
      </c>
      <c r="AN245" s="124">
        <f>交易记录!N328</f>
        <v>0</v>
      </c>
      <c r="AO245" s="124">
        <f>交易记录!N359</f>
        <v>0</v>
      </c>
      <c r="AP245" s="30">
        <f t="shared" si="129"/>
        <v>0</v>
      </c>
      <c r="AQ245" s="121">
        <f>交易记录!N392</f>
        <v>0</v>
      </c>
      <c r="AR245" s="121">
        <f>交易记录!N423</f>
        <v>0</v>
      </c>
      <c r="AS245" s="30">
        <f t="shared" si="130"/>
        <v>0</v>
      </c>
      <c r="AT245" s="124">
        <f>交易记录!N456</f>
        <v>0</v>
      </c>
      <c r="AU245" s="124">
        <f>交易记录!N487</f>
        <v>0</v>
      </c>
      <c r="AV245" s="30">
        <f t="shared" si="102"/>
        <v>0</v>
      </c>
      <c r="AW245" s="121">
        <f>交易记录!N520</f>
        <v>0</v>
      </c>
      <c r="AX245" s="121">
        <f>交易记录!N551</f>
        <v>0</v>
      </c>
      <c r="AY245" s="30">
        <f t="shared" si="103"/>
        <v>0</v>
      </c>
      <c r="AZ245" s="124">
        <f>交易记录!N584</f>
        <v>0</v>
      </c>
      <c r="BA245" s="124">
        <f>交易记录!N615</f>
        <v>0</v>
      </c>
      <c r="BB245" s="30">
        <f t="shared" si="104"/>
        <v>0</v>
      </c>
      <c r="BC245" s="121">
        <f>交易记录!N648</f>
        <v>0</v>
      </c>
      <c r="BD245" s="121">
        <f>交易记录!N679</f>
        <v>0</v>
      </c>
      <c r="BE245" s="30">
        <f t="shared" si="105"/>
        <v>0</v>
      </c>
      <c r="BF245" s="124">
        <f>交易记录!N712</f>
        <v>0</v>
      </c>
      <c r="BG245" s="124">
        <f>交易记录!N743</f>
        <v>0</v>
      </c>
      <c r="BH245" s="30">
        <f t="shared" si="106"/>
        <v>0</v>
      </c>
      <c r="BI245" s="121">
        <f>交易记录!N776</f>
        <v>0</v>
      </c>
      <c r="BJ245" s="121">
        <f>交易记录!N807</f>
        <v>0</v>
      </c>
      <c r="BK245" s="30">
        <f t="shared" si="107"/>
        <v>0</v>
      </c>
      <c r="BL245" s="124">
        <f>交易记录!N840</f>
        <v>0</v>
      </c>
      <c r="BM245" s="124">
        <f>交易记录!N871</f>
        <v>0</v>
      </c>
      <c r="BN245" s="30">
        <f t="shared" si="108"/>
        <v>0</v>
      </c>
      <c r="BO245" s="121">
        <f>交易记录!N904</f>
        <v>0</v>
      </c>
      <c r="BP245" s="121">
        <f>交易记录!N935</f>
        <v>0</v>
      </c>
      <c r="BQ245" s="30">
        <f t="shared" si="109"/>
        <v>0</v>
      </c>
    </row>
    <row r="246" spans="1:69" ht="15">
      <c r="A246" s="125">
        <f>'维护-日期'!A$13</f>
        <v>46276</v>
      </c>
      <c r="B246" s="7" t="s">
        <v>10</v>
      </c>
      <c r="C246" s="144">
        <f t="shared" si="110"/>
        <v>13.388</v>
      </c>
      <c r="D246" s="144">
        <f>ROUND(INDEX(持仓数据!$C$3:$AG$26,MATCH('计算过程-数据汇总'!B246,持仓数据!$B$3:$B$26,0),MATCH('计算过程-数据汇总'!A246,'维护-日期'!$B$2:$AF$2,0)),3)</f>
        <v>13.388</v>
      </c>
      <c r="E246" s="98">
        <f t="shared" si="111"/>
        <v>13.388</v>
      </c>
      <c r="F246" s="22">
        <f>持仓数据!M76</f>
        <v>8.6999999999999994E-2</v>
      </c>
      <c r="G246" s="97">
        <v>372</v>
      </c>
      <c r="H246" s="97">
        <v>372</v>
      </c>
      <c r="I246" s="64">
        <v>0</v>
      </c>
      <c r="J246" s="64">
        <v>0</v>
      </c>
      <c r="K246" s="21">
        <f>IF(持仓数据!M109="",0,持仓数据!M109)</f>
        <v>372</v>
      </c>
      <c r="L246" s="21">
        <f t="shared" si="112"/>
        <v>0</v>
      </c>
      <c r="M246" s="28">
        <f t="shared" si="96"/>
        <v>4980.3360000000002</v>
      </c>
      <c r="N246" s="28">
        <f t="shared" si="97"/>
        <v>0</v>
      </c>
      <c r="O246" s="28">
        <f t="shared" si="98"/>
        <v>0</v>
      </c>
      <c r="P246" s="28">
        <f t="shared" si="99"/>
        <v>0</v>
      </c>
      <c r="Q246" s="28">
        <f t="shared" si="113"/>
        <v>0</v>
      </c>
      <c r="R246" s="28">
        <f t="shared" si="100"/>
        <v>4980.3360000000002</v>
      </c>
      <c r="S246" s="28">
        <f t="shared" si="114"/>
        <v>0</v>
      </c>
      <c r="T246" s="28">
        <f t="shared" si="115"/>
        <v>0</v>
      </c>
      <c r="U246" s="28">
        <f t="shared" si="118"/>
        <v>0</v>
      </c>
      <c r="V246" s="28">
        <f t="shared" si="116"/>
        <v>0</v>
      </c>
      <c r="W246" s="118"/>
      <c r="X246" s="143">
        <f t="shared" si="117"/>
        <v>15.978999999999999</v>
      </c>
      <c r="Y246" s="121">
        <f>交易记录!N9</f>
        <v>8.6999999999999994E-2</v>
      </c>
      <c r="Z246" s="121">
        <f>交易记录!N40</f>
        <v>372</v>
      </c>
      <c r="AA246" s="30">
        <f t="shared" si="101"/>
        <v>0</v>
      </c>
      <c r="AB246" s="124">
        <f>交易记录!N73</f>
        <v>0</v>
      </c>
      <c r="AC246" s="124">
        <f>交易记录!N104</f>
        <v>0</v>
      </c>
      <c r="AD246" s="30">
        <f t="shared" si="125"/>
        <v>0</v>
      </c>
      <c r="AE246" s="121">
        <f>交易记录!N137</f>
        <v>0</v>
      </c>
      <c r="AF246" s="121">
        <f>交易记录!N168</f>
        <v>0</v>
      </c>
      <c r="AG246" s="30">
        <f t="shared" si="126"/>
        <v>0</v>
      </c>
      <c r="AH246" s="124">
        <f>交易记录!N201</f>
        <v>0</v>
      </c>
      <c r="AI246" s="124">
        <f>交易记录!N232</f>
        <v>0</v>
      </c>
      <c r="AJ246" s="30">
        <f t="shared" si="127"/>
        <v>0</v>
      </c>
      <c r="AK246" s="121">
        <f>交易记录!N265</f>
        <v>0</v>
      </c>
      <c r="AL246" s="121">
        <f>交易记录!N296</f>
        <v>0</v>
      </c>
      <c r="AM246" s="30">
        <f t="shared" si="128"/>
        <v>0</v>
      </c>
      <c r="AN246" s="124">
        <f>交易记录!N329</f>
        <v>0</v>
      </c>
      <c r="AO246" s="124">
        <f>交易记录!N360</f>
        <v>0</v>
      </c>
      <c r="AP246" s="30">
        <f t="shared" si="129"/>
        <v>0</v>
      </c>
      <c r="AQ246" s="121">
        <f>交易记录!N393</f>
        <v>0</v>
      </c>
      <c r="AR246" s="121">
        <f>交易记录!N424</f>
        <v>0</v>
      </c>
      <c r="AS246" s="30">
        <f t="shared" si="130"/>
        <v>0</v>
      </c>
      <c r="AT246" s="124">
        <f>交易记录!N457</f>
        <v>0</v>
      </c>
      <c r="AU246" s="124">
        <f>交易记录!N488</f>
        <v>0</v>
      </c>
      <c r="AV246" s="30">
        <f t="shared" si="102"/>
        <v>0</v>
      </c>
      <c r="AW246" s="121">
        <f>交易记录!N521</f>
        <v>0</v>
      </c>
      <c r="AX246" s="121">
        <f>交易记录!N552</f>
        <v>0</v>
      </c>
      <c r="AY246" s="30">
        <f t="shared" si="103"/>
        <v>0</v>
      </c>
      <c r="AZ246" s="124">
        <f>交易记录!N585</f>
        <v>0</v>
      </c>
      <c r="BA246" s="124">
        <f>交易记录!N616</f>
        <v>0</v>
      </c>
      <c r="BB246" s="30">
        <f t="shared" si="104"/>
        <v>0</v>
      </c>
      <c r="BC246" s="121">
        <f>交易记录!N649</f>
        <v>0</v>
      </c>
      <c r="BD246" s="121">
        <f>交易记录!N680</f>
        <v>0</v>
      </c>
      <c r="BE246" s="30">
        <f t="shared" si="105"/>
        <v>0</v>
      </c>
      <c r="BF246" s="124">
        <f>交易记录!N713</f>
        <v>0</v>
      </c>
      <c r="BG246" s="124">
        <f>交易记录!N744</f>
        <v>0</v>
      </c>
      <c r="BH246" s="30">
        <f t="shared" si="106"/>
        <v>0</v>
      </c>
      <c r="BI246" s="121">
        <f>交易记录!N777</f>
        <v>0</v>
      </c>
      <c r="BJ246" s="121">
        <f>交易记录!N808</f>
        <v>0</v>
      </c>
      <c r="BK246" s="30">
        <f t="shared" si="107"/>
        <v>0</v>
      </c>
      <c r="BL246" s="124">
        <f>交易记录!N841</f>
        <v>0</v>
      </c>
      <c r="BM246" s="124">
        <f>交易记录!N872</f>
        <v>0</v>
      </c>
      <c r="BN246" s="30">
        <f t="shared" si="108"/>
        <v>0</v>
      </c>
      <c r="BO246" s="121">
        <f>交易记录!N905</f>
        <v>0</v>
      </c>
      <c r="BP246" s="121">
        <f>交易记录!N936</f>
        <v>0</v>
      </c>
      <c r="BQ246" s="30">
        <f t="shared" si="109"/>
        <v>0</v>
      </c>
    </row>
    <row r="247" spans="1:69" ht="15">
      <c r="A247" s="125">
        <f>'维护-日期'!A$13</f>
        <v>46276</v>
      </c>
      <c r="B247" s="7" t="s">
        <v>11</v>
      </c>
      <c r="C247" s="144">
        <f t="shared" si="110"/>
        <v>13.087</v>
      </c>
      <c r="D247" s="144">
        <f>ROUND(INDEX(持仓数据!$C$3:$AG$26,MATCH('计算过程-数据汇总'!B247,持仓数据!$B$3:$B$26,0),MATCH('计算过程-数据汇总'!A247,'维护-日期'!$B$2:$AF$2,0)),3)</f>
        <v>13.087</v>
      </c>
      <c r="E247" s="98">
        <f t="shared" si="111"/>
        <v>13.087</v>
      </c>
      <c r="F247" s="22">
        <f>持仓数据!M77</f>
        <v>8.6999999999999994E-2</v>
      </c>
      <c r="G247" s="97">
        <v>372</v>
      </c>
      <c r="H247" s="97">
        <v>372</v>
      </c>
      <c r="I247" s="64">
        <v>0</v>
      </c>
      <c r="J247" s="64">
        <v>0</v>
      </c>
      <c r="K247" s="21">
        <f>IF(持仓数据!M110="",0,持仓数据!M110)</f>
        <v>372</v>
      </c>
      <c r="L247" s="21">
        <f t="shared" si="112"/>
        <v>0</v>
      </c>
      <c r="M247" s="28">
        <f t="shared" si="96"/>
        <v>4868.3639999999996</v>
      </c>
      <c r="N247" s="28">
        <f t="shared" si="97"/>
        <v>0</v>
      </c>
      <c r="O247" s="28">
        <f t="shared" si="98"/>
        <v>0</v>
      </c>
      <c r="P247" s="28">
        <f t="shared" si="99"/>
        <v>0</v>
      </c>
      <c r="Q247" s="28">
        <f t="shared" si="113"/>
        <v>0</v>
      </c>
      <c r="R247" s="28">
        <f t="shared" si="100"/>
        <v>4868.3639999999996</v>
      </c>
      <c r="S247" s="28">
        <f t="shared" si="114"/>
        <v>0</v>
      </c>
      <c r="T247" s="28">
        <f t="shared" si="115"/>
        <v>0</v>
      </c>
      <c r="U247" s="28">
        <f t="shared" si="118"/>
        <v>0</v>
      </c>
      <c r="V247" s="28">
        <f t="shared" si="116"/>
        <v>0</v>
      </c>
      <c r="W247" s="118"/>
      <c r="X247" s="143">
        <f t="shared" si="117"/>
        <v>15.617000000000001</v>
      </c>
      <c r="Y247" s="121">
        <f>交易记录!N10</f>
        <v>8.6999999999999994E-2</v>
      </c>
      <c r="Z247" s="121">
        <f>交易记录!N41</f>
        <v>372</v>
      </c>
      <c r="AA247" s="30">
        <f t="shared" si="101"/>
        <v>0</v>
      </c>
      <c r="AB247" s="124">
        <f>交易记录!N74</f>
        <v>0</v>
      </c>
      <c r="AC247" s="124">
        <f>交易记录!N105</f>
        <v>0</v>
      </c>
      <c r="AD247" s="30">
        <f t="shared" si="125"/>
        <v>0</v>
      </c>
      <c r="AE247" s="121">
        <f>交易记录!N138</f>
        <v>0</v>
      </c>
      <c r="AF247" s="121">
        <f>交易记录!N169</f>
        <v>0</v>
      </c>
      <c r="AG247" s="30">
        <f t="shared" si="126"/>
        <v>0</v>
      </c>
      <c r="AH247" s="124">
        <f>交易记录!N202</f>
        <v>0</v>
      </c>
      <c r="AI247" s="124">
        <f>交易记录!N233</f>
        <v>0</v>
      </c>
      <c r="AJ247" s="30">
        <f t="shared" si="127"/>
        <v>0</v>
      </c>
      <c r="AK247" s="121">
        <f>交易记录!N266</f>
        <v>0</v>
      </c>
      <c r="AL247" s="121">
        <f>交易记录!N297</f>
        <v>0</v>
      </c>
      <c r="AM247" s="30">
        <f t="shared" si="128"/>
        <v>0</v>
      </c>
      <c r="AN247" s="124">
        <f>交易记录!N330</f>
        <v>0</v>
      </c>
      <c r="AO247" s="124">
        <f>交易记录!N361</f>
        <v>0</v>
      </c>
      <c r="AP247" s="30">
        <f t="shared" si="129"/>
        <v>0</v>
      </c>
      <c r="AQ247" s="121">
        <f>交易记录!N394</f>
        <v>0</v>
      </c>
      <c r="AR247" s="121">
        <f>交易记录!N425</f>
        <v>0</v>
      </c>
      <c r="AS247" s="30">
        <f t="shared" si="130"/>
        <v>0</v>
      </c>
      <c r="AT247" s="124">
        <f>交易记录!N458</f>
        <v>0</v>
      </c>
      <c r="AU247" s="124">
        <f>交易记录!N489</f>
        <v>0</v>
      </c>
      <c r="AV247" s="30">
        <f t="shared" si="102"/>
        <v>0</v>
      </c>
      <c r="AW247" s="121">
        <f>交易记录!N522</f>
        <v>0</v>
      </c>
      <c r="AX247" s="121">
        <f>交易记录!N553</f>
        <v>0</v>
      </c>
      <c r="AY247" s="30">
        <f t="shared" si="103"/>
        <v>0</v>
      </c>
      <c r="AZ247" s="124">
        <f>交易记录!N586</f>
        <v>0</v>
      </c>
      <c r="BA247" s="124">
        <f>交易记录!N617</f>
        <v>0</v>
      </c>
      <c r="BB247" s="30">
        <f t="shared" si="104"/>
        <v>0</v>
      </c>
      <c r="BC247" s="121">
        <f>交易记录!N650</f>
        <v>0</v>
      </c>
      <c r="BD247" s="121">
        <f>交易记录!N681</f>
        <v>0</v>
      </c>
      <c r="BE247" s="30">
        <f t="shared" si="105"/>
        <v>0</v>
      </c>
      <c r="BF247" s="124">
        <f>交易记录!N714</f>
        <v>0</v>
      </c>
      <c r="BG247" s="124">
        <f>交易记录!N745</f>
        <v>0</v>
      </c>
      <c r="BH247" s="30">
        <f t="shared" si="106"/>
        <v>0</v>
      </c>
      <c r="BI247" s="121">
        <f>交易记录!N778</f>
        <v>0</v>
      </c>
      <c r="BJ247" s="121">
        <f>交易记录!N809</f>
        <v>0</v>
      </c>
      <c r="BK247" s="30">
        <f t="shared" si="107"/>
        <v>0</v>
      </c>
      <c r="BL247" s="124">
        <f>交易记录!N842</f>
        <v>0</v>
      </c>
      <c r="BM247" s="124">
        <f>交易记录!N873</f>
        <v>0</v>
      </c>
      <c r="BN247" s="30">
        <f t="shared" si="108"/>
        <v>0</v>
      </c>
      <c r="BO247" s="121">
        <f>交易记录!N906</f>
        <v>0</v>
      </c>
      <c r="BP247" s="121">
        <f>交易记录!N937</f>
        <v>0</v>
      </c>
      <c r="BQ247" s="30">
        <f t="shared" si="109"/>
        <v>0</v>
      </c>
    </row>
    <row r="248" spans="1:69" ht="15">
      <c r="A248" s="125">
        <f>'维护-日期'!A$13</f>
        <v>46276</v>
      </c>
      <c r="B248" s="7" t="s">
        <v>12</v>
      </c>
      <c r="C248" s="144">
        <f t="shared" si="110"/>
        <v>12.95</v>
      </c>
      <c r="D248" s="144">
        <f>ROUND(INDEX(持仓数据!$C$3:$AG$26,MATCH('计算过程-数据汇总'!B248,持仓数据!$B$3:$B$26,0),MATCH('计算过程-数据汇总'!A248,'维护-日期'!$B$2:$AF$2,0)),3)</f>
        <v>12.95</v>
      </c>
      <c r="E248" s="98">
        <f t="shared" si="111"/>
        <v>12.95</v>
      </c>
      <c r="F248" s="22">
        <f>持仓数据!M78</f>
        <v>0.14499999999999999</v>
      </c>
      <c r="G248" s="97">
        <v>372</v>
      </c>
      <c r="H248" s="97">
        <v>372</v>
      </c>
      <c r="I248" s="64">
        <v>0</v>
      </c>
      <c r="J248" s="64">
        <v>0</v>
      </c>
      <c r="K248" s="21">
        <f>IF(持仓数据!M111="",0,持仓数据!M111)</f>
        <v>372</v>
      </c>
      <c r="L248" s="21">
        <f t="shared" si="112"/>
        <v>0</v>
      </c>
      <c r="M248" s="28">
        <f t="shared" si="96"/>
        <v>4817.3999999999996</v>
      </c>
      <c r="N248" s="28">
        <f t="shared" si="97"/>
        <v>0</v>
      </c>
      <c r="O248" s="28">
        <f t="shared" si="98"/>
        <v>0</v>
      </c>
      <c r="P248" s="28">
        <f t="shared" si="99"/>
        <v>0</v>
      </c>
      <c r="Q248" s="28">
        <f t="shared" si="113"/>
        <v>0</v>
      </c>
      <c r="R248" s="28">
        <f t="shared" si="100"/>
        <v>4817.3999999999996</v>
      </c>
      <c r="S248" s="28">
        <f t="shared" si="114"/>
        <v>0</v>
      </c>
      <c r="T248" s="28">
        <f t="shared" si="115"/>
        <v>0</v>
      </c>
      <c r="U248" s="28">
        <f t="shared" si="118"/>
        <v>0</v>
      </c>
      <c r="V248" s="28">
        <f t="shared" si="116"/>
        <v>0</v>
      </c>
      <c r="W248" s="118"/>
      <c r="X248" s="143">
        <f t="shared" si="117"/>
        <v>15.395</v>
      </c>
      <c r="Y248" s="121">
        <f>交易记录!N11</f>
        <v>0.14499999999999999</v>
      </c>
      <c r="Z248" s="121">
        <f>交易记录!N42</f>
        <v>372</v>
      </c>
      <c r="AA248" s="30">
        <f t="shared" si="101"/>
        <v>0</v>
      </c>
      <c r="AB248" s="124">
        <f>交易记录!N75</f>
        <v>0</v>
      </c>
      <c r="AC248" s="124">
        <f>交易记录!N106</f>
        <v>0</v>
      </c>
      <c r="AD248" s="30">
        <f t="shared" si="125"/>
        <v>0</v>
      </c>
      <c r="AE248" s="121">
        <f>交易记录!N139</f>
        <v>0</v>
      </c>
      <c r="AF248" s="121">
        <f>交易记录!N170</f>
        <v>0</v>
      </c>
      <c r="AG248" s="30">
        <f t="shared" si="126"/>
        <v>0</v>
      </c>
      <c r="AH248" s="124">
        <f>交易记录!N203</f>
        <v>0</v>
      </c>
      <c r="AI248" s="124">
        <f>交易记录!N234</f>
        <v>0</v>
      </c>
      <c r="AJ248" s="30">
        <f t="shared" si="127"/>
        <v>0</v>
      </c>
      <c r="AK248" s="121">
        <f>交易记录!N267</f>
        <v>0</v>
      </c>
      <c r="AL248" s="121">
        <f>交易记录!N298</f>
        <v>0</v>
      </c>
      <c r="AM248" s="30">
        <f t="shared" si="128"/>
        <v>0</v>
      </c>
      <c r="AN248" s="124">
        <f>交易记录!N331</f>
        <v>0</v>
      </c>
      <c r="AO248" s="124">
        <f>交易记录!N362</f>
        <v>0</v>
      </c>
      <c r="AP248" s="30">
        <f t="shared" si="129"/>
        <v>0</v>
      </c>
      <c r="AQ248" s="121">
        <f>交易记录!N395</f>
        <v>0</v>
      </c>
      <c r="AR248" s="121">
        <f>交易记录!N426</f>
        <v>0</v>
      </c>
      <c r="AS248" s="30">
        <f t="shared" si="130"/>
        <v>0</v>
      </c>
      <c r="AT248" s="124">
        <f>交易记录!N459</f>
        <v>0</v>
      </c>
      <c r="AU248" s="124">
        <f>交易记录!N490</f>
        <v>0</v>
      </c>
      <c r="AV248" s="30">
        <f t="shared" si="102"/>
        <v>0</v>
      </c>
      <c r="AW248" s="121">
        <f>交易记录!N523</f>
        <v>0</v>
      </c>
      <c r="AX248" s="121">
        <f>交易记录!N554</f>
        <v>0</v>
      </c>
      <c r="AY248" s="30">
        <f t="shared" si="103"/>
        <v>0</v>
      </c>
      <c r="AZ248" s="124">
        <f>交易记录!N587</f>
        <v>0</v>
      </c>
      <c r="BA248" s="124">
        <f>交易记录!N618</f>
        <v>0</v>
      </c>
      <c r="BB248" s="30">
        <f t="shared" si="104"/>
        <v>0</v>
      </c>
      <c r="BC248" s="121">
        <f>交易记录!N651</f>
        <v>0</v>
      </c>
      <c r="BD248" s="121">
        <f>交易记录!N682</f>
        <v>0</v>
      </c>
      <c r="BE248" s="30">
        <f t="shared" si="105"/>
        <v>0</v>
      </c>
      <c r="BF248" s="124">
        <f>交易记录!N715</f>
        <v>0</v>
      </c>
      <c r="BG248" s="124">
        <f>交易记录!N746</f>
        <v>0</v>
      </c>
      <c r="BH248" s="30">
        <f t="shared" si="106"/>
        <v>0</v>
      </c>
      <c r="BI248" s="121">
        <f>交易记录!N779</f>
        <v>0</v>
      </c>
      <c r="BJ248" s="121">
        <f>交易记录!N810</f>
        <v>0</v>
      </c>
      <c r="BK248" s="30">
        <f t="shared" si="107"/>
        <v>0</v>
      </c>
      <c r="BL248" s="124">
        <f>交易记录!N843</f>
        <v>0</v>
      </c>
      <c r="BM248" s="124">
        <f>交易记录!N874</f>
        <v>0</v>
      </c>
      <c r="BN248" s="30">
        <f t="shared" si="108"/>
        <v>0</v>
      </c>
      <c r="BO248" s="121">
        <f>交易记录!N907</f>
        <v>0</v>
      </c>
      <c r="BP248" s="121">
        <f>交易记录!N938</f>
        <v>0</v>
      </c>
      <c r="BQ248" s="30">
        <f t="shared" si="109"/>
        <v>0</v>
      </c>
    </row>
    <row r="249" spans="1:69" ht="15">
      <c r="A249" s="125">
        <f>'维护-日期'!A$13</f>
        <v>46276</v>
      </c>
      <c r="B249" s="7" t="s">
        <v>13</v>
      </c>
      <c r="C249" s="144">
        <f t="shared" si="110"/>
        <v>13.266999999999999</v>
      </c>
      <c r="D249" s="144">
        <f>ROUND(INDEX(持仓数据!$C$3:$AG$26,MATCH('计算过程-数据汇总'!B249,持仓数据!$B$3:$B$26,0),MATCH('计算过程-数据汇总'!A249,'维护-日期'!$B$2:$AF$2,0)),3)</f>
        <v>13.266999999999999</v>
      </c>
      <c r="E249" s="98">
        <f t="shared" si="111"/>
        <v>13.266999999999999</v>
      </c>
      <c r="F249" s="22">
        <f>持仓数据!M79</f>
        <v>0.307</v>
      </c>
      <c r="G249" s="97">
        <v>372</v>
      </c>
      <c r="H249" s="97">
        <v>372</v>
      </c>
      <c r="I249" s="64">
        <v>0</v>
      </c>
      <c r="J249" s="64">
        <v>0</v>
      </c>
      <c r="K249" s="21">
        <f>IF(持仓数据!M112="",0,持仓数据!M112)</f>
        <v>372</v>
      </c>
      <c r="L249" s="21">
        <f t="shared" si="112"/>
        <v>0</v>
      </c>
      <c r="M249" s="28">
        <f t="shared" si="96"/>
        <v>4935.3239999999996</v>
      </c>
      <c r="N249" s="28">
        <f t="shared" si="97"/>
        <v>0</v>
      </c>
      <c r="O249" s="28">
        <f t="shared" si="98"/>
        <v>0</v>
      </c>
      <c r="P249" s="28">
        <f t="shared" si="99"/>
        <v>0</v>
      </c>
      <c r="Q249" s="28">
        <f t="shared" si="113"/>
        <v>0</v>
      </c>
      <c r="R249" s="28">
        <f t="shared" si="100"/>
        <v>4935.3239999999996</v>
      </c>
      <c r="S249" s="28">
        <f t="shared" si="114"/>
        <v>0</v>
      </c>
      <c r="T249" s="28">
        <f t="shared" si="115"/>
        <v>0</v>
      </c>
      <c r="U249" s="28">
        <f t="shared" si="118"/>
        <v>0</v>
      </c>
      <c r="V249" s="28">
        <f t="shared" si="116"/>
        <v>0</v>
      </c>
      <c r="W249" s="118"/>
      <c r="X249" s="143">
        <f t="shared" si="117"/>
        <v>15.613</v>
      </c>
      <c r="Y249" s="121">
        <f>交易记录!N12</f>
        <v>0.307</v>
      </c>
      <c r="Z249" s="121">
        <f>交易记录!N43</f>
        <v>372</v>
      </c>
      <c r="AA249" s="30">
        <f t="shared" si="101"/>
        <v>0</v>
      </c>
      <c r="AB249" s="124">
        <f>交易记录!N76</f>
        <v>0</v>
      </c>
      <c r="AC249" s="124">
        <f>交易记录!N107</f>
        <v>0</v>
      </c>
      <c r="AD249" s="30">
        <f t="shared" si="125"/>
        <v>0</v>
      </c>
      <c r="AE249" s="121">
        <f>交易记录!N140</f>
        <v>0</v>
      </c>
      <c r="AF249" s="121">
        <f>交易记录!N171</f>
        <v>0</v>
      </c>
      <c r="AG249" s="30">
        <f t="shared" si="126"/>
        <v>0</v>
      </c>
      <c r="AH249" s="124">
        <f>交易记录!N204</f>
        <v>0</v>
      </c>
      <c r="AI249" s="124">
        <f>交易记录!N235</f>
        <v>0</v>
      </c>
      <c r="AJ249" s="30">
        <f t="shared" si="127"/>
        <v>0</v>
      </c>
      <c r="AK249" s="121">
        <f>交易记录!N268</f>
        <v>0</v>
      </c>
      <c r="AL249" s="121">
        <f>交易记录!N299</f>
        <v>0</v>
      </c>
      <c r="AM249" s="30">
        <f t="shared" si="128"/>
        <v>0</v>
      </c>
      <c r="AN249" s="124">
        <f>交易记录!N332</f>
        <v>0</v>
      </c>
      <c r="AO249" s="124">
        <f>交易记录!N363</f>
        <v>0</v>
      </c>
      <c r="AP249" s="30">
        <f t="shared" si="129"/>
        <v>0</v>
      </c>
      <c r="AQ249" s="121">
        <f>交易记录!N396</f>
        <v>0</v>
      </c>
      <c r="AR249" s="121">
        <f>交易记录!N427</f>
        <v>0</v>
      </c>
      <c r="AS249" s="30">
        <f t="shared" si="130"/>
        <v>0</v>
      </c>
      <c r="AT249" s="124">
        <f>交易记录!N460</f>
        <v>0</v>
      </c>
      <c r="AU249" s="124">
        <f>交易记录!N491</f>
        <v>0</v>
      </c>
      <c r="AV249" s="30">
        <f t="shared" si="102"/>
        <v>0</v>
      </c>
      <c r="AW249" s="121">
        <f>交易记录!N524</f>
        <v>0</v>
      </c>
      <c r="AX249" s="121">
        <f>交易记录!N555</f>
        <v>0</v>
      </c>
      <c r="AY249" s="30">
        <f t="shared" si="103"/>
        <v>0</v>
      </c>
      <c r="AZ249" s="124">
        <f>交易记录!N588</f>
        <v>0</v>
      </c>
      <c r="BA249" s="124">
        <f>交易记录!N619</f>
        <v>0</v>
      </c>
      <c r="BB249" s="30">
        <f t="shared" si="104"/>
        <v>0</v>
      </c>
      <c r="BC249" s="121">
        <f>交易记录!N652</f>
        <v>0</v>
      </c>
      <c r="BD249" s="121">
        <f>交易记录!N683</f>
        <v>0</v>
      </c>
      <c r="BE249" s="30">
        <f t="shared" si="105"/>
        <v>0</v>
      </c>
      <c r="BF249" s="124">
        <f>交易记录!N716</f>
        <v>0</v>
      </c>
      <c r="BG249" s="124">
        <f>交易记录!N747</f>
        <v>0</v>
      </c>
      <c r="BH249" s="30">
        <f t="shared" si="106"/>
        <v>0</v>
      </c>
      <c r="BI249" s="121">
        <f>交易记录!N780</f>
        <v>0</v>
      </c>
      <c r="BJ249" s="121">
        <f>交易记录!N811</f>
        <v>0</v>
      </c>
      <c r="BK249" s="30">
        <f t="shared" si="107"/>
        <v>0</v>
      </c>
      <c r="BL249" s="124">
        <f>交易记录!N844</f>
        <v>0</v>
      </c>
      <c r="BM249" s="124">
        <f>交易记录!N875</f>
        <v>0</v>
      </c>
      <c r="BN249" s="30">
        <f t="shared" si="108"/>
        <v>0</v>
      </c>
      <c r="BO249" s="121">
        <f>交易记录!N908</f>
        <v>0</v>
      </c>
      <c r="BP249" s="121">
        <f>交易记录!N939</f>
        <v>0</v>
      </c>
      <c r="BQ249" s="30">
        <f t="shared" si="109"/>
        <v>0</v>
      </c>
    </row>
    <row r="250" spans="1:69" ht="15">
      <c r="A250" s="125">
        <f>'维护-日期'!A$13</f>
        <v>46276</v>
      </c>
      <c r="B250" s="7" t="s">
        <v>14</v>
      </c>
      <c r="C250" s="144">
        <f t="shared" si="110"/>
        <v>15.795999999999999</v>
      </c>
      <c r="D250" s="144">
        <f>ROUND(INDEX(持仓数据!$C$3:$AG$26,MATCH('计算过程-数据汇总'!B250,持仓数据!$B$3:$B$26,0),MATCH('计算过程-数据汇总'!A250,'维护-日期'!$B$2:$AF$2,0)),3)</f>
        <v>15.795999999999999</v>
      </c>
      <c r="E250" s="98">
        <f t="shared" si="111"/>
        <v>15.795999999999999</v>
      </c>
      <c r="F250" s="22">
        <f>持仓数据!M80</f>
        <v>0.42800000000000005</v>
      </c>
      <c r="G250" s="97">
        <v>372</v>
      </c>
      <c r="H250" s="97">
        <v>372</v>
      </c>
      <c r="I250" s="64">
        <v>0</v>
      </c>
      <c r="J250" s="64">
        <v>0</v>
      </c>
      <c r="K250" s="21">
        <f>IF(持仓数据!M113="",0,持仓数据!M113)</f>
        <v>372</v>
      </c>
      <c r="L250" s="21">
        <f t="shared" si="112"/>
        <v>0</v>
      </c>
      <c r="M250" s="28">
        <f t="shared" si="96"/>
        <v>5876.1120000000001</v>
      </c>
      <c r="N250" s="28">
        <f t="shared" si="97"/>
        <v>0</v>
      </c>
      <c r="O250" s="28">
        <f t="shared" si="98"/>
        <v>0</v>
      </c>
      <c r="P250" s="28">
        <f t="shared" si="99"/>
        <v>0</v>
      </c>
      <c r="Q250" s="28">
        <f t="shared" si="113"/>
        <v>0</v>
      </c>
      <c r="R250" s="28">
        <f t="shared" si="100"/>
        <v>5876.1120000000001</v>
      </c>
      <c r="S250" s="28">
        <f t="shared" si="114"/>
        <v>0</v>
      </c>
      <c r="T250" s="28">
        <f t="shared" si="115"/>
        <v>0</v>
      </c>
      <c r="U250" s="28">
        <f t="shared" si="118"/>
        <v>0</v>
      </c>
      <c r="V250" s="28">
        <f t="shared" si="116"/>
        <v>0</v>
      </c>
      <c r="W250" s="118"/>
      <c r="X250" s="143">
        <f t="shared" si="117"/>
        <v>18.527000000000001</v>
      </c>
      <c r="Y250" s="121">
        <f>交易记录!N13</f>
        <v>0.42800000000000005</v>
      </c>
      <c r="Z250" s="121">
        <f>交易记录!N44</f>
        <v>372</v>
      </c>
      <c r="AA250" s="30">
        <f t="shared" si="101"/>
        <v>0</v>
      </c>
      <c r="AB250" s="124">
        <f>交易记录!N77</f>
        <v>0</v>
      </c>
      <c r="AC250" s="124">
        <f>交易记录!N108</f>
        <v>0</v>
      </c>
      <c r="AD250" s="30">
        <f t="shared" si="125"/>
        <v>0</v>
      </c>
      <c r="AE250" s="121">
        <f>交易记录!N141</f>
        <v>0</v>
      </c>
      <c r="AF250" s="121">
        <f>交易记录!N172</f>
        <v>0</v>
      </c>
      <c r="AG250" s="30">
        <f t="shared" si="126"/>
        <v>0</v>
      </c>
      <c r="AH250" s="124">
        <f>交易记录!N205</f>
        <v>0</v>
      </c>
      <c r="AI250" s="124">
        <f>交易记录!N236</f>
        <v>0</v>
      </c>
      <c r="AJ250" s="30">
        <f t="shared" si="127"/>
        <v>0</v>
      </c>
      <c r="AK250" s="121">
        <f>交易记录!N269</f>
        <v>0</v>
      </c>
      <c r="AL250" s="121">
        <f>交易记录!N300</f>
        <v>0</v>
      </c>
      <c r="AM250" s="30">
        <f t="shared" si="128"/>
        <v>0</v>
      </c>
      <c r="AN250" s="124">
        <f>交易记录!N333</f>
        <v>0</v>
      </c>
      <c r="AO250" s="124">
        <f>交易记录!N364</f>
        <v>0</v>
      </c>
      <c r="AP250" s="30">
        <f t="shared" si="129"/>
        <v>0</v>
      </c>
      <c r="AQ250" s="121">
        <f>交易记录!N397</f>
        <v>0</v>
      </c>
      <c r="AR250" s="121">
        <f>交易记录!N428</f>
        <v>0</v>
      </c>
      <c r="AS250" s="30">
        <f t="shared" si="130"/>
        <v>0</v>
      </c>
      <c r="AT250" s="124">
        <f>交易记录!N461</f>
        <v>0</v>
      </c>
      <c r="AU250" s="124">
        <f>交易记录!N492</f>
        <v>0</v>
      </c>
      <c r="AV250" s="30">
        <f t="shared" si="102"/>
        <v>0</v>
      </c>
      <c r="AW250" s="121">
        <f>交易记录!N525</f>
        <v>0</v>
      </c>
      <c r="AX250" s="121">
        <f>交易记录!N556</f>
        <v>0</v>
      </c>
      <c r="AY250" s="30">
        <f t="shared" si="103"/>
        <v>0</v>
      </c>
      <c r="AZ250" s="124">
        <f>交易记录!N589</f>
        <v>0</v>
      </c>
      <c r="BA250" s="124">
        <f>交易记录!N620</f>
        <v>0</v>
      </c>
      <c r="BB250" s="30">
        <f t="shared" si="104"/>
        <v>0</v>
      </c>
      <c r="BC250" s="121">
        <f>交易记录!N653</f>
        <v>0</v>
      </c>
      <c r="BD250" s="121">
        <f>交易记录!N684</f>
        <v>0</v>
      </c>
      <c r="BE250" s="30">
        <f t="shared" si="105"/>
        <v>0</v>
      </c>
      <c r="BF250" s="124">
        <f>交易记录!N717</f>
        <v>0</v>
      </c>
      <c r="BG250" s="124">
        <f>交易记录!N748</f>
        <v>0</v>
      </c>
      <c r="BH250" s="30">
        <f t="shared" si="106"/>
        <v>0</v>
      </c>
      <c r="BI250" s="121">
        <f>交易记录!N781</f>
        <v>0</v>
      </c>
      <c r="BJ250" s="121">
        <f>交易记录!N812</f>
        <v>0</v>
      </c>
      <c r="BK250" s="30">
        <f t="shared" si="107"/>
        <v>0</v>
      </c>
      <c r="BL250" s="124">
        <f>交易记录!N845</f>
        <v>0</v>
      </c>
      <c r="BM250" s="124">
        <f>交易记录!N876</f>
        <v>0</v>
      </c>
      <c r="BN250" s="30">
        <f t="shared" si="108"/>
        <v>0</v>
      </c>
      <c r="BO250" s="121">
        <f>交易记录!N909</f>
        <v>0</v>
      </c>
      <c r="BP250" s="121">
        <f>交易记录!N940</f>
        <v>0</v>
      </c>
      <c r="BQ250" s="30">
        <f t="shared" si="109"/>
        <v>0</v>
      </c>
    </row>
    <row r="251" spans="1:69" ht="15">
      <c r="A251" s="125">
        <f>'维护-日期'!A$13</f>
        <v>46276</v>
      </c>
      <c r="B251" s="7" t="s">
        <v>15</v>
      </c>
      <c r="C251" s="144">
        <f t="shared" si="110"/>
        <v>19.308</v>
      </c>
      <c r="D251" s="144">
        <f>ROUND(INDEX(持仓数据!$C$3:$AG$26,MATCH('计算过程-数据汇总'!B251,持仓数据!$B$3:$B$26,0),MATCH('计算过程-数据汇总'!A251,'维护-日期'!$B$2:$AF$2,0)),3)</f>
        <v>19.308</v>
      </c>
      <c r="E251" s="98">
        <f t="shared" si="111"/>
        <v>19.308</v>
      </c>
      <c r="F251" s="22">
        <f>持仓数据!M81</f>
        <v>0.46100000000000002</v>
      </c>
      <c r="G251" s="97">
        <v>372</v>
      </c>
      <c r="H251" s="97">
        <v>372</v>
      </c>
      <c r="I251" s="64">
        <v>0</v>
      </c>
      <c r="J251" s="64">
        <v>0</v>
      </c>
      <c r="K251" s="21">
        <f>IF(持仓数据!M114="",0,持仓数据!M114)</f>
        <v>372</v>
      </c>
      <c r="L251" s="21">
        <f t="shared" si="112"/>
        <v>0</v>
      </c>
      <c r="M251" s="28">
        <f t="shared" si="96"/>
        <v>7182.576</v>
      </c>
      <c r="N251" s="28">
        <f t="shared" si="97"/>
        <v>0</v>
      </c>
      <c r="O251" s="28">
        <f t="shared" si="98"/>
        <v>0</v>
      </c>
      <c r="P251" s="28">
        <f t="shared" si="99"/>
        <v>0</v>
      </c>
      <c r="Q251" s="28">
        <f t="shared" si="113"/>
        <v>0</v>
      </c>
      <c r="R251" s="28">
        <f t="shared" si="100"/>
        <v>7182.576</v>
      </c>
      <c r="S251" s="28">
        <f t="shared" si="114"/>
        <v>0</v>
      </c>
      <c r="T251" s="28">
        <f t="shared" si="115"/>
        <v>0</v>
      </c>
      <c r="U251" s="28">
        <f t="shared" si="118"/>
        <v>0</v>
      </c>
      <c r="V251" s="28">
        <f t="shared" si="116"/>
        <v>0</v>
      </c>
      <c r="W251" s="118"/>
      <c r="X251" s="143">
        <f t="shared" si="117"/>
        <v>22.709</v>
      </c>
      <c r="Y251" s="121">
        <f>交易记录!N14</f>
        <v>0.46100000000000002</v>
      </c>
      <c r="Z251" s="121">
        <f>交易记录!N45</f>
        <v>372</v>
      </c>
      <c r="AA251" s="30">
        <f t="shared" si="101"/>
        <v>0</v>
      </c>
      <c r="AB251" s="124">
        <f>交易记录!N78</f>
        <v>0</v>
      </c>
      <c r="AC251" s="124">
        <f>交易记录!N109</f>
        <v>0</v>
      </c>
      <c r="AD251" s="30">
        <f t="shared" si="125"/>
        <v>0</v>
      </c>
      <c r="AE251" s="121">
        <f>交易记录!N142</f>
        <v>0</v>
      </c>
      <c r="AF251" s="121">
        <f>交易记录!N173</f>
        <v>0</v>
      </c>
      <c r="AG251" s="30">
        <f t="shared" si="126"/>
        <v>0</v>
      </c>
      <c r="AH251" s="124">
        <f>交易记录!N206</f>
        <v>0</v>
      </c>
      <c r="AI251" s="124">
        <f>交易记录!N237</f>
        <v>0</v>
      </c>
      <c r="AJ251" s="30">
        <f t="shared" si="127"/>
        <v>0</v>
      </c>
      <c r="AK251" s="121">
        <f>交易记录!N270</f>
        <v>0</v>
      </c>
      <c r="AL251" s="121">
        <f>交易记录!N301</f>
        <v>0</v>
      </c>
      <c r="AM251" s="30">
        <f t="shared" si="128"/>
        <v>0</v>
      </c>
      <c r="AN251" s="124">
        <f>交易记录!N334</f>
        <v>0</v>
      </c>
      <c r="AO251" s="124">
        <f>交易记录!N365</f>
        <v>0</v>
      </c>
      <c r="AP251" s="30">
        <f t="shared" si="129"/>
        <v>0</v>
      </c>
      <c r="AQ251" s="121">
        <f>交易记录!N398</f>
        <v>0</v>
      </c>
      <c r="AR251" s="121">
        <f>交易记录!N429</f>
        <v>0</v>
      </c>
      <c r="AS251" s="30">
        <f t="shared" si="130"/>
        <v>0</v>
      </c>
      <c r="AT251" s="124">
        <f>交易记录!N462</f>
        <v>0</v>
      </c>
      <c r="AU251" s="124">
        <f>交易记录!N493</f>
        <v>0</v>
      </c>
      <c r="AV251" s="30">
        <f t="shared" si="102"/>
        <v>0</v>
      </c>
      <c r="AW251" s="121">
        <f>交易记录!N526</f>
        <v>0</v>
      </c>
      <c r="AX251" s="121">
        <f>交易记录!N557</f>
        <v>0</v>
      </c>
      <c r="AY251" s="30">
        <f t="shared" si="103"/>
        <v>0</v>
      </c>
      <c r="AZ251" s="124">
        <f>交易记录!N590</f>
        <v>0</v>
      </c>
      <c r="BA251" s="124">
        <f>交易记录!N621</f>
        <v>0</v>
      </c>
      <c r="BB251" s="30">
        <f t="shared" si="104"/>
        <v>0</v>
      </c>
      <c r="BC251" s="121">
        <f>交易记录!N654</f>
        <v>0</v>
      </c>
      <c r="BD251" s="121">
        <f>交易记录!N685</f>
        <v>0</v>
      </c>
      <c r="BE251" s="30">
        <f t="shared" si="105"/>
        <v>0</v>
      </c>
      <c r="BF251" s="124">
        <f>交易记录!N718</f>
        <v>0</v>
      </c>
      <c r="BG251" s="124">
        <f>交易记录!N749</f>
        <v>0</v>
      </c>
      <c r="BH251" s="30">
        <f t="shared" si="106"/>
        <v>0</v>
      </c>
      <c r="BI251" s="121">
        <f>交易记录!N782</f>
        <v>0</v>
      </c>
      <c r="BJ251" s="121">
        <f>交易记录!N813</f>
        <v>0</v>
      </c>
      <c r="BK251" s="30">
        <f t="shared" si="107"/>
        <v>0</v>
      </c>
      <c r="BL251" s="124">
        <f>交易记录!N846</f>
        <v>0</v>
      </c>
      <c r="BM251" s="124">
        <f>交易记录!N877</f>
        <v>0</v>
      </c>
      <c r="BN251" s="30">
        <f t="shared" si="108"/>
        <v>0</v>
      </c>
      <c r="BO251" s="121">
        <f>交易记录!N910</f>
        <v>0</v>
      </c>
      <c r="BP251" s="121">
        <f>交易记录!N941</f>
        <v>0</v>
      </c>
      <c r="BQ251" s="30">
        <f t="shared" si="109"/>
        <v>0</v>
      </c>
    </row>
    <row r="252" spans="1:69" ht="15">
      <c r="A252" s="125">
        <f>'维护-日期'!A$13</f>
        <v>46276</v>
      </c>
      <c r="B252" s="7" t="s">
        <v>16</v>
      </c>
      <c r="C252" s="144">
        <f t="shared" si="110"/>
        <v>21.01</v>
      </c>
      <c r="D252" s="144">
        <f>ROUND(INDEX(持仓数据!$C$3:$AG$26,MATCH('计算过程-数据汇总'!B252,持仓数据!$B$3:$B$26,0),MATCH('计算过程-数据汇总'!A252,'维护-日期'!$B$2:$AF$2,0)),3)</f>
        <v>21.01</v>
      </c>
      <c r="E252" s="98">
        <f t="shared" si="111"/>
        <v>21.01</v>
      </c>
      <c r="F252" s="22">
        <f>持仓数据!M82</f>
        <v>0.46700000000000003</v>
      </c>
      <c r="G252" s="97">
        <v>372</v>
      </c>
      <c r="H252" s="97">
        <v>372</v>
      </c>
      <c r="I252" s="64">
        <v>0</v>
      </c>
      <c r="J252" s="64">
        <v>0</v>
      </c>
      <c r="K252" s="21">
        <f>IF(持仓数据!M115="",0,持仓数据!M115)</f>
        <v>372</v>
      </c>
      <c r="L252" s="21">
        <f t="shared" si="112"/>
        <v>0</v>
      </c>
      <c r="M252" s="28">
        <f t="shared" si="96"/>
        <v>7815.72</v>
      </c>
      <c r="N252" s="28">
        <f t="shared" si="97"/>
        <v>0</v>
      </c>
      <c r="O252" s="28">
        <f t="shared" si="98"/>
        <v>0</v>
      </c>
      <c r="P252" s="28">
        <f t="shared" si="99"/>
        <v>0</v>
      </c>
      <c r="Q252" s="28">
        <f t="shared" si="113"/>
        <v>0</v>
      </c>
      <c r="R252" s="28">
        <f t="shared" si="100"/>
        <v>7815.72</v>
      </c>
      <c r="S252" s="28">
        <f t="shared" si="114"/>
        <v>0</v>
      </c>
      <c r="T252" s="28">
        <f t="shared" si="115"/>
        <v>0</v>
      </c>
      <c r="U252" s="28">
        <f t="shared" si="118"/>
        <v>0</v>
      </c>
      <c r="V252" s="28">
        <f t="shared" si="116"/>
        <v>0</v>
      </c>
      <c r="W252" s="118"/>
      <c r="X252" s="143">
        <f t="shared" si="117"/>
        <v>24.745000000000001</v>
      </c>
      <c r="Y252" s="121">
        <f>交易记录!N15</f>
        <v>0.46700000000000003</v>
      </c>
      <c r="Z252" s="121">
        <f>交易记录!N46</f>
        <v>372</v>
      </c>
      <c r="AA252" s="30">
        <f t="shared" si="101"/>
        <v>0</v>
      </c>
      <c r="AB252" s="124">
        <f>交易记录!N79</f>
        <v>0</v>
      </c>
      <c r="AC252" s="124">
        <f>交易记录!N110</f>
        <v>0</v>
      </c>
      <c r="AD252" s="30">
        <f t="shared" si="125"/>
        <v>0</v>
      </c>
      <c r="AE252" s="121">
        <f>交易记录!N143</f>
        <v>0</v>
      </c>
      <c r="AF252" s="121">
        <f>交易记录!N174</f>
        <v>0</v>
      </c>
      <c r="AG252" s="30">
        <f t="shared" si="126"/>
        <v>0</v>
      </c>
      <c r="AH252" s="124">
        <f>交易记录!N207</f>
        <v>0</v>
      </c>
      <c r="AI252" s="124">
        <f>交易记录!N238</f>
        <v>0</v>
      </c>
      <c r="AJ252" s="30">
        <f t="shared" si="127"/>
        <v>0</v>
      </c>
      <c r="AK252" s="121">
        <f>交易记录!N271</f>
        <v>0</v>
      </c>
      <c r="AL252" s="121">
        <f>交易记录!N302</f>
        <v>0</v>
      </c>
      <c r="AM252" s="30">
        <f t="shared" si="128"/>
        <v>0</v>
      </c>
      <c r="AN252" s="124">
        <f>交易记录!N335</f>
        <v>0</v>
      </c>
      <c r="AO252" s="124">
        <f>交易记录!N366</f>
        <v>0</v>
      </c>
      <c r="AP252" s="30">
        <f t="shared" si="129"/>
        <v>0</v>
      </c>
      <c r="AQ252" s="121">
        <f>交易记录!N399</f>
        <v>0</v>
      </c>
      <c r="AR252" s="121">
        <f>交易记录!N430</f>
        <v>0</v>
      </c>
      <c r="AS252" s="30">
        <f t="shared" si="130"/>
        <v>0</v>
      </c>
      <c r="AT252" s="124">
        <f>交易记录!N463</f>
        <v>0</v>
      </c>
      <c r="AU252" s="124">
        <f>交易记录!N494</f>
        <v>0</v>
      </c>
      <c r="AV252" s="30">
        <f t="shared" si="102"/>
        <v>0</v>
      </c>
      <c r="AW252" s="121">
        <f>交易记录!N527</f>
        <v>0</v>
      </c>
      <c r="AX252" s="121">
        <f>交易记录!N558</f>
        <v>0</v>
      </c>
      <c r="AY252" s="30">
        <f t="shared" si="103"/>
        <v>0</v>
      </c>
      <c r="AZ252" s="124">
        <f>交易记录!N591</f>
        <v>0</v>
      </c>
      <c r="BA252" s="124">
        <f>交易记录!N622</f>
        <v>0</v>
      </c>
      <c r="BB252" s="30">
        <f t="shared" si="104"/>
        <v>0</v>
      </c>
      <c r="BC252" s="121">
        <f>交易记录!N655</f>
        <v>0</v>
      </c>
      <c r="BD252" s="121">
        <f>交易记录!N686</f>
        <v>0</v>
      </c>
      <c r="BE252" s="30">
        <f t="shared" si="105"/>
        <v>0</v>
      </c>
      <c r="BF252" s="124">
        <f>交易记录!N719</f>
        <v>0</v>
      </c>
      <c r="BG252" s="124">
        <f>交易记录!N750</f>
        <v>0</v>
      </c>
      <c r="BH252" s="30">
        <f t="shared" si="106"/>
        <v>0</v>
      </c>
      <c r="BI252" s="121">
        <f>交易记录!N783</f>
        <v>0</v>
      </c>
      <c r="BJ252" s="121">
        <f>交易记录!N814</f>
        <v>0</v>
      </c>
      <c r="BK252" s="30">
        <f t="shared" si="107"/>
        <v>0</v>
      </c>
      <c r="BL252" s="124">
        <f>交易记录!N847</f>
        <v>0</v>
      </c>
      <c r="BM252" s="124">
        <f>交易记录!N878</f>
        <v>0</v>
      </c>
      <c r="BN252" s="30">
        <f t="shared" si="108"/>
        <v>0</v>
      </c>
      <c r="BO252" s="121">
        <f>交易记录!N911</f>
        <v>0</v>
      </c>
      <c r="BP252" s="121">
        <f>交易记录!N942</f>
        <v>0</v>
      </c>
      <c r="BQ252" s="30">
        <f t="shared" si="109"/>
        <v>0</v>
      </c>
    </row>
    <row r="253" spans="1:69" ht="15">
      <c r="A253" s="125">
        <f>'维护-日期'!A$13</f>
        <v>46276</v>
      </c>
      <c r="B253" s="7" t="s">
        <v>17</v>
      </c>
      <c r="C253" s="144">
        <f t="shared" si="110"/>
        <v>21.329000000000001</v>
      </c>
      <c r="D253" s="144">
        <f>ROUND(INDEX(持仓数据!$C$3:$AG$26,MATCH('计算过程-数据汇总'!B253,持仓数据!$B$3:$B$26,0),MATCH('计算过程-数据汇总'!A253,'维护-日期'!$B$2:$AF$2,0)),3)</f>
        <v>21.329000000000001</v>
      </c>
      <c r="E253" s="98">
        <f t="shared" si="111"/>
        <v>21.329000000000001</v>
      </c>
      <c r="F253" s="22">
        <f>持仓数据!M83</f>
        <v>0.32100000000000001</v>
      </c>
      <c r="G253" s="97">
        <v>372</v>
      </c>
      <c r="H253" s="97">
        <v>372</v>
      </c>
      <c r="I253" s="64">
        <v>0</v>
      </c>
      <c r="J253" s="64">
        <v>0</v>
      </c>
      <c r="K253" s="21">
        <f>IF(持仓数据!M116="",0,持仓数据!M116)</f>
        <v>372</v>
      </c>
      <c r="L253" s="21">
        <f t="shared" si="112"/>
        <v>0</v>
      </c>
      <c r="M253" s="28">
        <f t="shared" si="96"/>
        <v>7934.3879999999999</v>
      </c>
      <c r="N253" s="28">
        <f t="shared" si="97"/>
        <v>0</v>
      </c>
      <c r="O253" s="28">
        <f t="shared" si="98"/>
        <v>0</v>
      </c>
      <c r="P253" s="28">
        <f t="shared" si="99"/>
        <v>0</v>
      </c>
      <c r="Q253" s="28">
        <f t="shared" si="113"/>
        <v>0</v>
      </c>
      <c r="R253" s="28">
        <f t="shared" si="100"/>
        <v>7934.3879999999999</v>
      </c>
      <c r="S253" s="28">
        <f t="shared" si="114"/>
        <v>0</v>
      </c>
      <c r="T253" s="28">
        <f t="shared" si="115"/>
        <v>0</v>
      </c>
      <c r="U253" s="28">
        <f t="shared" si="118"/>
        <v>0</v>
      </c>
      <c r="V253" s="28">
        <f t="shared" si="116"/>
        <v>0</v>
      </c>
      <c r="W253" s="118"/>
      <c r="X253" s="143">
        <f t="shared" si="117"/>
        <v>25.274000000000001</v>
      </c>
      <c r="Y253" s="121">
        <f>交易记录!N16</f>
        <v>0.32100000000000001</v>
      </c>
      <c r="Z253" s="121">
        <f>交易记录!N47</f>
        <v>372</v>
      </c>
      <c r="AA253" s="30">
        <f t="shared" si="101"/>
        <v>0</v>
      </c>
      <c r="AB253" s="124">
        <f>交易记录!N80</f>
        <v>0</v>
      </c>
      <c r="AC253" s="124">
        <f>交易记录!N111</f>
        <v>0</v>
      </c>
      <c r="AD253" s="30">
        <f t="shared" si="125"/>
        <v>0</v>
      </c>
      <c r="AE253" s="121">
        <f>交易记录!N144</f>
        <v>0</v>
      </c>
      <c r="AF253" s="121">
        <f>交易记录!N175</f>
        <v>0</v>
      </c>
      <c r="AG253" s="30">
        <f t="shared" si="126"/>
        <v>0</v>
      </c>
      <c r="AH253" s="124">
        <f>交易记录!N208</f>
        <v>0</v>
      </c>
      <c r="AI253" s="124">
        <f>交易记录!N239</f>
        <v>0</v>
      </c>
      <c r="AJ253" s="30">
        <f t="shared" si="127"/>
        <v>0</v>
      </c>
      <c r="AK253" s="121">
        <f>交易记录!N272</f>
        <v>0</v>
      </c>
      <c r="AL253" s="121">
        <f>交易记录!N303</f>
        <v>0</v>
      </c>
      <c r="AM253" s="30">
        <f t="shared" si="128"/>
        <v>0</v>
      </c>
      <c r="AN253" s="124">
        <f>交易记录!N336</f>
        <v>0</v>
      </c>
      <c r="AO253" s="124">
        <f>交易记录!N367</f>
        <v>0</v>
      </c>
      <c r="AP253" s="30">
        <f t="shared" si="129"/>
        <v>0</v>
      </c>
      <c r="AQ253" s="121">
        <f>交易记录!N400</f>
        <v>0</v>
      </c>
      <c r="AR253" s="121">
        <f>交易记录!N431</f>
        <v>0</v>
      </c>
      <c r="AS253" s="30">
        <f t="shared" si="130"/>
        <v>0</v>
      </c>
      <c r="AT253" s="124">
        <f>交易记录!N464</f>
        <v>0</v>
      </c>
      <c r="AU253" s="124">
        <f>交易记录!N495</f>
        <v>0</v>
      </c>
      <c r="AV253" s="30">
        <f t="shared" si="102"/>
        <v>0</v>
      </c>
      <c r="AW253" s="121">
        <f>交易记录!N528</f>
        <v>0</v>
      </c>
      <c r="AX253" s="121">
        <f>交易记录!N559</f>
        <v>0</v>
      </c>
      <c r="AY253" s="30">
        <f t="shared" si="103"/>
        <v>0</v>
      </c>
      <c r="AZ253" s="124">
        <f>交易记录!N592</f>
        <v>0</v>
      </c>
      <c r="BA253" s="124">
        <f>交易记录!N623</f>
        <v>0</v>
      </c>
      <c r="BB253" s="30">
        <f t="shared" si="104"/>
        <v>0</v>
      </c>
      <c r="BC253" s="121">
        <f>交易记录!N656</f>
        <v>0</v>
      </c>
      <c r="BD253" s="121">
        <f>交易记录!N687</f>
        <v>0</v>
      </c>
      <c r="BE253" s="30">
        <f t="shared" si="105"/>
        <v>0</v>
      </c>
      <c r="BF253" s="124">
        <f>交易记录!N720</f>
        <v>0</v>
      </c>
      <c r="BG253" s="124">
        <f>交易记录!N751</f>
        <v>0</v>
      </c>
      <c r="BH253" s="30">
        <f t="shared" si="106"/>
        <v>0</v>
      </c>
      <c r="BI253" s="121">
        <f>交易记录!N784</f>
        <v>0</v>
      </c>
      <c r="BJ253" s="121">
        <f>交易记录!N815</f>
        <v>0</v>
      </c>
      <c r="BK253" s="30">
        <f t="shared" si="107"/>
        <v>0</v>
      </c>
      <c r="BL253" s="124">
        <f>交易记录!N848</f>
        <v>0</v>
      </c>
      <c r="BM253" s="124">
        <f>交易记录!N879</f>
        <v>0</v>
      </c>
      <c r="BN253" s="30">
        <f t="shared" si="108"/>
        <v>0</v>
      </c>
      <c r="BO253" s="121">
        <f>交易记录!N912</f>
        <v>0</v>
      </c>
      <c r="BP253" s="121">
        <f>交易记录!N943</f>
        <v>0</v>
      </c>
      <c r="BQ253" s="30">
        <f t="shared" si="109"/>
        <v>0</v>
      </c>
    </row>
    <row r="254" spans="1:69" ht="15">
      <c r="A254" s="125">
        <f>'维护-日期'!A$13</f>
        <v>46276</v>
      </c>
      <c r="B254" s="7" t="s">
        <v>18</v>
      </c>
      <c r="C254" s="144">
        <f t="shared" si="110"/>
        <v>22.643999999999998</v>
      </c>
      <c r="D254" s="144">
        <f>ROUND(INDEX(持仓数据!$C$3:$AG$26,MATCH('计算过程-数据汇总'!B254,持仓数据!$B$3:$B$26,0),MATCH('计算过程-数据汇总'!A254,'维护-日期'!$B$2:$AF$2,0)),3)</f>
        <v>22.643999999999998</v>
      </c>
      <c r="E254" s="98">
        <f t="shared" si="111"/>
        <v>22.643999999999998</v>
      </c>
      <c r="F254" s="22">
        <f>持仓数据!M84</f>
        <v>7.8E-2</v>
      </c>
      <c r="G254" s="97">
        <v>372</v>
      </c>
      <c r="H254" s="97">
        <v>372</v>
      </c>
      <c r="I254" s="64">
        <v>0</v>
      </c>
      <c r="J254" s="64">
        <v>0</v>
      </c>
      <c r="K254" s="21">
        <f>IF(持仓数据!M117="",0,持仓数据!M117)</f>
        <v>372</v>
      </c>
      <c r="L254" s="21">
        <f t="shared" si="112"/>
        <v>0</v>
      </c>
      <c r="M254" s="28">
        <f t="shared" si="96"/>
        <v>8423.5679999999993</v>
      </c>
      <c r="N254" s="28">
        <f t="shared" si="97"/>
        <v>0</v>
      </c>
      <c r="O254" s="28">
        <f t="shared" si="98"/>
        <v>0</v>
      </c>
      <c r="P254" s="28">
        <f t="shared" si="99"/>
        <v>0</v>
      </c>
      <c r="Q254" s="28">
        <f t="shared" si="113"/>
        <v>0</v>
      </c>
      <c r="R254" s="28">
        <f t="shared" si="100"/>
        <v>8423.5679999999993</v>
      </c>
      <c r="S254" s="28">
        <f t="shared" si="114"/>
        <v>0</v>
      </c>
      <c r="T254" s="28">
        <f t="shared" si="115"/>
        <v>0</v>
      </c>
      <c r="U254" s="28">
        <f t="shared" si="118"/>
        <v>0</v>
      </c>
      <c r="V254" s="28">
        <f t="shared" si="116"/>
        <v>0</v>
      </c>
      <c r="W254" s="118"/>
      <c r="X254" s="143">
        <f t="shared" si="117"/>
        <v>27.094999999999999</v>
      </c>
      <c r="Y254" s="121">
        <f>交易记录!N17</f>
        <v>7.8E-2</v>
      </c>
      <c r="Z254" s="121">
        <f>交易记录!N48</f>
        <v>372</v>
      </c>
      <c r="AA254" s="30">
        <f t="shared" si="101"/>
        <v>0</v>
      </c>
      <c r="AB254" s="124">
        <f>交易记录!N81</f>
        <v>0</v>
      </c>
      <c r="AC254" s="124">
        <f>交易记录!N112</f>
        <v>0</v>
      </c>
      <c r="AD254" s="30">
        <f t="shared" si="125"/>
        <v>0</v>
      </c>
      <c r="AE254" s="121">
        <f>交易记录!N145</f>
        <v>0</v>
      </c>
      <c r="AF254" s="121">
        <f>交易记录!N176</f>
        <v>0</v>
      </c>
      <c r="AG254" s="30">
        <f t="shared" si="126"/>
        <v>0</v>
      </c>
      <c r="AH254" s="124">
        <f>交易记录!N209</f>
        <v>0</v>
      </c>
      <c r="AI254" s="124">
        <f>交易记录!N240</f>
        <v>0</v>
      </c>
      <c r="AJ254" s="30">
        <f t="shared" si="127"/>
        <v>0</v>
      </c>
      <c r="AK254" s="121">
        <f>交易记录!N273</f>
        <v>0</v>
      </c>
      <c r="AL254" s="121">
        <f>交易记录!N304</f>
        <v>0</v>
      </c>
      <c r="AM254" s="30">
        <f t="shared" si="128"/>
        <v>0</v>
      </c>
      <c r="AN254" s="124">
        <f>交易记录!N337</f>
        <v>0</v>
      </c>
      <c r="AO254" s="124">
        <f>交易记录!N368</f>
        <v>0</v>
      </c>
      <c r="AP254" s="30">
        <f t="shared" si="129"/>
        <v>0</v>
      </c>
      <c r="AQ254" s="121">
        <f>交易记录!N401</f>
        <v>0</v>
      </c>
      <c r="AR254" s="121">
        <f>交易记录!N432</f>
        <v>0</v>
      </c>
      <c r="AS254" s="30">
        <f t="shared" si="130"/>
        <v>0</v>
      </c>
      <c r="AT254" s="124">
        <f>交易记录!N465</f>
        <v>0</v>
      </c>
      <c r="AU254" s="124">
        <f>交易记录!N496</f>
        <v>0</v>
      </c>
      <c r="AV254" s="30">
        <f t="shared" si="102"/>
        <v>0</v>
      </c>
      <c r="AW254" s="121">
        <f>交易记录!N529</f>
        <v>0</v>
      </c>
      <c r="AX254" s="121">
        <f>交易记录!N560</f>
        <v>0</v>
      </c>
      <c r="AY254" s="30">
        <f t="shared" si="103"/>
        <v>0</v>
      </c>
      <c r="AZ254" s="124">
        <f>交易记录!N593</f>
        <v>0</v>
      </c>
      <c r="BA254" s="124">
        <f>交易记录!N624</f>
        <v>0</v>
      </c>
      <c r="BB254" s="30">
        <f t="shared" si="104"/>
        <v>0</v>
      </c>
      <c r="BC254" s="121">
        <f>交易记录!N657</f>
        <v>0</v>
      </c>
      <c r="BD254" s="121">
        <f>交易记录!N688</f>
        <v>0</v>
      </c>
      <c r="BE254" s="30">
        <f t="shared" si="105"/>
        <v>0</v>
      </c>
      <c r="BF254" s="124">
        <f>交易记录!N721</f>
        <v>0</v>
      </c>
      <c r="BG254" s="124">
        <f>交易记录!N752</f>
        <v>0</v>
      </c>
      <c r="BH254" s="30">
        <f t="shared" si="106"/>
        <v>0</v>
      </c>
      <c r="BI254" s="121">
        <f>交易记录!N785</f>
        <v>0</v>
      </c>
      <c r="BJ254" s="121">
        <f>交易记录!N816</f>
        <v>0</v>
      </c>
      <c r="BK254" s="30">
        <f t="shared" si="107"/>
        <v>0</v>
      </c>
      <c r="BL254" s="124">
        <f>交易记录!N849</f>
        <v>0</v>
      </c>
      <c r="BM254" s="124">
        <f>交易记录!N880</f>
        <v>0</v>
      </c>
      <c r="BN254" s="30">
        <f t="shared" si="108"/>
        <v>0</v>
      </c>
      <c r="BO254" s="121">
        <f>交易记录!N913</f>
        <v>0</v>
      </c>
      <c r="BP254" s="121">
        <f>交易记录!N944</f>
        <v>0</v>
      </c>
      <c r="BQ254" s="30">
        <f t="shared" si="109"/>
        <v>0</v>
      </c>
    </row>
    <row r="255" spans="1:69" ht="15">
      <c r="A255" s="125">
        <f>'维护-日期'!A$13</f>
        <v>46276</v>
      </c>
      <c r="B255" s="7" t="s">
        <v>19</v>
      </c>
      <c r="C255" s="144">
        <f t="shared" si="110"/>
        <v>22.904</v>
      </c>
      <c r="D255" s="144">
        <f>ROUND(INDEX(持仓数据!$C$3:$AG$26,MATCH('计算过程-数据汇总'!B255,持仓数据!$B$3:$B$26,0),MATCH('计算过程-数据汇总'!A255,'维护-日期'!$B$2:$AF$2,0)),3)</f>
        <v>22.904</v>
      </c>
      <c r="E255" s="98">
        <f t="shared" si="111"/>
        <v>22.904</v>
      </c>
      <c r="F255" s="22">
        <f>持仓数据!M85</f>
        <v>0.19500000000000001</v>
      </c>
      <c r="G255" s="97">
        <v>372</v>
      </c>
      <c r="H255" s="97">
        <v>372</v>
      </c>
      <c r="I255" s="64">
        <v>0</v>
      </c>
      <c r="J255" s="64">
        <v>0</v>
      </c>
      <c r="K255" s="21">
        <f>IF(持仓数据!M118="",0,持仓数据!M118)</f>
        <v>372</v>
      </c>
      <c r="L255" s="21">
        <f t="shared" si="112"/>
        <v>0</v>
      </c>
      <c r="M255" s="28">
        <f t="shared" si="96"/>
        <v>8520.2880000000005</v>
      </c>
      <c r="N255" s="28">
        <f t="shared" si="97"/>
        <v>0</v>
      </c>
      <c r="O255" s="28">
        <f t="shared" si="98"/>
        <v>0</v>
      </c>
      <c r="P255" s="28">
        <f t="shared" si="99"/>
        <v>0</v>
      </c>
      <c r="Q255" s="28">
        <f t="shared" si="113"/>
        <v>0</v>
      </c>
      <c r="R255" s="28">
        <f t="shared" si="100"/>
        <v>8520.2880000000005</v>
      </c>
      <c r="S255" s="28">
        <f t="shared" si="114"/>
        <v>0</v>
      </c>
      <c r="T255" s="28">
        <f t="shared" si="115"/>
        <v>0</v>
      </c>
      <c r="U255" s="28">
        <f t="shared" si="118"/>
        <v>0</v>
      </c>
      <c r="V255" s="28">
        <f t="shared" si="116"/>
        <v>0</v>
      </c>
      <c r="W255" s="118"/>
      <c r="X255" s="143">
        <f t="shared" si="117"/>
        <v>27.29</v>
      </c>
      <c r="Y255" s="121">
        <f>交易记录!N18</f>
        <v>0.19500000000000001</v>
      </c>
      <c r="Z255" s="121">
        <f>交易记录!N49</f>
        <v>372</v>
      </c>
      <c r="AA255" s="30">
        <f t="shared" si="101"/>
        <v>0</v>
      </c>
      <c r="AB255" s="124">
        <f>交易记录!N82</f>
        <v>0</v>
      </c>
      <c r="AC255" s="124">
        <f>交易记录!N113</f>
        <v>0</v>
      </c>
      <c r="AD255" s="30">
        <f t="shared" si="125"/>
        <v>0</v>
      </c>
      <c r="AE255" s="121">
        <f>交易记录!N146</f>
        <v>0</v>
      </c>
      <c r="AF255" s="121">
        <f>交易记录!N177</f>
        <v>0</v>
      </c>
      <c r="AG255" s="30">
        <f t="shared" si="126"/>
        <v>0</v>
      </c>
      <c r="AH255" s="124">
        <f>交易记录!N210</f>
        <v>0</v>
      </c>
      <c r="AI255" s="124">
        <f>交易记录!N241</f>
        <v>0</v>
      </c>
      <c r="AJ255" s="30">
        <f t="shared" si="127"/>
        <v>0</v>
      </c>
      <c r="AK255" s="121">
        <f>交易记录!N274</f>
        <v>0</v>
      </c>
      <c r="AL255" s="121">
        <f>交易记录!N305</f>
        <v>0</v>
      </c>
      <c r="AM255" s="30">
        <f t="shared" si="128"/>
        <v>0</v>
      </c>
      <c r="AN255" s="124">
        <f>交易记录!N338</f>
        <v>0</v>
      </c>
      <c r="AO255" s="124">
        <f>交易记录!N369</f>
        <v>0</v>
      </c>
      <c r="AP255" s="30">
        <f t="shared" si="129"/>
        <v>0</v>
      </c>
      <c r="AQ255" s="121">
        <f>交易记录!N402</f>
        <v>0</v>
      </c>
      <c r="AR255" s="121">
        <f>交易记录!N433</f>
        <v>0</v>
      </c>
      <c r="AS255" s="30">
        <f t="shared" si="130"/>
        <v>0</v>
      </c>
      <c r="AT255" s="124">
        <f>交易记录!N466</f>
        <v>0</v>
      </c>
      <c r="AU255" s="124">
        <f>交易记录!N497</f>
        <v>0</v>
      </c>
      <c r="AV255" s="30">
        <f t="shared" si="102"/>
        <v>0</v>
      </c>
      <c r="AW255" s="121">
        <f>交易记录!N530</f>
        <v>0</v>
      </c>
      <c r="AX255" s="121">
        <f>交易记录!N561</f>
        <v>0</v>
      </c>
      <c r="AY255" s="30">
        <f t="shared" si="103"/>
        <v>0</v>
      </c>
      <c r="AZ255" s="124">
        <f>交易记录!N594</f>
        <v>0</v>
      </c>
      <c r="BA255" s="124">
        <f>交易记录!N625</f>
        <v>0</v>
      </c>
      <c r="BB255" s="30">
        <f t="shared" si="104"/>
        <v>0</v>
      </c>
      <c r="BC255" s="121">
        <f>交易记录!N658</f>
        <v>0</v>
      </c>
      <c r="BD255" s="121">
        <f>交易记录!N689</f>
        <v>0</v>
      </c>
      <c r="BE255" s="30">
        <f t="shared" si="105"/>
        <v>0</v>
      </c>
      <c r="BF255" s="124">
        <f>交易记录!N722</f>
        <v>0</v>
      </c>
      <c r="BG255" s="124">
        <f>交易记录!N753</f>
        <v>0</v>
      </c>
      <c r="BH255" s="30">
        <f t="shared" si="106"/>
        <v>0</v>
      </c>
      <c r="BI255" s="121">
        <f>交易记录!N786</f>
        <v>0</v>
      </c>
      <c r="BJ255" s="121">
        <f>交易记录!N817</f>
        <v>0</v>
      </c>
      <c r="BK255" s="30">
        <f t="shared" si="107"/>
        <v>0</v>
      </c>
      <c r="BL255" s="124">
        <f>交易记录!N850</f>
        <v>0</v>
      </c>
      <c r="BM255" s="124">
        <f>交易记录!N881</f>
        <v>0</v>
      </c>
      <c r="BN255" s="30">
        <f t="shared" si="108"/>
        <v>0</v>
      </c>
      <c r="BO255" s="121">
        <f>交易记录!N914</f>
        <v>0</v>
      </c>
      <c r="BP255" s="121">
        <f>交易记录!N945</f>
        <v>0</v>
      </c>
      <c r="BQ255" s="30">
        <f t="shared" si="109"/>
        <v>0</v>
      </c>
    </row>
    <row r="256" spans="1:69" ht="15">
      <c r="A256" s="125">
        <f>'维护-日期'!A$13</f>
        <v>46276</v>
      </c>
      <c r="B256" s="7" t="s">
        <v>20</v>
      </c>
      <c r="C256" s="144">
        <f t="shared" si="110"/>
        <v>22.071000000000002</v>
      </c>
      <c r="D256" s="144">
        <f>ROUND(INDEX(持仓数据!$C$3:$AG$26,MATCH('计算过程-数据汇总'!B256,持仓数据!$B$3:$B$26,0),MATCH('计算过程-数据汇总'!A256,'维护-日期'!$B$2:$AF$2,0)),3)</f>
        <v>22.071000000000002</v>
      </c>
      <c r="E256" s="98">
        <f t="shared" si="111"/>
        <v>22.071000000000002</v>
      </c>
      <c r="F256" s="22">
        <f>持仓数据!M86</f>
        <v>0.34599999999999997</v>
      </c>
      <c r="G256" s="97">
        <v>372</v>
      </c>
      <c r="H256" s="97">
        <v>372</v>
      </c>
      <c r="I256" s="64">
        <v>0</v>
      </c>
      <c r="J256" s="64">
        <v>0</v>
      </c>
      <c r="K256" s="21">
        <f>IF(持仓数据!M119="",0,持仓数据!M119)</f>
        <v>372</v>
      </c>
      <c r="L256" s="21">
        <f t="shared" si="112"/>
        <v>0</v>
      </c>
      <c r="M256" s="28">
        <f t="shared" si="96"/>
        <v>8210.4120000000003</v>
      </c>
      <c r="N256" s="28">
        <f t="shared" si="97"/>
        <v>0</v>
      </c>
      <c r="O256" s="28">
        <f t="shared" si="98"/>
        <v>0</v>
      </c>
      <c r="P256" s="28">
        <f t="shared" si="99"/>
        <v>0</v>
      </c>
      <c r="Q256" s="28">
        <f t="shared" si="113"/>
        <v>0</v>
      </c>
      <c r="R256" s="28">
        <f t="shared" si="100"/>
        <v>8210.4120000000003</v>
      </c>
      <c r="S256" s="28">
        <f t="shared" si="114"/>
        <v>0</v>
      </c>
      <c r="T256" s="28">
        <f t="shared" si="115"/>
        <v>0</v>
      </c>
      <c r="U256" s="28">
        <f t="shared" si="118"/>
        <v>0</v>
      </c>
      <c r="V256" s="28">
        <f t="shared" si="116"/>
        <v>0</v>
      </c>
      <c r="W256" s="118"/>
      <c r="X256" s="143">
        <f t="shared" si="117"/>
        <v>26.138999999999999</v>
      </c>
      <c r="Y256" s="121">
        <f>交易记录!N19</f>
        <v>0.34599999999999997</v>
      </c>
      <c r="Z256" s="121">
        <f>交易记录!N50</f>
        <v>372</v>
      </c>
      <c r="AA256" s="30">
        <f t="shared" si="101"/>
        <v>0</v>
      </c>
      <c r="AB256" s="124">
        <f>交易记录!N83</f>
        <v>0</v>
      </c>
      <c r="AC256" s="124">
        <f>交易记录!N114</f>
        <v>0</v>
      </c>
      <c r="AD256" s="30">
        <f t="shared" si="125"/>
        <v>0</v>
      </c>
      <c r="AE256" s="121">
        <f>交易记录!N147</f>
        <v>0</v>
      </c>
      <c r="AF256" s="121">
        <f>交易记录!N178</f>
        <v>0</v>
      </c>
      <c r="AG256" s="30">
        <f t="shared" si="126"/>
        <v>0</v>
      </c>
      <c r="AH256" s="124">
        <f>交易记录!N211</f>
        <v>0</v>
      </c>
      <c r="AI256" s="124">
        <f>交易记录!N242</f>
        <v>0</v>
      </c>
      <c r="AJ256" s="30">
        <f t="shared" si="127"/>
        <v>0</v>
      </c>
      <c r="AK256" s="121">
        <f>交易记录!N275</f>
        <v>0</v>
      </c>
      <c r="AL256" s="121">
        <f>交易记录!N306</f>
        <v>0</v>
      </c>
      <c r="AM256" s="30">
        <f t="shared" si="128"/>
        <v>0</v>
      </c>
      <c r="AN256" s="124">
        <f>交易记录!N339</f>
        <v>0</v>
      </c>
      <c r="AO256" s="124">
        <f>交易记录!N370</f>
        <v>0</v>
      </c>
      <c r="AP256" s="30">
        <f t="shared" si="129"/>
        <v>0</v>
      </c>
      <c r="AQ256" s="121">
        <f>交易记录!N403</f>
        <v>0</v>
      </c>
      <c r="AR256" s="121">
        <f>交易记录!N434</f>
        <v>0</v>
      </c>
      <c r="AS256" s="30">
        <f t="shared" si="130"/>
        <v>0</v>
      </c>
      <c r="AT256" s="124">
        <f>交易记录!N467</f>
        <v>0</v>
      </c>
      <c r="AU256" s="124">
        <f>交易记录!N498</f>
        <v>0</v>
      </c>
      <c r="AV256" s="30">
        <f t="shared" si="102"/>
        <v>0</v>
      </c>
      <c r="AW256" s="121">
        <f>交易记录!N531</f>
        <v>0</v>
      </c>
      <c r="AX256" s="121">
        <f>交易记录!N562</f>
        <v>0</v>
      </c>
      <c r="AY256" s="30">
        <f t="shared" si="103"/>
        <v>0</v>
      </c>
      <c r="AZ256" s="124">
        <f>交易记录!N595</f>
        <v>0</v>
      </c>
      <c r="BA256" s="124">
        <f>交易记录!N626</f>
        <v>0</v>
      </c>
      <c r="BB256" s="30">
        <f t="shared" si="104"/>
        <v>0</v>
      </c>
      <c r="BC256" s="121">
        <f>交易记录!N659</f>
        <v>0</v>
      </c>
      <c r="BD256" s="121">
        <f>交易记录!N690</f>
        <v>0</v>
      </c>
      <c r="BE256" s="30">
        <f t="shared" si="105"/>
        <v>0</v>
      </c>
      <c r="BF256" s="124">
        <f>交易记录!N723</f>
        <v>0</v>
      </c>
      <c r="BG256" s="124">
        <f>交易记录!N754</f>
        <v>0</v>
      </c>
      <c r="BH256" s="30">
        <f t="shared" si="106"/>
        <v>0</v>
      </c>
      <c r="BI256" s="121">
        <f>交易记录!N787</f>
        <v>0</v>
      </c>
      <c r="BJ256" s="121">
        <f>交易记录!N818</f>
        <v>0</v>
      </c>
      <c r="BK256" s="30">
        <f t="shared" si="107"/>
        <v>0</v>
      </c>
      <c r="BL256" s="124">
        <f>交易记录!N851</f>
        <v>0</v>
      </c>
      <c r="BM256" s="124">
        <f>交易记录!N882</f>
        <v>0</v>
      </c>
      <c r="BN256" s="30">
        <f t="shared" si="108"/>
        <v>0</v>
      </c>
      <c r="BO256" s="121">
        <f>交易记录!N915</f>
        <v>0</v>
      </c>
      <c r="BP256" s="121">
        <f>交易记录!N946</f>
        <v>0</v>
      </c>
      <c r="BQ256" s="30">
        <f t="shared" si="109"/>
        <v>0</v>
      </c>
    </row>
    <row r="257" spans="1:69" ht="15">
      <c r="A257" s="125">
        <f>'维护-日期'!A$13</f>
        <v>46276</v>
      </c>
      <c r="B257" s="7" t="s">
        <v>21</v>
      </c>
      <c r="C257" s="144">
        <f t="shared" si="110"/>
        <v>22.087</v>
      </c>
      <c r="D257" s="144">
        <f>ROUND(INDEX(持仓数据!$C$3:$AG$26,MATCH('计算过程-数据汇总'!B257,持仓数据!$B$3:$B$26,0),MATCH('计算过程-数据汇总'!A257,'维护-日期'!$B$2:$AF$2,0)),3)</f>
        <v>22.087</v>
      </c>
      <c r="E257" s="98">
        <f t="shared" si="111"/>
        <v>22.087</v>
      </c>
      <c r="F257" s="22">
        <f>持仓数据!M87</f>
        <v>0.38</v>
      </c>
      <c r="G257" s="97">
        <v>372</v>
      </c>
      <c r="H257" s="97">
        <v>372</v>
      </c>
      <c r="I257" s="64">
        <v>0</v>
      </c>
      <c r="J257" s="64">
        <v>0</v>
      </c>
      <c r="K257" s="21">
        <f>IF(持仓数据!M120="",0,持仓数据!M120)</f>
        <v>372.00000000000006</v>
      </c>
      <c r="L257" s="21">
        <f t="shared" si="112"/>
        <v>0</v>
      </c>
      <c r="M257" s="28">
        <f t="shared" si="96"/>
        <v>8216.3639999999996</v>
      </c>
      <c r="N257" s="28">
        <f t="shared" si="97"/>
        <v>0</v>
      </c>
      <c r="O257" s="28">
        <f t="shared" si="98"/>
        <v>0</v>
      </c>
      <c r="P257" s="28">
        <f t="shared" si="99"/>
        <v>2.1600499167107046E-14</v>
      </c>
      <c r="Q257" s="28">
        <f t="shared" si="113"/>
        <v>0</v>
      </c>
      <c r="R257" s="28">
        <f t="shared" si="100"/>
        <v>8216.3640000000014</v>
      </c>
      <c r="S257" s="28">
        <f t="shared" si="114"/>
        <v>0</v>
      </c>
      <c r="T257" s="28">
        <f t="shared" si="115"/>
        <v>-1.2339000932115596E-12</v>
      </c>
      <c r="U257" s="28">
        <f t="shared" si="118"/>
        <v>0</v>
      </c>
      <c r="V257" s="28">
        <f t="shared" si="116"/>
        <v>0</v>
      </c>
      <c r="W257" s="118"/>
      <c r="X257" s="143">
        <f t="shared" si="117"/>
        <v>26.123999999999999</v>
      </c>
      <c r="Y257" s="121">
        <f>交易记录!N20</f>
        <v>0.38</v>
      </c>
      <c r="Z257" s="121">
        <f>交易记录!N51</f>
        <v>372</v>
      </c>
      <c r="AA257" s="30">
        <f t="shared" si="101"/>
        <v>0</v>
      </c>
      <c r="AB257" s="124">
        <f>交易记录!N84</f>
        <v>0</v>
      </c>
      <c r="AC257" s="124">
        <f>交易记录!N115</f>
        <v>0</v>
      </c>
      <c r="AD257" s="30">
        <f t="shared" si="125"/>
        <v>0</v>
      </c>
      <c r="AE257" s="121">
        <f>交易记录!N148</f>
        <v>0</v>
      </c>
      <c r="AF257" s="121">
        <f>交易记录!N179</f>
        <v>0</v>
      </c>
      <c r="AG257" s="30">
        <f t="shared" si="126"/>
        <v>0</v>
      </c>
      <c r="AH257" s="124">
        <f>交易记录!N212</f>
        <v>0</v>
      </c>
      <c r="AI257" s="124">
        <f>交易记录!N243</f>
        <v>0</v>
      </c>
      <c r="AJ257" s="30">
        <f t="shared" si="127"/>
        <v>0</v>
      </c>
      <c r="AK257" s="121">
        <f>交易记录!N276</f>
        <v>0</v>
      </c>
      <c r="AL257" s="121">
        <f>交易记录!N307</f>
        <v>0</v>
      </c>
      <c r="AM257" s="30">
        <f t="shared" si="128"/>
        <v>0</v>
      </c>
      <c r="AN257" s="124">
        <f>交易记录!N340</f>
        <v>0</v>
      </c>
      <c r="AO257" s="124">
        <f>交易记录!N371</f>
        <v>0</v>
      </c>
      <c r="AP257" s="30">
        <f t="shared" si="129"/>
        <v>0</v>
      </c>
      <c r="AQ257" s="121">
        <f>交易记录!N404</f>
        <v>0</v>
      </c>
      <c r="AR257" s="121">
        <f>交易记录!N435</f>
        <v>0</v>
      </c>
      <c r="AS257" s="30">
        <f t="shared" si="130"/>
        <v>0</v>
      </c>
      <c r="AT257" s="124">
        <f>交易记录!N468</f>
        <v>0</v>
      </c>
      <c r="AU257" s="124">
        <f>交易记录!N499</f>
        <v>0</v>
      </c>
      <c r="AV257" s="30">
        <f t="shared" si="102"/>
        <v>0</v>
      </c>
      <c r="AW257" s="121">
        <f>交易记录!N532</f>
        <v>0</v>
      </c>
      <c r="AX257" s="121">
        <f>交易记录!N563</f>
        <v>0</v>
      </c>
      <c r="AY257" s="30">
        <f t="shared" si="103"/>
        <v>0</v>
      </c>
      <c r="AZ257" s="124">
        <f>交易记录!N596</f>
        <v>0</v>
      </c>
      <c r="BA257" s="124">
        <f>交易记录!N627</f>
        <v>0</v>
      </c>
      <c r="BB257" s="30">
        <f t="shared" si="104"/>
        <v>0</v>
      </c>
      <c r="BC257" s="121">
        <f>交易记录!N660</f>
        <v>0</v>
      </c>
      <c r="BD257" s="121">
        <f>交易记录!N691</f>
        <v>0</v>
      </c>
      <c r="BE257" s="30">
        <f t="shared" si="105"/>
        <v>0</v>
      </c>
      <c r="BF257" s="124">
        <f>交易记录!N724</f>
        <v>0</v>
      </c>
      <c r="BG257" s="124">
        <f>交易记录!N755</f>
        <v>0</v>
      </c>
      <c r="BH257" s="30">
        <f t="shared" si="106"/>
        <v>0</v>
      </c>
      <c r="BI257" s="121">
        <f>交易记录!N788</f>
        <v>0</v>
      </c>
      <c r="BJ257" s="121">
        <f>交易记录!N819</f>
        <v>0</v>
      </c>
      <c r="BK257" s="30">
        <f t="shared" si="107"/>
        <v>0</v>
      </c>
      <c r="BL257" s="124">
        <f>交易记录!N852</f>
        <v>0</v>
      </c>
      <c r="BM257" s="124">
        <f>交易记录!N883</f>
        <v>0</v>
      </c>
      <c r="BN257" s="30">
        <f t="shared" si="108"/>
        <v>0</v>
      </c>
      <c r="BO257" s="121">
        <f>交易记录!N916</f>
        <v>0</v>
      </c>
      <c r="BP257" s="121">
        <f>交易记录!N947</f>
        <v>0</v>
      </c>
      <c r="BQ257" s="30">
        <f t="shared" si="109"/>
        <v>0</v>
      </c>
    </row>
    <row r="258" spans="1:69" ht="15">
      <c r="A258" s="125">
        <f>'维护-日期'!A$13</f>
        <v>46276</v>
      </c>
      <c r="B258" s="7" t="s">
        <v>22</v>
      </c>
      <c r="C258" s="144">
        <f t="shared" si="110"/>
        <v>23.077999999999999</v>
      </c>
      <c r="D258" s="144">
        <f>ROUND(INDEX(持仓数据!$C$3:$AG$26,MATCH('计算过程-数据汇总'!B258,持仓数据!$B$3:$B$26,0),MATCH('计算过程-数据汇总'!A258,'维护-日期'!$B$2:$AF$2,0)),3)</f>
        <v>23.077999999999999</v>
      </c>
      <c r="E258" s="98">
        <f t="shared" si="111"/>
        <v>23.077999999999999</v>
      </c>
      <c r="F258" s="22">
        <f>持仓数据!M88</f>
        <v>0.58600000000000008</v>
      </c>
      <c r="G258" s="97">
        <v>372</v>
      </c>
      <c r="H258" s="97">
        <v>372</v>
      </c>
      <c r="I258" s="64">
        <v>0</v>
      </c>
      <c r="J258" s="64">
        <v>0</v>
      </c>
      <c r="K258" s="21">
        <f>IF(持仓数据!M121="",0,持仓数据!M121)</f>
        <v>372</v>
      </c>
      <c r="L258" s="21">
        <f t="shared" si="112"/>
        <v>0</v>
      </c>
      <c r="M258" s="28">
        <f t="shared" ref="M258:M321" si="131">IFERROR(C258*G258,0)</f>
        <v>8585.0159999999996</v>
      </c>
      <c r="N258" s="28">
        <f t="shared" ref="N258:N321" si="132">IFERROR((D258-C258)*(G258-H258),0)</f>
        <v>0</v>
      </c>
      <c r="O258" s="28">
        <f t="shared" ref="O258:O321" si="133">IFERROR((E258-D258)*(G258-H258),0)</f>
        <v>0</v>
      </c>
      <c r="P258" s="28">
        <f t="shared" ref="P258:P321" si="134">IFERROR(F258*(K258-G258),0)</f>
        <v>0</v>
      </c>
      <c r="Q258" s="28">
        <f t="shared" si="113"/>
        <v>0</v>
      </c>
      <c r="R258" s="28">
        <f t="shared" ref="R258:R321" si="135">IFERROR(K258*C258,0)</f>
        <v>8585.0159999999996</v>
      </c>
      <c r="S258" s="28">
        <f t="shared" si="114"/>
        <v>0</v>
      </c>
      <c r="T258" s="28">
        <f t="shared" si="115"/>
        <v>0</v>
      </c>
      <c r="U258" s="28">
        <f t="shared" si="118"/>
        <v>0</v>
      </c>
      <c r="V258" s="28">
        <f t="shared" si="116"/>
        <v>0</v>
      </c>
      <c r="W258" s="118"/>
      <c r="X258" s="143">
        <f t="shared" si="117"/>
        <v>27.108000000000001</v>
      </c>
      <c r="Y258" s="121">
        <f>交易记录!N21</f>
        <v>0.58600000000000008</v>
      </c>
      <c r="Z258" s="121">
        <f>交易记录!N52</f>
        <v>372</v>
      </c>
      <c r="AA258" s="30">
        <f t="shared" ref="AA258:AA321" si="136">IFERROR((Z258-G258)*Y258,0)</f>
        <v>0</v>
      </c>
      <c r="AB258" s="124">
        <f>交易记录!N85</f>
        <v>0</v>
      </c>
      <c r="AC258" s="124">
        <f>交易记录!N116</f>
        <v>0</v>
      </c>
      <c r="AD258" s="30">
        <f t="shared" si="125"/>
        <v>0</v>
      </c>
      <c r="AE258" s="121">
        <f>交易记录!N149</f>
        <v>0</v>
      </c>
      <c r="AF258" s="121">
        <f>交易记录!N180</f>
        <v>0</v>
      </c>
      <c r="AG258" s="30">
        <f t="shared" si="126"/>
        <v>0</v>
      </c>
      <c r="AH258" s="124">
        <f>交易记录!N213</f>
        <v>0</v>
      </c>
      <c r="AI258" s="124">
        <f>交易记录!N244</f>
        <v>0</v>
      </c>
      <c r="AJ258" s="30">
        <f t="shared" si="127"/>
        <v>0</v>
      </c>
      <c r="AK258" s="121">
        <f>交易记录!N277</f>
        <v>0</v>
      </c>
      <c r="AL258" s="121">
        <f>交易记录!N308</f>
        <v>0</v>
      </c>
      <c r="AM258" s="30">
        <f t="shared" si="128"/>
        <v>0</v>
      </c>
      <c r="AN258" s="124">
        <f>交易记录!N341</f>
        <v>0</v>
      </c>
      <c r="AO258" s="124">
        <f>交易记录!N372</f>
        <v>0</v>
      </c>
      <c r="AP258" s="30">
        <f t="shared" si="129"/>
        <v>0</v>
      </c>
      <c r="AQ258" s="121">
        <f>交易记录!N405</f>
        <v>0</v>
      </c>
      <c r="AR258" s="121">
        <f>交易记录!N436</f>
        <v>0</v>
      </c>
      <c r="AS258" s="30">
        <f t="shared" si="130"/>
        <v>0</v>
      </c>
      <c r="AT258" s="124">
        <f>交易记录!N469</f>
        <v>0</v>
      </c>
      <c r="AU258" s="124">
        <f>交易记录!N500</f>
        <v>0</v>
      </c>
      <c r="AV258" s="30">
        <f t="shared" ref="AV258:AV321" si="137">IFERROR((AU258-$G258)*AT258,0)</f>
        <v>0</v>
      </c>
      <c r="AW258" s="121">
        <f>交易记录!N533</f>
        <v>0</v>
      </c>
      <c r="AX258" s="121">
        <f>交易记录!N564</f>
        <v>0</v>
      </c>
      <c r="AY258" s="30">
        <f t="shared" ref="AY258:AY321" si="138">IFERROR((AX258-$G258)*AW258,0)</f>
        <v>0</v>
      </c>
      <c r="AZ258" s="124">
        <f>交易记录!N597</f>
        <v>0</v>
      </c>
      <c r="BA258" s="124">
        <f>交易记录!N628</f>
        <v>0</v>
      </c>
      <c r="BB258" s="30">
        <f t="shared" ref="BB258:BB321" si="139">IFERROR((BA258-$G258)*AZ258,0)</f>
        <v>0</v>
      </c>
      <c r="BC258" s="121">
        <f>交易记录!N661</f>
        <v>0</v>
      </c>
      <c r="BD258" s="121">
        <f>交易记录!N692</f>
        <v>0</v>
      </c>
      <c r="BE258" s="30">
        <f t="shared" ref="BE258:BE321" si="140">IFERROR((BD258-$G258)*BC258,0)</f>
        <v>0</v>
      </c>
      <c r="BF258" s="124">
        <f>交易记录!N725</f>
        <v>0</v>
      </c>
      <c r="BG258" s="124">
        <f>交易记录!N756</f>
        <v>0</v>
      </c>
      <c r="BH258" s="30">
        <f t="shared" ref="BH258:BH321" si="141">IFERROR((BG258-$G258)*BF258,0)</f>
        <v>0</v>
      </c>
      <c r="BI258" s="121">
        <f>交易记录!N789</f>
        <v>0</v>
      </c>
      <c r="BJ258" s="121">
        <f>交易记录!N820</f>
        <v>0</v>
      </c>
      <c r="BK258" s="30">
        <f t="shared" ref="BK258:BK321" si="142">IFERROR((BJ258-$G258)*BI258,0)</f>
        <v>0</v>
      </c>
      <c r="BL258" s="124">
        <f>交易记录!N853</f>
        <v>0</v>
      </c>
      <c r="BM258" s="124">
        <f>交易记录!N884</f>
        <v>0</v>
      </c>
      <c r="BN258" s="30">
        <f t="shared" ref="BN258:BN321" si="143">IFERROR((BM258-$G258)*BL258,0)</f>
        <v>0</v>
      </c>
      <c r="BO258" s="121">
        <f>交易记录!N917</f>
        <v>0</v>
      </c>
      <c r="BP258" s="121">
        <f>交易记录!N948</f>
        <v>0</v>
      </c>
      <c r="BQ258" s="30">
        <f t="shared" ref="BQ258:BQ321" si="144">IFERROR((BP258-$G258)*BO258,0)</f>
        <v>0</v>
      </c>
    </row>
    <row r="259" spans="1:69" ht="15">
      <c r="A259" s="125">
        <f>'维护-日期'!A$13</f>
        <v>46276</v>
      </c>
      <c r="B259" s="7" t="s">
        <v>23</v>
      </c>
      <c r="C259" s="144">
        <f t="shared" ref="C259:C322" si="145">D259</f>
        <v>23.443000000000001</v>
      </c>
      <c r="D259" s="144">
        <f>ROUND(INDEX(持仓数据!$C$3:$AG$26,MATCH('计算过程-数据汇总'!B259,持仓数据!$B$3:$B$26,0),MATCH('计算过程-数据汇总'!A259,'维护-日期'!$B$2:$AF$2,0)),3)</f>
        <v>23.443000000000001</v>
      </c>
      <c r="E259" s="98">
        <f t="shared" ref="E259:E322" si="146">D259*1</f>
        <v>23.443000000000001</v>
      </c>
      <c r="F259" s="22">
        <f>持仓数据!M89</f>
        <v>0.63300000000000001</v>
      </c>
      <c r="G259" s="97">
        <v>372</v>
      </c>
      <c r="H259" s="97">
        <v>372</v>
      </c>
      <c r="I259" s="64">
        <v>0</v>
      </c>
      <c r="J259" s="64">
        <v>0</v>
      </c>
      <c r="K259" s="21">
        <f>IF(持仓数据!M122="",0,持仓数据!M122)</f>
        <v>372</v>
      </c>
      <c r="L259" s="21">
        <f t="shared" ref="L259:L322" si="147">I259*J259</f>
        <v>0</v>
      </c>
      <c r="M259" s="28">
        <f t="shared" si="131"/>
        <v>8720.7960000000003</v>
      </c>
      <c r="N259" s="28">
        <f t="shared" si="132"/>
        <v>0</v>
      </c>
      <c r="O259" s="28">
        <f t="shared" si="133"/>
        <v>0</v>
      </c>
      <c r="P259" s="28">
        <f t="shared" si="134"/>
        <v>0</v>
      </c>
      <c r="Q259" s="28">
        <f t="shared" ref="Q259:Q322" si="148">IFERROR(IF(ABS((E259-C259)/C259)&gt;0.2,IF(SUM(N259:O259)&lt;0,ABS(G259-H259)*(ABS(C259-E259)-C259*0.2),0),0),IF(SUM(N259:O259)&lt;0,ABS(G259-H259)*(ABS(C259-E259)-C259*0.2),0))</f>
        <v>0</v>
      </c>
      <c r="R259" s="28">
        <f t="shared" si="135"/>
        <v>8720.7960000000003</v>
      </c>
      <c r="S259" s="28">
        <f t="shared" ref="S259:S322" si="149">IFERROR((D259-E259)*(K259-G259),0)</f>
        <v>0</v>
      </c>
      <c r="T259" s="28">
        <f t="shared" ref="T259:T322" si="150">IFERROR((F259-D259)*(K259-G259),0)</f>
        <v>0</v>
      </c>
      <c r="U259" s="28">
        <f t="shared" si="118"/>
        <v>0</v>
      </c>
      <c r="V259" s="28">
        <f t="shared" ref="V259:V322" si="151">IFERROR((E259-D259)*(K259-H259),0)</f>
        <v>0</v>
      </c>
      <c r="W259" s="118"/>
      <c r="X259" s="143">
        <f t="shared" ref="X259:X322" si="152">ROUND(D259*1.2-SUM(Y259,AB259,AE259,AH259,AK259,AN259,AQ259,AT259,AW259,AZ259,BC259,BF259,BI259,BL259,BO259),3)</f>
        <v>27.498999999999999</v>
      </c>
      <c r="Y259" s="121">
        <f>交易记录!N22</f>
        <v>0.63300000000000001</v>
      </c>
      <c r="Z259" s="121">
        <f>交易记录!N53</f>
        <v>372</v>
      </c>
      <c r="AA259" s="30">
        <f t="shared" si="136"/>
        <v>0</v>
      </c>
      <c r="AB259" s="124">
        <f>交易记录!N86</f>
        <v>0</v>
      </c>
      <c r="AC259" s="124">
        <f>交易记录!N117</f>
        <v>0</v>
      </c>
      <c r="AD259" s="30">
        <f t="shared" si="125"/>
        <v>0</v>
      </c>
      <c r="AE259" s="121">
        <f>交易记录!N150</f>
        <v>0</v>
      </c>
      <c r="AF259" s="121">
        <f>交易记录!N181</f>
        <v>0</v>
      </c>
      <c r="AG259" s="30">
        <f t="shared" si="126"/>
        <v>0</v>
      </c>
      <c r="AH259" s="124">
        <f>交易记录!N214</f>
        <v>0</v>
      </c>
      <c r="AI259" s="124">
        <f>交易记录!N245</f>
        <v>0</v>
      </c>
      <c r="AJ259" s="30">
        <f t="shared" si="127"/>
        <v>0</v>
      </c>
      <c r="AK259" s="121">
        <f>交易记录!N278</f>
        <v>0</v>
      </c>
      <c r="AL259" s="121">
        <f>交易记录!N309</f>
        <v>0</v>
      </c>
      <c r="AM259" s="30">
        <f t="shared" si="128"/>
        <v>0</v>
      </c>
      <c r="AN259" s="124">
        <f>交易记录!N342</f>
        <v>0</v>
      </c>
      <c r="AO259" s="124">
        <f>交易记录!N373</f>
        <v>0</v>
      </c>
      <c r="AP259" s="30">
        <f t="shared" si="129"/>
        <v>0</v>
      </c>
      <c r="AQ259" s="121">
        <f>交易记录!N406</f>
        <v>0</v>
      </c>
      <c r="AR259" s="121">
        <f>交易记录!N437</f>
        <v>0</v>
      </c>
      <c r="AS259" s="30">
        <f t="shared" si="130"/>
        <v>0</v>
      </c>
      <c r="AT259" s="124">
        <f>交易记录!N470</f>
        <v>0</v>
      </c>
      <c r="AU259" s="124">
        <f>交易记录!N501</f>
        <v>0</v>
      </c>
      <c r="AV259" s="30">
        <f t="shared" si="137"/>
        <v>0</v>
      </c>
      <c r="AW259" s="121">
        <f>交易记录!N534</f>
        <v>0</v>
      </c>
      <c r="AX259" s="121">
        <f>交易记录!N565</f>
        <v>0</v>
      </c>
      <c r="AY259" s="30">
        <f t="shared" si="138"/>
        <v>0</v>
      </c>
      <c r="AZ259" s="124">
        <f>交易记录!N598</f>
        <v>0</v>
      </c>
      <c r="BA259" s="124">
        <f>交易记录!N629</f>
        <v>0</v>
      </c>
      <c r="BB259" s="30">
        <f t="shared" si="139"/>
        <v>0</v>
      </c>
      <c r="BC259" s="121">
        <f>交易记录!N662</f>
        <v>0</v>
      </c>
      <c r="BD259" s="121">
        <f>交易记录!N693</f>
        <v>0</v>
      </c>
      <c r="BE259" s="30">
        <f t="shared" si="140"/>
        <v>0</v>
      </c>
      <c r="BF259" s="124">
        <f>交易记录!N726</f>
        <v>0</v>
      </c>
      <c r="BG259" s="124">
        <f>交易记录!N757</f>
        <v>0</v>
      </c>
      <c r="BH259" s="30">
        <f t="shared" si="141"/>
        <v>0</v>
      </c>
      <c r="BI259" s="121">
        <f>交易记录!N790</f>
        <v>0</v>
      </c>
      <c r="BJ259" s="121">
        <f>交易记录!N821</f>
        <v>0</v>
      </c>
      <c r="BK259" s="30">
        <f t="shared" si="142"/>
        <v>0</v>
      </c>
      <c r="BL259" s="124">
        <f>交易记录!N854</f>
        <v>0</v>
      </c>
      <c r="BM259" s="124">
        <f>交易记录!N885</f>
        <v>0</v>
      </c>
      <c r="BN259" s="30">
        <f t="shared" si="143"/>
        <v>0</v>
      </c>
      <c r="BO259" s="121">
        <f>交易记录!N918</f>
        <v>0</v>
      </c>
      <c r="BP259" s="121">
        <f>交易记录!N949</f>
        <v>0</v>
      </c>
      <c r="BQ259" s="30">
        <f t="shared" si="144"/>
        <v>0</v>
      </c>
    </row>
    <row r="260" spans="1:69" ht="15">
      <c r="A260" s="125">
        <f>'维护-日期'!A$13</f>
        <v>46276</v>
      </c>
      <c r="B260" s="7" t="s">
        <v>24</v>
      </c>
      <c r="C260" s="144">
        <f t="shared" si="145"/>
        <v>23.85</v>
      </c>
      <c r="D260" s="144">
        <f>ROUND(INDEX(持仓数据!$C$3:$AG$26,MATCH('计算过程-数据汇总'!B260,持仓数据!$B$3:$B$26,0),MATCH('计算过程-数据汇总'!A260,'维护-日期'!$B$2:$AF$2,0)),3)</f>
        <v>23.85</v>
      </c>
      <c r="E260" s="98">
        <f t="shared" si="146"/>
        <v>23.85</v>
      </c>
      <c r="F260" s="22">
        <f>持仓数据!M90</f>
        <v>0.45400000000000001</v>
      </c>
      <c r="G260" s="97">
        <v>372</v>
      </c>
      <c r="H260" s="97">
        <v>372</v>
      </c>
      <c r="I260" s="64">
        <v>0</v>
      </c>
      <c r="J260" s="64">
        <v>0</v>
      </c>
      <c r="K260" s="21">
        <f>IF(持仓数据!M123="",0,持仓数据!M123)</f>
        <v>372</v>
      </c>
      <c r="L260" s="21">
        <f t="shared" si="147"/>
        <v>0</v>
      </c>
      <c r="M260" s="28">
        <f t="shared" si="131"/>
        <v>8872.2000000000007</v>
      </c>
      <c r="N260" s="28">
        <f t="shared" si="132"/>
        <v>0</v>
      </c>
      <c r="O260" s="28">
        <f t="shared" si="133"/>
        <v>0</v>
      </c>
      <c r="P260" s="28">
        <f t="shared" si="134"/>
        <v>0</v>
      </c>
      <c r="Q260" s="28">
        <f t="shared" si="148"/>
        <v>0</v>
      </c>
      <c r="R260" s="28">
        <f t="shared" si="135"/>
        <v>8872.2000000000007</v>
      </c>
      <c r="S260" s="28">
        <f t="shared" si="149"/>
        <v>0</v>
      </c>
      <c r="T260" s="28">
        <f t="shared" si="150"/>
        <v>0</v>
      </c>
      <c r="U260" s="28">
        <f t="shared" ref="U260:U323" si="153">IFERROR((D260-C260)*(K260-H260),0)</f>
        <v>0</v>
      </c>
      <c r="V260" s="28">
        <f t="shared" si="151"/>
        <v>0</v>
      </c>
      <c r="W260" s="118"/>
      <c r="X260" s="143">
        <f t="shared" si="152"/>
        <v>28.166</v>
      </c>
      <c r="Y260" s="121">
        <f>交易记录!N23</f>
        <v>0.45400000000000001</v>
      </c>
      <c r="Z260" s="121">
        <f>交易记录!N54</f>
        <v>372</v>
      </c>
      <c r="AA260" s="30">
        <f t="shared" si="136"/>
        <v>0</v>
      </c>
      <c r="AB260" s="124">
        <f>交易记录!N87</f>
        <v>0</v>
      </c>
      <c r="AC260" s="124">
        <f>交易记录!N118</f>
        <v>0</v>
      </c>
      <c r="AD260" s="30">
        <f t="shared" si="125"/>
        <v>0</v>
      </c>
      <c r="AE260" s="121">
        <f>交易记录!N151</f>
        <v>0</v>
      </c>
      <c r="AF260" s="121">
        <f>交易记录!N182</f>
        <v>0</v>
      </c>
      <c r="AG260" s="30">
        <f t="shared" si="126"/>
        <v>0</v>
      </c>
      <c r="AH260" s="124">
        <f>交易记录!N215</f>
        <v>0</v>
      </c>
      <c r="AI260" s="124">
        <f>交易记录!N246</f>
        <v>0</v>
      </c>
      <c r="AJ260" s="30">
        <f t="shared" si="127"/>
        <v>0</v>
      </c>
      <c r="AK260" s="121">
        <f>交易记录!N279</f>
        <v>0</v>
      </c>
      <c r="AL260" s="121">
        <f>交易记录!N310</f>
        <v>0</v>
      </c>
      <c r="AM260" s="30">
        <f t="shared" si="128"/>
        <v>0</v>
      </c>
      <c r="AN260" s="124">
        <f>交易记录!N343</f>
        <v>0</v>
      </c>
      <c r="AO260" s="124">
        <f>交易记录!N374</f>
        <v>0</v>
      </c>
      <c r="AP260" s="30">
        <f t="shared" si="129"/>
        <v>0</v>
      </c>
      <c r="AQ260" s="121">
        <f>交易记录!N407</f>
        <v>0</v>
      </c>
      <c r="AR260" s="121">
        <f>交易记录!N438</f>
        <v>0</v>
      </c>
      <c r="AS260" s="30">
        <f t="shared" si="130"/>
        <v>0</v>
      </c>
      <c r="AT260" s="124">
        <f>交易记录!N471</f>
        <v>0</v>
      </c>
      <c r="AU260" s="124">
        <f>交易记录!N502</f>
        <v>0</v>
      </c>
      <c r="AV260" s="30">
        <f t="shared" si="137"/>
        <v>0</v>
      </c>
      <c r="AW260" s="121">
        <f>交易记录!N535</f>
        <v>0</v>
      </c>
      <c r="AX260" s="121">
        <f>交易记录!N566</f>
        <v>0</v>
      </c>
      <c r="AY260" s="30">
        <f t="shared" si="138"/>
        <v>0</v>
      </c>
      <c r="AZ260" s="124">
        <f>交易记录!N599</f>
        <v>0</v>
      </c>
      <c r="BA260" s="124">
        <f>交易记录!N630</f>
        <v>0</v>
      </c>
      <c r="BB260" s="30">
        <f t="shared" si="139"/>
        <v>0</v>
      </c>
      <c r="BC260" s="121">
        <f>交易记录!N663</f>
        <v>0</v>
      </c>
      <c r="BD260" s="121">
        <f>交易记录!N694</f>
        <v>0</v>
      </c>
      <c r="BE260" s="30">
        <f t="shared" si="140"/>
        <v>0</v>
      </c>
      <c r="BF260" s="124">
        <f>交易记录!N727</f>
        <v>0</v>
      </c>
      <c r="BG260" s="124">
        <f>交易记录!N758</f>
        <v>0</v>
      </c>
      <c r="BH260" s="30">
        <f t="shared" si="141"/>
        <v>0</v>
      </c>
      <c r="BI260" s="121">
        <f>交易记录!N791</f>
        <v>0</v>
      </c>
      <c r="BJ260" s="121">
        <f>交易记录!N822</f>
        <v>0</v>
      </c>
      <c r="BK260" s="30">
        <f t="shared" si="142"/>
        <v>0</v>
      </c>
      <c r="BL260" s="124">
        <f>交易记录!N855</f>
        <v>0</v>
      </c>
      <c r="BM260" s="124">
        <f>交易记录!N886</f>
        <v>0</v>
      </c>
      <c r="BN260" s="30">
        <f t="shared" si="143"/>
        <v>0</v>
      </c>
      <c r="BO260" s="121">
        <f>交易记录!N919</f>
        <v>0</v>
      </c>
      <c r="BP260" s="121">
        <f>交易记录!N950</f>
        <v>0</v>
      </c>
      <c r="BQ260" s="30">
        <f t="shared" si="144"/>
        <v>0</v>
      </c>
    </row>
    <row r="261" spans="1:69" ht="15">
      <c r="A261" s="125">
        <f>'维护-日期'!A$13</f>
        <v>46276</v>
      </c>
      <c r="B261" s="7" t="s">
        <v>25</v>
      </c>
      <c r="C261" s="144">
        <f t="shared" si="145"/>
        <v>24.105</v>
      </c>
      <c r="D261" s="144">
        <f>ROUND(INDEX(持仓数据!$C$3:$AG$26,MATCH('计算过程-数据汇总'!B261,持仓数据!$B$3:$B$26,0),MATCH('计算过程-数据汇总'!A261,'维护-日期'!$B$2:$AF$2,0)),3)</f>
        <v>24.105</v>
      </c>
      <c r="E261" s="98">
        <f t="shared" si="146"/>
        <v>24.105</v>
      </c>
      <c r="F261" s="22">
        <f>持仓数据!M91</f>
        <v>1.1160000000000001</v>
      </c>
      <c r="G261" s="97">
        <v>372</v>
      </c>
      <c r="H261" s="97">
        <v>372</v>
      </c>
      <c r="I261" s="64">
        <v>0</v>
      </c>
      <c r="J261" s="64">
        <v>0</v>
      </c>
      <c r="K261" s="21">
        <f>IF(持仓数据!M124="",0,持仓数据!M124)</f>
        <v>372</v>
      </c>
      <c r="L261" s="21">
        <f t="shared" si="147"/>
        <v>0</v>
      </c>
      <c r="M261" s="28">
        <f t="shared" si="131"/>
        <v>8967.06</v>
      </c>
      <c r="N261" s="28">
        <f t="shared" si="132"/>
        <v>0</v>
      </c>
      <c r="O261" s="28">
        <f t="shared" si="133"/>
        <v>0</v>
      </c>
      <c r="P261" s="28">
        <f t="shared" si="134"/>
        <v>0</v>
      </c>
      <c r="Q261" s="28">
        <f t="shared" si="148"/>
        <v>0</v>
      </c>
      <c r="R261" s="28">
        <f t="shared" si="135"/>
        <v>8967.06</v>
      </c>
      <c r="S261" s="28">
        <f t="shared" si="149"/>
        <v>0</v>
      </c>
      <c r="T261" s="28">
        <f t="shared" si="150"/>
        <v>0</v>
      </c>
      <c r="U261" s="28">
        <f t="shared" si="153"/>
        <v>0</v>
      </c>
      <c r="V261" s="28">
        <f t="shared" si="151"/>
        <v>0</v>
      </c>
      <c r="W261" s="118"/>
      <c r="X261" s="143">
        <f t="shared" si="152"/>
        <v>27.81</v>
      </c>
      <c r="Y261" s="121">
        <f>交易记录!N24</f>
        <v>1.1160000000000001</v>
      </c>
      <c r="Z261" s="121">
        <f>交易记录!N55</f>
        <v>372</v>
      </c>
      <c r="AA261" s="30">
        <f t="shared" si="136"/>
        <v>0</v>
      </c>
      <c r="AB261" s="124">
        <f>交易记录!N88</f>
        <v>0</v>
      </c>
      <c r="AC261" s="124">
        <f>交易记录!N119</f>
        <v>0</v>
      </c>
      <c r="AD261" s="30">
        <f t="shared" si="125"/>
        <v>0</v>
      </c>
      <c r="AE261" s="121">
        <f>交易记录!N152</f>
        <v>0</v>
      </c>
      <c r="AF261" s="121">
        <f>交易记录!N183</f>
        <v>0</v>
      </c>
      <c r="AG261" s="30">
        <f t="shared" si="126"/>
        <v>0</v>
      </c>
      <c r="AH261" s="124">
        <f>交易记录!N216</f>
        <v>0</v>
      </c>
      <c r="AI261" s="124">
        <f>交易记录!N247</f>
        <v>0</v>
      </c>
      <c r="AJ261" s="30">
        <f t="shared" si="127"/>
        <v>0</v>
      </c>
      <c r="AK261" s="121">
        <f>交易记录!N280</f>
        <v>0</v>
      </c>
      <c r="AL261" s="121">
        <f>交易记录!N311</f>
        <v>0</v>
      </c>
      <c r="AM261" s="30">
        <f t="shared" si="128"/>
        <v>0</v>
      </c>
      <c r="AN261" s="124">
        <f>交易记录!N344</f>
        <v>0</v>
      </c>
      <c r="AO261" s="124">
        <f>交易记录!N375</f>
        <v>0</v>
      </c>
      <c r="AP261" s="30">
        <f t="shared" si="129"/>
        <v>0</v>
      </c>
      <c r="AQ261" s="121">
        <f>交易记录!N408</f>
        <v>0</v>
      </c>
      <c r="AR261" s="121">
        <f>交易记录!N439</f>
        <v>0</v>
      </c>
      <c r="AS261" s="30">
        <f t="shared" si="130"/>
        <v>0</v>
      </c>
      <c r="AT261" s="124">
        <f>交易记录!N472</f>
        <v>0</v>
      </c>
      <c r="AU261" s="124">
        <f>交易记录!N503</f>
        <v>0</v>
      </c>
      <c r="AV261" s="30">
        <f t="shared" si="137"/>
        <v>0</v>
      </c>
      <c r="AW261" s="121">
        <f>交易记录!N536</f>
        <v>0</v>
      </c>
      <c r="AX261" s="121">
        <f>交易记录!N567</f>
        <v>0</v>
      </c>
      <c r="AY261" s="30">
        <f t="shared" si="138"/>
        <v>0</v>
      </c>
      <c r="AZ261" s="124">
        <f>交易记录!N600</f>
        <v>0</v>
      </c>
      <c r="BA261" s="124">
        <f>交易记录!N631</f>
        <v>0</v>
      </c>
      <c r="BB261" s="30">
        <f t="shared" si="139"/>
        <v>0</v>
      </c>
      <c r="BC261" s="121">
        <f>交易记录!N664</f>
        <v>0</v>
      </c>
      <c r="BD261" s="121">
        <f>交易记录!N695</f>
        <v>0</v>
      </c>
      <c r="BE261" s="30">
        <f t="shared" si="140"/>
        <v>0</v>
      </c>
      <c r="BF261" s="124">
        <f>交易记录!N728</f>
        <v>0</v>
      </c>
      <c r="BG261" s="124">
        <f>交易记录!N759</f>
        <v>0</v>
      </c>
      <c r="BH261" s="30">
        <f t="shared" si="141"/>
        <v>0</v>
      </c>
      <c r="BI261" s="121">
        <f>交易记录!N792</f>
        <v>0</v>
      </c>
      <c r="BJ261" s="121">
        <f>交易记录!N823</f>
        <v>0</v>
      </c>
      <c r="BK261" s="30">
        <f t="shared" si="142"/>
        <v>0</v>
      </c>
      <c r="BL261" s="124">
        <f>交易记录!N856</f>
        <v>0</v>
      </c>
      <c r="BM261" s="124">
        <f>交易记录!N887</f>
        <v>0</v>
      </c>
      <c r="BN261" s="30">
        <f t="shared" si="143"/>
        <v>0</v>
      </c>
      <c r="BO261" s="121">
        <f>交易记录!N920</f>
        <v>0</v>
      </c>
      <c r="BP261" s="121">
        <f>交易记录!N951</f>
        <v>0</v>
      </c>
      <c r="BQ261" s="30">
        <f t="shared" si="144"/>
        <v>0</v>
      </c>
    </row>
    <row r="262" spans="1:69" ht="15">
      <c r="A262" s="125">
        <f>'维护-日期'!A$13</f>
        <v>46276</v>
      </c>
      <c r="B262" s="7" t="s">
        <v>26</v>
      </c>
      <c r="C262" s="144">
        <f t="shared" si="145"/>
        <v>24.047999999999998</v>
      </c>
      <c r="D262" s="144">
        <f>ROUND(INDEX(持仓数据!$C$3:$AG$26,MATCH('计算过程-数据汇总'!B262,持仓数据!$B$3:$B$26,0),MATCH('计算过程-数据汇总'!A262,'维护-日期'!$B$2:$AF$2,0)),3)</f>
        <v>24.047999999999998</v>
      </c>
      <c r="E262" s="98">
        <f t="shared" si="146"/>
        <v>24.047999999999998</v>
      </c>
      <c r="F262" s="22">
        <f>持仓数据!M92</f>
        <v>1</v>
      </c>
      <c r="G262" s="97">
        <v>372</v>
      </c>
      <c r="H262" s="97">
        <v>372</v>
      </c>
      <c r="I262" s="64">
        <v>0</v>
      </c>
      <c r="J262" s="64">
        <v>0</v>
      </c>
      <c r="K262" s="21">
        <f>IF(持仓数据!M125="",0,持仓数据!M125)</f>
        <v>372</v>
      </c>
      <c r="L262" s="21">
        <f t="shared" si="147"/>
        <v>0</v>
      </c>
      <c r="M262" s="28">
        <f t="shared" si="131"/>
        <v>8945.8559999999998</v>
      </c>
      <c r="N262" s="28">
        <f t="shared" si="132"/>
        <v>0</v>
      </c>
      <c r="O262" s="28">
        <f t="shared" si="133"/>
        <v>0</v>
      </c>
      <c r="P262" s="28">
        <f t="shared" si="134"/>
        <v>0</v>
      </c>
      <c r="Q262" s="28">
        <f t="shared" si="148"/>
        <v>0</v>
      </c>
      <c r="R262" s="28">
        <f t="shared" si="135"/>
        <v>8945.8559999999998</v>
      </c>
      <c r="S262" s="28">
        <f t="shared" si="149"/>
        <v>0</v>
      </c>
      <c r="T262" s="28">
        <f t="shared" si="150"/>
        <v>0</v>
      </c>
      <c r="U262" s="28">
        <f t="shared" si="153"/>
        <v>0</v>
      </c>
      <c r="V262" s="28">
        <f t="shared" si="151"/>
        <v>0</v>
      </c>
      <c r="W262" s="118"/>
      <c r="X262" s="143">
        <f t="shared" si="152"/>
        <v>27.858000000000001</v>
      </c>
      <c r="Y262" s="121">
        <f>交易记录!N25</f>
        <v>1</v>
      </c>
      <c r="Z262" s="121">
        <f>交易记录!N56</f>
        <v>372</v>
      </c>
      <c r="AA262" s="30">
        <f t="shared" si="136"/>
        <v>0</v>
      </c>
      <c r="AB262" s="124">
        <f>交易记录!N89</f>
        <v>0</v>
      </c>
      <c r="AC262" s="124">
        <f>交易记录!N120</f>
        <v>0</v>
      </c>
      <c r="AD262" s="30">
        <f t="shared" si="125"/>
        <v>0</v>
      </c>
      <c r="AE262" s="121">
        <f>交易记录!N153</f>
        <v>0</v>
      </c>
      <c r="AF262" s="121">
        <f>交易记录!N184</f>
        <v>0</v>
      </c>
      <c r="AG262" s="30">
        <f t="shared" si="126"/>
        <v>0</v>
      </c>
      <c r="AH262" s="124">
        <f>交易记录!N217</f>
        <v>0</v>
      </c>
      <c r="AI262" s="124">
        <f>交易记录!N248</f>
        <v>0</v>
      </c>
      <c r="AJ262" s="30">
        <f t="shared" si="127"/>
        <v>0</v>
      </c>
      <c r="AK262" s="121">
        <f>交易记录!N281</f>
        <v>0</v>
      </c>
      <c r="AL262" s="121">
        <f>交易记录!N312</f>
        <v>0</v>
      </c>
      <c r="AM262" s="30">
        <f t="shared" si="128"/>
        <v>0</v>
      </c>
      <c r="AN262" s="124">
        <f>交易记录!N345</f>
        <v>0</v>
      </c>
      <c r="AO262" s="124">
        <f>交易记录!N376</f>
        <v>0</v>
      </c>
      <c r="AP262" s="30">
        <f t="shared" si="129"/>
        <v>0</v>
      </c>
      <c r="AQ262" s="121">
        <f>交易记录!N409</f>
        <v>0</v>
      </c>
      <c r="AR262" s="121">
        <f>交易记录!N440</f>
        <v>0</v>
      </c>
      <c r="AS262" s="30">
        <f t="shared" si="130"/>
        <v>0</v>
      </c>
      <c r="AT262" s="124">
        <f>交易记录!N473</f>
        <v>0</v>
      </c>
      <c r="AU262" s="124">
        <f>交易记录!N504</f>
        <v>0</v>
      </c>
      <c r="AV262" s="30">
        <f t="shared" si="137"/>
        <v>0</v>
      </c>
      <c r="AW262" s="121">
        <f>交易记录!N537</f>
        <v>0</v>
      </c>
      <c r="AX262" s="121">
        <f>交易记录!N568</f>
        <v>0</v>
      </c>
      <c r="AY262" s="30">
        <f t="shared" si="138"/>
        <v>0</v>
      </c>
      <c r="AZ262" s="124">
        <f>交易记录!N601</f>
        <v>0</v>
      </c>
      <c r="BA262" s="124">
        <f>交易记录!N632</f>
        <v>0</v>
      </c>
      <c r="BB262" s="30">
        <f t="shared" si="139"/>
        <v>0</v>
      </c>
      <c r="BC262" s="121">
        <f>交易记录!N665</f>
        <v>0</v>
      </c>
      <c r="BD262" s="121">
        <f>交易记录!N696</f>
        <v>0</v>
      </c>
      <c r="BE262" s="30">
        <f t="shared" si="140"/>
        <v>0</v>
      </c>
      <c r="BF262" s="124">
        <f>交易记录!N729</f>
        <v>0</v>
      </c>
      <c r="BG262" s="124">
        <f>交易记录!N760</f>
        <v>0</v>
      </c>
      <c r="BH262" s="30">
        <f t="shared" si="141"/>
        <v>0</v>
      </c>
      <c r="BI262" s="121">
        <f>交易记录!N793</f>
        <v>0</v>
      </c>
      <c r="BJ262" s="121">
        <f>交易记录!N824</f>
        <v>0</v>
      </c>
      <c r="BK262" s="30">
        <f t="shared" si="142"/>
        <v>0</v>
      </c>
      <c r="BL262" s="124">
        <f>交易记录!N857</f>
        <v>0</v>
      </c>
      <c r="BM262" s="124">
        <f>交易记录!N888</f>
        <v>0</v>
      </c>
      <c r="BN262" s="30">
        <f t="shared" si="143"/>
        <v>0</v>
      </c>
      <c r="BO262" s="121">
        <f>交易记录!N921</f>
        <v>0</v>
      </c>
      <c r="BP262" s="121">
        <f>交易记录!N952</f>
        <v>0</v>
      </c>
      <c r="BQ262" s="30">
        <f t="shared" si="144"/>
        <v>0</v>
      </c>
    </row>
    <row r="263" spans="1:69" ht="15">
      <c r="A263" s="125">
        <f>'维护-日期'!A$13</f>
        <v>46276</v>
      </c>
      <c r="B263" s="7" t="s">
        <v>27</v>
      </c>
      <c r="C263" s="144">
        <f t="shared" si="145"/>
        <v>22.594000000000001</v>
      </c>
      <c r="D263" s="144">
        <f>ROUND(INDEX(持仓数据!$C$3:$AG$26,MATCH('计算过程-数据汇总'!B263,持仓数据!$B$3:$B$26,0),MATCH('计算过程-数据汇总'!A263,'维护-日期'!$B$2:$AF$2,0)),3)</f>
        <v>22.594000000000001</v>
      </c>
      <c r="E263" s="98">
        <f t="shared" si="146"/>
        <v>22.594000000000001</v>
      </c>
      <c r="F263" s="22">
        <f>持仓数据!M93</f>
        <v>0.95199999999999996</v>
      </c>
      <c r="G263" s="97">
        <v>372</v>
      </c>
      <c r="H263" s="97">
        <v>372</v>
      </c>
      <c r="I263" s="64">
        <v>0</v>
      </c>
      <c r="J263" s="64">
        <v>0</v>
      </c>
      <c r="K263" s="21">
        <f>IF(持仓数据!M126="",0,持仓数据!M126)</f>
        <v>372</v>
      </c>
      <c r="L263" s="21">
        <f t="shared" si="147"/>
        <v>0</v>
      </c>
      <c r="M263" s="28">
        <f t="shared" si="131"/>
        <v>8404.9680000000008</v>
      </c>
      <c r="N263" s="28">
        <f t="shared" si="132"/>
        <v>0</v>
      </c>
      <c r="O263" s="28">
        <f t="shared" si="133"/>
        <v>0</v>
      </c>
      <c r="P263" s="28">
        <f t="shared" si="134"/>
        <v>0</v>
      </c>
      <c r="Q263" s="28">
        <f t="shared" si="148"/>
        <v>0</v>
      </c>
      <c r="R263" s="28">
        <f t="shared" si="135"/>
        <v>8404.9680000000008</v>
      </c>
      <c r="S263" s="28">
        <f t="shared" si="149"/>
        <v>0</v>
      </c>
      <c r="T263" s="28">
        <f t="shared" si="150"/>
        <v>0</v>
      </c>
      <c r="U263" s="28">
        <f t="shared" si="153"/>
        <v>0</v>
      </c>
      <c r="V263" s="28">
        <f t="shared" si="151"/>
        <v>0</v>
      </c>
      <c r="W263" s="118"/>
      <c r="X263" s="143">
        <f t="shared" si="152"/>
        <v>26.161000000000001</v>
      </c>
      <c r="Y263" s="121">
        <f>交易记录!N26</f>
        <v>0.95199999999999996</v>
      </c>
      <c r="Z263" s="121">
        <f>交易记录!N57</f>
        <v>372</v>
      </c>
      <c r="AA263" s="30">
        <f t="shared" si="136"/>
        <v>0</v>
      </c>
      <c r="AB263" s="124">
        <f>交易记录!N90</f>
        <v>0</v>
      </c>
      <c r="AC263" s="124">
        <f>交易记录!N121</f>
        <v>0</v>
      </c>
      <c r="AD263" s="30">
        <f t="shared" si="125"/>
        <v>0</v>
      </c>
      <c r="AE263" s="121">
        <f>交易记录!N154</f>
        <v>0</v>
      </c>
      <c r="AF263" s="121">
        <f>交易记录!N185</f>
        <v>0</v>
      </c>
      <c r="AG263" s="30">
        <f t="shared" si="126"/>
        <v>0</v>
      </c>
      <c r="AH263" s="124">
        <f>交易记录!N218</f>
        <v>0</v>
      </c>
      <c r="AI263" s="124">
        <f>交易记录!N249</f>
        <v>0</v>
      </c>
      <c r="AJ263" s="30">
        <f t="shared" si="127"/>
        <v>0</v>
      </c>
      <c r="AK263" s="121">
        <f>交易记录!N282</f>
        <v>0</v>
      </c>
      <c r="AL263" s="121">
        <f>交易记录!N313</f>
        <v>0</v>
      </c>
      <c r="AM263" s="30">
        <f t="shared" si="128"/>
        <v>0</v>
      </c>
      <c r="AN263" s="124">
        <f>交易记录!N346</f>
        <v>0</v>
      </c>
      <c r="AO263" s="124">
        <f>交易记录!N377</f>
        <v>0</v>
      </c>
      <c r="AP263" s="30">
        <f t="shared" si="129"/>
        <v>0</v>
      </c>
      <c r="AQ263" s="121">
        <f>交易记录!N410</f>
        <v>0</v>
      </c>
      <c r="AR263" s="121">
        <f>交易记录!N441</f>
        <v>0</v>
      </c>
      <c r="AS263" s="30">
        <f t="shared" si="130"/>
        <v>0</v>
      </c>
      <c r="AT263" s="124">
        <f>交易记录!N474</f>
        <v>0</v>
      </c>
      <c r="AU263" s="124">
        <f>交易记录!N505</f>
        <v>0</v>
      </c>
      <c r="AV263" s="30">
        <f t="shared" si="137"/>
        <v>0</v>
      </c>
      <c r="AW263" s="121">
        <f>交易记录!N538</f>
        <v>0</v>
      </c>
      <c r="AX263" s="121">
        <f>交易记录!N569</f>
        <v>0</v>
      </c>
      <c r="AY263" s="30">
        <f t="shared" si="138"/>
        <v>0</v>
      </c>
      <c r="AZ263" s="124">
        <f>交易记录!N602</f>
        <v>0</v>
      </c>
      <c r="BA263" s="124">
        <f>交易记录!N633</f>
        <v>0</v>
      </c>
      <c r="BB263" s="30">
        <f t="shared" si="139"/>
        <v>0</v>
      </c>
      <c r="BC263" s="121">
        <f>交易记录!N666</f>
        <v>0</v>
      </c>
      <c r="BD263" s="121">
        <f>交易记录!N697</f>
        <v>0</v>
      </c>
      <c r="BE263" s="30">
        <f t="shared" si="140"/>
        <v>0</v>
      </c>
      <c r="BF263" s="124">
        <f>交易记录!N730</f>
        <v>0</v>
      </c>
      <c r="BG263" s="124">
        <f>交易记录!N761</f>
        <v>0</v>
      </c>
      <c r="BH263" s="30">
        <f t="shared" si="141"/>
        <v>0</v>
      </c>
      <c r="BI263" s="121">
        <f>交易记录!N794</f>
        <v>0</v>
      </c>
      <c r="BJ263" s="121">
        <f>交易记录!N825</f>
        <v>0</v>
      </c>
      <c r="BK263" s="30">
        <f t="shared" si="142"/>
        <v>0</v>
      </c>
      <c r="BL263" s="124">
        <f>交易记录!N858</f>
        <v>0</v>
      </c>
      <c r="BM263" s="124">
        <f>交易记录!N889</f>
        <v>0</v>
      </c>
      <c r="BN263" s="30">
        <f t="shared" si="143"/>
        <v>0</v>
      </c>
      <c r="BO263" s="121">
        <f>交易记录!N922</f>
        <v>0</v>
      </c>
      <c r="BP263" s="121">
        <f>交易记录!N953</f>
        <v>0</v>
      </c>
      <c r="BQ263" s="30">
        <f t="shared" si="144"/>
        <v>0</v>
      </c>
    </row>
    <row r="264" spans="1:69" ht="15">
      <c r="A264" s="125">
        <f>'维护-日期'!A$13</f>
        <v>46276</v>
      </c>
      <c r="B264" s="7" t="s">
        <v>28</v>
      </c>
      <c r="C264" s="144">
        <f t="shared" si="145"/>
        <v>19.387</v>
      </c>
      <c r="D264" s="144">
        <f>ROUND(INDEX(持仓数据!$C$3:$AG$26,MATCH('计算过程-数据汇总'!B264,持仓数据!$B$3:$B$26,0),MATCH('计算过程-数据汇总'!A264,'维护-日期'!$B$2:$AF$2,0)),3)</f>
        <v>19.387</v>
      </c>
      <c r="E264" s="98">
        <f t="shared" si="146"/>
        <v>19.387</v>
      </c>
      <c r="F264" s="22">
        <f>持仓数据!M94</f>
        <v>0.84300000000000008</v>
      </c>
      <c r="G264" s="97">
        <v>372</v>
      </c>
      <c r="H264" s="97">
        <v>372</v>
      </c>
      <c r="I264" s="64">
        <v>0</v>
      </c>
      <c r="J264" s="64">
        <v>0</v>
      </c>
      <c r="K264" s="21">
        <f>IF(持仓数据!M127="",0,持仓数据!M127)</f>
        <v>371.99999999999994</v>
      </c>
      <c r="L264" s="21">
        <f t="shared" si="147"/>
        <v>0</v>
      </c>
      <c r="M264" s="28">
        <f t="shared" si="131"/>
        <v>7211.9639999999999</v>
      </c>
      <c r="N264" s="28">
        <f t="shared" si="132"/>
        <v>0</v>
      </c>
      <c r="O264" s="28">
        <f t="shared" si="133"/>
        <v>0</v>
      </c>
      <c r="P264" s="28">
        <f t="shared" si="134"/>
        <v>-4.7919002099661161E-14</v>
      </c>
      <c r="Q264" s="28">
        <f t="shared" si="148"/>
        <v>0</v>
      </c>
      <c r="R264" s="28">
        <f t="shared" si="135"/>
        <v>7211.963999999999</v>
      </c>
      <c r="S264" s="28">
        <f t="shared" si="149"/>
        <v>0</v>
      </c>
      <c r="T264" s="28">
        <f t="shared" si="150"/>
        <v>1.0541043593548239E-12</v>
      </c>
      <c r="U264" s="28">
        <f t="shared" si="153"/>
        <v>0</v>
      </c>
      <c r="V264" s="28">
        <f t="shared" si="151"/>
        <v>0</v>
      </c>
      <c r="W264" s="118"/>
      <c r="X264" s="143">
        <f t="shared" si="152"/>
        <v>22.420999999999999</v>
      </c>
      <c r="Y264" s="121">
        <f>交易记录!N27</f>
        <v>0.84300000000000008</v>
      </c>
      <c r="Z264" s="121">
        <f>交易记录!N58</f>
        <v>372</v>
      </c>
      <c r="AA264" s="30">
        <f t="shared" si="136"/>
        <v>0</v>
      </c>
      <c r="AB264" s="124">
        <f>交易记录!N91</f>
        <v>0</v>
      </c>
      <c r="AC264" s="124">
        <f>交易记录!N122</f>
        <v>0</v>
      </c>
      <c r="AD264" s="30">
        <f t="shared" si="125"/>
        <v>0</v>
      </c>
      <c r="AE264" s="121">
        <f>交易记录!N155</f>
        <v>0</v>
      </c>
      <c r="AF264" s="121">
        <f>交易记录!N186</f>
        <v>0</v>
      </c>
      <c r="AG264" s="30">
        <f t="shared" si="126"/>
        <v>0</v>
      </c>
      <c r="AH264" s="124">
        <f>交易记录!N219</f>
        <v>0</v>
      </c>
      <c r="AI264" s="124">
        <f>交易记录!N250</f>
        <v>0</v>
      </c>
      <c r="AJ264" s="30">
        <f t="shared" si="127"/>
        <v>0</v>
      </c>
      <c r="AK264" s="121">
        <f>交易记录!N283</f>
        <v>0</v>
      </c>
      <c r="AL264" s="121">
        <f>交易记录!N314</f>
        <v>0</v>
      </c>
      <c r="AM264" s="30">
        <f t="shared" si="128"/>
        <v>0</v>
      </c>
      <c r="AN264" s="124">
        <f>交易记录!N347</f>
        <v>0</v>
      </c>
      <c r="AO264" s="124">
        <f>交易记录!N378</f>
        <v>0</v>
      </c>
      <c r="AP264" s="30">
        <f t="shared" si="129"/>
        <v>0</v>
      </c>
      <c r="AQ264" s="121">
        <f>交易记录!N411</f>
        <v>0</v>
      </c>
      <c r="AR264" s="121">
        <f>交易记录!N442</f>
        <v>0</v>
      </c>
      <c r="AS264" s="30">
        <f t="shared" si="130"/>
        <v>0</v>
      </c>
      <c r="AT264" s="124">
        <f>交易记录!N475</f>
        <v>0</v>
      </c>
      <c r="AU264" s="124">
        <f>交易记录!N506</f>
        <v>0</v>
      </c>
      <c r="AV264" s="30">
        <f t="shared" si="137"/>
        <v>0</v>
      </c>
      <c r="AW264" s="121">
        <f>交易记录!N539</f>
        <v>0</v>
      </c>
      <c r="AX264" s="121">
        <f>交易记录!N570</f>
        <v>0</v>
      </c>
      <c r="AY264" s="30">
        <f t="shared" si="138"/>
        <v>0</v>
      </c>
      <c r="AZ264" s="124">
        <f>交易记录!N603</f>
        <v>0</v>
      </c>
      <c r="BA264" s="124">
        <f>交易记录!N634</f>
        <v>0</v>
      </c>
      <c r="BB264" s="30">
        <f t="shared" si="139"/>
        <v>0</v>
      </c>
      <c r="BC264" s="121">
        <f>交易记录!N667</f>
        <v>0</v>
      </c>
      <c r="BD264" s="121">
        <f>交易记录!N698</f>
        <v>0</v>
      </c>
      <c r="BE264" s="30">
        <f t="shared" si="140"/>
        <v>0</v>
      </c>
      <c r="BF264" s="124">
        <f>交易记录!N731</f>
        <v>0</v>
      </c>
      <c r="BG264" s="124">
        <f>交易记录!N762</f>
        <v>0</v>
      </c>
      <c r="BH264" s="30">
        <f t="shared" si="141"/>
        <v>0</v>
      </c>
      <c r="BI264" s="121">
        <f>交易记录!N795</f>
        <v>0</v>
      </c>
      <c r="BJ264" s="121">
        <f>交易记录!N826</f>
        <v>0</v>
      </c>
      <c r="BK264" s="30">
        <f t="shared" si="142"/>
        <v>0</v>
      </c>
      <c r="BL264" s="124">
        <f>交易记录!N859</f>
        <v>0</v>
      </c>
      <c r="BM264" s="124">
        <f>交易记录!N890</f>
        <v>0</v>
      </c>
      <c r="BN264" s="30">
        <f t="shared" si="143"/>
        <v>0</v>
      </c>
      <c r="BO264" s="121">
        <f>交易记录!N923</f>
        <v>0</v>
      </c>
      <c r="BP264" s="121">
        <f>交易记录!N954</f>
        <v>0</v>
      </c>
      <c r="BQ264" s="30">
        <f t="shared" si="144"/>
        <v>0</v>
      </c>
    </row>
    <row r="265" spans="1:69" ht="15">
      <c r="A265" s="125">
        <f>'维护-日期'!A$13</f>
        <v>46276</v>
      </c>
      <c r="B265" s="7" t="s">
        <v>29</v>
      </c>
      <c r="C265" s="144">
        <f t="shared" si="145"/>
        <v>16.963000000000001</v>
      </c>
      <c r="D265" s="144">
        <f>ROUND(INDEX(持仓数据!$C$3:$AG$26,MATCH('计算过程-数据汇总'!B265,持仓数据!$B$3:$B$26,0),MATCH('计算过程-数据汇总'!A265,'维护-日期'!$B$2:$AF$2,0)),3)</f>
        <v>16.963000000000001</v>
      </c>
      <c r="E265" s="98">
        <f t="shared" si="146"/>
        <v>16.963000000000001</v>
      </c>
      <c r="F265" s="22">
        <f>持仓数据!M95</f>
        <v>0.33299999999999996</v>
      </c>
      <c r="G265" s="97">
        <v>372</v>
      </c>
      <c r="H265" s="97">
        <v>372</v>
      </c>
      <c r="I265" s="64">
        <v>0</v>
      </c>
      <c r="J265" s="64">
        <v>0</v>
      </c>
      <c r="K265" s="21">
        <f>IF(持仓数据!M128="",0,持仓数据!M128)</f>
        <v>372</v>
      </c>
      <c r="L265" s="21">
        <f t="shared" si="147"/>
        <v>0</v>
      </c>
      <c r="M265" s="28">
        <f t="shared" si="131"/>
        <v>6310.2360000000008</v>
      </c>
      <c r="N265" s="28">
        <f t="shared" si="132"/>
        <v>0</v>
      </c>
      <c r="O265" s="28">
        <f t="shared" si="133"/>
        <v>0</v>
      </c>
      <c r="P265" s="28">
        <f t="shared" si="134"/>
        <v>0</v>
      </c>
      <c r="Q265" s="28">
        <f t="shared" si="148"/>
        <v>0</v>
      </c>
      <c r="R265" s="28">
        <f t="shared" si="135"/>
        <v>6310.2360000000008</v>
      </c>
      <c r="S265" s="28">
        <f t="shared" si="149"/>
        <v>0</v>
      </c>
      <c r="T265" s="28">
        <f t="shared" si="150"/>
        <v>0</v>
      </c>
      <c r="U265" s="28">
        <f t="shared" si="153"/>
        <v>0</v>
      </c>
      <c r="V265" s="28">
        <f t="shared" si="151"/>
        <v>0</v>
      </c>
      <c r="W265" s="118"/>
      <c r="X265" s="143">
        <f t="shared" si="152"/>
        <v>20.023</v>
      </c>
      <c r="Y265" s="121">
        <f>交易记录!N28</f>
        <v>0.33299999999999996</v>
      </c>
      <c r="Z265" s="121">
        <f>交易记录!N59</f>
        <v>372</v>
      </c>
      <c r="AA265" s="30">
        <f t="shared" si="136"/>
        <v>0</v>
      </c>
      <c r="AB265" s="124">
        <f>交易记录!N92</f>
        <v>0</v>
      </c>
      <c r="AC265" s="124">
        <f>交易记录!N123</f>
        <v>0</v>
      </c>
      <c r="AD265" s="30">
        <f t="shared" si="125"/>
        <v>0</v>
      </c>
      <c r="AE265" s="121">
        <f>交易记录!N156</f>
        <v>0</v>
      </c>
      <c r="AF265" s="121">
        <f>交易记录!N187</f>
        <v>0</v>
      </c>
      <c r="AG265" s="30">
        <f t="shared" si="126"/>
        <v>0</v>
      </c>
      <c r="AH265" s="124">
        <f>交易记录!N220</f>
        <v>0</v>
      </c>
      <c r="AI265" s="124">
        <f>交易记录!N251</f>
        <v>0</v>
      </c>
      <c r="AJ265" s="30">
        <f t="shared" si="127"/>
        <v>0</v>
      </c>
      <c r="AK265" s="121">
        <f>交易记录!N284</f>
        <v>0</v>
      </c>
      <c r="AL265" s="121">
        <f>交易记录!N315</f>
        <v>0</v>
      </c>
      <c r="AM265" s="30">
        <f t="shared" si="128"/>
        <v>0</v>
      </c>
      <c r="AN265" s="124">
        <f>交易记录!N348</f>
        <v>0</v>
      </c>
      <c r="AO265" s="124">
        <f>交易记录!N379</f>
        <v>0</v>
      </c>
      <c r="AP265" s="30">
        <f t="shared" si="129"/>
        <v>0</v>
      </c>
      <c r="AQ265" s="121">
        <f>交易记录!N412</f>
        <v>0</v>
      </c>
      <c r="AR265" s="121">
        <f>交易记录!N443</f>
        <v>0</v>
      </c>
      <c r="AS265" s="30">
        <f t="shared" si="130"/>
        <v>0</v>
      </c>
      <c r="AT265" s="124">
        <f>交易记录!N476</f>
        <v>0</v>
      </c>
      <c r="AU265" s="124">
        <f>交易记录!N507</f>
        <v>0</v>
      </c>
      <c r="AV265" s="30">
        <f t="shared" si="137"/>
        <v>0</v>
      </c>
      <c r="AW265" s="121">
        <f>交易记录!N540</f>
        <v>0</v>
      </c>
      <c r="AX265" s="121">
        <f>交易记录!N571</f>
        <v>0</v>
      </c>
      <c r="AY265" s="30">
        <f t="shared" si="138"/>
        <v>0</v>
      </c>
      <c r="AZ265" s="124">
        <f>交易记录!N604</f>
        <v>0</v>
      </c>
      <c r="BA265" s="124">
        <f>交易记录!N635</f>
        <v>0</v>
      </c>
      <c r="BB265" s="30">
        <f t="shared" si="139"/>
        <v>0</v>
      </c>
      <c r="BC265" s="121">
        <f>交易记录!N668</f>
        <v>0</v>
      </c>
      <c r="BD265" s="121">
        <f>交易记录!N699</f>
        <v>0</v>
      </c>
      <c r="BE265" s="30">
        <f t="shared" si="140"/>
        <v>0</v>
      </c>
      <c r="BF265" s="124">
        <f>交易记录!N732</f>
        <v>0</v>
      </c>
      <c r="BG265" s="124">
        <f>交易记录!N763</f>
        <v>0</v>
      </c>
      <c r="BH265" s="30">
        <f t="shared" si="141"/>
        <v>0</v>
      </c>
      <c r="BI265" s="121">
        <f>交易记录!N796</f>
        <v>0</v>
      </c>
      <c r="BJ265" s="121">
        <f>交易记录!N827</f>
        <v>0</v>
      </c>
      <c r="BK265" s="30">
        <f t="shared" si="142"/>
        <v>0</v>
      </c>
      <c r="BL265" s="124">
        <f>交易记录!N860</f>
        <v>0</v>
      </c>
      <c r="BM265" s="124">
        <f>交易记录!N891</f>
        <v>0</v>
      </c>
      <c r="BN265" s="30">
        <f t="shared" si="143"/>
        <v>0</v>
      </c>
      <c r="BO265" s="121">
        <f>交易记录!N924</f>
        <v>0</v>
      </c>
      <c r="BP265" s="121">
        <f>交易记录!N955</f>
        <v>0</v>
      </c>
      <c r="BQ265" s="30">
        <f t="shared" si="144"/>
        <v>0</v>
      </c>
    </row>
    <row r="266" spans="1:69" ht="15">
      <c r="A266" s="125">
        <f>'维护-日期'!A$14</f>
        <v>46277</v>
      </c>
      <c r="B266" s="7" t="s">
        <v>6</v>
      </c>
      <c r="C266" s="144">
        <f t="shared" si="145"/>
        <v>16.931000000000001</v>
      </c>
      <c r="D266" s="144">
        <f>ROUND(INDEX(持仓数据!$C$3:$AG$26,MATCH('计算过程-数据汇总'!B266,持仓数据!$B$3:$B$26,0),MATCH('计算过程-数据汇总'!A266,'维护-日期'!$B$2:$AF$2,0)),3)</f>
        <v>16.931000000000001</v>
      </c>
      <c r="E266" s="98">
        <f t="shared" si="146"/>
        <v>16.931000000000001</v>
      </c>
      <c r="F266" s="22">
        <f>持仓数据!N72</f>
        <v>0.1</v>
      </c>
      <c r="G266" s="97">
        <v>372</v>
      </c>
      <c r="H266" s="97">
        <v>372</v>
      </c>
      <c r="I266" s="64">
        <v>0</v>
      </c>
      <c r="J266" s="64">
        <v>0</v>
      </c>
      <c r="K266" s="21">
        <f>IF(持仓数据!N105="",0,持仓数据!N105)</f>
        <v>372</v>
      </c>
      <c r="L266" s="21">
        <f t="shared" si="147"/>
        <v>0</v>
      </c>
      <c r="M266" s="28">
        <f t="shared" si="131"/>
        <v>6298.3320000000003</v>
      </c>
      <c r="N266" s="28">
        <f t="shared" si="132"/>
        <v>0</v>
      </c>
      <c r="O266" s="28">
        <f t="shared" si="133"/>
        <v>0</v>
      </c>
      <c r="P266" s="28">
        <f t="shared" si="134"/>
        <v>0</v>
      </c>
      <c r="Q266" s="28">
        <f t="shared" si="148"/>
        <v>0</v>
      </c>
      <c r="R266" s="28">
        <f t="shared" si="135"/>
        <v>6298.3320000000003</v>
      </c>
      <c r="S266" s="28">
        <f t="shared" si="149"/>
        <v>0</v>
      </c>
      <c r="T266" s="28">
        <f t="shared" si="150"/>
        <v>0</v>
      </c>
      <c r="U266" s="28">
        <f t="shared" si="153"/>
        <v>0</v>
      </c>
      <c r="V266" s="28">
        <f t="shared" si="151"/>
        <v>0</v>
      </c>
      <c r="W266" s="118"/>
      <c r="X266" s="143">
        <f t="shared" si="152"/>
        <v>20.216999999999999</v>
      </c>
      <c r="Y266" s="121">
        <f>交易记录!O5</f>
        <v>0.1</v>
      </c>
      <c r="Z266" s="121">
        <f>交易记录!O36</f>
        <v>372</v>
      </c>
      <c r="AA266" s="30">
        <f t="shared" si="136"/>
        <v>0</v>
      </c>
      <c r="AB266" s="124">
        <f>交易记录!O69</f>
        <v>0</v>
      </c>
      <c r="AC266" s="124">
        <f>交易记录!O100</f>
        <v>0</v>
      </c>
      <c r="AD266" s="30">
        <f t="shared" si="125"/>
        <v>0</v>
      </c>
      <c r="AE266" s="121">
        <f>交易记录!O133</f>
        <v>0</v>
      </c>
      <c r="AF266" s="121">
        <f>交易记录!O164</f>
        <v>0</v>
      </c>
      <c r="AG266" s="30">
        <f t="shared" si="126"/>
        <v>0</v>
      </c>
      <c r="AH266" s="124">
        <f>交易记录!O197</f>
        <v>0</v>
      </c>
      <c r="AI266" s="124">
        <f>交易记录!O228</f>
        <v>0</v>
      </c>
      <c r="AJ266" s="30">
        <f t="shared" si="127"/>
        <v>0</v>
      </c>
      <c r="AK266" s="121">
        <f>交易记录!O261</f>
        <v>0</v>
      </c>
      <c r="AL266" s="121">
        <f>交易记录!O292</f>
        <v>0</v>
      </c>
      <c r="AM266" s="30">
        <f t="shared" si="128"/>
        <v>0</v>
      </c>
      <c r="AN266" s="124">
        <f>交易记录!O325</f>
        <v>0</v>
      </c>
      <c r="AO266" s="124">
        <f>交易记录!O356</f>
        <v>0</v>
      </c>
      <c r="AP266" s="30">
        <f t="shared" si="129"/>
        <v>0</v>
      </c>
      <c r="AQ266" s="121">
        <f>交易记录!O389</f>
        <v>0</v>
      </c>
      <c r="AR266" s="121">
        <f>交易记录!O420</f>
        <v>0</v>
      </c>
      <c r="AS266" s="30">
        <f t="shared" si="130"/>
        <v>0</v>
      </c>
      <c r="AT266" s="124">
        <f>交易记录!O453</f>
        <v>0</v>
      </c>
      <c r="AU266" s="124">
        <f>交易记录!O484</f>
        <v>0</v>
      </c>
      <c r="AV266" s="30">
        <f t="shared" si="137"/>
        <v>0</v>
      </c>
      <c r="AW266" s="121">
        <f>交易记录!O517</f>
        <v>0</v>
      </c>
      <c r="AX266" s="121">
        <f>交易记录!O548</f>
        <v>0</v>
      </c>
      <c r="AY266" s="30">
        <f t="shared" si="138"/>
        <v>0</v>
      </c>
      <c r="AZ266" s="124">
        <f>交易记录!O581</f>
        <v>0</v>
      </c>
      <c r="BA266" s="124">
        <f>交易记录!O612</f>
        <v>0</v>
      </c>
      <c r="BB266" s="30">
        <f t="shared" si="139"/>
        <v>0</v>
      </c>
      <c r="BC266" s="121">
        <f>交易记录!O645</f>
        <v>0</v>
      </c>
      <c r="BD266" s="121">
        <f>交易记录!O676</f>
        <v>0</v>
      </c>
      <c r="BE266" s="30">
        <f t="shared" si="140"/>
        <v>0</v>
      </c>
      <c r="BF266" s="124">
        <f>交易记录!O709</f>
        <v>0</v>
      </c>
      <c r="BG266" s="124">
        <f>交易记录!O740</f>
        <v>0</v>
      </c>
      <c r="BH266" s="30">
        <f t="shared" si="141"/>
        <v>0</v>
      </c>
      <c r="BI266" s="121">
        <f>交易记录!O773</f>
        <v>0</v>
      </c>
      <c r="BJ266" s="121">
        <f>交易记录!O804</f>
        <v>0</v>
      </c>
      <c r="BK266" s="30">
        <f t="shared" si="142"/>
        <v>0</v>
      </c>
      <c r="BL266" s="124">
        <f>交易记录!O837</f>
        <v>0</v>
      </c>
      <c r="BM266" s="124">
        <f>交易记录!O868</f>
        <v>0</v>
      </c>
      <c r="BN266" s="30">
        <f t="shared" si="143"/>
        <v>0</v>
      </c>
      <c r="BO266" s="121">
        <f>交易记录!O901</f>
        <v>0</v>
      </c>
      <c r="BP266" s="121">
        <f>交易记录!O932</f>
        <v>0</v>
      </c>
      <c r="BQ266" s="30">
        <f t="shared" si="144"/>
        <v>0</v>
      </c>
    </row>
    <row r="267" spans="1:69" ht="15">
      <c r="A267" s="125">
        <f>'维护-日期'!A$14</f>
        <v>46277</v>
      </c>
      <c r="B267" s="7" t="s">
        <v>7</v>
      </c>
      <c r="C267" s="144">
        <f t="shared" si="145"/>
        <v>15.778</v>
      </c>
      <c r="D267" s="144">
        <f>ROUND(INDEX(持仓数据!$C$3:$AG$26,MATCH('计算过程-数据汇总'!B267,持仓数据!$B$3:$B$26,0),MATCH('计算过程-数据汇总'!A267,'维护-日期'!$B$2:$AF$2,0)),3)</f>
        <v>15.778</v>
      </c>
      <c r="E267" s="98">
        <f t="shared" si="146"/>
        <v>15.778</v>
      </c>
      <c r="F267" s="22">
        <f>持仓数据!N73</f>
        <v>9.5000000000000001E-2</v>
      </c>
      <c r="G267" s="97">
        <v>372</v>
      </c>
      <c r="H267" s="97">
        <v>372</v>
      </c>
      <c r="I267" s="64">
        <v>0</v>
      </c>
      <c r="J267" s="64">
        <v>0</v>
      </c>
      <c r="K267" s="21">
        <f>IF(持仓数据!N106="",0,持仓数据!N106)</f>
        <v>372.00000000000006</v>
      </c>
      <c r="L267" s="21">
        <f t="shared" si="147"/>
        <v>0</v>
      </c>
      <c r="M267" s="28">
        <f t="shared" si="131"/>
        <v>5869.4160000000002</v>
      </c>
      <c r="N267" s="28">
        <f t="shared" si="132"/>
        <v>0</v>
      </c>
      <c r="O267" s="28">
        <f t="shared" si="133"/>
        <v>0</v>
      </c>
      <c r="P267" s="28">
        <f t="shared" si="134"/>
        <v>5.4001247917767615E-15</v>
      </c>
      <c r="Q267" s="28">
        <f t="shared" si="148"/>
        <v>0</v>
      </c>
      <c r="R267" s="28">
        <f t="shared" si="135"/>
        <v>5869.4160000000011</v>
      </c>
      <c r="S267" s="28">
        <f t="shared" si="149"/>
        <v>0</v>
      </c>
      <c r="T267" s="28">
        <f t="shared" si="150"/>
        <v>-8.9147533799405209E-13</v>
      </c>
      <c r="U267" s="28">
        <f t="shared" si="153"/>
        <v>0</v>
      </c>
      <c r="V267" s="28">
        <f t="shared" si="151"/>
        <v>0</v>
      </c>
      <c r="W267" s="118"/>
      <c r="X267" s="143">
        <f t="shared" si="152"/>
        <v>18.838999999999999</v>
      </c>
      <c r="Y267" s="121">
        <f>交易记录!O6</f>
        <v>9.5000000000000001E-2</v>
      </c>
      <c r="Z267" s="121">
        <f>交易记录!O37</f>
        <v>372</v>
      </c>
      <c r="AA267" s="30">
        <f t="shared" si="136"/>
        <v>0</v>
      </c>
      <c r="AB267" s="124">
        <f>交易记录!O70</f>
        <v>0</v>
      </c>
      <c r="AC267" s="124">
        <f>交易记录!O101</f>
        <v>0</v>
      </c>
      <c r="AD267" s="30">
        <f t="shared" si="125"/>
        <v>0</v>
      </c>
      <c r="AE267" s="121">
        <f>交易记录!O134</f>
        <v>0</v>
      </c>
      <c r="AF267" s="121">
        <f>交易记录!O165</f>
        <v>0</v>
      </c>
      <c r="AG267" s="30">
        <f t="shared" si="126"/>
        <v>0</v>
      </c>
      <c r="AH267" s="124">
        <f>交易记录!O198</f>
        <v>0</v>
      </c>
      <c r="AI267" s="124">
        <f>交易记录!O229</f>
        <v>0</v>
      </c>
      <c r="AJ267" s="30">
        <f t="shared" si="127"/>
        <v>0</v>
      </c>
      <c r="AK267" s="121">
        <f>交易记录!O262</f>
        <v>0</v>
      </c>
      <c r="AL267" s="121">
        <f>交易记录!O293</f>
        <v>0</v>
      </c>
      <c r="AM267" s="30">
        <f t="shared" si="128"/>
        <v>0</v>
      </c>
      <c r="AN267" s="124">
        <f>交易记录!O326</f>
        <v>0</v>
      </c>
      <c r="AO267" s="124">
        <f>交易记录!O357</f>
        <v>0</v>
      </c>
      <c r="AP267" s="30">
        <f t="shared" si="129"/>
        <v>0</v>
      </c>
      <c r="AQ267" s="121">
        <f>交易记录!O390</f>
        <v>0</v>
      </c>
      <c r="AR267" s="121">
        <f>交易记录!O421</f>
        <v>0</v>
      </c>
      <c r="AS267" s="30">
        <f t="shared" si="130"/>
        <v>0</v>
      </c>
      <c r="AT267" s="124">
        <f>交易记录!O454</f>
        <v>0</v>
      </c>
      <c r="AU267" s="124">
        <f>交易记录!O485</f>
        <v>0</v>
      </c>
      <c r="AV267" s="30">
        <f t="shared" si="137"/>
        <v>0</v>
      </c>
      <c r="AW267" s="121">
        <f>交易记录!O518</f>
        <v>0</v>
      </c>
      <c r="AX267" s="121">
        <f>交易记录!O549</f>
        <v>0</v>
      </c>
      <c r="AY267" s="30">
        <f t="shared" si="138"/>
        <v>0</v>
      </c>
      <c r="AZ267" s="124">
        <f>交易记录!O582</f>
        <v>0</v>
      </c>
      <c r="BA267" s="124">
        <f>交易记录!O613</f>
        <v>0</v>
      </c>
      <c r="BB267" s="30">
        <f t="shared" si="139"/>
        <v>0</v>
      </c>
      <c r="BC267" s="121">
        <f>交易记录!O646</f>
        <v>0</v>
      </c>
      <c r="BD267" s="121">
        <f>交易记录!O677</f>
        <v>0</v>
      </c>
      <c r="BE267" s="30">
        <f t="shared" si="140"/>
        <v>0</v>
      </c>
      <c r="BF267" s="124">
        <f>交易记录!O710</f>
        <v>0</v>
      </c>
      <c r="BG267" s="124">
        <f>交易记录!O741</f>
        <v>0</v>
      </c>
      <c r="BH267" s="30">
        <f t="shared" si="141"/>
        <v>0</v>
      </c>
      <c r="BI267" s="121">
        <f>交易记录!O774</f>
        <v>0</v>
      </c>
      <c r="BJ267" s="121">
        <f>交易记录!O805</f>
        <v>0</v>
      </c>
      <c r="BK267" s="30">
        <f t="shared" si="142"/>
        <v>0</v>
      </c>
      <c r="BL267" s="124">
        <f>交易记录!O838</f>
        <v>0</v>
      </c>
      <c r="BM267" s="124">
        <f>交易记录!O869</f>
        <v>0</v>
      </c>
      <c r="BN267" s="30">
        <f t="shared" si="143"/>
        <v>0</v>
      </c>
      <c r="BO267" s="121">
        <f>交易记录!O902</f>
        <v>0</v>
      </c>
      <c r="BP267" s="121">
        <f>交易记录!O933</f>
        <v>0</v>
      </c>
      <c r="BQ267" s="30">
        <f t="shared" si="144"/>
        <v>0</v>
      </c>
    </row>
    <row r="268" spans="1:69" ht="15">
      <c r="A268" s="125">
        <f>'维护-日期'!A$14</f>
        <v>46277</v>
      </c>
      <c r="B268" s="7" t="s">
        <v>8</v>
      </c>
      <c r="C268" s="144">
        <f t="shared" si="145"/>
        <v>14.811999999999999</v>
      </c>
      <c r="D268" s="144">
        <f>ROUND(INDEX(持仓数据!$C$3:$AG$26,MATCH('计算过程-数据汇总'!B268,持仓数据!$B$3:$B$26,0),MATCH('计算过程-数据汇总'!A268,'维护-日期'!$B$2:$AF$2,0)),3)</f>
        <v>14.811999999999999</v>
      </c>
      <c r="E268" s="98">
        <f t="shared" si="146"/>
        <v>14.811999999999999</v>
      </c>
      <c r="F268" s="22">
        <f>持仓数据!N74</f>
        <v>8.5999999999999993E-2</v>
      </c>
      <c r="G268" s="97">
        <v>372</v>
      </c>
      <c r="H268" s="97">
        <v>372</v>
      </c>
      <c r="I268" s="64">
        <v>0</v>
      </c>
      <c r="J268" s="64">
        <v>0</v>
      </c>
      <c r="K268" s="21">
        <f>IF(持仓数据!N107="",0,持仓数据!N107)</f>
        <v>372</v>
      </c>
      <c r="L268" s="21">
        <f t="shared" si="147"/>
        <v>0</v>
      </c>
      <c r="M268" s="28">
        <f t="shared" si="131"/>
        <v>5510.0639999999994</v>
      </c>
      <c r="N268" s="28">
        <f t="shared" si="132"/>
        <v>0</v>
      </c>
      <c r="O268" s="28">
        <f t="shared" si="133"/>
        <v>0</v>
      </c>
      <c r="P268" s="28">
        <f t="shared" si="134"/>
        <v>0</v>
      </c>
      <c r="Q268" s="28">
        <f t="shared" si="148"/>
        <v>0</v>
      </c>
      <c r="R268" s="28">
        <f t="shared" si="135"/>
        <v>5510.0639999999994</v>
      </c>
      <c r="S268" s="28">
        <f t="shared" si="149"/>
        <v>0</v>
      </c>
      <c r="T268" s="28">
        <f t="shared" si="150"/>
        <v>0</v>
      </c>
      <c r="U268" s="28">
        <f t="shared" si="153"/>
        <v>0</v>
      </c>
      <c r="V268" s="28">
        <f t="shared" si="151"/>
        <v>0</v>
      </c>
      <c r="W268" s="118"/>
      <c r="X268" s="143">
        <f t="shared" si="152"/>
        <v>17.687999999999999</v>
      </c>
      <c r="Y268" s="121">
        <f>交易记录!O7</f>
        <v>8.5999999999999993E-2</v>
      </c>
      <c r="Z268" s="121">
        <f>交易记录!O38</f>
        <v>372</v>
      </c>
      <c r="AA268" s="30">
        <f t="shared" si="136"/>
        <v>0</v>
      </c>
      <c r="AB268" s="124">
        <f>交易记录!O71</f>
        <v>0</v>
      </c>
      <c r="AC268" s="124">
        <f>交易记录!O102</f>
        <v>0</v>
      </c>
      <c r="AD268" s="30">
        <f t="shared" si="125"/>
        <v>0</v>
      </c>
      <c r="AE268" s="121">
        <f>交易记录!O135</f>
        <v>0</v>
      </c>
      <c r="AF268" s="121">
        <f>交易记录!O166</f>
        <v>0</v>
      </c>
      <c r="AG268" s="30">
        <f t="shared" si="126"/>
        <v>0</v>
      </c>
      <c r="AH268" s="124">
        <f>交易记录!O199</f>
        <v>0</v>
      </c>
      <c r="AI268" s="124">
        <f>交易记录!O230</f>
        <v>0</v>
      </c>
      <c r="AJ268" s="30">
        <f t="shared" si="127"/>
        <v>0</v>
      </c>
      <c r="AK268" s="121">
        <f>交易记录!O263</f>
        <v>0</v>
      </c>
      <c r="AL268" s="121">
        <f>交易记录!O294</f>
        <v>0</v>
      </c>
      <c r="AM268" s="30">
        <f t="shared" si="128"/>
        <v>0</v>
      </c>
      <c r="AN268" s="124">
        <f>交易记录!O327</f>
        <v>0</v>
      </c>
      <c r="AO268" s="124">
        <f>交易记录!O358</f>
        <v>0</v>
      </c>
      <c r="AP268" s="30">
        <f t="shared" si="129"/>
        <v>0</v>
      </c>
      <c r="AQ268" s="121">
        <f>交易记录!O391</f>
        <v>0</v>
      </c>
      <c r="AR268" s="121">
        <f>交易记录!O422</f>
        <v>0</v>
      </c>
      <c r="AS268" s="30">
        <f t="shared" si="130"/>
        <v>0</v>
      </c>
      <c r="AT268" s="124">
        <f>交易记录!O455</f>
        <v>0</v>
      </c>
      <c r="AU268" s="124">
        <f>交易记录!O486</f>
        <v>0</v>
      </c>
      <c r="AV268" s="30">
        <f t="shared" si="137"/>
        <v>0</v>
      </c>
      <c r="AW268" s="121">
        <f>交易记录!O519</f>
        <v>0</v>
      </c>
      <c r="AX268" s="121">
        <f>交易记录!O550</f>
        <v>0</v>
      </c>
      <c r="AY268" s="30">
        <f t="shared" si="138"/>
        <v>0</v>
      </c>
      <c r="AZ268" s="124">
        <f>交易记录!O583</f>
        <v>0</v>
      </c>
      <c r="BA268" s="124">
        <f>交易记录!O614</f>
        <v>0</v>
      </c>
      <c r="BB268" s="30">
        <f t="shared" si="139"/>
        <v>0</v>
      </c>
      <c r="BC268" s="121">
        <f>交易记录!O647</f>
        <v>0</v>
      </c>
      <c r="BD268" s="121">
        <f>交易记录!O678</f>
        <v>0</v>
      </c>
      <c r="BE268" s="30">
        <f t="shared" si="140"/>
        <v>0</v>
      </c>
      <c r="BF268" s="124">
        <f>交易记录!O711</f>
        <v>0</v>
      </c>
      <c r="BG268" s="124">
        <f>交易记录!O742</f>
        <v>0</v>
      </c>
      <c r="BH268" s="30">
        <f t="shared" si="141"/>
        <v>0</v>
      </c>
      <c r="BI268" s="121">
        <f>交易记录!O775</f>
        <v>0</v>
      </c>
      <c r="BJ268" s="121">
        <f>交易记录!O806</f>
        <v>0</v>
      </c>
      <c r="BK268" s="30">
        <f t="shared" si="142"/>
        <v>0</v>
      </c>
      <c r="BL268" s="124">
        <f>交易记录!O839</f>
        <v>0</v>
      </c>
      <c r="BM268" s="124">
        <f>交易记录!O870</f>
        <v>0</v>
      </c>
      <c r="BN268" s="30">
        <f t="shared" si="143"/>
        <v>0</v>
      </c>
      <c r="BO268" s="121">
        <f>交易记录!O903</f>
        <v>0</v>
      </c>
      <c r="BP268" s="121">
        <f>交易记录!O934</f>
        <v>0</v>
      </c>
      <c r="BQ268" s="30">
        <f t="shared" si="144"/>
        <v>0</v>
      </c>
    </row>
    <row r="269" spans="1:69" ht="15">
      <c r="A269" s="125">
        <f>'维护-日期'!A$14</f>
        <v>46277</v>
      </c>
      <c r="B269" s="7" t="s">
        <v>9</v>
      </c>
      <c r="C269" s="144">
        <f t="shared" si="145"/>
        <v>13.836</v>
      </c>
      <c r="D269" s="144">
        <f>ROUND(INDEX(持仓数据!$C$3:$AG$26,MATCH('计算过程-数据汇总'!B269,持仓数据!$B$3:$B$26,0),MATCH('计算过程-数据汇总'!A269,'维护-日期'!$B$2:$AF$2,0)),3)</f>
        <v>13.836</v>
      </c>
      <c r="E269" s="98">
        <f t="shared" si="146"/>
        <v>13.836</v>
      </c>
      <c r="F269" s="22">
        <f>持仓数据!N75</f>
        <v>7.7000000000000013E-2</v>
      </c>
      <c r="G269" s="97">
        <v>372</v>
      </c>
      <c r="H269" s="97">
        <v>372</v>
      </c>
      <c r="I269" s="64">
        <v>0</v>
      </c>
      <c r="J269" s="64">
        <v>0</v>
      </c>
      <c r="K269" s="21">
        <f>IF(持仓数据!N108="",0,持仓数据!N108)</f>
        <v>372</v>
      </c>
      <c r="L269" s="21">
        <f t="shared" si="147"/>
        <v>0</v>
      </c>
      <c r="M269" s="28">
        <f t="shared" si="131"/>
        <v>5146.9920000000002</v>
      </c>
      <c r="N269" s="28">
        <f t="shared" si="132"/>
        <v>0</v>
      </c>
      <c r="O269" s="28">
        <f t="shared" si="133"/>
        <v>0</v>
      </c>
      <c r="P269" s="28">
        <f t="shared" si="134"/>
        <v>0</v>
      </c>
      <c r="Q269" s="28">
        <f t="shared" si="148"/>
        <v>0</v>
      </c>
      <c r="R269" s="28">
        <f t="shared" si="135"/>
        <v>5146.9920000000002</v>
      </c>
      <c r="S269" s="28">
        <f t="shared" si="149"/>
        <v>0</v>
      </c>
      <c r="T269" s="28">
        <f t="shared" si="150"/>
        <v>0</v>
      </c>
      <c r="U269" s="28">
        <f t="shared" si="153"/>
        <v>0</v>
      </c>
      <c r="V269" s="28">
        <f t="shared" si="151"/>
        <v>0</v>
      </c>
      <c r="W269" s="118"/>
      <c r="X269" s="143">
        <f t="shared" si="152"/>
        <v>16.526</v>
      </c>
      <c r="Y269" s="121">
        <f>交易记录!O8</f>
        <v>7.7000000000000013E-2</v>
      </c>
      <c r="Z269" s="121">
        <f>交易记录!O39</f>
        <v>372</v>
      </c>
      <c r="AA269" s="30">
        <f t="shared" si="136"/>
        <v>0</v>
      </c>
      <c r="AB269" s="124">
        <f>交易记录!O72</f>
        <v>0</v>
      </c>
      <c r="AC269" s="124">
        <f>交易记录!O103</f>
        <v>0</v>
      </c>
      <c r="AD269" s="30">
        <f t="shared" si="125"/>
        <v>0</v>
      </c>
      <c r="AE269" s="121">
        <f>交易记录!O136</f>
        <v>0</v>
      </c>
      <c r="AF269" s="121">
        <f>交易记录!O167</f>
        <v>0</v>
      </c>
      <c r="AG269" s="30">
        <f t="shared" si="126"/>
        <v>0</v>
      </c>
      <c r="AH269" s="124">
        <f>交易记录!O200</f>
        <v>0</v>
      </c>
      <c r="AI269" s="124">
        <f>交易记录!O231</f>
        <v>0</v>
      </c>
      <c r="AJ269" s="30">
        <f t="shared" si="127"/>
        <v>0</v>
      </c>
      <c r="AK269" s="121">
        <f>交易记录!O264</f>
        <v>0</v>
      </c>
      <c r="AL269" s="121">
        <f>交易记录!O295</f>
        <v>0</v>
      </c>
      <c r="AM269" s="30">
        <f t="shared" si="128"/>
        <v>0</v>
      </c>
      <c r="AN269" s="124">
        <f>交易记录!O328</f>
        <v>0</v>
      </c>
      <c r="AO269" s="124">
        <f>交易记录!O359</f>
        <v>0</v>
      </c>
      <c r="AP269" s="30">
        <f t="shared" si="129"/>
        <v>0</v>
      </c>
      <c r="AQ269" s="121">
        <f>交易记录!O392</f>
        <v>0</v>
      </c>
      <c r="AR269" s="121">
        <f>交易记录!O423</f>
        <v>0</v>
      </c>
      <c r="AS269" s="30">
        <f t="shared" si="130"/>
        <v>0</v>
      </c>
      <c r="AT269" s="124">
        <f>交易记录!O456</f>
        <v>0</v>
      </c>
      <c r="AU269" s="124">
        <f>交易记录!O487</f>
        <v>0</v>
      </c>
      <c r="AV269" s="30">
        <f t="shared" si="137"/>
        <v>0</v>
      </c>
      <c r="AW269" s="121">
        <f>交易记录!O520</f>
        <v>0</v>
      </c>
      <c r="AX269" s="121">
        <f>交易记录!O551</f>
        <v>0</v>
      </c>
      <c r="AY269" s="30">
        <f t="shared" si="138"/>
        <v>0</v>
      </c>
      <c r="AZ269" s="124">
        <f>交易记录!O584</f>
        <v>0</v>
      </c>
      <c r="BA269" s="124">
        <f>交易记录!O615</f>
        <v>0</v>
      </c>
      <c r="BB269" s="30">
        <f t="shared" si="139"/>
        <v>0</v>
      </c>
      <c r="BC269" s="121">
        <f>交易记录!O648</f>
        <v>0</v>
      </c>
      <c r="BD269" s="121">
        <f>交易记录!O679</f>
        <v>0</v>
      </c>
      <c r="BE269" s="30">
        <f t="shared" si="140"/>
        <v>0</v>
      </c>
      <c r="BF269" s="124">
        <f>交易记录!O712</f>
        <v>0</v>
      </c>
      <c r="BG269" s="124">
        <f>交易记录!O743</f>
        <v>0</v>
      </c>
      <c r="BH269" s="30">
        <f t="shared" si="141"/>
        <v>0</v>
      </c>
      <c r="BI269" s="121">
        <f>交易记录!O776</f>
        <v>0</v>
      </c>
      <c r="BJ269" s="121">
        <f>交易记录!O807</f>
        <v>0</v>
      </c>
      <c r="BK269" s="30">
        <f t="shared" si="142"/>
        <v>0</v>
      </c>
      <c r="BL269" s="124">
        <f>交易记录!O840</f>
        <v>0</v>
      </c>
      <c r="BM269" s="124">
        <f>交易记录!O871</f>
        <v>0</v>
      </c>
      <c r="BN269" s="30">
        <f t="shared" si="143"/>
        <v>0</v>
      </c>
      <c r="BO269" s="121">
        <f>交易记录!O904</f>
        <v>0</v>
      </c>
      <c r="BP269" s="121">
        <f>交易记录!O935</f>
        <v>0</v>
      </c>
      <c r="BQ269" s="30">
        <f t="shared" si="144"/>
        <v>0</v>
      </c>
    </row>
    <row r="270" spans="1:69" ht="15">
      <c r="A270" s="125">
        <f>'维护-日期'!A$14</f>
        <v>46277</v>
      </c>
      <c r="B270" s="7" t="s">
        <v>10</v>
      </c>
      <c r="C270" s="144">
        <f t="shared" si="145"/>
        <v>13.28</v>
      </c>
      <c r="D270" s="144">
        <f>ROUND(INDEX(持仓数据!$C$3:$AG$26,MATCH('计算过程-数据汇总'!B270,持仓数据!$B$3:$B$26,0),MATCH('计算过程-数据汇总'!A270,'维护-日期'!$B$2:$AF$2,0)),3)</f>
        <v>13.28</v>
      </c>
      <c r="E270" s="98">
        <f t="shared" si="146"/>
        <v>13.28</v>
      </c>
      <c r="F270" s="22">
        <f>持仓数据!N76</f>
        <v>7.5000000000000011E-2</v>
      </c>
      <c r="G270" s="97">
        <v>372</v>
      </c>
      <c r="H270" s="97">
        <v>372</v>
      </c>
      <c r="I270" s="64">
        <v>0</v>
      </c>
      <c r="J270" s="64">
        <v>0</v>
      </c>
      <c r="K270" s="21">
        <f>IF(持仓数据!N109="",0,持仓数据!N109)</f>
        <v>372</v>
      </c>
      <c r="L270" s="21">
        <f t="shared" si="147"/>
        <v>0</v>
      </c>
      <c r="M270" s="28">
        <f t="shared" si="131"/>
        <v>4940.16</v>
      </c>
      <c r="N270" s="28">
        <f t="shared" si="132"/>
        <v>0</v>
      </c>
      <c r="O270" s="28">
        <f t="shared" si="133"/>
        <v>0</v>
      </c>
      <c r="P270" s="28">
        <f t="shared" si="134"/>
        <v>0</v>
      </c>
      <c r="Q270" s="28">
        <f t="shared" si="148"/>
        <v>0</v>
      </c>
      <c r="R270" s="28">
        <f t="shared" si="135"/>
        <v>4940.16</v>
      </c>
      <c r="S270" s="28">
        <f t="shared" si="149"/>
        <v>0</v>
      </c>
      <c r="T270" s="28">
        <f t="shared" si="150"/>
        <v>0</v>
      </c>
      <c r="U270" s="28">
        <f t="shared" si="153"/>
        <v>0</v>
      </c>
      <c r="V270" s="28">
        <f t="shared" si="151"/>
        <v>0</v>
      </c>
      <c r="W270" s="118"/>
      <c r="X270" s="143">
        <f t="shared" si="152"/>
        <v>15.861000000000001</v>
      </c>
      <c r="Y270" s="121">
        <f>交易记录!O9</f>
        <v>7.5000000000000011E-2</v>
      </c>
      <c r="Z270" s="121">
        <f>交易记录!O40</f>
        <v>372</v>
      </c>
      <c r="AA270" s="30">
        <f t="shared" si="136"/>
        <v>0</v>
      </c>
      <c r="AB270" s="124">
        <f>交易记录!O73</f>
        <v>0</v>
      </c>
      <c r="AC270" s="124">
        <f>交易记录!O104</f>
        <v>0</v>
      </c>
      <c r="AD270" s="30">
        <f t="shared" si="125"/>
        <v>0</v>
      </c>
      <c r="AE270" s="121">
        <f>交易记录!O137</f>
        <v>0</v>
      </c>
      <c r="AF270" s="121">
        <f>交易记录!O168</f>
        <v>0</v>
      </c>
      <c r="AG270" s="30">
        <f t="shared" si="126"/>
        <v>0</v>
      </c>
      <c r="AH270" s="124">
        <f>交易记录!O201</f>
        <v>0</v>
      </c>
      <c r="AI270" s="124">
        <f>交易记录!O232</f>
        <v>0</v>
      </c>
      <c r="AJ270" s="30">
        <f t="shared" si="127"/>
        <v>0</v>
      </c>
      <c r="AK270" s="121">
        <f>交易记录!O265</f>
        <v>0</v>
      </c>
      <c r="AL270" s="121">
        <f>交易记录!O296</f>
        <v>0</v>
      </c>
      <c r="AM270" s="30">
        <f t="shared" si="128"/>
        <v>0</v>
      </c>
      <c r="AN270" s="124">
        <f>交易记录!O329</f>
        <v>0</v>
      </c>
      <c r="AO270" s="124">
        <f>交易记录!O360</f>
        <v>0</v>
      </c>
      <c r="AP270" s="30">
        <f t="shared" si="129"/>
        <v>0</v>
      </c>
      <c r="AQ270" s="121">
        <f>交易记录!O393</f>
        <v>0</v>
      </c>
      <c r="AR270" s="121">
        <f>交易记录!O424</f>
        <v>0</v>
      </c>
      <c r="AS270" s="30">
        <f t="shared" si="130"/>
        <v>0</v>
      </c>
      <c r="AT270" s="124">
        <f>交易记录!O457</f>
        <v>0</v>
      </c>
      <c r="AU270" s="124">
        <f>交易记录!O488</f>
        <v>0</v>
      </c>
      <c r="AV270" s="30">
        <f t="shared" si="137"/>
        <v>0</v>
      </c>
      <c r="AW270" s="121">
        <f>交易记录!O521</f>
        <v>0</v>
      </c>
      <c r="AX270" s="121">
        <f>交易记录!O552</f>
        <v>0</v>
      </c>
      <c r="AY270" s="30">
        <f t="shared" si="138"/>
        <v>0</v>
      </c>
      <c r="AZ270" s="124">
        <f>交易记录!O585</f>
        <v>0</v>
      </c>
      <c r="BA270" s="124">
        <f>交易记录!O616</f>
        <v>0</v>
      </c>
      <c r="BB270" s="30">
        <f t="shared" si="139"/>
        <v>0</v>
      </c>
      <c r="BC270" s="121">
        <f>交易记录!O649</f>
        <v>0</v>
      </c>
      <c r="BD270" s="121">
        <f>交易记录!O680</f>
        <v>0</v>
      </c>
      <c r="BE270" s="30">
        <f t="shared" si="140"/>
        <v>0</v>
      </c>
      <c r="BF270" s="124">
        <f>交易记录!O713</f>
        <v>0</v>
      </c>
      <c r="BG270" s="124">
        <f>交易记录!O744</f>
        <v>0</v>
      </c>
      <c r="BH270" s="30">
        <f t="shared" si="141"/>
        <v>0</v>
      </c>
      <c r="BI270" s="121">
        <f>交易记录!O777</f>
        <v>0</v>
      </c>
      <c r="BJ270" s="121">
        <f>交易记录!O808</f>
        <v>0</v>
      </c>
      <c r="BK270" s="30">
        <f t="shared" si="142"/>
        <v>0</v>
      </c>
      <c r="BL270" s="124">
        <f>交易记录!O841</f>
        <v>0</v>
      </c>
      <c r="BM270" s="124">
        <f>交易记录!O872</f>
        <v>0</v>
      </c>
      <c r="BN270" s="30">
        <f t="shared" si="143"/>
        <v>0</v>
      </c>
      <c r="BO270" s="121">
        <f>交易记录!O905</f>
        <v>0</v>
      </c>
      <c r="BP270" s="121">
        <f>交易记录!O936</f>
        <v>0</v>
      </c>
      <c r="BQ270" s="30">
        <f t="shared" si="144"/>
        <v>0</v>
      </c>
    </row>
    <row r="271" spans="1:69" ht="15">
      <c r="A271" s="125">
        <f>'维护-日期'!A$14</f>
        <v>46277</v>
      </c>
      <c r="B271" s="7" t="s">
        <v>11</v>
      </c>
      <c r="C271" s="144">
        <f t="shared" si="145"/>
        <v>12.787000000000001</v>
      </c>
      <c r="D271" s="144">
        <f>ROUND(INDEX(持仓数据!$C$3:$AG$26,MATCH('计算过程-数据汇总'!B271,持仓数据!$B$3:$B$26,0),MATCH('计算过程-数据汇总'!A271,'维护-日期'!$B$2:$AF$2,0)),3)</f>
        <v>12.787000000000001</v>
      </c>
      <c r="E271" s="98">
        <f t="shared" si="146"/>
        <v>12.787000000000001</v>
      </c>
      <c r="F271" s="22">
        <f>持仓数据!N77</f>
        <v>7.5000000000000011E-2</v>
      </c>
      <c r="G271" s="97">
        <v>372</v>
      </c>
      <c r="H271" s="97">
        <v>372</v>
      </c>
      <c r="I271" s="64">
        <v>0</v>
      </c>
      <c r="J271" s="64">
        <v>0</v>
      </c>
      <c r="K271" s="21">
        <f>IF(持仓数据!N110="",0,持仓数据!N110)</f>
        <v>372</v>
      </c>
      <c r="L271" s="21">
        <f t="shared" si="147"/>
        <v>0</v>
      </c>
      <c r="M271" s="28">
        <f t="shared" si="131"/>
        <v>4756.7640000000001</v>
      </c>
      <c r="N271" s="28">
        <f t="shared" si="132"/>
        <v>0</v>
      </c>
      <c r="O271" s="28">
        <f t="shared" si="133"/>
        <v>0</v>
      </c>
      <c r="P271" s="28">
        <f t="shared" si="134"/>
        <v>0</v>
      </c>
      <c r="Q271" s="28">
        <f t="shared" si="148"/>
        <v>0</v>
      </c>
      <c r="R271" s="28">
        <f t="shared" si="135"/>
        <v>4756.7640000000001</v>
      </c>
      <c r="S271" s="28">
        <f t="shared" si="149"/>
        <v>0</v>
      </c>
      <c r="T271" s="28">
        <f t="shared" si="150"/>
        <v>0</v>
      </c>
      <c r="U271" s="28">
        <f t="shared" si="153"/>
        <v>0</v>
      </c>
      <c r="V271" s="28">
        <f t="shared" si="151"/>
        <v>0</v>
      </c>
      <c r="W271" s="118"/>
      <c r="X271" s="143">
        <f t="shared" si="152"/>
        <v>15.269</v>
      </c>
      <c r="Y271" s="121">
        <f>交易记录!O10</f>
        <v>7.5000000000000011E-2</v>
      </c>
      <c r="Z271" s="121">
        <f>交易记录!O41</f>
        <v>372</v>
      </c>
      <c r="AA271" s="30">
        <f t="shared" si="136"/>
        <v>0</v>
      </c>
      <c r="AB271" s="124">
        <f>交易记录!O74</f>
        <v>0</v>
      </c>
      <c r="AC271" s="124">
        <f>交易记录!O105</f>
        <v>0</v>
      </c>
      <c r="AD271" s="30">
        <f t="shared" si="125"/>
        <v>0</v>
      </c>
      <c r="AE271" s="121">
        <f>交易记录!O138</f>
        <v>0</v>
      </c>
      <c r="AF271" s="121">
        <f>交易记录!O169</f>
        <v>0</v>
      </c>
      <c r="AG271" s="30">
        <f t="shared" si="126"/>
        <v>0</v>
      </c>
      <c r="AH271" s="124">
        <f>交易记录!O202</f>
        <v>0</v>
      </c>
      <c r="AI271" s="124">
        <f>交易记录!O233</f>
        <v>0</v>
      </c>
      <c r="AJ271" s="30">
        <f t="shared" si="127"/>
        <v>0</v>
      </c>
      <c r="AK271" s="121">
        <f>交易记录!O266</f>
        <v>0</v>
      </c>
      <c r="AL271" s="121">
        <f>交易记录!O297</f>
        <v>0</v>
      </c>
      <c r="AM271" s="30">
        <f t="shared" si="128"/>
        <v>0</v>
      </c>
      <c r="AN271" s="124">
        <f>交易记录!O330</f>
        <v>0</v>
      </c>
      <c r="AO271" s="124">
        <f>交易记录!O361</f>
        <v>0</v>
      </c>
      <c r="AP271" s="30">
        <f t="shared" si="129"/>
        <v>0</v>
      </c>
      <c r="AQ271" s="121">
        <f>交易记录!O394</f>
        <v>0</v>
      </c>
      <c r="AR271" s="121">
        <f>交易记录!O425</f>
        <v>0</v>
      </c>
      <c r="AS271" s="30">
        <f t="shared" si="130"/>
        <v>0</v>
      </c>
      <c r="AT271" s="124">
        <f>交易记录!O458</f>
        <v>0</v>
      </c>
      <c r="AU271" s="124">
        <f>交易记录!O489</f>
        <v>0</v>
      </c>
      <c r="AV271" s="30">
        <f t="shared" si="137"/>
        <v>0</v>
      </c>
      <c r="AW271" s="121">
        <f>交易记录!O522</f>
        <v>0</v>
      </c>
      <c r="AX271" s="121">
        <f>交易记录!O553</f>
        <v>0</v>
      </c>
      <c r="AY271" s="30">
        <f t="shared" si="138"/>
        <v>0</v>
      </c>
      <c r="AZ271" s="124">
        <f>交易记录!O586</f>
        <v>0</v>
      </c>
      <c r="BA271" s="124">
        <f>交易记录!O617</f>
        <v>0</v>
      </c>
      <c r="BB271" s="30">
        <f t="shared" si="139"/>
        <v>0</v>
      </c>
      <c r="BC271" s="121">
        <f>交易记录!O650</f>
        <v>0</v>
      </c>
      <c r="BD271" s="121">
        <f>交易记录!O681</f>
        <v>0</v>
      </c>
      <c r="BE271" s="30">
        <f t="shared" si="140"/>
        <v>0</v>
      </c>
      <c r="BF271" s="124">
        <f>交易记录!O714</f>
        <v>0</v>
      </c>
      <c r="BG271" s="124">
        <f>交易记录!O745</f>
        <v>0</v>
      </c>
      <c r="BH271" s="30">
        <f t="shared" si="141"/>
        <v>0</v>
      </c>
      <c r="BI271" s="121">
        <f>交易记录!O778</f>
        <v>0</v>
      </c>
      <c r="BJ271" s="121">
        <f>交易记录!O809</f>
        <v>0</v>
      </c>
      <c r="BK271" s="30">
        <f t="shared" si="142"/>
        <v>0</v>
      </c>
      <c r="BL271" s="124">
        <f>交易记录!O842</f>
        <v>0</v>
      </c>
      <c r="BM271" s="124">
        <f>交易记录!O873</f>
        <v>0</v>
      </c>
      <c r="BN271" s="30">
        <f t="shared" si="143"/>
        <v>0</v>
      </c>
      <c r="BO271" s="121">
        <f>交易记录!O906</f>
        <v>0</v>
      </c>
      <c r="BP271" s="121">
        <f>交易记录!O937</f>
        <v>0</v>
      </c>
      <c r="BQ271" s="30">
        <f t="shared" si="144"/>
        <v>0</v>
      </c>
    </row>
    <row r="272" spans="1:69" ht="15">
      <c r="A272" s="125">
        <f>'维护-日期'!A$14</f>
        <v>46277</v>
      </c>
      <c r="B272" s="7" t="s">
        <v>12</v>
      </c>
      <c r="C272" s="144">
        <f t="shared" si="145"/>
        <v>12.55</v>
      </c>
      <c r="D272" s="144">
        <f>ROUND(INDEX(持仓数据!$C$3:$AG$26,MATCH('计算过程-数据汇总'!B272,持仓数据!$B$3:$B$26,0),MATCH('计算过程-数据汇总'!A272,'维护-日期'!$B$2:$AF$2,0)),3)</f>
        <v>12.55</v>
      </c>
      <c r="E272" s="98">
        <f t="shared" si="146"/>
        <v>12.55</v>
      </c>
      <c r="F272" s="22">
        <f>持仓数据!N78</f>
        <v>0.106</v>
      </c>
      <c r="G272" s="97">
        <v>372</v>
      </c>
      <c r="H272" s="97">
        <v>372</v>
      </c>
      <c r="I272" s="64">
        <v>0</v>
      </c>
      <c r="J272" s="64">
        <v>0</v>
      </c>
      <c r="K272" s="21">
        <f>IF(持仓数据!N111="",0,持仓数据!N111)</f>
        <v>372.00000000000006</v>
      </c>
      <c r="L272" s="21">
        <f t="shared" si="147"/>
        <v>0</v>
      </c>
      <c r="M272" s="28">
        <f t="shared" si="131"/>
        <v>4668.6000000000004</v>
      </c>
      <c r="N272" s="28">
        <f t="shared" si="132"/>
        <v>0</v>
      </c>
      <c r="O272" s="28">
        <f t="shared" si="133"/>
        <v>0</v>
      </c>
      <c r="P272" s="28">
        <f t="shared" si="134"/>
        <v>6.0254023992456494E-15</v>
      </c>
      <c r="Q272" s="28">
        <f t="shared" si="148"/>
        <v>0</v>
      </c>
      <c r="R272" s="28">
        <f t="shared" si="135"/>
        <v>4668.6000000000013</v>
      </c>
      <c r="S272" s="28">
        <f t="shared" si="149"/>
        <v>0</v>
      </c>
      <c r="T272" s="28">
        <f t="shared" si="150"/>
        <v>-7.0735950430389498E-13</v>
      </c>
      <c r="U272" s="28">
        <f t="shared" si="153"/>
        <v>0</v>
      </c>
      <c r="V272" s="28">
        <f t="shared" si="151"/>
        <v>0</v>
      </c>
      <c r="W272" s="118"/>
      <c r="X272" s="143">
        <f t="shared" si="152"/>
        <v>14.954000000000001</v>
      </c>
      <c r="Y272" s="121">
        <f>交易记录!O11</f>
        <v>0.106</v>
      </c>
      <c r="Z272" s="121">
        <f>交易记录!O42</f>
        <v>372</v>
      </c>
      <c r="AA272" s="30">
        <f t="shared" si="136"/>
        <v>0</v>
      </c>
      <c r="AB272" s="124">
        <f>交易记录!O75</f>
        <v>0</v>
      </c>
      <c r="AC272" s="124">
        <f>交易记录!O106</f>
        <v>0</v>
      </c>
      <c r="AD272" s="30">
        <f t="shared" si="125"/>
        <v>0</v>
      </c>
      <c r="AE272" s="121">
        <f>交易记录!O139</f>
        <v>0</v>
      </c>
      <c r="AF272" s="121">
        <f>交易记录!O170</f>
        <v>0</v>
      </c>
      <c r="AG272" s="30">
        <f t="shared" si="126"/>
        <v>0</v>
      </c>
      <c r="AH272" s="124">
        <f>交易记录!O203</f>
        <v>0</v>
      </c>
      <c r="AI272" s="124">
        <f>交易记录!O234</f>
        <v>0</v>
      </c>
      <c r="AJ272" s="30">
        <f t="shared" si="127"/>
        <v>0</v>
      </c>
      <c r="AK272" s="121">
        <f>交易记录!O267</f>
        <v>0</v>
      </c>
      <c r="AL272" s="121">
        <f>交易记录!O298</f>
        <v>0</v>
      </c>
      <c r="AM272" s="30">
        <f t="shared" si="128"/>
        <v>0</v>
      </c>
      <c r="AN272" s="124">
        <f>交易记录!O331</f>
        <v>0</v>
      </c>
      <c r="AO272" s="124">
        <f>交易记录!O362</f>
        <v>0</v>
      </c>
      <c r="AP272" s="30">
        <f t="shared" si="129"/>
        <v>0</v>
      </c>
      <c r="AQ272" s="121">
        <f>交易记录!O395</f>
        <v>0</v>
      </c>
      <c r="AR272" s="121">
        <f>交易记录!O426</f>
        <v>0</v>
      </c>
      <c r="AS272" s="30">
        <f t="shared" si="130"/>
        <v>0</v>
      </c>
      <c r="AT272" s="124">
        <f>交易记录!O459</f>
        <v>0</v>
      </c>
      <c r="AU272" s="124">
        <f>交易记录!O490</f>
        <v>0</v>
      </c>
      <c r="AV272" s="30">
        <f t="shared" si="137"/>
        <v>0</v>
      </c>
      <c r="AW272" s="121">
        <f>交易记录!O523</f>
        <v>0</v>
      </c>
      <c r="AX272" s="121">
        <f>交易记录!O554</f>
        <v>0</v>
      </c>
      <c r="AY272" s="30">
        <f t="shared" si="138"/>
        <v>0</v>
      </c>
      <c r="AZ272" s="124">
        <f>交易记录!O587</f>
        <v>0</v>
      </c>
      <c r="BA272" s="124">
        <f>交易记录!O618</f>
        <v>0</v>
      </c>
      <c r="BB272" s="30">
        <f t="shared" si="139"/>
        <v>0</v>
      </c>
      <c r="BC272" s="121">
        <f>交易记录!O651</f>
        <v>0</v>
      </c>
      <c r="BD272" s="121">
        <f>交易记录!O682</f>
        <v>0</v>
      </c>
      <c r="BE272" s="30">
        <f t="shared" si="140"/>
        <v>0</v>
      </c>
      <c r="BF272" s="124">
        <f>交易记录!O715</f>
        <v>0</v>
      </c>
      <c r="BG272" s="124">
        <f>交易记录!O746</f>
        <v>0</v>
      </c>
      <c r="BH272" s="30">
        <f t="shared" si="141"/>
        <v>0</v>
      </c>
      <c r="BI272" s="121">
        <f>交易记录!O779</f>
        <v>0</v>
      </c>
      <c r="BJ272" s="121">
        <f>交易记录!O810</f>
        <v>0</v>
      </c>
      <c r="BK272" s="30">
        <f t="shared" si="142"/>
        <v>0</v>
      </c>
      <c r="BL272" s="124">
        <f>交易记录!O843</f>
        <v>0</v>
      </c>
      <c r="BM272" s="124">
        <f>交易记录!O874</f>
        <v>0</v>
      </c>
      <c r="BN272" s="30">
        <f t="shared" si="143"/>
        <v>0</v>
      </c>
      <c r="BO272" s="121">
        <f>交易记录!O907</f>
        <v>0</v>
      </c>
      <c r="BP272" s="121">
        <f>交易记录!O938</f>
        <v>0</v>
      </c>
      <c r="BQ272" s="30">
        <f t="shared" si="144"/>
        <v>0</v>
      </c>
    </row>
    <row r="273" spans="1:69" ht="15">
      <c r="A273" s="125">
        <f>'维护-日期'!A$14</f>
        <v>46277</v>
      </c>
      <c r="B273" s="7" t="s">
        <v>13</v>
      </c>
      <c r="C273" s="144">
        <f t="shared" si="145"/>
        <v>12.419</v>
      </c>
      <c r="D273" s="144">
        <f>ROUND(INDEX(持仓数据!$C$3:$AG$26,MATCH('计算过程-数据汇总'!B273,持仓数据!$B$3:$B$26,0),MATCH('计算过程-数据汇总'!A273,'维护-日期'!$B$2:$AF$2,0)),3)</f>
        <v>12.419</v>
      </c>
      <c r="E273" s="98">
        <f t="shared" si="146"/>
        <v>12.419</v>
      </c>
      <c r="F273" s="22">
        <f>持仓数据!N79</f>
        <v>0.11600000000000001</v>
      </c>
      <c r="G273" s="97">
        <v>372</v>
      </c>
      <c r="H273" s="97">
        <v>372</v>
      </c>
      <c r="I273" s="64">
        <v>0</v>
      </c>
      <c r="J273" s="64">
        <v>0</v>
      </c>
      <c r="K273" s="21">
        <f>IF(持仓数据!N112="",0,持仓数据!N112)</f>
        <v>372</v>
      </c>
      <c r="L273" s="21">
        <f t="shared" si="147"/>
        <v>0</v>
      </c>
      <c r="M273" s="28">
        <f t="shared" si="131"/>
        <v>4619.8680000000004</v>
      </c>
      <c r="N273" s="28">
        <f t="shared" si="132"/>
        <v>0</v>
      </c>
      <c r="O273" s="28">
        <f t="shared" si="133"/>
        <v>0</v>
      </c>
      <c r="P273" s="28">
        <f t="shared" si="134"/>
        <v>0</v>
      </c>
      <c r="Q273" s="28">
        <f t="shared" si="148"/>
        <v>0</v>
      </c>
      <c r="R273" s="28">
        <f t="shared" si="135"/>
        <v>4619.8680000000004</v>
      </c>
      <c r="S273" s="28">
        <f t="shared" si="149"/>
        <v>0</v>
      </c>
      <c r="T273" s="28">
        <f t="shared" si="150"/>
        <v>0</v>
      </c>
      <c r="U273" s="28">
        <f t="shared" si="153"/>
        <v>0</v>
      </c>
      <c r="V273" s="28">
        <f t="shared" si="151"/>
        <v>0</v>
      </c>
      <c r="W273" s="118"/>
      <c r="X273" s="143">
        <f t="shared" si="152"/>
        <v>14.787000000000001</v>
      </c>
      <c r="Y273" s="121">
        <f>交易记录!O12</f>
        <v>0.11600000000000001</v>
      </c>
      <c r="Z273" s="121">
        <f>交易记录!O43</f>
        <v>372</v>
      </c>
      <c r="AA273" s="30">
        <f t="shared" si="136"/>
        <v>0</v>
      </c>
      <c r="AB273" s="124">
        <f>交易记录!O76</f>
        <v>0</v>
      </c>
      <c r="AC273" s="124">
        <f>交易记录!O107</f>
        <v>0</v>
      </c>
      <c r="AD273" s="30">
        <f t="shared" si="125"/>
        <v>0</v>
      </c>
      <c r="AE273" s="121">
        <f>交易记录!O140</f>
        <v>0</v>
      </c>
      <c r="AF273" s="121">
        <f>交易记录!O171</f>
        <v>0</v>
      </c>
      <c r="AG273" s="30">
        <f t="shared" si="126"/>
        <v>0</v>
      </c>
      <c r="AH273" s="124">
        <f>交易记录!O204</f>
        <v>0</v>
      </c>
      <c r="AI273" s="124">
        <f>交易记录!O235</f>
        <v>0</v>
      </c>
      <c r="AJ273" s="30">
        <f t="shared" si="127"/>
        <v>0</v>
      </c>
      <c r="AK273" s="121">
        <f>交易记录!O268</f>
        <v>0</v>
      </c>
      <c r="AL273" s="121">
        <f>交易记录!O299</f>
        <v>0</v>
      </c>
      <c r="AM273" s="30">
        <f t="shared" si="128"/>
        <v>0</v>
      </c>
      <c r="AN273" s="124">
        <f>交易记录!O332</f>
        <v>0</v>
      </c>
      <c r="AO273" s="124">
        <f>交易记录!O363</f>
        <v>0</v>
      </c>
      <c r="AP273" s="30">
        <f t="shared" si="129"/>
        <v>0</v>
      </c>
      <c r="AQ273" s="121">
        <f>交易记录!O396</f>
        <v>0</v>
      </c>
      <c r="AR273" s="121">
        <f>交易记录!O427</f>
        <v>0</v>
      </c>
      <c r="AS273" s="30">
        <f t="shared" si="130"/>
        <v>0</v>
      </c>
      <c r="AT273" s="124">
        <f>交易记录!O460</f>
        <v>0</v>
      </c>
      <c r="AU273" s="124">
        <f>交易记录!O491</f>
        <v>0</v>
      </c>
      <c r="AV273" s="30">
        <f t="shared" si="137"/>
        <v>0</v>
      </c>
      <c r="AW273" s="121">
        <f>交易记录!O524</f>
        <v>0</v>
      </c>
      <c r="AX273" s="121">
        <f>交易记录!O555</f>
        <v>0</v>
      </c>
      <c r="AY273" s="30">
        <f t="shared" si="138"/>
        <v>0</v>
      </c>
      <c r="AZ273" s="124">
        <f>交易记录!O588</f>
        <v>0</v>
      </c>
      <c r="BA273" s="124">
        <f>交易记录!O619</f>
        <v>0</v>
      </c>
      <c r="BB273" s="30">
        <f t="shared" si="139"/>
        <v>0</v>
      </c>
      <c r="BC273" s="121">
        <f>交易记录!O652</f>
        <v>0</v>
      </c>
      <c r="BD273" s="121">
        <f>交易记录!O683</f>
        <v>0</v>
      </c>
      <c r="BE273" s="30">
        <f t="shared" si="140"/>
        <v>0</v>
      </c>
      <c r="BF273" s="124">
        <f>交易记录!O716</f>
        <v>0</v>
      </c>
      <c r="BG273" s="124">
        <f>交易记录!O747</f>
        <v>0</v>
      </c>
      <c r="BH273" s="30">
        <f t="shared" si="141"/>
        <v>0</v>
      </c>
      <c r="BI273" s="121">
        <f>交易记录!O780</f>
        <v>0</v>
      </c>
      <c r="BJ273" s="121">
        <f>交易记录!O811</f>
        <v>0</v>
      </c>
      <c r="BK273" s="30">
        <f t="shared" si="142"/>
        <v>0</v>
      </c>
      <c r="BL273" s="124">
        <f>交易记录!O844</f>
        <v>0</v>
      </c>
      <c r="BM273" s="124">
        <f>交易记录!O875</f>
        <v>0</v>
      </c>
      <c r="BN273" s="30">
        <f t="shared" si="143"/>
        <v>0</v>
      </c>
      <c r="BO273" s="121">
        <f>交易记录!O908</f>
        <v>0</v>
      </c>
      <c r="BP273" s="121">
        <f>交易记录!O939</f>
        <v>0</v>
      </c>
      <c r="BQ273" s="30">
        <f t="shared" si="144"/>
        <v>0</v>
      </c>
    </row>
    <row r="274" spans="1:69" ht="15">
      <c r="A274" s="125">
        <f>'维护-日期'!A$14</f>
        <v>46277</v>
      </c>
      <c r="B274" s="7" t="s">
        <v>14</v>
      </c>
      <c r="C274" s="144">
        <f t="shared" si="145"/>
        <v>13.66</v>
      </c>
      <c r="D274" s="144">
        <f>ROUND(INDEX(持仓数据!$C$3:$AG$26,MATCH('计算过程-数据汇总'!B274,持仓数据!$B$3:$B$26,0),MATCH('计算过程-数据汇总'!A274,'维护-日期'!$B$2:$AF$2,0)),3)</f>
        <v>13.66</v>
      </c>
      <c r="E274" s="98">
        <f t="shared" si="146"/>
        <v>13.66</v>
      </c>
      <c r="F274" s="22">
        <f>持仓数据!N80</f>
        <v>0.122</v>
      </c>
      <c r="G274" s="97">
        <v>372</v>
      </c>
      <c r="H274" s="97">
        <v>372</v>
      </c>
      <c r="I274" s="64">
        <v>0</v>
      </c>
      <c r="J274" s="64">
        <v>0</v>
      </c>
      <c r="K274" s="21">
        <f>IF(持仓数据!N113="",0,持仓数据!N113)</f>
        <v>372</v>
      </c>
      <c r="L274" s="21">
        <f t="shared" si="147"/>
        <v>0</v>
      </c>
      <c r="M274" s="28">
        <f t="shared" si="131"/>
        <v>5081.5200000000004</v>
      </c>
      <c r="N274" s="28">
        <f t="shared" si="132"/>
        <v>0</v>
      </c>
      <c r="O274" s="28">
        <f t="shared" si="133"/>
        <v>0</v>
      </c>
      <c r="P274" s="28">
        <f t="shared" si="134"/>
        <v>0</v>
      </c>
      <c r="Q274" s="28">
        <f t="shared" si="148"/>
        <v>0</v>
      </c>
      <c r="R274" s="28">
        <f t="shared" si="135"/>
        <v>5081.5200000000004</v>
      </c>
      <c r="S274" s="28">
        <f t="shared" si="149"/>
        <v>0</v>
      </c>
      <c r="T274" s="28">
        <f t="shared" si="150"/>
        <v>0</v>
      </c>
      <c r="U274" s="28">
        <f t="shared" si="153"/>
        <v>0</v>
      </c>
      <c r="V274" s="28">
        <f t="shared" si="151"/>
        <v>0</v>
      </c>
      <c r="W274" s="118"/>
      <c r="X274" s="143">
        <f t="shared" si="152"/>
        <v>16.27</v>
      </c>
      <c r="Y274" s="121">
        <f>交易记录!O13</f>
        <v>0.122</v>
      </c>
      <c r="Z274" s="121">
        <f>交易记录!O44</f>
        <v>372</v>
      </c>
      <c r="AA274" s="30">
        <f t="shared" si="136"/>
        <v>0</v>
      </c>
      <c r="AB274" s="124">
        <f>交易记录!O77</f>
        <v>0</v>
      </c>
      <c r="AC274" s="124">
        <f>交易记录!O108</f>
        <v>0</v>
      </c>
      <c r="AD274" s="30">
        <f t="shared" si="125"/>
        <v>0</v>
      </c>
      <c r="AE274" s="121">
        <f>交易记录!O141</f>
        <v>0</v>
      </c>
      <c r="AF274" s="121">
        <f>交易记录!O172</f>
        <v>0</v>
      </c>
      <c r="AG274" s="30">
        <f t="shared" si="126"/>
        <v>0</v>
      </c>
      <c r="AH274" s="124">
        <f>交易记录!O205</f>
        <v>0</v>
      </c>
      <c r="AI274" s="124">
        <f>交易记录!O236</f>
        <v>0</v>
      </c>
      <c r="AJ274" s="30">
        <f t="shared" si="127"/>
        <v>0</v>
      </c>
      <c r="AK274" s="121">
        <f>交易记录!O269</f>
        <v>0</v>
      </c>
      <c r="AL274" s="121">
        <f>交易记录!O300</f>
        <v>0</v>
      </c>
      <c r="AM274" s="30">
        <f t="shared" si="128"/>
        <v>0</v>
      </c>
      <c r="AN274" s="124">
        <f>交易记录!O333</f>
        <v>0</v>
      </c>
      <c r="AO274" s="124">
        <f>交易记录!O364</f>
        <v>0</v>
      </c>
      <c r="AP274" s="30">
        <f t="shared" si="129"/>
        <v>0</v>
      </c>
      <c r="AQ274" s="121">
        <f>交易记录!O397</f>
        <v>0</v>
      </c>
      <c r="AR274" s="121">
        <f>交易记录!O428</f>
        <v>0</v>
      </c>
      <c r="AS274" s="30">
        <f t="shared" si="130"/>
        <v>0</v>
      </c>
      <c r="AT274" s="124">
        <f>交易记录!O461</f>
        <v>0</v>
      </c>
      <c r="AU274" s="124">
        <f>交易记录!O492</f>
        <v>0</v>
      </c>
      <c r="AV274" s="30">
        <f t="shared" si="137"/>
        <v>0</v>
      </c>
      <c r="AW274" s="121">
        <f>交易记录!O525</f>
        <v>0</v>
      </c>
      <c r="AX274" s="121">
        <f>交易记录!O556</f>
        <v>0</v>
      </c>
      <c r="AY274" s="30">
        <f t="shared" si="138"/>
        <v>0</v>
      </c>
      <c r="AZ274" s="124">
        <f>交易记录!O589</f>
        <v>0</v>
      </c>
      <c r="BA274" s="124">
        <f>交易记录!O620</f>
        <v>0</v>
      </c>
      <c r="BB274" s="30">
        <f t="shared" si="139"/>
        <v>0</v>
      </c>
      <c r="BC274" s="121">
        <f>交易记录!O653</f>
        <v>0</v>
      </c>
      <c r="BD274" s="121">
        <f>交易记录!O684</f>
        <v>0</v>
      </c>
      <c r="BE274" s="30">
        <f t="shared" si="140"/>
        <v>0</v>
      </c>
      <c r="BF274" s="124">
        <f>交易记录!O717</f>
        <v>0</v>
      </c>
      <c r="BG274" s="124">
        <f>交易记录!O748</f>
        <v>0</v>
      </c>
      <c r="BH274" s="30">
        <f t="shared" si="141"/>
        <v>0</v>
      </c>
      <c r="BI274" s="121">
        <f>交易记录!O781</f>
        <v>0</v>
      </c>
      <c r="BJ274" s="121">
        <f>交易记录!O812</f>
        <v>0</v>
      </c>
      <c r="BK274" s="30">
        <f t="shared" si="142"/>
        <v>0</v>
      </c>
      <c r="BL274" s="124">
        <f>交易记录!O845</f>
        <v>0</v>
      </c>
      <c r="BM274" s="124">
        <f>交易记录!O876</f>
        <v>0</v>
      </c>
      <c r="BN274" s="30">
        <f t="shared" si="143"/>
        <v>0</v>
      </c>
      <c r="BO274" s="121">
        <f>交易记录!O909</f>
        <v>0</v>
      </c>
      <c r="BP274" s="121">
        <f>交易记录!O940</f>
        <v>0</v>
      </c>
      <c r="BQ274" s="30">
        <f t="shared" si="144"/>
        <v>0</v>
      </c>
    </row>
    <row r="275" spans="1:69" ht="15">
      <c r="A275" s="125">
        <f>'维护-日期'!A$14</f>
        <v>46277</v>
      </c>
      <c r="B275" s="7" t="s">
        <v>15</v>
      </c>
      <c r="C275" s="144">
        <f t="shared" si="145"/>
        <v>16.832999999999998</v>
      </c>
      <c r="D275" s="144">
        <f>ROUND(INDEX(持仓数据!$C$3:$AG$26,MATCH('计算过程-数据汇总'!B275,持仓数据!$B$3:$B$26,0),MATCH('计算过程-数据汇总'!A275,'维护-日期'!$B$2:$AF$2,0)),3)</f>
        <v>16.832999999999998</v>
      </c>
      <c r="E275" s="98">
        <f t="shared" si="146"/>
        <v>16.832999999999998</v>
      </c>
      <c r="F275" s="22">
        <f>持仓数据!N81</f>
        <v>0.127</v>
      </c>
      <c r="G275" s="97">
        <v>372</v>
      </c>
      <c r="H275" s="97">
        <v>372</v>
      </c>
      <c r="I275" s="64">
        <v>0</v>
      </c>
      <c r="J275" s="64">
        <v>0</v>
      </c>
      <c r="K275" s="21">
        <f>IF(持仓数据!N114="",0,持仓数据!N114)</f>
        <v>372</v>
      </c>
      <c r="L275" s="21">
        <f t="shared" si="147"/>
        <v>0</v>
      </c>
      <c r="M275" s="28">
        <f t="shared" si="131"/>
        <v>6261.8759999999993</v>
      </c>
      <c r="N275" s="28">
        <f t="shared" si="132"/>
        <v>0</v>
      </c>
      <c r="O275" s="28">
        <f t="shared" si="133"/>
        <v>0</v>
      </c>
      <c r="P275" s="28">
        <f t="shared" si="134"/>
        <v>0</v>
      </c>
      <c r="Q275" s="28">
        <f t="shared" si="148"/>
        <v>0</v>
      </c>
      <c r="R275" s="28">
        <f t="shared" si="135"/>
        <v>6261.8759999999993</v>
      </c>
      <c r="S275" s="28">
        <f t="shared" si="149"/>
        <v>0</v>
      </c>
      <c r="T275" s="28">
        <f t="shared" si="150"/>
        <v>0</v>
      </c>
      <c r="U275" s="28">
        <f t="shared" si="153"/>
        <v>0</v>
      </c>
      <c r="V275" s="28">
        <f t="shared" si="151"/>
        <v>0</v>
      </c>
      <c r="W275" s="118"/>
      <c r="X275" s="143">
        <f t="shared" si="152"/>
        <v>20.073</v>
      </c>
      <c r="Y275" s="121">
        <f>交易记录!O14</f>
        <v>0.127</v>
      </c>
      <c r="Z275" s="121">
        <f>交易记录!O45</f>
        <v>372</v>
      </c>
      <c r="AA275" s="30">
        <f t="shared" si="136"/>
        <v>0</v>
      </c>
      <c r="AB275" s="124">
        <f>交易记录!O78</f>
        <v>0</v>
      </c>
      <c r="AC275" s="124">
        <f>交易记录!O109</f>
        <v>0</v>
      </c>
      <c r="AD275" s="30">
        <f t="shared" si="125"/>
        <v>0</v>
      </c>
      <c r="AE275" s="121">
        <f>交易记录!O142</f>
        <v>0</v>
      </c>
      <c r="AF275" s="121">
        <f>交易记录!O173</f>
        <v>0</v>
      </c>
      <c r="AG275" s="30">
        <f t="shared" si="126"/>
        <v>0</v>
      </c>
      <c r="AH275" s="124">
        <f>交易记录!O206</f>
        <v>0</v>
      </c>
      <c r="AI275" s="124">
        <f>交易记录!O237</f>
        <v>0</v>
      </c>
      <c r="AJ275" s="30">
        <f t="shared" si="127"/>
        <v>0</v>
      </c>
      <c r="AK275" s="121">
        <f>交易记录!O270</f>
        <v>0</v>
      </c>
      <c r="AL275" s="121">
        <f>交易记录!O301</f>
        <v>0</v>
      </c>
      <c r="AM275" s="30">
        <f t="shared" si="128"/>
        <v>0</v>
      </c>
      <c r="AN275" s="124">
        <f>交易记录!O334</f>
        <v>0</v>
      </c>
      <c r="AO275" s="124">
        <f>交易记录!O365</f>
        <v>0</v>
      </c>
      <c r="AP275" s="30">
        <f t="shared" si="129"/>
        <v>0</v>
      </c>
      <c r="AQ275" s="121">
        <f>交易记录!O398</f>
        <v>0</v>
      </c>
      <c r="AR275" s="121">
        <f>交易记录!O429</f>
        <v>0</v>
      </c>
      <c r="AS275" s="30">
        <f t="shared" si="130"/>
        <v>0</v>
      </c>
      <c r="AT275" s="124">
        <f>交易记录!O462</f>
        <v>0</v>
      </c>
      <c r="AU275" s="124">
        <f>交易记录!O493</f>
        <v>0</v>
      </c>
      <c r="AV275" s="30">
        <f t="shared" si="137"/>
        <v>0</v>
      </c>
      <c r="AW275" s="121">
        <f>交易记录!O526</f>
        <v>0</v>
      </c>
      <c r="AX275" s="121">
        <f>交易记录!O557</f>
        <v>0</v>
      </c>
      <c r="AY275" s="30">
        <f t="shared" si="138"/>
        <v>0</v>
      </c>
      <c r="AZ275" s="124">
        <f>交易记录!O590</f>
        <v>0</v>
      </c>
      <c r="BA275" s="124">
        <f>交易记录!O621</f>
        <v>0</v>
      </c>
      <c r="BB275" s="30">
        <f t="shared" si="139"/>
        <v>0</v>
      </c>
      <c r="BC275" s="121">
        <f>交易记录!O654</f>
        <v>0</v>
      </c>
      <c r="BD275" s="121">
        <f>交易记录!O685</f>
        <v>0</v>
      </c>
      <c r="BE275" s="30">
        <f t="shared" si="140"/>
        <v>0</v>
      </c>
      <c r="BF275" s="124">
        <f>交易记录!O718</f>
        <v>0</v>
      </c>
      <c r="BG275" s="124">
        <f>交易记录!O749</f>
        <v>0</v>
      </c>
      <c r="BH275" s="30">
        <f t="shared" si="141"/>
        <v>0</v>
      </c>
      <c r="BI275" s="121">
        <f>交易记录!O782</f>
        <v>0</v>
      </c>
      <c r="BJ275" s="121">
        <f>交易记录!O813</f>
        <v>0</v>
      </c>
      <c r="BK275" s="30">
        <f t="shared" si="142"/>
        <v>0</v>
      </c>
      <c r="BL275" s="124">
        <f>交易记录!O846</f>
        <v>0</v>
      </c>
      <c r="BM275" s="124">
        <f>交易记录!O877</f>
        <v>0</v>
      </c>
      <c r="BN275" s="30">
        <f t="shared" si="143"/>
        <v>0</v>
      </c>
      <c r="BO275" s="121">
        <f>交易记录!O910</f>
        <v>0</v>
      </c>
      <c r="BP275" s="121">
        <f>交易记录!O941</f>
        <v>0</v>
      </c>
      <c r="BQ275" s="30">
        <f t="shared" si="144"/>
        <v>0</v>
      </c>
    </row>
    <row r="276" spans="1:69" ht="15">
      <c r="A276" s="125">
        <f>'维护-日期'!A$14</f>
        <v>46277</v>
      </c>
      <c r="B276" s="7" t="s">
        <v>16</v>
      </c>
      <c r="C276" s="144">
        <f t="shared" si="145"/>
        <v>18.838999999999999</v>
      </c>
      <c r="D276" s="144">
        <f>ROUND(INDEX(持仓数据!$C$3:$AG$26,MATCH('计算过程-数据汇总'!B276,持仓数据!$B$3:$B$26,0),MATCH('计算过程-数据汇总'!A276,'维护-日期'!$B$2:$AF$2,0)),3)</f>
        <v>18.838999999999999</v>
      </c>
      <c r="E276" s="98">
        <f t="shared" si="146"/>
        <v>18.838999999999999</v>
      </c>
      <c r="F276" s="22">
        <f>持仓数据!N82</f>
        <v>0.128</v>
      </c>
      <c r="G276" s="97">
        <v>372</v>
      </c>
      <c r="H276" s="97">
        <v>372</v>
      </c>
      <c r="I276" s="64">
        <v>0</v>
      </c>
      <c r="J276" s="64">
        <v>0</v>
      </c>
      <c r="K276" s="21">
        <f>IF(持仓数据!N115="",0,持仓数据!N115)</f>
        <v>372</v>
      </c>
      <c r="L276" s="21">
        <f t="shared" si="147"/>
        <v>0</v>
      </c>
      <c r="M276" s="28">
        <f t="shared" si="131"/>
        <v>7008.1079999999993</v>
      </c>
      <c r="N276" s="28">
        <f t="shared" si="132"/>
        <v>0</v>
      </c>
      <c r="O276" s="28">
        <f t="shared" si="133"/>
        <v>0</v>
      </c>
      <c r="P276" s="28">
        <f t="shared" si="134"/>
        <v>0</v>
      </c>
      <c r="Q276" s="28">
        <f t="shared" si="148"/>
        <v>0</v>
      </c>
      <c r="R276" s="28">
        <f t="shared" si="135"/>
        <v>7008.1079999999993</v>
      </c>
      <c r="S276" s="28">
        <f t="shared" si="149"/>
        <v>0</v>
      </c>
      <c r="T276" s="28">
        <f t="shared" si="150"/>
        <v>0</v>
      </c>
      <c r="U276" s="28">
        <f t="shared" si="153"/>
        <v>0</v>
      </c>
      <c r="V276" s="28">
        <f t="shared" si="151"/>
        <v>0</v>
      </c>
      <c r="W276" s="118"/>
      <c r="X276" s="143">
        <f t="shared" si="152"/>
        <v>22.478999999999999</v>
      </c>
      <c r="Y276" s="121">
        <f>交易记录!O15</f>
        <v>0.128</v>
      </c>
      <c r="Z276" s="121">
        <f>交易记录!O46</f>
        <v>372</v>
      </c>
      <c r="AA276" s="30">
        <f t="shared" si="136"/>
        <v>0</v>
      </c>
      <c r="AB276" s="124">
        <f>交易记录!O79</f>
        <v>0</v>
      </c>
      <c r="AC276" s="124">
        <f>交易记录!O110</f>
        <v>0</v>
      </c>
      <c r="AD276" s="30">
        <f t="shared" si="125"/>
        <v>0</v>
      </c>
      <c r="AE276" s="121">
        <f>交易记录!O143</f>
        <v>0</v>
      </c>
      <c r="AF276" s="121">
        <f>交易记录!O174</f>
        <v>0</v>
      </c>
      <c r="AG276" s="30">
        <f t="shared" si="126"/>
        <v>0</v>
      </c>
      <c r="AH276" s="124">
        <f>交易记录!O207</f>
        <v>0</v>
      </c>
      <c r="AI276" s="124">
        <f>交易记录!O238</f>
        <v>0</v>
      </c>
      <c r="AJ276" s="30">
        <f t="shared" si="127"/>
        <v>0</v>
      </c>
      <c r="AK276" s="121">
        <f>交易记录!O271</f>
        <v>0</v>
      </c>
      <c r="AL276" s="121">
        <f>交易记录!O302</f>
        <v>0</v>
      </c>
      <c r="AM276" s="30">
        <f t="shared" si="128"/>
        <v>0</v>
      </c>
      <c r="AN276" s="124">
        <f>交易记录!O335</f>
        <v>0</v>
      </c>
      <c r="AO276" s="124">
        <f>交易记录!O366</f>
        <v>0</v>
      </c>
      <c r="AP276" s="30">
        <f t="shared" si="129"/>
        <v>0</v>
      </c>
      <c r="AQ276" s="121">
        <f>交易记录!O399</f>
        <v>0</v>
      </c>
      <c r="AR276" s="121">
        <f>交易记录!O430</f>
        <v>0</v>
      </c>
      <c r="AS276" s="30">
        <f t="shared" si="130"/>
        <v>0</v>
      </c>
      <c r="AT276" s="124">
        <f>交易记录!O463</f>
        <v>0</v>
      </c>
      <c r="AU276" s="124">
        <f>交易记录!O494</f>
        <v>0</v>
      </c>
      <c r="AV276" s="30">
        <f t="shared" si="137"/>
        <v>0</v>
      </c>
      <c r="AW276" s="121">
        <f>交易记录!O527</f>
        <v>0</v>
      </c>
      <c r="AX276" s="121">
        <f>交易记录!O558</f>
        <v>0</v>
      </c>
      <c r="AY276" s="30">
        <f t="shared" si="138"/>
        <v>0</v>
      </c>
      <c r="AZ276" s="124">
        <f>交易记录!O591</f>
        <v>0</v>
      </c>
      <c r="BA276" s="124">
        <f>交易记录!O622</f>
        <v>0</v>
      </c>
      <c r="BB276" s="30">
        <f t="shared" si="139"/>
        <v>0</v>
      </c>
      <c r="BC276" s="121">
        <f>交易记录!O655</f>
        <v>0</v>
      </c>
      <c r="BD276" s="121">
        <f>交易记录!O686</f>
        <v>0</v>
      </c>
      <c r="BE276" s="30">
        <f t="shared" si="140"/>
        <v>0</v>
      </c>
      <c r="BF276" s="124">
        <f>交易记录!O719</f>
        <v>0</v>
      </c>
      <c r="BG276" s="124">
        <f>交易记录!O750</f>
        <v>0</v>
      </c>
      <c r="BH276" s="30">
        <f t="shared" si="141"/>
        <v>0</v>
      </c>
      <c r="BI276" s="121">
        <f>交易记录!O783</f>
        <v>0</v>
      </c>
      <c r="BJ276" s="121">
        <f>交易记录!O814</f>
        <v>0</v>
      </c>
      <c r="BK276" s="30">
        <f t="shared" si="142"/>
        <v>0</v>
      </c>
      <c r="BL276" s="124">
        <f>交易记录!O847</f>
        <v>0</v>
      </c>
      <c r="BM276" s="124">
        <f>交易记录!O878</f>
        <v>0</v>
      </c>
      <c r="BN276" s="30">
        <f t="shared" si="143"/>
        <v>0</v>
      </c>
      <c r="BO276" s="121">
        <f>交易记录!O911</f>
        <v>0</v>
      </c>
      <c r="BP276" s="121">
        <f>交易记录!O942</f>
        <v>0</v>
      </c>
      <c r="BQ276" s="30">
        <f t="shared" si="144"/>
        <v>0</v>
      </c>
    </row>
    <row r="277" spans="1:69" ht="15">
      <c r="A277" s="125">
        <f>'维护-日期'!A$14</f>
        <v>46277</v>
      </c>
      <c r="B277" s="7" t="s">
        <v>17</v>
      </c>
      <c r="C277" s="144">
        <f t="shared" si="145"/>
        <v>19.346</v>
      </c>
      <c r="D277" s="144">
        <f>ROUND(INDEX(持仓数据!$C$3:$AG$26,MATCH('计算过程-数据汇总'!B277,持仓数据!$B$3:$B$26,0),MATCH('计算过程-数据汇总'!A277,'维护-日期'!$B$2:$AF$2,0)),3)</f>
        <v>19.346</v>
      </c>
      <c r="E277" s="98">
        <f t="shared" si="146"/>
        <v>19.346</v>
      </c>
      <c r="F277" s="22">
        <f>持仓数据!N83</f>
        <v>0.13</v>
      </c>
      <c r="G277" s="97">
        <v>372</v>
      </c>
      <c r="H277" s="97">
        <v>372</v>
      </c>
      <c r="I277" s="64">
        <v>0</v>
      </c>
      <c r="J277" s="64">
        <v>0</v>
      </c>
      <c r="K277" s="21">
        <f>IF(持仓数据!N116="",0,持仓数据!N116)</f>
        <v>372</v>
      </c>
      <c r="L277" s="21">
        <f t="shared" si="147"/>
        <v>0</v>
      </c>
      <c r="M277" s="28">
        <f t="shared" si="131"/>
        <v>7196.7120000000004</v>
      </c>
      <c r="N277" s="28">
        <f t="shared" si="132"/>
        <v>0</v>
      </c>
      <c r="O277" s="28">
        <f t="shared" si="133"/>
        <v>0</v>
      </c>
      <c r="P277" s="28">
        <f t="shared" si="134"/>
        <v>0</v>
      </c>
      <c r="Q277" s="28">
        <f t="shared" si="148"/>
        <v>0</v>
      </c>
      <c r="R277" s="28">
        <f t="shared" si="135"/>
        <v>7196.7120000000004</v>
      </c>
      <c r="S277" s="28">
        <f t="shared" si="149"/>
        <v>0</v>
      </c>
      <c r="T277" s="28">
        <f t="shared" si="150"/>
        <v>0</v>
      </c>
      <c r="U277" s="28">
        <f t="shared" si="153"/>
        <v>0</v>
      </c>
      <c r="V277" s="28">
        <f t="shared" si="151"/>
        <v>0</v>
      </c>
      <c r="W277" s="118"/>
      <c r="X277" s="143">
        <f t="shared" si="152"/>
        <v>23.085000000000001</v>
      </c>
      <c r="Y277" s="121">
        <f>交易记录!O16</f>
        <v>0.13</v>
      </c>
      <c r="Z277" s="121">
        <f>交易记录!O47</f>
        <v>372</v>
      </c>
      <c r="AA277" s="30">
        <f t="shared" si="136"/>
        <v>0</v>
      </c>
      <c r="AB277" s="124">
        <f>交易记录!O80</f>
        <v>0</v>
      </c>
      <c r="AC277" s="124">
        <f>交易记录!O111</f>
        <v>0</v>
      </c>
      <c r="AD277" s="30">
        <f t="shared" si="125"/>
        <v>0</v>
      </c>
      <c r="AE277" s="121">
        <f>交易记录!O144</f>
        <v>0</v>
      </c>
      <c r="AF277" s="121">
        <f>交易记录!O175</f>
        <v>0</v>
      </c>
      <c r="AG277" s="30">
        <f t="shared" si="126"/>
        <v>0</v>
      </c>
      <c r="AH277" s="124">
        <f>交易记录!O208</f>
        <v>0</v>
      </c>
      <c r="AI277" s="124">
        <f>交易记录!O239</f>
        <v>0</v>
      </c>
      <c r="AJ277" s="30">
        <f t="shared" si="127"/>
        <v>0</v>
      </c>
      <c r="AK277" s="121">
        <f>交易记录!O272</f>
        <v>0</v>
      </c>
      <c r="AL277" s="121">
        <f>交易记录!O303</f>
        <v>0</v>
      </c>
      <c r="AM277" s="30">
        <f t="shared" si="128"/>
        <v>0</v>
      </c>
      <c r="AN277" s="124">
        <f>交易记录!O336</f>
        <v>0</v>
      </c>
      <c r="AO277" s="124">
        <f>交易记录!O367</f>
        <v>0</v>
      </c>
      <c r="AP277" s="30">
        <f t="shared" si="129"/>
        <v>0</v>
      </c>
      <c r="AQ277" s="121">
        <f>交易记录!O400</f>
        <v>0</v>
      </c>
      <c r="AR277" s="121">
        <f>交易记录!O431</f>
        <v>0</v>
      </c>
      <c r="AS277" s="30">
        <f t="shared" si="130"/>
        <v>0</v>
      </c>
      <c r="AT277" s="124">
        <f>交易记录!O464</f>
        <v>0</v>
      </c>
      <c r="AU277" s="124">
        <f>交易记录!O495</f>
        <v>0</v>
      </c>
      <c r="AV277" s="30">
        <f t="shared" si="137"/>
        <v>0</v>
      </c>
      <c r="AW277" s="121">
        <f>交易记录!O528</f>
        <v>0</v>
      </c>
      <c r="AX277" s="121">
        <f>交易记录!O559</f>
        <v>0</v>
      </c>
      <c r="AY277" s="30">
        <f t="shared" si="138"/>
        <v>0</v>
      </c>
      <c r="AZ277" s="124">
        <f>交易记录!O592</f>
        <v>0</v>
      </c>
      <c r="BA277" s="124">
        <f>交易记录!O623</f>
        <v>0</v>
      </c>
      <c r="BB277" s="30">
        <f t="shared" si="139"/>
        <v>0</v>
      </c>
      <c r="BC277" s="121">
        <f>交易记录!O656</f>
        <v>0</v>
      </c>
      <c r="BD277" s="121">
        <f>交易记录!O687</f>
        <v>0</v>
      </c>
      <c r="BE277" s="30">
        <f t="shared" si="140"/>
        <v>0</v>
      </c>
      <c r="BF277" s="124">
        <f>交易记录!O720</f>
        <v>0</v>
      </c>
      <c r="BG277" s="124">
        <f>交易记录!O751</f>
        <v>0</v>
      </c>
      <c r="BH277" s="30">
        <f t="shared" si="141"/>
        <v>0</v>
      </c>
      <c r="BI277" s="121">
        <f>交易记录!O784</f>
        <v>0</v>
      </c>
      <c r="BJ277" s="121">
        <f>交易记录!O815</f>
        <v>0</v>
      </c>
      <c r="BK277" s="30">
        <f t="shared" si="142"/>
        <v>0</v>
      </c>
      <c r="BL277" s="124">
        <f>交易记录!O848</f>
        <v>0</v>
      </c>
      <c r="BM277" s="124">
        <f>交易记录!O879</f>
        <v>0</v>
      </c>
      <c r="BN277" s="30">
        <f t="shared" si="143"/>
        <v>0</v>
      </c>
      <c r="BO277" s="121">
        <f>交易记录!O912</f>
        <v>0</v>
      </c>
      <c r="BP277" s="121">
        <f>交易记录!O943</f>
        <v>0</v>
      </c>
      <c r="BQ277" s="30">
        <f t="shared" si="144"/>
        <v>0</v>
      </c>
    </row>
    <row r="278" spans="1:69" ht="15">
      <c r="A278" s="125">
        <f>'维护-日期'!A$14</f>
        <v>46277</v>
      </c>
      <c r="B278" s="7" t="s">
        <v>18</v>
      </c>
      <c r="C278" s="144">
        <f t="shared" si="145"/>
        <v>20.166</v>
      </c>
      <c r="D278" s="144">
        <f>ROUND(INDEX(持仓数据!$C$3:$AG$26,MATCH('计算过程-数据汇总'!B278,持仓数据!$B$3:$B$26,0),MATCH('计算过程-数据汇总'!A278,'维护-日期'!$B$2:$AF$2,0)),3)</f>
        <v>20.166</v>
      </c>
      <c r="E278" s="98">
        <f t="shared" si="146"/>
        <v>20.166</v>
      </c>
      <c r="F278" s="22">
        <f>持仓数据!N84</f>
        <v>6.0999999999999999E-2</v>
      </c>
      <c r="G278" s="97">
        <v>372</v>
      </c>
      <c r="H278" s="97">
        <v>372</v>
      </c>
      <c r="I278" s="64">
        <v>0</v>
      </c>
      <c r="J278" s="64">
        <v>0</v>
      </c>
      <c r="K278" s="21">
        <f>IF(持仓数据!N117="",0,持仓数据!N117)</f>
        <v>372</v>
      </c>
      <c r="L278" s="21">
        <f t="shared" si="147"/>
        <v>0</v>
      </c>
      <c r="M278" s="28">
        <f t="shared" si="131"/>
        <v>7501.7520000000004</v>
      </c>
      <c r="N278" s="28">
        <f t="shared" si="132"/>
        <v>0</v>
      </c>
      <c r="O278" s="28">
        <f t="shared" si="133"/>
        <v>0</v>
      </c>
      <c r="P278" s="28">
        <f t="shared" si="134"/>
        <v>0</v>
      </c>
      <c r="Q278" s="28">
        <f t="shared" si="148"/>
        <v>0</v>
      </c>
      <c r="R278" s="28">
        <f t="shared" si="135"/>
        <v>7501.7520000000004</v>
      </c>
      <c r="S278" s="28">
        <f t="shared" si="149"/>
        <v>0</v>
      </c>
      <c r="T278" s="28">
        <f t="shared" si="150"/>
        <v>0</v>
      </c>
      <c r="U278" s="28">
        <f t="shared" si="153"/>
        <v>0</v>
      </c>
      <c r="V278" s="28">
        <f t="shared" si="151"/>
        <v>0</v>
      </c>
      <c r="W278" s="118"/>
      <c r="X278" s="143">
        <f t="shared" si="152"/>
        <v>24.138000000000002</v>
      </c>
      <c r="Y278" s="121">
        <f>交易记录!O17</f>
        <v>6.0999999999999999E-2</v>
      </c>
      <c r="Z278" s="121">
        <f>交易记录!O48</f>
        <v>372</v>
      </c>
      <c r="AA278" s="30">
        <f t="shared" si="136"/>
        <v>0</v>
      </c>
      <c r="AB278" s="124">
        <f>交易记录!O81</f>
        <v>0</v>
      </c>
      <c r="AC278" s="124">
        <f>交易记录!O112</f>
        <v>0</v>
      </c>
      <c r="AD278" s="30">
        <f t="shared" si="125"/>
        <v>0</v>
      </c>
      <c r="AE278" s="121">
        <f>交易记录!O145</f>
        <v>0</v>
      </c>
      <c r="AF278" s="121">
        <f>交易记录!O176</f>
        <v>0</v>
      </c>
      <c r="AG278" s="30">
        <f t="shared" si="126"/>
        <v>0</v>
      </c>
      <c r="AH278" s="124">
        <f>交易记录!O209</f>
        <v>0</v>
      </c>
      <c r="AI278" s="124">
        <f>交易记录!O240</f>
        <v>0</v>
      </c>
      <c r="AJ278" s="30">
        <f t="shared" si="127"/>
        <v>0</v>
      </c>
      <c r="AK278" s="121">
        <f>交易记录!O273</f>
        <v>0</v>
      </c>
      <c r="AL278" s="121">
        <f>交易记录!O304</f>
        <v>0</v>
      </c>
      <c r="AM278" s="30">
        <f t="shared" si="128"/>
        <v>0</v>
      </c>
      <c r="AN278" s="124">
        <f>交易记录!O337</f>
        <v>0</v>
      </c>
      <c r="AO278" s="124">
        <f>交易记录!O368</f>
        <v>0</v>
      </c>
      <c r="AP278" s="30">
        <f t="shared" si="129"/>
        <v>0</v>
      </c>
      <c r="AQ278" s="121">
        <f>交易记录!O401</f>
        <v>0</v>
      </c>
      <c r="AR278" s="121">
        <f>交易记录!O432</f>
        <v>0</v>
      </c>
      <c r="AS278" s="30">
        <f t="shared" si="130"/>
        <v>0</v>
      </c>
      <c r="AT278" s="124">
        <f>交易记录!O465</f>
        <v>0</v>
      </c>
      <c r="AU278" s="124">
        <f>交易记录!O496</f>
        <v>0</v>
      </c>
      <c r="AV278" s="30">
        <f t="shared" si="137"/>
        <v>0</v>
      </c>
      <c r="AW278" s="121">
        <f>交易记录!O529</f>
        <v>0</v>
      </c>
      <c r="AX278" s="121">
        <f>交易记录!O560</f>
        <v>0</v>
      </c>
      <c r="AY278" s="30">
        <f t="shared" si="138"/>
        <v>0</v>
      </c>
      <c r="AZ278" s="124">
        <f>交易记录!O593</f>
        <v>0</v>
      </c>
      <c r="BA278" s="124">
        <f>交易记录!O624</f>
        <v>0</v>
      </c>
      <c r="BB278" s="30">
        <f t="shared" si="139"/>
        <v>0</v>
      </c>
      <c r="BC278" s="121">
        <f>交易记录!O657</f>
        <v>0</v>
      </c>
      <c r="BD278" s="121">
        <f>交易记录!O688</f>
        <v>0</v>
      </c>
      <c r="BE278" s="30">
        <f t="shared" si="140"/>
        <v>0</v>
      </c>
      <c r="BF278" s="124">
        <f>交易记录!O721</f>
        <v>0</v>
      </c>
      <c r="BG278" s="124">
        <f>交易记录!O752</f>
        <v>0</v>
      </c>
      <c r="BH278" s="30">
        <f t="shared" si="141"/>
        <v>0</v>
      </c>
      <c r="BI278" s="121">
        <f>交易记录!O785</f>
        <v>0</v>
      </c>
      <c r="BJ278" s="121">
        <f>交易记录!O816</f>
        <v>0</v>
      </c>
      <c r="BK278" s="30">
        <f t="shared" si="142"/>
        <v>0</v>
      </c>
      <c r="BL278" s="124">
        <f>交易记录!O849</f>
        <v>0</v>
      </c>
      <c r="BM278" s="124">
        <f>交易记录!O880</f>
        <v>0</v>
      </c>
      <c r="BN278" s="30">
        <f t="shared" si="143"/>
        <v>0</v>
      </c>
      <c r="BO278" s="121">
        <f>交易记录!O913</f>
        <v>0</v>
      </c>
      <c r="BP278" s="121">
        <f>交易记录!O944</f>
        <v>0</v>
      </c>
      <c r="BQ278" s="30">
        <f t="shared" si="144"/>
        <v>0</v>
      </c>
    </row>
    <row r="279" spans="1:69" ht="15">
      <c r="A279" s="125">
        <f>'维护-日期'!A$14</f>
        <v>46277</v>
      </c>
      <c r="B279" s="7" t="s">
        <v>19</v>
      </c>
      <c r="C279" s="144">
        <f t="shared" si="145"/>
        <v>21.004999999999999</v>
      </c>
      <c r="D279" s="144">
        <f>ROUND(INDEX(持仓数据!$C$3:$AG$26,MATCH('计算过程-数据汇总'!B279,持仓数据!$B$3:$B$26,0),MATCH('计算过程-数据汇总'!A279,'维护-日期'!$B$2:$AF$2,0)),3)</f>
        <v>21.004999999999999</v>
      </c>
      <c r="E279" s="98">
        <f t="shared" si="146"/>
        <v>21.004999999999999</v>
      </c>
      <c r="F279" s="22">
        <f>持仓数据!N85</f>
        <v>8.1000000000000003E-2</v>
      </c>
      <c r="G279" s="97">
        <v>372</v>
      </c>
      <c r="H279" s="97">
        <v>372</v>
      </c>
      <c r="I279" s="64">
        <v>0</v>
      </c>
      <c r="J279" s="64">
        <v>0</v>
      </c>
      <c r="K279" s="21">
        <f>IF(持仓数据!N118="",0,持仓数据!N118)</f>
        <v>372</v>
      </c>
      <c r="L279" s="21">
        <f t="shared" si="147"/>
        <v>0</v>
      </c>
      <c r="M279" s="28">
        <f t="shared" si="131"/>
        <v>7813.86</v>
      </c>
      <c r="N279" s="28">
        <f t="shared" si="132"/>
        <v>0</v>
      </c>
      <c r="O279" s="28">
        <f t="shared" si="133"/>
        <v>0</v>
      </c>
      <c r="P279" s="28">
        <f t="shared" si="134"/>
        <v>0</v>
      </c>
      <c r="Q279" s="28">
        <f t="shared" si="148"/>
        <v>0</v>
      </c>
      <c r="R279" s="28">
        <f t="shared" si="135"/>
        <v>7813.86</v>
      </c>
      <c r="S279" s="28">
        <f t="shared" si="149"/>
        <v>0</v>
      </c>
      <c r="T279" s="28">
        <f t="shared" si="150"/>
        <v>0</v>
      </c>
      <c r="U279" s="28">
        <f t="shared" si="153"/>
        <v>0</v>
      </c>
      <c r="V279" s="28">
        <f t="shared" si="151"/>
        <v>0</v>
      </c>
      <c r="W279" s="118"/>
      <c r="X279" s="143">
        <f t="shared" si="152"/>
        <v>25.125</v>
      </c>
      <c r="Y279" s="121">
        <f>交易记录!O18</f>
        <v>8.1000000000000003E-2</v>
      </c>
      <c r="Z279" s="121">
        <f>交易记录!O49</f>
        <v>372</v>
      </c>
      <c r="AA279" s="30">
        <f t="shared" si="136"/>
        <v>0</v>
      </c>
      <c r="AB279" s="124">
        <f>交易记录!O82</f>
        <v>0</v>
      </c>
      <c r="AC279" s="124">
        <f>交易记录!O113</f>
        <v>0</v>
      </c>
      <c r="AD279" s="30">
        <f t="shared" si="125"/>
        <v>0</v>
      </c>
      <c r="AE279" s="121">
        <f>交易记录!O146</f>
        <v>0</v>
      </c>
      <c r="AF279" s="121">
        <f>交易记录!O177</f>
        <v>0</v>
      </c>
      <c r="AG279" s="30">
        <f t="shared" si="126"/>
        <v>0</v>
      </c>
      <c r="AH279" s="124">
        <f>交易记录!O210</f>
        <v>0</v>
      </c>
      <c r="AI279" s="124">
        <f>交易记录!O241</f>
        <v>0</v>
      </c>
      <c r="AJ279" s="30">
        <f t="shared" si="127"/>
        <v>0</v>
      </c>
      <c r="AK279" s="121">
        <f>交易记录!O274</f>
        <v>0</v>
      </c>
      <c r="AL279" s="121">
        <f>交易记录!O305</f>
        <v>0</v>
      </c>
      <c r="AM279" s="30">
        <f t="shared" si="128"/>
        <v>0</v>
      </c>
      <c r="AN279" s="124">
        <f>交易记录!O338</f>
        <v>0</v>
      </c>
      <c r="AO279" s="124">
        <f>交易记录!O369</f>
        <v>0</v>
      </c>
      <c r="AP279" s="30">
        <f t="shared" si="129"/>
        <v>0</v>
      </c>
      <c r="AQ279" s="121">
        <f>交易记录!O402</f>
        <v>0</v>
      </c>
      <c r="AR279" s="121">
        <f>交易记录!O433</f>
        <v>0</v>
      </c>
      <c r="AS279" s="30">
        <f t="shared" si="130"/>
        <v>0</v>
      </c>
      <c r="AT279" s="124">
        <f>交易记录!O466</f>
        <v>0</v>
      </c>
      <c r="AU279" s="124">
        <f>交易记录!O497</f>
        <v>0</v>
      </c>
      <c r="AV279" s="30">
        <f t="shared" si="137"/>
        <v>0</v>
      </c>
      <c r="AW279" s="121">
        <f>交易记录!O530</f>
        <v>0</v>
      </c>
      <c r="AX279" s="121">
        <f>交易记录!O561</f>
        <v>0</v>
      </c>
      <c r="AY279" s="30">
        <f t="shared" si="138"/>
        <v>0</v>
      </c>
      <c r="AZ279" s="124">
        <f>交易记录!O594</f>
        <v>0</v>
      </c>
      <c r="BA279" s="124">
        <f>交易记录!O625</f>
        <v>0</v>
      </c>
      <c r="BB279" s="30">
        <f t="shared" si="139"/>
        <v>0</v>
      </c>
      <c r="BC279" s="121">
        <f>交易记录!O658</f>
        <v>0</v>
      </c>
      <c r="BD279" s="121">
        <f>交易记录!O689</f>
        <v>0</v>
      </c>
      <c r="BE279" s="30">
        <f t="shared" si="140"/>
        <v>0</v>
      </c>
      <c r="BF279" s="124">
        <f>交易记录!O722</f>
        <v>0</v>
      </c>
      <c r="BG279" s="124">
        <f>交易记录!O753</f>
        <v>0</v>
      </c>
      <c r="BH279" s="30">
        <f t="shared" si="141"/>
        <v>0</v>
      </c>
      <c r="BI279" s="121">
        <f>交易记录!O786</f>
        <v>0</v>
      </c>
      <c r="BJ279" s="121">
        <f>交易记录!O817</f>
        <v>0</v>
      </c>
      <c r="BK279" s="30">
        <f t="shared" si="142"/>
        <v>0</v>
      </c>
      <c r="BL279" s="124">
        <f>交易记录!O850</f>
        <v>0</v>
      </c>
      <c r="BM279" s="124">
        <f>交易记录!O881</f>
        <v>0</v>
      </c>
      <c r="BN279" s="30">
        <f t="shared" si="143"/>
        <v>0</v>
      </c>
      <c r="BO279" s="121">
        <f>交易记录!O914</f>
        <v>0</v>
      </c>
      <c r="BP279" s="121">
        <f>交易记录!O945</f>
        <v>0</v>
      </c>
      <c r="BQ279" s="30">
        <f t="shared" si="144"/>
        <v>0</v>
      </c>
    </row>
    <row r="280" spans="1:69" ht="15">
      <c r="A280" s="125">
        <f>'维护-日期'!A$14</f>
        <v>46277</v>
      </c>
      <c r="B280" s="7" t="s">
        <v>20</v>
      </c>
      <c r="C280" s="144">
        <f t="shared" si="145"/>
        <v>20.777000000000001</v>
      </c>
      <c r="D280" s="144">
        <f>ROUND(INDEX(持仓数据!$C$3:$AG$26,MATCH('计算过程-数据汇总'!B280,持仓数据!$B$3:$B$26,0),MATCH('计算过程-数据汇总'!A280,'维护-日期'!$B$2:$AF$2,0)),3)</f>
        <v>20.777000000000001</v>
      </c>
      <c r="E280" s="98">
        <f t="shared" si="146"/>
        <v>20.777000000000001</v>
      </c>
      <c r="F280" s="22">
        <f>持仓数据!N86</f>
        <v>0.13</v>
      </c>
      <c r="G280" s="97">
        <v>372</v>
      </c>
      <c r="H280" s="97">
        <v>372</v>
      </c>
      <c r="I280" s="64">
        <v>0</v>
      </c>
      <c r="J280" s="64">
        <v>0</v>
      </c>
      <c r="K280" s="21">
        <f>IF(持仓数据!N119="",0,持仓数据!N119)</f>
        <v>372</v>
      </c>
      <c r="L280" s="21">
        <f t="shared" si="147"/>
        <v>0</v>
      </c>
      <c r="M280" s="28">
        <f t="shared" si="131"/>
        <v>7729.0440000000008</v>
      </c>
      <c r="N280" s="28">
        <f t="shared" si="132"/>
        <v>0</v>
      </c>
      <c r="O280" s="28">
        <f t="shared" si="133"/>
        <v>0</v>
      </c>
      <c r="P280" s="28">
        <f t="shared" si="134"/>
        <v>0</v>
      </c>
      <c r="Q280" s="28">
        <f t="shared" si="148"/>
        <v>0</v>
      </c>
      <c r="R280" s="28">
        <f t="shared" si="135"/>
        <v>7729.0440000000008</v>
      </c>
      <c r="S280" s="28">
        <f t="shared" si="149"/>
        <v>0</v>
      </c>
      <c r="T280" s="28">
        <f t="shared" si="150"/>
        <v>0</v>
      </c>
      <c r="U280" s="28">
        <f t="shared" si="153"/>
        <v>0</v>
      </c>
      <c r="V280" s="28">
        <f t="shared" si="151"/>
        <v>0</v>
      </c>
      <c r="W280" s="118"/>
      <c r="X280" s="143">
        <f t="shared" si="152"/>
        <v>24.802</v>
      </c>
      <c r="Y280" s="121">
        <f>交易记录!O19</f>
        <v>0.13</v>
      </c>
      <c r="Z280" s="121">
        <f>交易记录!O50</f>
        <v>372</v>
      </c>
      <c r="AA280" s="30">
        <f t="shared" si="136"/>
        <v>0</v>
      </c>
      <c r="AB280" s="124">
        <f>交易记录!O83</f>
        <v>0</v>
      </c>
      <c r="AC280" s="124">
        <f>交易记录!O114</f>
        <v>0</v>
      </c>
      <c r="AD280" s="30">
        <f t="shared" si="125"/>
        <v>0</v>
      </c>
      <c r="AE280" s="121">
        <f>交易记录!O147</f>
        <v>0</v>
      </c>
      <c r="AF280" s="121">
        <f>交易记录!O178</f>
        <v>0</v>
      </c>
      <c r="AG280" s="30">
        <f t="shared" si="126"/>
        <v>0</v>
      </c>
      <c r="AH280" s="124">
        <f>交易记录!O211</f>
        <v>0</v>
      </c>
      <c r="AI280" s="124">
        <f>交易记录!O242</f>
        <v>0</v>
      </c>
      <c r="AJ280" s="30">
        <f t="shared" si="127"/>
        <v>0</v>
      </c>
      <c r="AK280" s="121">
        <f>交易记录!O275</f>
        <v>0</v>
      </c>
      <c r="AL280" s="121">
        <f>交易记录!O306</f>
        <v>0</v>
      </c>
      <c r="AM280" s="30">
        <f t="shared" si="128"/>
        <v>0</v>
      </c>
      <c r="AN280" s="124">
        <f>交易记录!O339</f>
        <v>0</v>
      </c>
      <c r="AO280" s="124">
        <f>交易记录!O370</f>
        <v>0</v>
      </c>
      <c r="AP280" s="30">
        <f t="shared" si="129"/>
        <v>0</v>
      </c>
      <c r="AQ280" s="121">
        <f>交易记录!O403</f>
        <v>0</v>
      </c>
      <c r="AR280" s="121">
        <f>交易记录!O434</f>
        <v>0</v>
      </c>
      <c r="AS280" s="30">
        <f t="shared" si="130"/>
        <v>0</v>
      </c>
      <c r="AT280" s="124">
        <f>交易记录!O467</f>
        <v>0</v>
      </c>
      <c r="AU280" s="124">
        <f>交易记录!O498</f>
        <v>0</v>
      </c>
      <c r="AV280" s="30">
        <f t="shared" si="137"/>
        <v>0</v>
      </c>
      <c r="AW280" s="121">
        <f>交易记录!O531</f>
        <v>0</v>
      </c>
      <c r="AX280" s="121">
        <f>交易记录!O562</f>
        <v>0</v>
      </c>
      <c r="AY280" s="30">
        <f t="shared" si="138"/>
        <v>0</v>
      </c>
      <c r="AZ280" s="124">
        <f>交易记录!O595</f>
        <v>0</v>
      </c>
      <c r="BA280" s="124">
        <f>交易记录!O626</f>
        <v>0</v>
      </c>
      <c r="BB280" s="30">
        <f t="shared" si="139"/>
        <v>0</v>
      </c>
      <c r="BC280" s="121">
        <f>交易记录!O659</f>
        <v>0</v>
      </c>
      <c r="BD280" s="121">
        <f>交易记录!O690</f>
        <v>0</v>
      </c>
      <c r="BE280" s="30">
        <f t="shared" si="140"/>
        <v>0</v>
      </c>
      <c r="BF280" s="124">
        <f>交易记录!O723</f>
        <v>0</v>
      </c>
      <c r="BG280" s="124">
        <f>交易记录!O754</f>
        <v>0</v>
      </c>
      <c r="BH280" s="30">
        <f t="shared" si="141"/>
        <v>0</v>
      </c>
      <c r="BI280" s="121">
        <f>交易记录!O787</f>
        <v>0</v>
      </c>
      <c r="BJ280" s="121">
        <f>交易记录!O818</f>
        <v>0</v>
      </c>
      <c r="BK280" s="30">
        <f t="shared" si="142"/>
        <v>0</v>
      </c>
      <c r="BL280" s="124">
        <f>交易记录!O851</f>
        <v>0</v>
      </c>
      <c r="BM280" s="124">
        <f>交易记录!O882</f>
        <v>0</v>
      </c>
      <c r="BN280" s="30">
        <f t="shared" si="143"/>
        <v>0</v>
      </c>
      <c r="BO280" s="121">
        <f>交易记录!O915</f>
        <v>0</v>
      </c>
      <c r="BP280" s="121">
        <f>交易记录!O946</f>
        <v>0</v>
      </c>
      <c r="BQ280" s="30">
        <f t="shared" si="144"/>
        <v>0</v>
      </c>
    </row>
    <row r="281" spans="1:69" ht="15">
      <c r="A281" s="125">
        <f>'维护-日期'!A$14</f>
        <v>46277</v>
      </c>
      <c r="B281" s="7" t="s">
        <v>21</v>
      </c>
      <c r="C281" s="144">
        <f t="shared" si="145"/>
        <v>20.858000000000001</v>
      </c>
      <c r="D281" s="144">
        <f>ROUND(INDEX(持仓数据!$C$3:$AG$26,MATCH('计算过程-数据汇总'!B281,持仓数据!$B$3:$B$26,0),MATCH('计算过程-数据汇总'!A281,'维护-日期'!$B$2:$AF$2,0)),3)</f>
        <v>20.858000000000001</v>
      </c>
      <c r="E281" s="98">
        <f t="shared" si="146"/>
        <v>20.858000000000001</v>
      </c>
      <c r="F281" s="22">
        <f>持仓数据!N87</f>
        <v>0.13</v>
      </c>
      <c r="G281" s="97">
        <v>372</v>
      </c>
      <c r="H281" s="97">
        <v>372</v>
      </c>
      <c r="I281" s="64">
        <v>0</v>
      </c>
      <c r="J281" s="64">
        <v>0</v>
      </c>
      <c r="K281" s="21">
        <f>IF(持仓数据!N120="",0,持仓数据!N120)</f>
        <v>372</v>
      </c>
      <c r="L281" s="21">
        <f t="shared" si="147"/>
        <v>0</v>
      </c>
      <c r="M281" s="28">
        <f t="shared" si="131"/>
        <v>7759.1760000000004</v>
      </c>
      <c r="N281" s="28">
        <f t="shared" si="132"/>
        <v>0</v>
      </c>
      <c r="O281" s="28">
        <f t="shared" si="133"/>
        <v>0</v>
      </c>
      <c r="P281" s="28">
        <f t="shared" si="134"/>
        <v>0</v>
      </c>
      <c r="Q281" s="28">
        <f t="shared" si="148"/>
        <v>0</v>
      </c>
      <c r="R281" s="28">
        <f t="shared" si="135"/>
        <v>7759.1760000000004</v>
      </c>
      <c r="S281" s="28">
        <f t="shared" si="149"/>
        <v>0</v>
      </c>
      <c r="T281" s="28">
        <f t="shared" si="150"/>
        <v>0</v>
      </c>
      <c r="U281" s="28">
        <f t="shared" si="153"/>
        <v>0</v>
      </c>
      <c r="V281" s="28">
        <f t="shared" si="151"/>
        <v>0</v>
      </c>
      <c r="W281" s="118"/>
      <c r="X281" s="143">
        <f t="shared" si="152"/>
        <v>24.9</v>
      </c>
      <c r="Y281" s="121">
        <f>交易记录!O20</f>
        <v>0.13</v>
      </c>
      <c r="Z281" s="121">
        <f>交易记录!O51</f>
        <v>372</v>
      </c>
      <c r="AA281" s="30">
        <f t="shared" si="136"/>
        <v>0</v>
      </c>
      <c r="AB281" s="124">
        <f>交易记录!O84</f>
        <v>0</v>
      </c>
      <c r="AC281" s="124">
        <f>交易记录!O115</f>
        <v>0</v>
      </c>
      <c r="AD281" s="30">
        <f t="shared" si="125"/>
        <v>0</v>
      </c>
      <c r="AE281" s="121">
        <f>交易记录!O148</f>
        <v>0</v>
      </c>
      <c r="AF281" s="121">
        <f>交易记录!O179</f>
        <v>0</v>
      </c>
      <c r="AG281" s="30">
        <f t="shared" si="126"/>
        <v>0</v>
      </c>
      <c r="AH281" s="124">
        <f>交易记录!O212</f>
        <v>0</v>
      </c>
      <c r="AI281" s="124">
        <f>交易记录!O243</f>
        <v>0</v>
      </c>
      <c r="AJ281" s="30">
        <f t="shared" si="127"/>
        <v>0</v>
      </c>
      <c r="AK281" s="121">
        <f>交易记录!O276</f>
        <v>0</v>
      </c>
      <c r="AL281" s="121">
        <f>交易记录!O307</f>
        <v>0</v>
      </c>
      <c r="AM281" s="30">
        <f t="shared" si="128"/>
        <v>0</v>
      </c>
      <c r="AN281" s="124">
        <f>交易记录!O340</f>
        <v>0</v>
      </c>
      <c r="AO281" s="124">
        <f>交易记录!O371</f>
        <v>0</v>
      </c>
      <c r="AP281" s="30">
        <f t="shared" si="129"/>
        <v>0</v>
      </c>
      <c r="AQ281" s="121">
        <f>交易记录!O404</f>
        <v>0</v>
      </c>
      <c r="AR281" s="121">
        <f>交易记录!O435</f>
        <v>0</v>
      </c>
      <c r="AS281" s="30">
        <f t="shared" si="130"/>
        <v>0</v>
      </c>
      <c r="AT281" s="124">
        <f>交易记录!O468</f>
        <v>0</v>
      </c>
      <c r="AU281" s="124">
        <f>交易记录!O499</f>
        <v>0</v>
      </c>
      <c r="AV281" s="30">
        <f t="shared" si="137"/>
        <v>0</v>
      </c>
      <c r="AW281" s="121">
        <f>交易记录!O532</f>
        <v>0</v>
      </c>
      <c r="AX281" s="121">
        <f>交易记录!O563</f>
        <v>0</v>
      </c>
      <c r="AY281" s="30">
        <f t="shared" si="138"/>
        <v>0</v>
      </c>
      <c r="AZ281" s="124">
        <f>交易记录!O596</f>
        <v>0</v>
      </c>
      <c r="BA281" s="124">
        <f>交易记录!O627</f>
        <v>0</v>
      </c>
      <c r="BB281" s="30">
        <f t="shared" si="139"/>
        <v>0</v>
      </c>
      <c r="BC281" s="121">
        <f>交易记录!O660</f>
        <v>0</v>
      </c>
      <c r="BD281" s="121">
        <f>交易记录!O691</f>
        <v>0</v>
      </c>
      <c r="BE281" s="30">
        <f t="shared" si="140"/>
        <v>0</v>
      </c>
      <c r="BF281" s="124">
        <f>交易记录!O724</f>
        <v>0</v>
      </c>
      <c r="BG281" s="124">
        <f>交易记录!O755</f>
        <v>0</v>
      </c>
      <c r="BH281" s="30">
        <f t="shared" si="141"/>
        <v>0</v>
      </c>
      <c r="BI281" s="121">
        <f>交易记录!O788</f>
        <v>0</v>
      </c>
      <c r="BJ281" s="121">
        <f>交易记录!O819</f>
        <v>0</v>
      </c>
      <c r="BK281" s="30">
        <f t="shared" si="142"/>
        <v>0</v>
      </c>
      <c r="BL281" s="124">
        <f>交易记录!O852</f>
        <v>0</v>
      </c>
      <c r="BM281" s="124">
        <f>交易记录!O883</f>
        <v>0</v>
      </c>
      <c r="BN281" s="30">
        <f t="shared" si="143"/>
        <v>0</v>
      </c>
      <c r="BO281" s="121">
        <f>交易记录!O916</f>
        <v>0</v>
      </c>
      <c r="BP281" s="121">
        <f>交易记录!O947</f>
        <v>0</v>
      </c>
      <c r="BQ281" s="30">
        <f t="shared" si="144"/>
        <v>0</v>
      </c>
    </row>
    <row r="282" spans="1:69" ht="15">
      <c r="A282" s="125">
        <f>'维护-日期'!A$14</f>
        <v>46277</v>
      </c>
      <c r="B282" s="7" t="s">
        <v>22</v>
      </c>
      <c r="C282" s="144">
        <f t="shared" si="145"/>
        <v>21.905999999999999</v>
      </c>
      <c r="D282" s="144">
        <f>ROUND(INDEX(持仓数据!$C$3:$AG$26,MATCH('计算过程-数据汇总'!B282,持仓数据!$B$3:$B$26,0),MATCH('计算过程-数据汇总'!A282,'维护-日期'!$B$2:$AF$2,0)),3)</f>
        <v>21.905999999999999</v>
      </c>
      <c r="E282" s="98">
        <f t="shared" si="146"/>
        <v>21.905999999999999</v>
      </c>
      <c r="F282" s="22">
        <f>持仓数据!N88</f>
        <v>0.10200000000000001</v>
      </c>
      <c r="G282" s="97">
        <v>372</v>
      </c>
      <c r="H282" s="97">
        <v>372</v>
      </c>
      <c r="I282" s="64">
        <v>0</v>
      </c>
      <c r="J282" s="64">
        <v>0</v>
      </c>
      <c r="K282" s="21">
        <f>IF(持仓数据!N121="",0,持仓数据!N121)</f>
        <v>372</v>
      </c>
      <c r="L282" s="21">
        <f t="shared" si="147"/>
        <v>0</v>
      </c>
      <c r="M282" s="28">
        <f t="shared" si="131"/>
        <v>8149.0319999999992</v>
      </c>
      <c r="N282" s="28">
        <f t="shared" si="132"/>
        <v>0</v>
      </c>
      <c r="O282" s="28">
        <f t="shared" si="133"/>
        <v>0</v>
      </c>
      <c r="P282" s="28">
        <f t="shared" si="134"/>
        <v>0</v>
      </c>
      <c r="Q282" s="28">
        <f t="shared" si="148"/>
        <v>0</v>
      </c>
      <c r="R282" s="28">
        <f t="shared" si="135"/>
        <v>8149.0319999999992</v>
      </c>
      <c r="S282" s="28">
        <f t="shared" si="149"/>
        <v>0</v>
      </c>
      <c r="T282" s="28">
        <f t="shared" si="150"/>
        <v>0</v>
      </c>
      <c r="U282" s="28">
        <f t="shared" si="153"/>
        <v>0</v>
      </c>
      <c r="V282" s="28">
        <f t="shared" si="151"/>
        <v>0</v>
      </c>
      <c r="W282" s="118"/>
      <c r="X282" s="143">
        <f t="shared" si="152"/>
        <v>26.184999999999999</v>
      </c>
      <c r="Y282" s="121">
        <f>交易记录!O21</f>
        <v>0.10200000000000001</v>
      </c>
      <c r="Z282" s="121">
        <f>交易记录!O52</f>
        <v>372</v>
      </c>
      <c r="AA282" s="30">
        <f t="shared" si="136"/>
        <v>0</v>
      </c>
      <c r="AB282" s="124">
        <f>交易记录!O85</f>
        <v>0</v>
      </c>
      <c r="AC282" s="124">
        <f>交易记录!O116</f>
        <v>0</v>
      </c>
      <c r="AD282" s="30">
        <f t="shared" si="125"/>
        <v>0</v>
      </c>
      <c r="AE282" s="121">
        <f>交易记录!O149</f>
        <v>0</v>
      </c>
      <c r="AF282" s="121">
        <f>交易记录!O180</f>
        <v>0</v>
      </c>
      <c r="AG282" s="30">
        <f t="shared" si="126"/>
        <v>0</v>
      </c>
      <c r="AH282" s="124">
        <f>交易记录!O213</f>
        <v>0</v>
      </c>
      <c r="AI282" s="124">
        <f>交易记录!O244</f>
        <v>0</v>
      </c>
      <c r="AJ282" s="30">
        <f t="shared" si="127"/>
        <v>0</v>
      </c>
      <c r="AK282" s="121">
        <f>交易记录!O277</f>
        <v>0</v>
      </c>
      <c r="AL282" s="121">
        <f>交易记录!O308</f>
        <v>0</v>
      </c>
      <c r="AM282" s="30">
        <f t="shared" si="128"/>
        <v>0</v>
      </c>
      <c r="AN282" s="124">
        <f>交易记录!O341</f>
        <v>0</v>
      </c>
      <c r="AO282" s="124">
        <f>交易记录!O372</f>
        <v>0</v>
      </c>
      <c r="AP282" s="30">
        <f t="shared" si="129"/>
        <v>0</v>
      </c>
      <c r="AQ282" s="121">
        <f>交易记录!O405</f>
        <v>0</v>
      </c>
      <c r="AR282" s="121">
        <f>交易记录!O436</f>
        <v>0</v>
      </c>
      <c r="AS282" s="30">
        <f t="shared" si="130"/>
        <v>0</v>
      </c>
      <c r="AT282" s="124">
        <f>交易记录!O469</f>
        <v>0</v>
      </c>
      <c r="AU282" s="124">
        <f>交易记录!O500</f>
        <v>0</v>
      </c>
      <c r="AV282" s="30">
        <f t="shared" si="137"/>
        <v>0</v>
      </c>
      <c r="AW282" s="121">
        <f>交易记录!O533</f>
        <v>0</v>
      </c>
      <c r="AX282" s="121">
        <f>交易记录!O564</f>
        <v>0</v>
      </c>
      <c r="AY282" s="30">
        <f t="shared" si="138"/>
        <v>0</v>
      </c>
      <c r="AZ282" s="124">
        <f>交易记录!O597</f>
        <v>0</v>
      </c>
      <c r="BA282" s="124">
        <f>交易记录!O628</f>
        <v>0</v>
      </c>
      <c r="BB282" s="30">
        <f t="shared" si="139"/>
        <v>0</v>
      </c>
      <c r="BC282" s="121">
        <f>交易记录!O661</f>
        <v>0</v>
      </c>
      <c r="BD282" s="121">
        <f>交易记录!O692</f>
        <v>0</v>
      </c>
      <c r="BE282" s="30">
        <f t="shared" si="140"/>
        <v>0</v>
      </c>
      <c r="BF282" s="124">
        <f>交易记录!O725</f>
        <v>0</v>
      </c>
      <c r="BG282" s="124">
        <f>交易记录!O756</f>
        <v>0</v>
      </c>
      <c r="BH282" s="30">
        <f t="shared" si="141"/>
        <v>0</v>
      </c>
      <c r="BI282" s="121">
        <f>交易记录!O789</f>
        <v>0</v>
      </c>
      <c r="BJ282" s="121">
        <f>交易记录!O820</f>
        <v>0</v>
      </c>
      <c r="BK282" s="30">
        <f t="shared" si="142"/>
        <v>0</v>
      </c>
      <c r="BL282" s="124">
        <f>交易记录!O853</f>
        <v>0</v>
      </c>
      <c r="BM282" s="124">
        <f>交易记录!O884</f>
        <v>0</v>
      </c>
      <c r="BN282" s="30">
        <f t="shared" si="143"/>
        <v>0</v>
      </c>
      <c r="BO282" s="121">
        <f>交易记录!O917</f>
        <v>0</v>
      </c>
      <c r="BP282" s="121">
        <f>交易记录!O948</f>
        <v>0</v>
      </c>
      <c r="BQ282" s="30">
        <f t="shared" si="144"/>
        <v>0</v>
      </c>
    </row>
    <row r="283" spans="1:69" ht="15">
      <c r="A283" s="125">
        <f>'维护-日期'!A$14</f>
        <v>46277</v>
      </c>
      <c r="B283" s="7" t="s">
        <v>23</v>
      </c>
      <c r="C283" s="144">
        <f t="shared" si="145"/>
        <v>22.69</v>
      </c>
      <c r="D283" s="144">
        <f>ROUND(INDEX(持仓数据!$C$3:$AG$26,MATCH('计算过程-数据汇总'!B283,持仓数据!$B$3:$B$26,0),MATCH('计算过程-数据汇总'!A283,'维护-日期'!$B$2:$AF$2,0)),3)</f>
        <v>22.69</v>
      </c>
      <c r="E283" s="98">
        <f t="shared" si="146"/>
        <v>22.69</v>
      </c>
      <c r="F283" s="22">
        <f>持仓数据!N89</f>
        <v>0.127</v>
      </c>
      <c r="G283" s="97">
        <v>372</v>
      </c>
      <c r="H283" s="97">
        <v>372</v>
      </c>
      <c r="I283" s="64">
        <v>0</v>
      </c>
      <c r="J283" s="64">
        <v>0</v>
      </c>
      <c r="K283" s="21">
        <f>IF(持仓数据!N122="",0,持仓数据!N122)</f>
        <v>372</v>
      </c>
      <c r="L283" s="21">
        <f t="shared" si="147"/>
        <v>0</v>
      </c>
      <c r="M283" s="28">
        <f t="shared" si="131"/>
        <v>8440.68</v>
      </c>
      <c r="N283" s="28">
        <f t="shared" si="132"/>
        <v>0</v>
      </c>
      <c r="O283" s="28">
        <f t="shared" si="133"/>
        <v>0</v>
      </c>
      <c r="P283" s="28">
        <f t="shared" si="134"/>
        <v>0</v>
      </c>
      <c r="Q283" s="28">
        <f t="shared" si="148"/>
        <v>0</v>
      </c>
      <c r="R283" s="28">
        <f t="shared" si="135"/>
        <v>8440.68</v>
      </c>
      <c r="S283" s="28">
        <f t="shared" si="149"/>
        <v>0</v>
      </c>
      <c r="T283" s="28">
        <f t="shared" si="150"/>
        <v>0</v>
      </c>
      <c r="U283" s="28">
        <f t="shared" si="153"/>
        <v>0</v>
      </c>
      <c r="V283" s="28">
        <f t="shared" si="151"/>
        <v>0</v>
      </c>
      <c r="W283" s="118"/>
      <c r="X283" s="143">
        <f t="shared" si="152"/>
        <v>27.100999999999999</v>
      </c>
      <c r="Y283" s="121">
        <f>交易记录!O22</f>
        <v>0.127</v>
      </c>
      <c r="Z283" s="121">
        <f>交易记录!O53</f>
        <v>372</v>
      </c>
      <c r="AA283" s="30">
        <f t="shared" si="136"/>
        <v>0</v>
      </c>
      <c r="AB283" s="124">
        <f>交易记录!O86</f>
        <v>0</v>
      </c>
      <c r="AC283" s="124">
        <f>交易记录!O117</f>
        <v>0</v>
      </c>
      <c r="AD283" s="30">
        <f t="shared" ref="AD283:AD346" si="154">IFERROR((AC283-$G283)*AB283,0)</f>
        <v>0</v>
      </c>
      <c r="AE283" s="121">
        <f>交易记录!O150</f>
        <v>0</v>
      </c>
      <c r="AF283" s="121">
        <f>交易记录!O181</f>
        <v>0</v>
      </c>
      <c r="AG283" s="30">
        <f t="shared" ref="AG283:AG346" si="155">IFERROR((AF283-$G283)*AE283,0)</f>
        <v>0</v>
      </c>
      <c r="AH283" s="124">
        <f>交易记录!O214</f>
        <v>0</v>
      </c>
      <c r="AI283" s="124">
        <f>交易记录!O245</f>
        <v>0</v>
      </c>
      <c r="AJ283" s="30">
        <f t="shared" ref="AJ283:AJ346" si="156">IFERROR((AI283-$G283)*AH283,0)</f>
        <v>0</v>
      </c>
      <c r="AK283" s="121">
        <f>交易记录!O278</f>
        <v>0</v>
      </c>
      <c r="AL283" s="121">
        <f>交易记录!O309</f>
        <v>0</v>
      </c>
      <c r="AM283" s="30">
        <f t="shared" ref="AM283:AM346" si="157">IFERROR((AL283-$G283)*AK283,0)</f>
        <v>0</v>
      </c>
      <c r="AN283" s="124">
        <f>交易记录!O342</f>
        <v>0</v>
      </c>
      <c r="AO283" s="124">
        <f>交易记录!O373</f>
        <v>0</v>
      </c>
      <c r="AP283" s="30">
        <f t="shared" ref="AP283:AP346" si="158">IFERROR((AO283-$G283)*AN283,0)</f>
        <v>0</v>
      </c>
      <c r="AQ283" s="121">
        <f>交易记录!O406</f>
        <v>0</v>
      </c>
      <c r="AR283" s="121">
        <f>交易记录!O437</f>
        <v>0</v>
      </c>
      <c r="AS283" s="30">
        <f t="shared" ref="AS283:AS346" si="159">IFERROR((AR283-$G283)*AQ283,0)</f>
        <v>0</v>
      </c>
      <c r="AT283" s="124">
        <f>交易记录!O470</f>
        <v>0</v>
      </c>
      <c r="AU283" s="124">
        <f>交易记录!O501</f>
        <v>0</v>
      </c>
      <c r="AV283" s="30">
        <f t="shared" si="137"/>
        <v>0</v>
      </c>
      <c r="AW283" s="121">
        <f>交易记录!O534</f>
        <v>0</v>
      </c>
      <c r="AX283" s="121">
        <f>交易记录!O565</f>
        <v>0</v>
      </c>
      <c r="AY283" s="30">
        <f t="shared" si="138"/>
        <v>0</v>
      </c>
      <c r="AZ283" s="124">
        <f>交易记录!O598</f>
        <v>0</v>
      </c>
      <c r="BA283" s="124">
        <f>交易记录!O629</f>
        <v>0</v>
      </c>
      <c r="BB283" s="30">
        <f t="shared" si="139"/>
        <v>0</v>
      </c>
      <c r="BC283" s="121">
        <f>交易记录!O662</f>
        <v>0</v>
      </c>
      <c r="BD283" s="121">
        <f>交易记录!O693</f>
        <v>0</v>
      </c>
      <c r="BE283" s="30">
        <f t="shared" si="140"/>
        <v>0</v>
      </c>
      <c r="BF283" s="124">
        <f>交易记录!O726</f>
        <v>0</v>
      </c>
      <c r="BG283" s="124">
        <f>交易记录!O757</f>
        <v>0</v>
      </c>
      <c r="BH283" s="30">
        <f t="shared" si="141"/>
        <v>0</v>
      </c>
      <c r="BI283" s="121">
        <f>交易记录!O790</f>
        <v>0</v>
      </c>
      <c r="BJ283" s="121">
        <f>交易记录!O821</f>
        <v>0</v>
      </c>
      <c r="BK283" s="30">
        <f t="shared" si="142"/>
        <v>0</v>
      </c>
      <c r="BL283" s="124">
        <f>交易记录!O854</f>
        <v>0</v>
      </c>
      <c r="BM283" s="124">
        <f>交易记录!O885</f>
        <v>0</v>
      </c>
      <c r="BN283" s="30">
        <f t="shared" si="143"/>
        <v>0</v>
      </c>
      <c r="BO283" s="121">
        <f>交易记录!O918</f>
        <v>0</v>
      </c>
      <c r="BP283" s="121">
        <f>交易记录!O949</f>
        <v>0</v>
      </c>
      <c r="BQ283" s="30">
        <f t="shared" si="144"/>
        <v>0</v>
      </c>
    </row>
    <row r="284" spans="1:69" ht="15">
      <c r="A284" s="125">
        <f>'维护-日期'!A$14</f>
        <v>46277</v>
      </c>
      <c r="B284" s="7" t="s">
        <v>24</v>
      </c>
      <c r="C284" s="144">
        <f t="shared" si="145"/>
        <v>23.346</v>
      </c>
      <c r="D284" s="144">
        <f>ROUND(INDEX(持仓数据!$C$3:$AG$26,MATCH('计算过程-数据汇总'!B284,持仓数据!$B$3:$B$26,0),MATCH('计算过程-数据汇总'!A284,'维护-日期'!$B$2:$AF$2,0)),3)</f>
        <v>23.346</v>
      </c>
      <c r="E284" s="98">
        <f t="shared" si="146"/>
        <v>23.346</v>
      </c>
      <c r="F284" s="22">
        <f>持仓数据!N90</f>
        <v>0.128</v>
      </c>
      <c r="G284" s="97">
        <v>372</v>
      </c>
      <c r="H284" s="97">
        <v>372</v>
      </c>
      <c r="I284" s="64">
        <v>0</v>
      </c>
      <c r="J284" s="64">
        <v>0</v>
      </c>
      <c r="K284" s="21">
        <f>IF(持仓数据!N123="",0,持仓数据!N123)</f>
        <v>372</v>
      </c>
      <c r="L284" s="21">
        <f t="shared" si="147"/>
        <v>0</v>
      </c>
      <c r="M284" s="28">
        <f t="shared" si="131"/>
        <v>8684.7119999999995</v>
      </c>
      <c r="N284" s="28">
        <f t="shared" si="132"/>
        <v>0</v>
      </c>
      <c r="O284" s="28">
        <f t="shared" si="133"/>
        <v>0</v>
      </c>
      <c r="P284" s="28">
        <f t="shared" si="134"/>
        <v>0</v>
      </c>
      <c r="Q284" s="28">
        <f t="shared" si="148"/>
        <v>0</v>
      </c>
      <c r="R284" s="28">
        <f t="shared" si="135"/>
        <v>8684.7119999999995</v>
      </c>
      <c r="S284" s="28">
        <f t="shared" si="149"/>
        <v>0</v>
      </c>
      <c r="T284" s="28">
        <f t="shared" si="150"/>
        <v>0</v>
      </c>
      <c r="U284" s="28">
        <f t="shared" si="153"/>
        <v>0</v>
      </c>
      <c r="V284" s="28">
        <f t="shared" si="151"/>
        <v>0</v>
      </c>
      <c r="W284" s="118"/>
      <c r="X284" s="143">
        <f t="shared" si="152"/>
        <v>27.887</v>
      </c>
      <c r="Y284" s="121">
        <f>交易记录!O23</f>
        <v>0.128</v>
      </c>
      <c r="Z284" s="121">
        <f>交易记录!O54</f>
        <v>372</v>
      </c>
      <c r="AA284" s="30">
        <f t="shared" si="136"/>
        <v>0</v>
      </c>
      <c r="AB284" s="124">
        <f>交易记录!O87</f>
        <v>0</v>
      </c>
      <c r="AC284" s="124">
        <f>交易记录!O118</f>
        <v>0</v>
      </c>
      <c r="AD284" s="30">
        <f t="shared" si="154"/>
        <v>0</v>
      </c>
      <c r="AE284" s="121">
        <f>交易记录!O151</f>
        <v>0</v>
      </c>
      <c r="AF284" s="121">
        <f>交易记录!O182</f>
        <v>0</v>
      </c>
      <c r="AG284" s="30">
        <f t="shared" si="155"/>
        <v>0</v>
      </c>
      <c r="AH284" s="124">
        <f>交易记录!O215</f>
        <v>0</v>
      </c>
      <c r="AI284" s="124">
        <f>交易记录!O246</f>
        <v>0</v>
      </c>
      <c r="AJ284" s="30">
        <f t="shared" si="156"/>
        <v>0</v>
      </c>
      <c r="AK284" s="121">
        <f>交易记录!O279</f>
        <v>0</v>
      </c>
      <c r="AL284" s="121">
        <f>交易记录!O310</f>
        <v>0</v>
      </c>
      <c r="AM284" s="30">
        <f t="shared" si="157"/>
        <v>0</v>
      </c>
      <c r="AN284" s="124">
        <f>交易记录!O343</f>
        <v>0</v>
      </c>
      <c r="AO284" s="124">
        <f>交易记录!O374</f>
        <v>0</v>
      </c>
      <c r="AP284" s="30">
        <f t="shared" si="158"/>
        <v>0</v>
      </c>
      <c r="AQ284" s="121">
        <f>交易记录!O407</f>
        <v>0</v>
      </c>
      <c r="AR284" s="121">
        <f>交易记录!O438</f>
        <v>0</v>
      </c>
      <c r="AS284" s="30">
        <f t="shared" si="159"/>
        <v>0</v>
      </c>
      <c r="AT284" s="124">
        <f>交易记录!O471</f>
        <v>0</v>
      </c>
      <c r="AU284" s="124">
        <f>交易记录!O502</f>
        <v>0</v>
      </c>
      <c r="AV284" s="30">
        <f t="shared" si="137"/>
        <v>0</v>
      </c>
      <c r="AW284" s="121">
        <f>交易记录!O535</f>
        <v>0</v>
      </c>
      <c r="AX284" s="121">
        <f>交易记录!O566</f>
        <v>0</v>
      </c>
      <c r="AY284" s="30">
        <f t="shared" si="138"/>
        <v>0</v>
      </c>
      <c r="AZ284" s="124">
        <f>交易记录!O599</f>
        <v>0</v>
      </c>
      <c r="BA284" s="124">
        <f>交易记录!O630</f>
        <v>0</v>
      </c>
      <c r="BB284" s="30">
        <f t="shared" si="139"/>
        <v>0</v>
      </c>
      <c r="BC284" s="121">
        <f>交易记录!O663</f>
        <v>0</v>
      </c>
      <c r="BD284" s="121">
        <f>交易记录!O694</f>
        <v>0</v>
      </c>
      <c r="BE284" s="30">
        <f t="shared" si="140"/>
        <v>0</v>
      </c>
      <c r="BF284" s="124">
        <f>交易记录!O727</f>
        <v>0</v>
      </c>
      <c r="BG284" s="124">
        <f>交易记录!O758</f>
        <v>0</v>
      </c>
      <c r="BH284" s="30">
        <f t="shared" si="141"/>
        <v>0</v>
      </c>
      <c r="BI284" s="121">
        <f>交易记录!O791</f>
        <v>0</v>
      </c>
      <c r="BJ284" s="121">
        <f>交易记录!O822</f>
        <v>0</v>
      </c>
      <c r="BK284" s="30">
        <f t="shared" si="142"/>
        <v>0</v>
      </c>
      <c r="BL284" s="124">
        <f>交易记录!O855</f>
        <v>0</v>
      </c>
      <c r="BM284" s="124">
        <f>交易记录!O886</f>
        <v>0</v>
      </c>
      <c r="BN284" s="30">
        <f t="shared" si="143"/>
        <v>0</v>
      </c>
      <c r="BO284" s="121">
        <f>交易记录!O919</f>
        <v>0</v>
      </c>
      <c r="BP284" s="121">
        <f>交易记录!O950</f>
        <v>0</v>
      </c>
      <c r="BQ284" s="30">
        <f t="shared" si="144"/>
        <v>0</v>
      </c>
    </row>
    <row r="285" spans="1:69" ht="15">
      <c r="A285" s="125">
        <f>'维护-日期'!A$14</f>
        <v>46277</v>
      </c>
      <c r="B285" s="7" t="s">
        <v>25</v>
      </c>
      <c r="C285" s="144">
        <f t="shared" si="145"/>
        <v>23.771999999999998</v>
      </c>
      <c r="D285" s="144">
        <f>ROUND(INDEX(持仓数据!$C$3:$AG$26,MATCH('计算过程-数据汇总'!B285,持仓数据!$B$3:$B$26,0),MATCH('计算过程-数据汇总'!A285,'维护-日期'!$B$2:$AF$2,0)),3)</f>
        <v>23.771999999999998</v>
      </c>
      <c r="E285" s="98">
        <f t="shared" si="146"/>
        <v>23.771999999999998</v>
      </c>
      <c r="F285" s="22">
        <f>持仓数据!N91</f>
        <v>0.22399999999999998</v>
      </c>
      <c r="G285" s="97">
        <v>372</v>
      </c>
      <c r="H285" s="97">
        <v>372</v>
      </c>
      <c r="I285" s="64">
        <v>0</v>
      </c>
      <c r="J285" s="64">
        <v>0</v>
      </c>
      <c r="K285" s="21">
        <f>IF(持仓数据!N124="",0,持仓数据!N124)</f>
        <v>372</v>
      </c>
      <c r="L285" s="21">
        <f t="shared" si="147"/>
        <v>0</v>
      </c>
      <c r="M285" s="28">
        <f t="shared" si="131"/>
        <v>8843.1839999999993</v>
      </c>
      <c r="N285" s="28">
        <f t="shared" si="132"/>
        <v>0</v>
      </c>
      <c r="O285" s="28">
        <f t="shared" si="133"/>
        <v>0</v>
      </c>
      <c r="P285" s="28">
        <f t="shared" si="134"/>
        <v>0</v>
      </c>
      <c r="Q285" s="28">
        <f t="shared" si="148"/>
        <v>0</v>
      </c>
      <c r="R285" s="28">
        <f t="shared" si="135"/>
        <v>8843.1839999999993</v>
      </c>
      <c r="S285" s="28">
        <f t="shared" si="149"/>
        <v>0</v>
      </c>
      <c r="T285" s="28">
        <f t="shared" si="150"/>
        <v>0</v>
      </c>
      <c r="U285" s="28">
        <f t="shared" si="153"/>
        <v>0</v>
      </c>
      <c r="V285" s="28">
        <f t="shared" si="151"/>
        <v>0</v>
      </c>
      <c r="W285" s="118"/>
      <c r="X285" s="143">
        <f t="shared" si="152"/>
        <v>28.302</v>
      </c>
      <c r="Y285" s="121">
        <f>交易记录!O24</f>
        <v>0.22399999999999998</v>
      </c>
      <c r="Z285" s="121">
        <f>交易记录!O55</f>
        <v>372</v>
      </c>
      <c r="AA285" s="30">
        <f t="shared" si="136"/>
        <v>0</v>
      </c>
      <c r="AB285" s="124">
        <f>交易记录!O88</f>
        <v>0</v>
      </c>
      <c r="AC285" s="124">
        <f>交易记录!O119</f>
        <v>0</v>
      </c>
      <c r="AD285" s="30">
        <f t="shared" si="154"/>
        <v>0</v>
      </c>
      <c r="AE285" s="121">
        <f>交易记录!O152</f>
        <v>0</v>
      </c>
      <c r="AF285" s="121">
        <f>交易记录!O183</f>
        <v>0</v>
      </c>
      <c r="AG285" s="30">
        <f t="shared" si="155"/>
        <v>0</v>
      </c>
      <c r="AH285" s="124">
        <f>交易记录!O216</f>
        <v>0</v>
      </c>
      <c r="AI285" s="124">
        <f>交易记录!O247</f>
        <v>0</v>
      </c>
      <c r="AJ285" s="30">
        <f t="shared" si="156"/>
        <v>0</v>
      </c>
      <c r="AK285" s="121">
        <f>交易记录!O280</f>
        <v>0</v>
      </c>
      <c r="AL285" s="121">
        <f>交易记录!O311</f>
        <v>0</v>
      </c>
      <c r="AM285" s="30">
        <f t="shared" si="157"/>
        <v>0</v>
      </c>
      <c r="AN285" s="124">
        <f>交易记录!O344</f>
        <v>0</v>
      </c>
      <c r="AO285" s="124">
        <f>交易记录!O375</f>
        <v>0</v>
      </c>
      <c r="AP285" s="30">
        <f t="shared" si="158"/>
        <v>0</v>
      </c>
      <c r="AQ285" s="121">
        <f>交易记录!O408</f>
        <v>0</v>
      </c>
      <c r="AR285" s="121">
        <f>交易记录!O439</f>
        <v>0</v>
      </c>
      <c r="AS285" s="30">
        <f t="shared" si="159"/>
        <v>0</v>
      </c>
      <c r="AT285" s="124">
        <f>交易记录!O472</f>
        <v>0</v>
      </c>
      <c r="AU285" s="124">
        <f>交易记录!O503</f>
        <v>0</v>
      </c>
      <c r="AV285" s="30">
        <f t="shared" si="137"/>
        <v>0</v>
      </c>
      <c r="AW285" s="121">
        <f>交易记录!O536</f>
        <v>0</v>
      </c>
      <c r="AX285" s="121">
        <f>交易记录!O567</f>
        <v>0</v>
      </c>
      <c r="AY285" s="30">
        <f t="shared" si="138"/>
        <v>0</v>
      </c>
      <c r="AZ285" s="124">
        <f>交易记录!O600</f>
        <v>0</v>
      </c>
      <c r="BA285" s="124">
        <f>交易记录!O631</f>
        <v>0</v>
      </c>
      <c r="BB285" s="30">
        <f t="shared" si="139"/>
        <v>0</v>
      </c>
      <c r="BC285" s="121">
        <f>交易记录!O664</f>
        <v>0</v>
      </c>
      <c r="BD285" s="121">
        <f>交易记录!O695</f>
        <v>0</v>
      </c>
      <c r="BE285" s="30">
        <f t="shared" si="140"/>
        <v>0</v>
      </c>
      <c r="BF285" s="124">
        <f>交易记录!O728</f>
        <v>0</v>
      </c>
      <c r="BG285" s="124">
        <f>交易记录!O759</f>
        <v>0</v>
      </c>
      <c r="BH285" s="30">
        <f t="shared" si="141"/>
        <v>0</v>
      </c>
      <c r="BI285" s="121">
        <f>交易记录!O792</f>
        <v>0</v>
      </c>
      <c r="BJ285" s="121">
        <f>交易记录!O823</f>
        <v>0</v>
      </c>
      <c r="BK285" s="30">
        <f t="shared" si="142"/>
        <v>0</v>
      </c>
      <c r="BL285" s="124">
        <f>交易记录!O856</f>
        <v>0</v>
      </c>
      <c r="BM285" s="124">
        <f>交易记录!O887</f>
        <v>0</v>
      </c>
      <c r="BN285" s="30">
        <f t="shared" si="143"/>
        <v>0</v>
      </c>
      <c r="BO285" s="121">
        <f>交易记录!O920</f>
        <v>0</v>
      </c>
      <c r="BP285" s="121">
        <f>交易记录!O951</f>
        <v>0</v>
      </c>
      <c r="BQ285" s="30">
        <f t="shared" si="144"/>
        <v>0</v>
      </c>
    </row>
    <row r="286" spans="1:69" ht="15">
      <c r="A286" s="125">
        <f>'维护-日期'!A$14</f>
        <v>46277</v>
      </c>
      <c r="B286" s="7" t="s">
        <v>26</v>
      </c>
      <c r="C286" s="144">
        <f t="shared" si="145"/>
        <v>23.515000000000001</v>
      </c>
      <c r="D286" s="144">
        <f>ROUND(INDEX(持仓数据!$C$3:$AG$26,MATCH('计算过程-数据汇总'!B286,持仓数据!$B$3:$B$26,0),MATCH('计算过程-数据汇总'!A286,'维护-日期'!$B$2:$AF$2,0)),3)</f>
        <v>23.515000000000001</v>
      </c>
      <c r="E286" s="98">
        <f t="shared" si="146"/>
        <v>23.515000000000001</v>
      </c>
      <c r="F286" s="22">
        <f>持仓数据!N92</f>
        <v>0.16399999999999998</v>
      </c>
      <c r="G286" s="97">
        <v>372</v>
      </c>
      <c r="H286" s="97">
        <v>372</v>
      </c>
      <c r="I286" s="64">
        <v>0</v>
      </c>
      <c r="J286" s="64">
        <v>0</v>
      </c>
      <c r="K286" s="21">
        <f>IF(持仓数据!N125="",0,持仓数据!N125)</f>
        <v>372</v>
      </c>
      <c r="L286" s="21">
        <f t="shared" si="147"/>
        <v>0</v>
      </c>
      <c r="M286" s="28">
        <f t="shared" si="131"/>
        <v>8747.58</v>
      </c>
      <c r="N286" s="28">
        <f t="shared" si="132"/>
        <v>0</v>
      </c>
      <c r="O286" s="28">
        <f t="shared" si="133"/>
        <v>0</v>
      </c>
      <c r="P286" s="28">
        <f t="shared" si="134"/>
        <v>0</v>
      </c>
      <c r="Q286" s="28">
        <f t="shared" si="148"/>
        <v>0</v>
      </c>
      <c r="R286" s="28">
        <f t="shared" si="135"/>
        <v>8747.58</v>
      </c>
      <c r="S286" s="28">
        <f t="shared" si="149"/>
        <v>0</v>
      </c>
      <c r="T286" s="28">
        <f t="shared" si="150"/>
        <v>0</v>
      </c>
      <c r="U286" s="28">
        <f t="shared" si="153"/>
        <v>0</v>
      </c>
      <c r="V286" s="28">
        <f t="shared" si="151"/>
        <v>0</v>
      </c>
      <c r="W286" s="118"/>
      <c r="X286" s="143">
        <f t="shared" si="152"/>
        <v>28.053999999999998</v>
      </c>
      <c r="Y286" s="121">
        <f>交易记录!O25</f>
        <v>0.16399999999999998</v>
      </c>
      <c r="Z286" s="121">
        <f>交易记录!O56</f>
        <v>372</v>
      </c>
      <c r="AA286" s="30">
        <f t="shared" si="136"/>
        <v>0</v>
      </c>
      <c r="AB286" s="124">
        <f>交易记录!O89</f>
        <v>0</v>
      </c>
      <c r="AC286" s="124">
        <f>交易记录!O120</f>
        <v>0</v>
      </c>
      <c r="AD286" s="30">
        <f t="shared" si="154"/>
        <v>0</v>
      </c>
      <c r="AE286" s="121">
        <f>交易记录!O153</f>
        <v>0</v>
      </c>
      <c r="AF286" s="121">
        <f>交易记录!O184</f>
        <v>0</v>
      </c>
      <c r="AG286" s="30">
        <f t="shared" si="155"/>
        <v>0</v>
      </c>
      <c r="AH286" s="124">
        <f>交易记录!O217</f>
        <v>0</v>
      </c>
      <c r="AI286" s="124">
        <f>交易记录!O248</f>
        <v>0</v>
      </c>
      <c r="AJ286" s="30">
        <f t="shared" si="156"/>
        <v>0</v>
      </c>
      <c r="AK286" s="121">
        <f>交易记录!O281</f>
        <v>0</v>
      </c>
      <c r="AL286" s="121">
        <f>交易记录!O312</f>
        <v>0</v>
      </c>
      <c r="AM286" s="30">
        <f t="shared" si="157"/>
        <v>0</v>
      </c>
      <c r="AN286" s="124">
        <f>交易记录!O345</f>
        <v>0</v>
      </c>
      <c r="AO286" s="124">
        <f>交易记录!O376</f>
        <v>0</v>
      </c>
      <c r="AP286" s="30">
        <f t="shared" si="158"/>
        <v>0</v>
      </c>
      <c r="AQ286" s="121">
        <f>交易记录!O409</f>
        <v>0</v>
      </c>
      <c r="AR286" s="121">
        <f>交易记录!O440</f>
        <v>0</v>
      </c>
      <c r="AS286" s="30">
        <f t="shared" si="159"/>
        <v>0</v>
      </c>
      <c r="AT286" s="124">
        <f>交易记录!O473</f>
        <v>0</v>
      </c>
      <c r="AU286" s="124">
        <f>交易记录!O504</f>
        <v>0</v>
      </c>
      <c r="AV286" s="30">
        <f t="shared" si="137"/>
        <v>0</v>
      </c>
      <c r="AW286" s="121">
        <f>交易记录!O537</f>
        <v>0</v>
      </c>
      <c r="AX286" s="121">
        <f>交易记录!O568</f>
        <v>0</v>
      </c>
      <c r="AY286" s="30">
        <f t="shared" si="138"/>
        <v>0</v>
      </c>
      <c r="AZ286" s="124">
        <f>交易记录!O601</f>
        <v>0</v>
      </c>
      <c r="BA286" s="124">
        <f>交易记录!O632</f>
        <v>0</v>
      </c>
      <c r="BB286" s="30">
        <f t="shared" si="139"/>
        <v>0</v>
      </c>
      <c r="BC286" s="121">
        <f>交易记录!O665</f>
        <v>0</v>
      </c>
      <c r="BD286" s="121">
        <f>交易记录!O696</f>
        <v>0</v>
      </c>
      <c r="BE286" s="30">
        <f t="shared" si="140"/>
        <v>0</v>
      </c>
      <c r="BF286" s="124">
        <f>交易记录!O729</f>
        <v>0</v>
      </c>
      <c r="BG286" s="124">
        <f>交易记录!O760</f>
        <v>0</v>
      </c>
      <c r="BH286" s="30">
        <f t="shared" si="141"/>
        <v>0</v>
      </c>
      <c r="BI286" s="121">
        <f>交易记录!O793</f>
        <v>0</v>
      </c>
      <c r="BJ286" s="121">
        <f>交易记录!O824</f>
        <v>0</v>
      </c>
      <c r="BK286" s="30">
        <f t="shared" si="142"/>
        <v>0</v>
      </c>
      <c r="BL286" s="124">
        <f>交易记录!O857</f>
        <v>0</v>
      </c>
      <c r="BM286" s="124">
        <f>交易记录!O888</f>
        <v>0</v>
      </c>
      <c r="BN286" s="30">
        <f t="shared" si="143"/>
        <v>0</v>
      </c>
      <c r="BO286" s="121">
        <f>交易记录!O921</f>
        <v>0</v>
      </c>
      <c r="BP286" s="121">
        <f>交易记录!O952</f>
        <v>0</v>
      </c>
      <c r="BQ286" s="30">
        <f t="shared" si="144"/>
        <v>0</v>
      </c>
    </row>
    <row r="287" spans="1:69" ht="15">
      <c r="A287" s="125">
        <f>'维护-日期'!A$14</f>
        <v>46277</v>
      </c>
      <c r="B287" s="7" t="s">
        <v>27</v>
      </c>
      <c r="C287" s="144">
        <f t="shared" si="145"/>
        <v>22.122</v>
      </c>
      <c r="D287" s="144">
        <f>ROUND(INDEX(持仓数据!$C$3:$AG$26,MATCH('计算过程-数据汇总'!B287,持仓数据!$B$3:$B$26,0),MATCH('计算过程-数据汇总'!A287,'维护-日期'!$B$2:$AF$2,0)),3)</f>
        <v>22.122</v>
      </c>
      <c r="E287" s="98">
        <f t="shared" si="146"/>
        <v>22.122</v>
      </c>
      <c r="F287" s="22">
        <f>持仓数据!N93</f>
        <v>0.15200000000000002</v>
      </c>
      <c r="G287" s="97">
        <v>372</v>
      </c>
      <c r="H287" s="97">
        <v>372</v>
      </c>
      <c r="I287" s="64">
        <v>0</v>
      </c>
      <c r="J287" s="64">
        <v>0</v>
      </c>
      <c r="K287" s="21">
        <f>IF(持仓数据!N126="",0,持仓数据!N126)</f>
        <v>372</v>
      </c>
      <c r="L287" s="21">
        <f t="shared" si="147"/>
        <v>0</v>
      </c>
      <c r="M287" s="28">
        <f t="shared" si="131"/>
        <v>8229.384</v>
      </c>
      <c r="N287" s="28">
        <f t="shared" si="132"/>
        <v>0</v>
      </c>
      <c r="O287" s="28">
        <f t="shared" si="133"/>
        <v>0</v>
      </c>
      <c r="P287" s="28">
        <f t="shared" si="134"/>
        <v>0</v>
      </c>
      <c r="Q287" s="28">
        <f t="shared" si="148"/>
        <v>0</v>
      </c>
      <c r="R287" s="28">
        <f t="shared" si="135"/>
        <v>8229.384</v>
      </c>
      <c r="S287" s="28">
        <f t="shared" si="149"/>
        <v>0</v>
      </c>
      <c r="T287" s="28">
        <f t="shared" si="150"/>
        <v>0</v>
      </c>
      <c r="U287" s="28">
        <f t="shared" si="153"/>
        <v>0</v>
      </c>
      <c r="V287" s="28">
        <f t="shared" si="151"/>
        <v>0</v>
      </c>
      <c r="W287" s="118"/>
      <c r="X287" s="143">
        <f t="shared" si="152"/>
        <v>26.393999999999998</v>
      </c>
      <c r="Y287" s="121">
        <f>交易记录!O26</f>
        <v>0.15200000000000002</v>
      </c>
      <c r="Z287" s="121">
        <f>交易记录!O57</f>
        <v>372</v>
      </c>
      <c r="AA287" s="30">
        <f t="shared" si="136"/>
        <v>0</v>
      </c>
      <c r="AB287" s="124">
        <f>交易记录!O90</f>
        <v>0</v>
      </c>
      <c r="AC287" s="124">
        <f>交易记录!O121</f>
        <v>0</v>
      </c>
      <c r="AD287" s="30">
        <f t="shared" si="154"/>
        <v>0</v>
      </c>
      <c r="AE287" s="121">
        <f>交易记录!O154</f>
        <v>0</v>
      </c>
      <c r="AF287" s="121">
        <f>交易记录!O185</f>
        <v>0</v>
      </c>
      <c r="AG287" s="30">
        <f t="shared" si="155"/>
        <v>0</v>
      </c>
      <c r="AH287" s="124">
        <f>交易记录!O218</f>
        <v>0</v>
      </c>
      <c r="AI287" s="124">
        <f>交易记录!O249</f>
        <v>0</v>
      </c>
      <c r="AJ287" s="30">
        <f t="shared" si="156"/>
        <v>0</v>
      </c>
      <c r="AK287" s="121">
        <f>交易记录!O282</f>
        <v>0</v>
      </c>
      <c r="AL287" s="121">
        <f>交易记录!O313</f>
        <v>0</v>
      </c>
      <c r="AM287" s="30">
        <f t="shared" si="157"/>
        <v>0</v>
      </c>
      <c r="AN287" s="124">
        <f>交易记录!O346</f>
        <v>0</v>
      </c>
      <c r="AO287" s="124">
        <f>交易记录!O377</f>
        <v>0</v>
      </c>
      <c r="AP287" s="30">
        <f t="shared" si="158"/>
        <v>0</v>
      </c>
      <c r="AQ287" s="121">
        <f>交易记录!O410</f>
        <v>0</v>
      </c>
      <c r="AR287" s="121">
        <f>交易记录!O441</f>
        <v>0</v>
      </c>
      <c r="AS287" s="30">
        <f t="shared" si="159"/>
        <v>0</v>
      </c>
      <c r="AT287" s="124">
        <f>交易记录!O474</f>
        <v>0</v>
      </c>
      <c r="AU287" s="124">
        <f>交易记录!O505</f>
        <v>0</v>
      </c>
      <c r="AV287" s="30">
        <f t="shared" si="137"/>
        <v>0</v>
      </c>
      <c r="AW287" s="121">
        <f>交易记录!O538</f>
        <v>0</v>
      </c>
      <c r="AX287" s="121">
        <f>交易记录!O569</f>
        <v>0</v>
      </c>
      <c r="AY287" s="30">
        <f t="shared" si="138"/>
        <v>0</v>
      </c>
      <c r="AZ287" s="124">
        <f>交易记录!O602</f>
        <v>0</v>
      </c>
      <c r="BA287" s="124">
        <f>交易记录!O633</f>
        <v>0</v>
      </c>
      <c r="BB287" s="30">
        <f t="shared" si="139"/>
        <v>0</v>
      </c>
      <c r="BC287" s="121">
        <f>交易记录!O666</f>
        <v>0</v>
      </c>
      <c r="BD287" s="121">
        <f>交易记录!O697</f>
        <v>0</v>
      </c>
      <c r="BE287" s="30">
        <f t="shared" si="140"/>
        <v>0</v>
      </c>
      <c r="BF287" s="124">
        <f>交易记录!O730</f>
        <v>0</v>
      </c>
      <c r="BG287" s="124">
        <f>交易记录!O761</f>
        <v>0</v>
      </c>
      <c r="BH287" s="30">
        <f t="shared" si="141"/>
        <v>0</v>
      </c>
      <c r="BI287" s="121">
        <f>交易记录!O794</f>
        <v>0</v>
      </c>
      <c r="BJ287" s="121">
        <f>交易记录!O825</f>
        <v>0</v>
      </c>
      <c r="BK287" s="30">
        <f t="shared" si="142"/>
        <v>0</v>
      </c>
      <c r="BL287" s="124">
        <f>交易记录!O858</f>
        <v>0</v>
      </c>
      <c r="BM287" s="124">
        <f>交易记录!O889</f>
        <v>0</v>
      </c>
      <c r="BN287" s="30">
        <f t="shared" si="143"/>
        <v>0</v>
      </c>
      <c r="BO287" s="121">
        <f>交易记录!O922</f>
        <v>0</v>
      </c>
      <c r="BP287" s="121">
        <f>交易记录!O953</f>
        <v>0</v>
      </c>
      <c r="BQ287" s="30">
        <f t="shared" si="144"/>
        <v>0</v>
      </c>
    </row>
    <row r="288" spans="1:69" ht="15">
      <c r="A288" s="125">
        <f>'维护-日期'!A$14</f>
        <v>46277</v>
      </c>
      <c r="B288" s="7" t="s">
        <v>28</v>
      </c>
      <c r="C288" s="144">
        <f t="shared" si="145"/>
        <v>19.263000000000002</v>
      </c>
      <c r="D288" s="144">
        <f>ROUND(INDEX(持仓数据!$C$3:$AG$26,MATCH('计算过程-数据汇总'!B288,持仓数据!$B$3:$B$26,0),MATCH('计算过程-数据汇总'!A288,'维护-日期'!$B$2:$AF$2,0)),3)</f>
        <v>19.263000000000002</v>
      </c>
      <c r="E288" s="98">
        <f t="shared" si="146"/>
        <v>19.263000000000002</v>
      </c>
      <c r="F288" s="22">
        <f>持仓数据!N94</f>
        <v>0.111</v>
      </c>
      <c r="G288" s="97">
        <v>372</v>
      </c>
      <c r="H288" s="97">
        <v>372</v>
      </c>
      <c r="I288" s="64">
        <v>0</v>
      </c>
      <c r="J288" s="64">
        <v>0</v>
      </c>
      <c r="K288" s="21">
        <f>IF(持仓数据!N127="",0,持仓数据!N127)</f>
        <v>372</v>
      </c>
      <c r="L288" s="21">
        <f t="shared" si="147"/>
        <v>0</v>
      </c>
      <c r="M288" s="28">
        <f t="shared" si="131"/>
        <v>7165.8360000000002</v>
      </c>
      <c r="N288" s="28">
        <f t="shared" si="132"/>
        <v>0</v>
      </c>
      <c r="O288" s="28">
        <f t="shared" si="133"/>
        <v>0</v>
      </c>
      <c r="P288" s="28">
        <f t="shared" si="134"/>
        <v>0</v>
      </c>
      <c r="Q288" s="28">
        <f t="shared" si="148"/>
        <v>0</v>
      </c>
      <c r="R288" s="28">
        <f t="shared" si="135"/>
        <v>7165.8360000000002</v>
      </c>
      <c r="S288" s="28">
        <f t="shared" si="149"/>
        <v>0</v>
      </c>
      <c r="T288" s="28">
        <f t="shared" si="150"/>
        <v>0</v>
      </c>
      <c r="U288" s="28">
        <f t="shared" si="153"/>
        <v>0</v>
      </c>
      <c r="V288" s="28">
        <f t="shared" si="151"/>
        <v>0</v>
      </c>
      <c r="W288" s="118"/>
      <c r="X288" s="143">
        <f t="shared" si="152"/>
        <v>23.004999999999999</v>
      </c>
      <c r="Y288" s="121">
        <f>交易记录!O27</f>
        <v>0.111</v>
      </c>
      <c r="Z288" s="121">
        <f>交易记录!O58</f>
        <v>372</v>
      </c>
      <c r="AA288" s="30">
        <f t="shared" si="136"/>
        <v>0</v>
      </c>
      <c r="AB288" s="124">
        <f>交易记录!O91</f>
        <v>0</v>
      </c>
      <c r="AC288" s="124">
        <f>交易记录!O122</f>
        <v>0</v>
      </c>
      <c r="AD288" s="30">
        <f t="shared" si="154"/>
        <v>0</v>
      </c>
      <c r="AE288" s="121">
        <f>交易记录!O155</f>
        <v>0</v>
      </c>
      <c r="AF288" s="121">
        <f>交易记录!O186</f>
        <v>0</v>
      </c>
      <c r="AG288" s="30">
        <f t="shared" si="155"/>
        <v>0</v>
      </c>
      <c r="AH288" s="124">
        <f>交易记录!O219</f>
        <v>0</v>
      </c>
      <c r="AI288" s="124">
        <f>交易记录!O250</f>
        <v>0</v>
      </c>
      <c r="AJ288" s="30">
        <f t="shared" si="156"/>
        <v>0</v>
      </c>
      <c r="AK288" s="121">
        <f>交易记录!O283</f>
        <v>0</v>
      </c>
      <c r="AL288" s="121">
        <f>交易记录!O314</f>
        <v>0</v>
      </c>
      <c r="AM288" s="30">
        <f t="shared" si="157"/>
        <v>0</v>
      </c>
      <c r="AN288" s="124">
        <f>交易记录!O347</f>
        <v>0</v>
      </c>
      <c r="AO288" s="124">
        <f>交易记录!O378</f>
        <v>0</v>
      </c>
      <c r="AP288" s="30">
        <f t="shared" si="158"/>
        <v>0</v>
      </c>
      <c r="AQ288" s="121">
        <f>交易记录!O411</f>
        <v>0</v>
      </c>
      <c r="AR288" s="121">
        <f>交易记录!O442</f>
        <v>0</v>
      </c>
      <c r="AS288" s="30">
        <f t="shared" si="159"/>
        <v>0</v>
      </c>
      <c r="AT288" s="124">
        <f>交易记录!O475</f>
        <v>0</v>
      </c>
      <c r="AU288" s="124">
        <f>交易记录!O506</f>
        <v>0</v>
      </c>
      <c r="AV288" s="30">
        <f t="shared" si="137"/>
        <v>0</v>
      </c>
      <c r="AW288" s="121">
        <f>交易记录!O539</f>
        <v>0</v>
      </c>
      <c r="AX288" s="121">
        <f>交易记录!O570</f>
        <v>0</v>
      </c>
      <c r="AY288" s="30">
        <f t="shared" si="138"/>
        <v>0</v>
      </c>
      <c r="AZ288" s="124">
        <f>交易记录!O603</f>
        <v>0</v>
      </c>
      <c r="BA288" s="124">
        <f>交易记录!O634</f>
        <v>0</v>
      </c>
      <c r="BB288" s="30">
        <f t="shared" si="139"/>
        <v>0</v>
      </c>
      <c r="BC288" s="121">
        <f>交易记录!O667</f>
        <v>0</v>
      </c>
      <c r="BD288" s="121">
        <f>交易记录!O698</f>
        <v>0</v>
      </c>
      <c r="BE288" s="30">
        <f t="shared" si="140"/>
        <v>0</v>
      </c>
      <c r="BF288" s="124">
        <f>交易记录!O731</f>
        <v>0</v>
      </c>
      <c r="BG288" s="124">
        <f>交易记录!O762</f>
        <v>0</v>
      </c>
      <c r="BH288" s="30">
        <f t="shared" si="141"/>
        <v>0</v>
      </c>
      <c r="BI288" s="121">
        <f>交易记录!O795</f>
        <v>0</v>
      </c>
      <c r="BJ288" s="121">
        <f>交易记录!O826</f>
        <v>0</v>
      </c>
      <c r="BK288" s="30">
        <f t="shared" si="142"/>
        <v>0</v>
      </c>
      <c r="BL288" s="124">
        <f>交易记录!O859</f>
        <v>0</v>
      </c>
      <c r="BM288" s="124">
        <f>交易记录!O890</f>
        <v>0</v>
      </c>
      <c r="BN288" s="30">
        <f t="shared" si="143"/>
        <v>0</v>
      </c>
      <c r="BO288" s="121">
        <f>交易记录!O923</f>
        <v>0</v>
      </c>
      <c r="BP288" s="121">
        <f>交易记录!O954</f>
        <v>0</v>
      </c>
      <c r="BQ288" s="30">
        <f t="shared" si="144"/>
        <v>0</v>
      </c>
    </row>
    <row r="289" spans="1:69" ht="15">
      <c r="A289" s="125">
        <f>'维护-日期'!A$14</f>
        <v>46277</v>
      </c>
      <c r="B289" s="7" t="s">
        <v>29</v>
      </c>
      <c r="C289" s="144">
        <f t="shared" si="145"/>
        <v>16.701000000000001</v>
      </c>
      <c r="D289" s="144">
        <f>ROUND(INDEX(持仓数据!$C$3:$AG$26,MATCH('计算过程-数据汇总'!B289,持仓数据!$B$3:$B$26,0),MATCH('计算过程-数据汇总'!A289,'维护-日期'!$B$2:$AF$2,0)),3)</f>
        <v>16.701000000000001</v>
      </c>
      <c r="E289" s="98">
        <f t="shared" si="146"/>
        <v>16.701000000000001</v>
      </c>
      <c r="F289" s="22">
        <f>持仓数据!N95</f>
        <v>9.2999999999999999E-2</v>
      </c>
      <c r="G289" s="97">
        <v>372</v>
      </c>
      <c r="H289" s="97">
        <v>372</v>
      </c>
      <c r="I289" s="64">
        <v>0</v>
      </c>
      <c r="J289" s="64">
        <v>0</v>
      </c>
      <c r="K289" s="21">
        <f>IF(持仓数据!N128="",0,持仓数据!N128)</f>
        <v>371.99999999999994</v>
      </c>
      <c r="L289" s="21">
        <f t="shared" si="147"/>
        <v>0</v>
      </c>
      <c r="M289" s="28">
        <f t="shared" si="131"/>
        <v>6212.7719999999999</v>
      </c>
      <c r="N289" s="28">
        <f t="shared" si="132"/>
        <v>0</v>
      </c>
      <c r="O289" s="28">
        <f t="shared" si="133"/>
        <v>0</v>
      </c>
      <c r="P289" s="28">
        <f t="shared" si="134"/>
        <v>-5.2864379540551453E-15</v>
      </c>
      <c r="Q289" s="28">
        <f t="shared" si="148"/>
        <v>0</v>
      </c>
      <c r="R289" s="28">
        <f t="shared" si="135"/>
        <v>6212.771999999999</v>
      </c>
      <c r="S289" s="28">
        <f t="shared" si="149"/>
        <v>0</v>
      </c>
      <c r="T289" s="28">
        <f t="shared" si="150"/>
        <v>9.4405550044029954E-13</v>
      </c>
      <c r="U289" s="28">
        <f t="shared" si="153"/>
        <v>0</v>
      </c>
      <c r="V289" s="28">
        <f t="shared" si="151"/>
        <v>0</v>
      </c>
      <c r="W289" s="118"/>
      <c r="X289" s="143">
        <f t="shared" si="152"/>
        <v>19.948</v>
      </c>
      <c r="Y289" s="121">
        <f>交易记录!O28</f>
        <v>9.2999999999999999E-2</v>
      </c>
      <c r="Z289" s="121">
        <f>交易记录!O59</f>
        <v>372</v>
      </c>
      <c r="AA289" s="30">
        <f t="shared" si="136"/>
        <v>0</v>
      </c>
      <c r="AB289" s="124">
        <f>交易记录!O92</f>
        <v>0</v>
      </c>
      <c r="AC289" s="124">
        <f>交易记录!O123</f>
        <v>0</v>
      </c>
      <c r="AD289" s="30">
        <f t="shared" si="154"/>
        <v>0</v>
      </c>
      <c r="AE289" s="121">
        <f>交易记录!O156</f>
        <v>0</v>
      </c>
      <c r="AF289" s="121">
        <f>交易记录!O187</f>
        <v>0</v>
      </c>
      <c r="AG289" s="30">
        <f t="shared" si="155"/>
        <v>0</v>
      </c>
      <c r="AH289" s="124">
        <f>交易记录!O220</f>
        <v>0</v>
      </c>
      <c r="AI289" s="124">
        <f>交易记录!O251</f>
        <v>0</v>
      </c>
      <c r="AJ289" s="30">
        <f t="shared" si="156"/>
        <v>0</v>
      </c>
      <c r="AK289" s="121">
        <f>交易记录!O284</f>
        <v>0</v>
      </c>
      <c r="AL289" s="121">
        <f>交易记录!O315</f>
        <v>0</v>
      </c>
      <c r="AM289" s="30">
        <f t="shared" si="157"/>
        <v>0</v>
      </c>
      <c r="AN289" s="124">
        <f>交易记录!O348</f>
        <v>0</v>
      </c>
      <c r="AO289" s="124">
        <f>交易记录!O379</f>
        <v>0</v>
      </c>
      <c r="AP289" s="30">
        <f t="shared" si="158"/>
        <v>0</v>
      </c>
      <c r="AQ289" s="121">
        <f>交易记录!O412</f>
        <v>0</v>
      </c>
      <c r="AR289" s="121">
        <f>交易记录!O443</f>
        <v>0</v>
      </c>
      <c r="AS289" s="30">
        <f t="shared" si="159"/>
        <v>0</v>
      </c>
      <c r="AT289" s="124">
        <f>交易记录!O476</f>
        <v>0</v>
      </c>
      <c r="AU289" s="124">
        <f>交易记录!O507</f>
        <v>0</v>
      </c>
      <c r="AV289" s="30">
        <f t="shared" si="137"/>
        <v>0</v>
      </c>
      <c r="AW289" s="121">
        <f>交易记录!O540</f>
        <v>0</v>
      </c>
      <c r="AX289" s="121">
        <f>交易记录!O571</f>
        <v>0</v>
      </c>
      <c r="AY289" s="30">
        <f t="shared" si="138"/>
        <v>0</v>
      </c>
      <c r="AZ289" s="124">
        <f>交易记录!O604</f>
        <v>0</v>
      </c>
      <c r="BA289" s="124">
        <f>交易记录!O635</f>
        <v>0</v>
      </c>
      <c r="BB289" s="30">
        <f t="shared" si="139"/>
        <v>0</v>
      </c>
      <c r="BC289" s="121">
        <f>交易记录!O668</f>
        <v>0</v>
      </c>
      <c r="BD289" s="121">
        <f>交易记录!O699</f>
        <v>0</v>
      </c>
      <c r="BE289" s="30">
        <f t="shared" si="140"/>
        <v>0</v>
      </c>
      <c r="BF289" s="124">
        <f>交易记录!O732</f>
        <v>0</v>
      </c>
      <c r="BG289" s="124">
        <f>交易记录!O763</f>
        <v>0</v>
      </c>
      <c r="BH289" s="30">
        <f t="shared" si="141"/>
        <v>0</v>
      </c>
      <c r="BI289" s="121">
        <f>交易记录!O796</f>
        <v>0</v>
      </c>
      <c r="BJ289" s="121">
        <f>交易记录!O827</f>
        <v>0</v>
      </c>
      <c r="BK289" s="30">
        <f t="shared" si="142"/>
        <v>0</v>
      </c>
      <c r="BL289" s="124">
        <f>交易记录!O860</f>
        <v>0</v>
      </c>
      <c r="BM289" s="124">
        <f>交易记录!O891</f>
        <v>0</v>
      </c>
      <c r="BN289" s="30">
        <f t="shared" si="143"/>
        <v>0</v>
      </c>
      <c r="BO289" s="121">
        <f>交易记录!O924</f>
        <v>0</v>
      </c>
      <c r="BP289" s="121">
        <f>交易记录!O955</f>
        <v>0</v>
      </c>
      <c r="BQ289" s="30">
        <f t="shared" si="144"/>
        <v>0</v>
      </c>
    </row>
    <row r="290" spans="1:69" ht="15">
      <c r="A290" s="125">
        <f>'维护-日期'!A$15</f>
        <v>46278</v>
      </c>
      <c r="B290" s="7" t="s">
        <v>6</v>
      </c>
      <c r="C290" s="144">
        <f t="shared" si="145"/>
        <v>16.931000000000001</v>
      </c>
      <c r="D290" s="144">
        <f>ROUND(INDEX(持仓数据!$C$3:$AG$26,MATCH('计算过程-数据汇总'!B290,持仓数据!$B$3:$B$26,0),MATCH('计算过程-数据汇总'!A290,'维护-日期'!$B$2:$AF$2,0)),3)</f>
        <v>16.931000000000001</v>
      </c>
      <c r="E290" s="98">
        <f t="shared" si="146"/>
        <v>16.931000000000001</v>
      </c>
      <c r="F290" s="22">
        <f>持仓数据!O72</f>
        <v>0.1</v>
      </c>
      <c r="G290" s="97">
        <v>372</v>
      </c>
      <c r="H290" s="97">
        <v>372</v>
      </c>
      <c r="I290" s="64">
        <v>0</v>
      </c>
      <c r="J290" s="64">
        <v>0</v>
      </c>
      <c r="K290" s="21">
        <f>IF(持仓数据!O105="",0,持仓数据!O105)</f>
        <v>372</v>
      </c>
      <c r="L290" s="21">
        <f t="shared" si="147"/>
        <v>0</v>
      </c>
      <c r="M290" s="28">
        <f t="shared" si="131"/>
        <v>6298.3320000000003</v>
      </c>
      <c r="N290" s="28">
        <f t="shared" si="132"/>
        <v>0</v>
      </c>
      <c r="O290" s="28">
        <f t="shared" si="133"/>
        <v>0</v>
      </c>
      <c r="P290" s="28">
        <f t="shared" si="134"/>
        <v>0</v>
      </c>
      <c r="Q290" s="28">
        <f t="shared" si="148"/>
        <v>0</v>
      </c>
      <c r="R290" s="28">
        <f t="shared" si="135"/>
        <v>6298.3320000000003</v>
      </c>
      <c r="S290" s="28">
        <f t="shared" si="149"/>
        <v>0</v>
      </c>
      <c r="T290" s="28">
        <f t="shared" si="150"/>
        <v>0</v>
      </c>
      <c r="U290" s="28">
        <f t="shared" si="153"/>
        <v>0</v>
      </c>
      <c r="V290" s="28">
        <f t="shared" si="151"/>
        <v>0</v>
      </c>
      <c r="W290" s="118"/>
      <c r="X290" s="143">
        <f t="shared" si="152"/>
        <v>20.216999999999999</v>
      </c>
      <c r="Y290" s="121">
        <f>交易记录!P5</f>
        <v>0.1</v>
      </c>
      <c r="Z290" s="121">
        <f>交易记录!P36</f>
        <v>372</v>
      </c>
      <c r="AA290" s="30">
        <f t="shared" si="136"/>
        <v>0</v>
      </c>
      <c r="AB290" s="124">
        <f>交易记录!P69</f>
        <v>0</v>
      </c>
      <c r="AC290" s="124">
        <f>交易记录!P100</f>
        <v>0</v>
      </c>
      <c r="AD290" s="30">
        <f t="shared" si="154"/>
        <v>0</v>
      </c>
      <c r="AE290" s="121">
        <f>交易记录!P133</f>
        <v>0</v>
      </c>
      <c r="AF290" s="121">
        <f>交易记录!P164</f>
        <v>0</v>
      </c>
      <c r="AG290" s="30">
        <f t="shared" si="155"/>
        <v>0</v>
      </c>
      <c r="AH290" s="124">
        <f>交易记录!P197</f>
        <v>0</v>
      </c>
      <c r="AI290" s="124">
        <f>交易记录!P228</f>
        <v>0</v>
      </c>
      <c r="AJ290" s="30">
        <f t="shared" si="156"/>
        <v>0</v>
      </c>
      <c r="AK290" s="121">
        <f>交易记录!P261</f>
        <v>0</v>
      </c>
      <c r="AL290" s="121">
        <f>交易记录!P292</f>
        <v>0</v>
      </c>
      <c r="AM290" s="30">
        <f t="shared" si="157"/>
        <v>0</v>
      </c>
      <c r="AN290" s="124">
        <f>交易记录!P325</f>
        <v>0</v>
      </c>
      <c r="AO290" s="124">
        <f>交易记录!P356</f>
        <v>0</v>
      </c>
      <c r="AP290" s="30">
        <f t="shared" si="158"/>
        <v>0</v>
      </c>
      <c r="AQ290" s="121">
        <f>交易记录!P389</f>
        <v>0</v>
      </c>
      <c r="AR290" s="121">
        <f>交易记录!P420</f>
        <v>0</v>
      </c>
      <c r="AS290" s="30">
        <f t="shared" si="159"/>
        <v>0</v>
      </c>
      <c r="AT290" s="124">
        <f>交易记录!P453</f>
        <v>0</v>
      </c>
      <c r="AU290" s="124">
        <f>交易记录!P484</f>
        <v>0</v>
      </c>
      <c r="AV290" s="30">
        <f t="shared" si="137"/>
        <v>0</v>
      </c>
      <c r="AW290" s="121">
        <f>交易记录!P517</f>
        <v>0</v>
      </c>
      <c r="AX290" s="121">
        <f>交易记录!P548</f>
        <v>0</v>
      </c>
      <c r="AY290" s="30">
        <f t="shared" si="138"/>
        <v>0</v>
      </c>
      <c r="AZ290" s="124">
        <f>交易记录!P581</f>
        <v>0</v>
      </c>
      <c r="BA290" s="124">
        <f>交易记录!P612</f>
        <v>0</v>
      </c>
      <c r="BB290" s="30">
        <f t="shared" si="139"/>
        <v>0</v>
      </c>
      <c r="BC290" s="121">
        <f>交易记录!P645</f>
        <v>0</v>
      </c>
      <c r="BD290" s="121">
        <f>交易记录!P676</f>
        <v>0</v>
      </c>
      <c r="BE290" s="30">
        <f t="shared" si="140"/>
        <v>0</v>
      </c>
      <c r="BF290" s="124">
        <f>交易记录!P709</f>
        <v>0</v>
      </c>
      <c r="BG290" s="124">
        <f>交易记录!P740</f>
        <v>0</v>
      </c>
      <c r="BH290" s="30">
        <f t="shared" si="141"/>
        <v>0</v>
      </c>
      <c r="BI290" s="121">
        <f>交易记录!P773</f>
        <v>0</v>
      </c>
      <c r="BJ290" s="121">
        <f>交易记录!P804</f>
        <v>0</v>
      </c>
      <c r="BK290" s="30">
        <f t="shared" si="142"/>
        <v>0</v>
      </c>
      <c r="BL290" s="124">
        <f>交易记录!P837</f>
        <v>0</v>
      </c>
      <c r="BM290" s="124">
        <f>交易记录!P868</f>
        <v>0</v>
      </c>
      <c r="BN290" s="30">
        <f t="shared" si="143"/>
        <v>0</v>
      </c>
      <c r="BO290" s="121">
        <f>交易记录!P901</f>
        <v>0</v>
      </c>
      <c r="BP290" s="121">
        <f>交易记录!P932</f>
        <v>0</v>
      </c>
      <c r="BQ290" s="30">
        <f t="shared" si="144"/>
        <v>0</v>
      </c>
    </row>
    <row r="291" spans="1:69" ht="15">
      <c r="A291" s="125">
        <f>'维护-日期'!A$15</f>
        <v>46278</v>
      </c>
      <c r="B291" s="7" t="s">
        <v>7</v>
      </c>
      <c r="C291" s="144">
        <f t="shared" si="145"/>
        <v>15.778</v>
      </c>
      <c r="D291" s="144">
        <f>ROUND(INDEX(持仓数据!$C$3:$AG$26,MATCH('计算过程-数据汇总'!B291,持仓数据!$B$3:$B$26,0),MATCH('计算过程-数据汇总'!A291,'维护-日期'!$B$2:$AF$2,0)),3)</f>
        <v>15.778</v>
      </c>
      <c r="E291" s="98">
        <f t="shared" si="146"/>
        <v>15.778</v>
      </c>
      <c r="F291" s="22">
        <f>持仓数据!O73</f>
        <v>9.5000000000000001E-2</v>
      </c>
      <c r="G291" s="97">
        <v>372</v>
      </c>
      <c r="H291" s="97">
        <v>372</v>
      </c>
      <c r="I291" s="64">
        <v>0</v>
      </c>
      <c r="J291" s="64">
        <v>0</v>
      </c>
      <c r="K291" s="21">
        <f>IF(持仓数据!O106="",0,持仓数据!O106)</f>
        <v>372.00000000000006</v>
      </c>
      <c r="L291" s="21">
        <f t="shared" si="147"/>
        <v>0</v>
      </c>
      <c r="M291" s="28">
        <f t="shared" si="131"/>
        <v>5869.4160000000002</v>
      </c>
      <c r="N291" s="28">
        <f t="shared" si="132"/>
        <v>0</v>
      </c>
      <c r="O291" s="28">
        <f t="shared" si="133"/>
        <v>0</v>
      </c>
      <c r="P291" s="28">
        <f t="shared" si="134"/>
        <v>5.4001247917767615E-15</v>
      </c>
      <c r="Q291" s="28">
        <f t="shared" si="148"/>
        <v>0</v>
      </c>
      <c r="R291" s="28">
        <f t="shared" si="135"/>
        <v>5869.4160000000011</v>
      </c>
      <c r="S291" s="28">
        <f t="shared" si="149"/>
        <v>0</v>
      </c>
      <c r="T291" s="28">
        <f t="shared" si="150"/>
        <v>-8.9147533799405209E-13</v>
      </c>
      <c r="U291" s="28">
        <f t="shared" si="153"/>
        <v>0</v>
      </c>
      <c r="V291" s="28">
        <f t="shared" si="151"/>
        <v>0</v>
      </c>
      <c r="W291" s="118"/>
      <c r="X291" s="143">
        <f t="shared" si="152"/>
        <v>18.838999999999999</v>
      </c>
      <c r="Y291" s="121">
        <f>交易记录!P6</f>
        <v>9.5000000000000001E-2</v>
      </c>
      <c r="Z291" s="121">
        <f>交易记录!P37</f>
        <v>372</v>
      </c>
      <c r="AA291" s="30">
        <f t="shared" si="136"/>
        <v>0</v>
      </c>
      <c r="AB291" s="124">
        <f>交易记录!P70</f>
        <v>0</v>
      </c>
      <c r="AC291" s="124">
        <f>交易记录!P101</f>
        <v>0</v>
      </c>
      <c r="AD291" s="30">
        <f t="shared" si="154"/>
        <v>0</v>
      </c>
      <c r="AE291" s="121">
        <f>交易记录!P134</f>
        <v>0</v>
      </c>
      <c r="AF291" s="121">
        <f>交易记录!P165</f>
        <v>0</v>
      </c>
      <c r="AG291" s="30">
        <f t="shared" si="155"/>
        <v>0</v>
      </c>
      <c r="AH291" s="124">
        <f>交易记录!P198</f>
        <v>0</v>
      </c>
      <c r="AI291" s="124">
        <f>交易记录!P229</f>
        <v>0</v>
      </c>
      <c r="AJ291" s="30">
        <f t="shared" si="156"/>
        <v>0</v>
      </c>
      <c r="AK291" s="121">
        <f>交易记录!P262</f>
        <v>0</v>
      </c>
      <c r="AL291" s="121">
        <f>交易记录!P293</f>
        <v>0</v>
      </c>
      <c r="AM291" s="30">
        <f t="shared" si="157"/>
        <v>0</v>
      </c>
      <c r="AN291" s="124">
        <f>交易记录!P326</f>
        <v>0</v>
      </c>
      <c r="AO291" s="124">
        <f>交易记录!P357</f>
        <v>0</v>
      </c>
      <c r="AP291" s="30">
        <f t="shared" si="158"/>
        <v>0</v>
      </c>
      <c r="AQ291" s="121">
        <f>交易记录!P390</f>
        <v>0</v>
      </c>
      <c r="AR291" s="121">
        <f>交易记录!P421</f>
        <v>0</v>
      </c>
      <c r="AS291" s="30">
        <f t="shared" si="159"/>
        <v>0</v>
      </c>
      <c r="AT291" s="124">
        <f>交易记录!P454</f>
        <v>0</v>
      </c>
      <c r="AU291" s="124">
        <f>交易记录!P485</f>
        <v>0</v>
      </c>
      <c r="AV291" s="30">
        <f t="shared" si="137"/>
        <v>0</v>
      </c>
      <c r="AW291" s="121">
        <f>交易记录!P518</f>
        <v>0</v>
      </c>
      <c r="AX291" s="121">
        <f>交易记录!P549</f>
        <v>0</v>
      </c>
      <c r="AY291" s="30">
        <f t="shared" si="138"/>
        <v>0</v>
      </c>
      <c r="AZ291" s="124">
        <f>交易记录!P582</f>
        <v>0</v>
      </c>
      <c r="BA291" s="124">
        <f>交易记录!P613</f>
        <v>0</v>
      </c>
      <c r="BB291" s="30">
        <f t="shared" si="139"/>
        <v>0</v>
      </c>
      <c r="BC291" s="121">
        <f>交易记录!P646</f>
        <v>0</v>
      </c>
      <c r="BD291" s="121">
        <f>交易记录!P677</f>
        <v>0</v>
      </c>
      <c r="BE291" s="30">
        <f t="shared" si="140"/>
        <v>0</v>
      </c>
      <c r="BF291" s="124">
        <f>交易记录!P710</f>
        <v>0</v>
      </c>
      <c r="BG291" s="124">
        <f>交易记录!P741</f>
        <v>0</v>
      </c>
      <c r="BH291" s="30">
        <f t="shared" si="141"/>
        <v>0</v>
      </c>
      <c r="BI291" s="121">
        <f>交易记录!P774</f>
        <v>0</v>
      </c>
      <c r="BJ291" s="121">
        <f>交易记录!P805</f>
        <v>0</v>
      </c>
      <c r="BK291" s="30">
        <f t="shared" si="142"/>
        <v>0</v>
      </c>
      <c r="BL291" s="124">
        <f>交易记录!P838</f>
        <v>0</v>
      </c>
      <c r="BM291" s="124">
        <f>交易记录!P869</f>
        <v>0</v>
      </c>
      <c r="BN291" s="30">
        <f t="shared" si="143"/>
        <v>0</v>
      </c>
      <c r="BO291" s="121">
        <f>交易记录!P902</f>
        <v>0</v>
      </c>
      <c r="BP291" s="121">
        <f>交易记录!P933</f>
        <v>0</v>
      </c>
      <c r="BQ291" s="30">
        <f t="shared" si="144"/>
        <v>0</v>
      </c>
    </row>
    <row r="292" spans="1:69" ht="15">
      <c r="A292" s="125">
        <f>'维护-日期'!A$15</f>
        <v>46278</v>
      </c>
      <c r="B292" s="7" t="s">
        <v>8</v>
      </c>
      <c r="C292" s="144">
        <f t="shared" si="145"/>
        <v>14.811999999999999</v>
      </c>
      <c r="D292" s="144">
        <f>ROUND(INDEX(持仓数据!$C$3:$AG$26,MATCH('计算过程-数据汇总'!B292,持仓数据!$B$3:$B$26,0),MATCH('计算过程-数据汇总'!A292,'维护-日期'!$B$2:$AF$2,0)),3)</f>
        <v>14.811999999999999</v>
      </c>
      <c r="E292" s="98">
        <f t="shared" si="146"/>
        <v>14.811999999999999</v>
      </c>
      <c r="F292" s="22">
        <f>持仓数据!O74</f>
        <v>8.5999999999999993E-2</v>
      </c>
      <c r="G292" s="97">
        <v>372</v>
      </c>
      <c r="H292" s="97">
        <v>372</v>
      </c>
      <c r="I292" s="64">
        <v>0</v>
      </c>
      <c r="J292" s="64">
        <v>0</v>
      </c>
      <c r="K292" s="21">
        <f>IF(持仓数据!O107="",0,持仓数据!O107)</f>
        <v>372</v>
      </c>
      <c r="L292" s="21">
        <f t="shared" si="147"/>
        <v>0</v>
      </c>
      <c r="M292" s="28">
        <f t="shared" si="131"/>
        <v>5510.0639999999994</v>
      </c>
      <c r="N292" s="28">
        <f t="shared" si="132"/>
        <v>0</v>
      </c>
      <c r="O292" s="28">
        <f t="shared" si="133"/>
        <v>0</v>
      </c>
      <c r="P292" s="28">
        <f t="shared" si="134"/>
        <v>0</v>
      </c>
      <c r="Q292" s="28">
        <f t="shared" si="148"/>
        <v>0</v>
      </c>
      <c r="R292" s="28">
        <f t="shared" si="135"/>
        <v>5510.0639999999994</v>
      </c>
      <c r="S292" s="28">
        <f t="shared" si="149"/>
        <v>0</v>
      </c>
      <c r="T292" s="28">
        <f t="shared" si="150"/>
        <v>0</v>
      </c>
      <c r="U292" s="28">
        <f t="shared" si="153"/>
        <v>0</v>
      </c>
      <c r="V292" s="28">
        <f t="shared" si="151"/>
        <v>0</v>
      </c>
      <c r="W292" s="118"/>
      <c r="X292" s="143">
        <f t="shared" si="152"/>
        <v>17.687999999999999</v>
      </c>
      <c r="Y292" s="121">
        <f>交易记录!P7</f>
        <v>8.5999999999999993E-2</v>
      </c>
      <c r="Z292" s="121">
        <f>交易记录!P38</f>
        <v>372</v>
      </c>
      <c r="AA292" s="30">
        <f t="shared" si="136"/>
        <v>0</v>
      </c>
      <c r="AB292" s="124">
        <f>交易记录!P71</f>
        <v>0</v>
      </c>
      <c r="AC292" s="124">
        <f>交易记录!P102</f>
        <v>0</v>
      </c>
      <c r="AD292" s="30">
        <f t="shared" si="154"/>
        <v>0</v>
      </c>
      <c r="AE292" s="121">
        <f>交易记录!P135</f>
        <v>0</v>
      </c>
      <c r="AF292" s="121">
        <f>交易记录!P166</f>
        <v>0</v>
      </c>
      <c r="AG292" s="30">
        <f t="shared" si="155"/>
        <v>0</v>
      </c>
      <c r="AH292" s="124">
        <f>交易记录!P199</f>
        <v>0</v>
      </c>
      <c r="AI292" s="124">
        <f>交易记录!P230</f>
        <v>0</v>
      </c>
      <c r="AJ292" s="30">
        <f t="shared" si="156"/>
        <v>0</v>
      </c>
      <c r="AK292" s="121">
        <f>交易记录!P263</f>
        <v>0</v>
      </c>
      <c r="AL292" s="121">
        <f>交易记录!P294</f>
        <v>0</v>
      </c>
      <c r="AM292" s="30">
        <f t="shared" si="157"/>
        <v>0</v>
      </c>
      <c r="AN292" s="124">
        <f>交易记录!P327</f>
        <v>0</v>
      </c>
      <c r="AO292" s="124">
        <f>交易记录!P358</f>
        <v>0</v>
      </c>
      <c r="AP292" s="30">
        <f t="shared" si="158"/>
        <v>0</v>
      </c>
      <c r="AQ292" s="121">
        <f>交易记录!P391</f>
        <v>0</v>
      </c>
      <c r="AR292" s="121">
        <f>交易记录!P422</f>
        <v>0</v>
      </c>
      <c r="AS292" s="30">
        <f t="shared" si="159"/>
        <v>0</v>
      </c>
      <c r="AT292" s="124">
        <f>交易记录!P455</f>
        <v>0</v>
      </c>
      <c r="AU292" s="124">
        <f>交易记录!P486</f>
        <v>0</v>
      </c>
      <c r="AV292" s="30">
        <f t="shared" si="137"/>
        <v>0</v>
      </c>
      <c r="AW292" s="121">
        <f>交易记录!P519</f>
        <v>0</v>
      </c>
      <c r="AX292" s="121">
        <f>交易记录!P550</f>
        <v>0</v>
      </c>
      <c r="AY292" s="30">
        <f t="shared" si="138"/>
        <v>0</v>
      </c>
      <c r="AZ292" s="124">
        <f>交易记录!P583</f>
        <v>0</v>
      </c>
      <c r="BA292" s="124">
        <f>交易记录!P614</f>
        <v>0</v>
      </c>
      <c r="BB292" s="30">
        <f t="shared" si="139"/>
        <v>0</v>
      </c>
      <c r="BC292" s="121">
        <f>交易记录!P647</f>
        <v>0</v>
      </c>
      <c r="BD292" s="121">
        <f>交易记录!P678</f>
        <v>0</v>
      </c>
      <c r="BE292" s="30">
        <f t="shared" si="140"/>
        <v>0</v>
      </c>
      <c r="BF292" s="124">
        <f>交易记录!P711</f>
        <v>0</v>
      </c>
      <c r="BG292" s="124">
        <f>交易记录!P742</f>
        <v>0</v>
      </c>
      <c r="BH292" s="30">
        <f t="shared" si="141"/>
        <v>0</v>
      </c>
      <c r="BI292" s="121">
        <f>交易记录!P775</f>
        <v>0</v>
      </c>
      <c r="BJ292" s="121">
        <f>交易记录!P806</f>
        <v>0</v>
      </c>
      <c r="BK292" s="30">
        <f t="shared" si="142"/>
        <v>0</v>
      </c>
      <c r="BL292" s="124">
        <f>交易记录!P839</f>
        <v>0</v>
      </c>
      <c r="BM292" s="124">
        <f>交易记录!P870</f>
        <v>0</v>
      </c>
      <c r="BN292" s="30">
        <f t="shared" si="143"/>
        <v>0</v>
      </c>
      <c r="BO292" s="121">
        <f>交易记录!P903</f>
        <v>0</v>
      </c>
      <c r="BP292" s="121">
        <f>交易记录!P934</f>
        <v>0</v>
      </c>
      <c r="BQ292" s="30">
        <f t="shared" si="144"/>
        <v>0</v>
      </c>
    </row>
    <row r="293" spans="1:69" ht="15">
      <c r="A293" s="125">
        <f>'维护-日期'!A$15</f>
        <v>46278</v>
      </c>
      <c r="B293" s="7" t="s">
        <v>9</v>
      </c>
      <c r="C293" s="144">
        <f t="shared" si="145"/>
        <v>13.836</v>
      </c>
      <c r="D293" s="144">
        <f>ROUND(INDEX(持仓数据!$C$3:$AG$26,MATCH('计算过程-数据汇总'!B293,持仓数据!$B$3:$B$26,0),MATCH('计算过程-数据汇总'!A293,'维护-日期'!$B$2:$AF$2,0)),3)</f>
        <v>13.836</v>
      </c>
      <c r="E293" s="98">
        <f t="shared" si="146"/>
        <v>13.836</v>
      </c>
      <c r="F293" s="22">
        <f>持仓数据!O75</f>
        <v>7.7000000000000013E-2</v>
      </c>
      <c r="G293" s="97">
        <v>372</v>
      </c>
      <c r="H293" s="97">
        <v>372</v>
      </c>
      <c r="I293" s="64">
        <v>0</v>
      </c>
      <c r="J293" s="64">
        <v>0</v>
      </c>
      <c r="K293" s="21">
        <f>IF(持仓数据!O108="",0,持仓数据!O108)</f>
        <v>372</v>
      </c>
      <c r="L293" s="21">
        <f t="shared" si="147"/>
        <v>0</v>
      </c>
      <c r="M293" s="28">
        <f t="shared" si="131"/>
        <v>5146.9920000000002</v>
      </c>
      <c r="N293" s="28">
        <f t="shared" si="132"/>
        <v>0</v>
      </c>
      <c r="O293" s="28">
        <f t="shared" si="133"/>
        <v>0</v>
      </c>
      <c r="P293" s="28">
        <f t="shared" si="134"/>
        <v>0</v>
      </c>
      <c r="Q293" s="28">
        <f t="shared" si="148"/>
        <v>0</v>
      </c>
      <c r="R293" s="28">
        <f t="shared" si="135"/>
        <v>5146.9920000000002</v>
      </c>
      <c r="S293" s="28">
        <f t="shared" si="149"/>
        <v>0</v>
      </c>
      <c r="T293" s="28">
        <f t="shared" si="150"/>
        <v>0</v>
      </c>
      <c r="U293" s="28">
        <f t="shared" si="153"/>
        <v>0</v>
      </c>
      <c r="V293" s="28">
        <f t="shared" si="151"/>
        <v>0</v>
      </c>
      <c r="W293" s="118"/>
      <c r="X293" s="143">
        <f t="shared" si="152"/>
        <v>16.526</v>
      </c>
      <c r="Y293" s="121">
        <f>交易记录!P8</f>
        <v>7.7000000000000013E-2</v>
      </c>
      <c r="Z293" s="121">
        <f>交易记录!P39</f>
        <v>372</v>
      </c>
      <c r="AA293" s="30">
        <f t="shared" si="136"/>
        <v>0</v>
      </c>
      <c r="AB293" s="124">
        <f>交易记录!P72</f>
        <v>0</v>
      </c>
      <c r="AC293" s="124">
        <f>交易记录!P103</f>
        <v>0</v>
      </c>
      <c r="AD293" s="30">
        <f t="shared" si="154"/>
        <v>0</v>
      </c>
      <c r="AE293" s="121">
        <f>交易记录!P136</f>
        <v>0</v>
      </c>
      <c r="AF293" s="121">
        <f>交易记录!P167</f>
        <v>0</v>
      </c>
      <c r="AG293" s="30">
        <f t="shared" si="155"/>
        <v>0</v>
      </c>
      <c r="AH293" s="124">
        <f>交易记录!P200</f>
        <v>0</v>
      </c>
      <c r="AI293" s="124">
        <f>交易记录!P231</f>
        <v>0</v>
      </c>
      <c r="AJ293" s="30">
        <f t="shared" si="156"/>
        <v>0</v>
      </c>
      <c r="AK293" s="121">
        <f>交易记录!P264</f>
        <v>0</v>
      </c>
      <c r="AL293" s="121">
        <f>交易记录!P295</f>
        <v>0</v>
      </c>
      <c r="AM293" s="30">
        <f t="shared" si="157"/>
        <v>0</v>
      </c>
      <c r="AN293" s="124">
        <f>交易记录!P328</f>
        <v>0</v>
      </c>
      <c r="AO293" s="124">
        <f>交易记录!P359</f>
        <v>0</v>
      </c>
      <c r="AP293" s="30">
        <f t="shared" si="158"/>
        <v>0</v>
      </c>
      <c r="AQ293" s="121">
        <f>交易记录!P392</f>
        <v>0</v>
      </c>
      <c r="AR293" s="121">
        <f>交易记录!P423</f>
        <v>0</v>
      </c>
      <c r="AS293" s="30">
        <f t="shared" si="159"/>
        <v>0</v>
      </c>
      <c r="AT293" s="124">
        <f>交易记录!P456</f>
        <v>0</v>
      </c>
      <c r="AU293" s="124">
        <f>交易记录!P487</f>
        <v>0</v>
      </c>
      <c r="AV293" s="30">
        <f t="shared" si="137"/>
        <v>0</v>
      </c>
      <c r="AW293" s="121">
        <f>交易记录!P520</f>
        <v>0</v>
      </c>
      <c r="AX293" s="121">
        <f>交易记录!P551</f>
        <v>0</v>
      </c>
      <c r="AY293" s="30">
        <f t="shared" si="138"/>
        <v>0</v>
      </c>
      <c r="AZ293" s="124">
        <f>交易记录!P584</f>
        <v>0</v>
      </c>
      <c r="BA293" s="124">
        <f>交易记录!P615</f>
        <v>0</v>
      </c>
      <c r="BB293" s="30">
        <f t="shared" si="139"/>
        <v>0</v>
      </c>
      <c r="BC293" s="121">
        <f>交易记录!P648</f>
        <v>0</v>
      </c>
      <c r="BD293" s="121">
        <f>交易记录!P679</f>
        <v>0</v>
      </c>
      <c r="BE293" s="30">
        <f t="shared" si="140"/>
        <v>0</v>
      </c>
      <c r="BF293" s="124">
        <f>交易记录!P712</f>
        <v>0</v>
      </c>
      <c r="BG293" s="124">
        <f>交易记录!P743</f>
        <v>0</v>
      </c>
      <c r="BH293" s="30">
        <f t="shared" si="141"/>
        <v>0</v>
      </c>
      <c r="BI293" s="121">
        <f>交易记录!P776</f>
        <v>0</v>
      </c>
      <c r="BJ293" s="121">
        <f>交易记录!P807</f>
        <v>0</v>
      </c>
      <c r="BK293" s="30">
        <f t="shared" si="142"/>
        <v>0</v>
      </c>
      <c r="BL293" s="124">
        <f>交易记录!P840</f>
        <v>0</v>
      </c>
      <c r="BM293" s="124">
        <f>交易记录!P871</f>
        <v>0</v>
      </c>
      <c r="BN293" s="30">
        <f t="shared" si="143"/>
        <v>0</v>
      </c>
      <c r="BO293" s="121">
        <f>交易记录!P904</f>
        <v>0</v>
      </c>
      <c r="BP293" s="121">
        <f>交易记录!P935</f>
        <v>0</v>
      </c>
      <c r="BQ293" s="30">
        <f t="shared" si="144"/>
        <v>0</v>
      </c>
    </row>
    <row r="294" spans="1:69" ht="15">
      <c r="A294" s="125">
        <f>'维护-日期'!A$15</f>
        <v>46278</v>
      </c>
      <c r="B294" s="7" t="s">
        <v>10</v>
      </c>
      <c r="C294" s="144">
        <f t="shared" si="145"/>
        <v>13.28</v>
      </c>
      <c r="D294" s="144">
        <f>ROUND(INDEX(持仓数据!$C$3:$AG$26,MATCH('计算过程-数据汇总'!B294,持仓数据!$B$3:$B$26,0),MATCH('计算过程-数据汇总'!A294,'维护-日期'!$B$2:$AF$2,0)),3)</f>
        <v>13.28</v>
      </c>
      <c r="E294" s="98">
        <f t="shared" si="146"/>
        <v>13.28</v>
      </c>
      <c r="F294" s="22">
        <f>持仓数据!O76</f>
        <v>7.5000000000000011E-2</v>
      </c>
      <c r="G294" s="97">
        <v>372</v>
      </c>
      <c r="H294" s="97">
        <v>372</v>
      </c>
      <c r="I294" s="64">
        <v>0</v>
      </c>
      <c r="J294" s="64">
        <v>0</v>
      </c>
      <c r="K294" s="21">
        <f>IF(持仓数据!O109="",0,持仓数据!O109)</f>
        <v>372</v>
      </c>
      <c r="L294" s="21">
        <f t="shared" si="147"/>
        <v>0</v>
      </c>
      <c r="M294" s="28">
        <f t="shared" si="131"/>
        <v>4940.16</v>
      </c>
      <c r="N294" s="28">
        <f t="shared" si="132"/>
        <v>0</v>
      </c>
      <c r="O294" s="28">
        <f t="shared" si="133"/>
        <v>0</v>
      </c>
      <c r="P294" s="28">
        <f t="shared" si="134"/>
        <v>0</v>
      </c>
      <c r="Q294" s="28">
        <f t="shared" si="148"/>
        <v>0</v>
      </c>
      <c r="R294" s="28">
        <f t="shared" si="135"/>
        <v>4940.16</v>
      </c>
      <c r="S294" s="28">
        <f t="shared" si="149"/>
        <v>0</v>
      </c>
      <c r="T294" s="28">
        <f t="shared" si="150"/>
        <v>0</v>
      </c>
      <c r="U294" s="28">
        <f t="shared" si="153"/>
        <v>0</v>
      </c>
      <c r="V294" s="28">
        <f t="shared" si="151"/>
        <v>0</v>
      </c>
      <c r="W294" s="118"/>
      <c r="X294" s="143">
        <f t="shared" si="152"/>
        <v>15.861000000000001</v>
      </c>
      <c r="Y294" s="121">
        <f>交易记录!P9</f>
        <v>7.5000000000000011E-2</v>
      </c>
      <c r="Z294" s="121">
        <f>交易记录!P40</f>
        <v>372</v>
      </c>
      <c r="AA294" s="30">
        <f t="shared" si="136"/>
        <v>0</v>
      </c>
      <c r="AB294" s="124">
        <f>交易记录!P73</f>
        <v>0</v>
      </c>
      <c r="AC294" s="124">
        <f>交易记录!P104</f>
        <v>0</v>
      </c>
      <c r="AD294" s="30">
        <f t="shared" si="154"/>
        <v>0</v>
      </c>
      <c r="AE294" s="121">
        <f>交易记录!P137</f>
        <v>0</v>
      </c>
      <c r="AF294" s="121">
        <f>交易记录!P168</f>
        <v>0</v>
      </c>
      <c r="AG294" s="30">
        <f t="shared" si="155"/>
        <v>0</v>
      </c>
      <c r="AH294" s="124">
        <f>交易记录!P201</f>
        <v>0</v>
      </c>
      <c r="AI294" s="124">
        <f>交易记录!P232</f>
        <v>0</v>
      </c>
      <c r="AJ294" s="30">
        <f t="shared" si="156"/>
        <v>0</v>
      </c>
      <c r="AK294" s="121">
        <f>交易记录!P265</f>
        <v>0</v>
      </c>
      <c r="AL294" s="121">
        <f>交易记录!P296</f>
        <v>0</v>
      </c>
      <c r="AM294" s="30">
        <f t="shared" si="157"/>
        <v>0</v>
      </c>
      <c r="AN294" s="124">
        <f>交易记录!P329</f>
        <v>0</v>
      </c>
      <c r="AO294" s="124">
        <f>交易记录!P360</f>
        <v>0</v>
      </c>
      <c r="AP294" s="30">
        <f t="shared" si="158"/>
        <v>0</v>
      </c>
      <c r="AQ294" s="121">
        <f>交易记录!P393</f>
        <v>0</v>
      </c>
      <c r="AR294" s="121">
        <f>交易记录!P424</f>
        <v>0</v>
      </c>
      <c r="AS294" s="30">
        <f t="shared" si="159"/>
        <v>0</v>
      </c>
      <c r="AT294" s="124">
        <f>交易记录!P457</f>
        <v>0</v>
      </c>
      <c r="AU294" s="124">
        <f>交易记录!P488</f>
        <v>0</v>
      </c>
      <c r="AV294" s="30">
        <f t="shared" si="137"/>
        <v>0</v>
      </c>
      <c r="AW294" s="121">
        <f>交易记录!P521</f>
        <v>0</v>
      </c>
      <c r="AX294" s="121">
        <f>交易记录!P552</f>
        <v>0</v>
      </c>
      <c r="AY294" s="30">
        <f t="shared" si="138"/>
        <v>0</v>
      </c>
      <c r="AZ294" s="124">
        <f>交易记录!P585</f>
        <v>0</v>
      </c>
      <c r="BA294" s="124">
        <f>交易记录!P616</f>
        <v>0</v>
      </c>
      <c r="BB294" s="30">
        <f t="shared" si="139"/>
        <v>0</v>
      </c>
      <c r="BC294" s="121">
        <f>交易记录!P649</f>
        <v>0</v>
      </c>
      <c r="BD294" s="121">
        <f>交易记录!P680</f>
        <v>0</v>
      </c>
      <c r="BE294" s="30">
        <f t="shared" si="140"/>
        <v>0</v>
      </c>
      <c r="BF294" s="124">
        <f>交易记录!P713</f>
        <v>0</v>
      </c>
      <c r="BG294" s="124">
        <f>交易记录!P744</f>
        <v>0</v>
      </c>
      <c r="BH294" s="30">
        <f t="shared" si="141"/>
        <v>0</v>
      </c>
      <c r="BI294" s="121">
        <f>交易记录!P777</f>
        <v>0</v>
      </c>
      <c r="BJ294" s="121">
        <f>交易记录!P808</f>
        <v>0</v>
      </c>
      <c r="BK294" s="30">
        <f t="shared" si="142"/>
        <v>0</v>
      </c>
      <c r="BL294" s="124">
        <f>交易记录!P841</f>
        <v>0</v>
      </c>
      <c r="BM294" s="124">
        <f>交易记录!P872</f>
        <v>0</v>
      </c>
      <c r="BN294" s="30">
        <f t="shared" si="143"/>
        <v>0</v>
      </c>
      <c r="BO294" s="121">
        <f>交易记录!P905</f>
        <v>0</v>
      </c>
      <c r="BP294" s="121">
        <f>交易记录!P936</f>
        <v>0</v>
      </c>
      <c r="BQ294" s="30">
        <f t="shared" si="144"/>
        <v>0</v>
      </c>
    </row>
    <row r="295" spans="1:69" ht="15">
      <c r="A295" s="125">
        <f>'维护-日期'!A$15</f>
        <v>46278</v>
      </c>
      <c r="B295" s="7" t="s">
        <v>11</v>
      </c>
      <c r="C295" s="144">
        <f t="shared" si="145"/>
        <v>12.787000000000001</v>
      </c>
      <c r="D295" s="144">
        <f>ROUND(INDEX(持仓数据!$C$3:$AG$26,MATCH('计算过程-数据汇总'!B295,持仓数据!$B$3:$B$26,0),MATCH('计算过程-数据汇总'!A295,'维护-日期'!$B$2:$AF$2,0)),3)</f>
        <v>12.787000000000001</v>
      </c>
      <c r="E295" s="98">
        <f t="shared" si="146"/>
        <v>12.787000000000001</v>
      </c>
      <c r="F295" s="22">
        <f>持仓数据!O77</f>
        <v>7.5000000000000011E-2</v>
      </c>
      <c r="G295" s="97">
        <v>372</v>
      </c>
      <c r="H295" s="97">
        <v>372</v>
      </c>
      <c r="I295" s="64">
        <v>0</v>
      </c>
      <c r="J295" s="64">
        <v>0</v>
      </c>
      <c r="K295" s="21">
        <f>IF(持仓数据!O110="",0,持仓数据!O110)</f>
        <v>372</v>
      </c>
      <c r="L295" s="21">
        <f t="shared" si="147"/>
        <v>0</v>
      </c>
      <c r="M295" s="28">
        <f t="shared" si="131"/>
        <v>4756.7640000000001</v>
      </c>
      <c r="N295" s="28">
        <f t="shared" si="132"/>
        <v>0</v>
      </c>
      <c r="O295" s="28">
        <f t="shared" si="133"/>
        <v>0</v>
      </c>
      <c r="P295" s="28">
        <f t="shared" si="134"/>
        <v>0</v>
      </c>
      <c r="Q295" s="28">
        <f t="shared" si="148"/>
        <v>0</v>
      </c>
      <c r="R295" s="28">
        <f t="shared" si="135"/>
        <v>4756.7640000000001</v>
      </c>
      <c r="S295" s="28">
        <f t="shared" si="149"/>
        <v>0</v>
      </c>
      <c r="T295" s="28">
        <f t="shared" si="150"/>
        <v>0</v>
      </c>
      <c r="U295" s="28">
        <f t="shared" si="153"/>
        <v>0</v>
      </c>
      <c r="V295" s="28">
        <f t="shared" si="151"/>
        <v>0</v>
      </c>
      <c r="W295" s="118"/>
      <c r="X295" s="143">
        <f t="shared" si="152"/>
        <v>15.269</v>
      </c>
      <c r="Y295" s="121">
        <f>交易记录!P10</f>
        <v>7.5000000000000011E-2</v>
      </c>
      <c r="Z295" s="121">
        <f>交易记录!P41</f>
        <v>372</v>
      </c>
      <c r="AA295" s="30">
        <f t="shared" si="136"/>
        <v>0</v>
      </c>
      <c r="AB295" s="124">
        <f>交易记录!P74</f>
        <v>0</v>
      </c>
      <c r="AC295" s="124">
        <f>交易记录!P105</f>
        <v>0</v>
      </c>
      <c r="AD295" s="30">
        <f t="shared" si="154"/>
        <v>0</v>
      </c>
      <c r="AE295" s="121">
        <f>交易记录!P138</f>
        <v>0</v>
      </c>
      <c r="AF295" s="121">
        <f>交易记录!P169</f>
        <v>0</v>
      </c>
      <c r="AG295" s="30">
        <f t="shared" si="155"/>
        <v>0</v>
      </c>
      <c r="AH295" s="124">
        <f>交易记录!P202</f>
        <v>0</v>
      </c>
      <c r="AI295" s="124">
        <f>交易记录!P233</f>
        <v>0</v>
      </c>
      <c r="AJ295" s="30">
        <f t="shared" si="156"/>
        <v>0</v>
      </c>
      <c r="AK295" s="121">
        <f>交易记录!P266</f>
        <v>0</v>
      </c>
      <c r="AL295" s="121">
        <f>交易记录!P297</f>
        <v>0</v>
      </c>
      <c r="AM295" s="30">
        <f t="shared" si="157"/>
        <v>0</v>
      </c>
      <c r="AN295" s="124">
        <f>交易记录!P330</f>
        <v>0</v>
      </c>
      <c r="AO295" s="124">
        <f>交易记录!P361</f>
        <v>0</v>
      </c>
      <c r="AP295" s="30">
        <f t="shared" si="158"/>
        <v>0</v>
      </c>
      <c r="AQ295" s="121">
        <f>交易记录!P394</f>
        <v>0</v>
      </c>
      <c r="AR295" s="121">
        <f>交易记录!P425</f>
        <v>0</v>
      </c>
      <c r="AS295" s="30">
        <f t="shared" si="159"/>
        <v>0</v>
      </c>
      <c r="AT295" s="124">
        <f>交易记录!P458</f>
        <v>0</v>
      </c>
      <c r="AU295" s="124">
        <f>交易记录!P489</f>
        <v>0</v>
      </c>
      <c r="AV295" s="30">
        <f t="shared" si="137"/>
        <v>0</v>
      </c>
      <c r="AW295" s="121">
        <f>交易记录!P522</f>
        <v>0</v>
      </c>
      <c r="AX295" s="121">
        <f>交易记录!P553</f>
        <v>0</v>
      </c>
      <c r="AY295" s="30">
        <f t="shared" si="138"/>
        <v>0</v>
      </c>
      <c r="AZ295" s="124">
        <f>交易记录!P586</f>
        <v>0</v>
      </c>
      <c r="BA295" s="124">
        <f>交易记录!P617</f>
        <v>0</v>
      </c>
      <c r="BB295" s="30">
        <f t="shared" si="139"/>
        <v>0</v>
      </c>
      <c r="BC295" s="121">
        <f>交易记录!P650</f>
        <v>0</v>
      </c>
      <c r="BD295" s="121">
        <f>交易记录!P681</f>
        <v>0</v>
      </c>
      <c r="BE295" s="30">
        <f t="shared" si="140"/>
        <v>0</v>
      </c>
      <c r="BF295" s="124">
        <f>交易记录!P714</f>
        <v>0</v>
      </c>
      <c r="BG295" s="124">
        <f>交易记录!P745</f>
        <v>0</v>
      </c>
      <c r="BH295" s="30">
        <f t="shared" si="141"/>
        <v>0</v>
      </c>
      <c r="BI295" s="121">
        <f>交易记录!P778</f>
        <v>0</v>
      </c>
      <c r="BJ295" s="121">
        <f>交易记录!P809</f>
        <v>0</v>
      </c>
      <c r="BK295" s="30">
        <f t="shared" si="142"/>
        <v>0</v>
      </c>
      <c r="BL295" s="124">
        <f>交易记录!P842</f>
        <v>0</v>
      </c>
      <c r="BM295" s="124">
        <f>交易记录!P873</f>
        <v>0</v>
      </c>
      <c r="BN295" s="30">
        <f t="shared" si="143"/>
        <v>0</v>
      </c>
      <c r="BO295" s="121">
        <f>交易记录!P906</f>
        <v>0</v>
      </c>
      <c r="BP295" s="121">
        <f>交易记录!P937</f>
        <v>0</v>
      </c>
      <c r="BQ295" s="30">
        <f t="shared" si="144"/>
        <v>0</v>
      </c>
    </row>
    <row r="296" spans="1:69" ht="15">
      <c r="A296" s="125">
        <f>'维护-日期'!A$15</f>
        <v>46278</v>
      </c>
      <c r="B296" s="7" t="s">
        <v>12</v>
      </c>
      <c r="C296" s="144">
        <f t="shared" si="145"/>
        <v>12.55</v>
      </c>
      <c r="D296" s="144">
        <f>ROUND(INDEX(持仓数据!$C$3:$AG$26,MATCH('计算过程-数据汇总'!B296,持仓数据!$B$3:$B$26,0),MATCH('计算过程-数据汇总'!A296,'维护-日期'!$B$2:$AF$2,0)),3)</f>
        <v>12.55</v>
      </c>
      <c r="E296" s="98">
        <f t="shared" si="146"/>
        <v>12.55</v>
      </c>
      <c r="F296" s="22">
        <f>持仓数据!O78</f>
        <v>0.106</v>
      </c>
      <c r="G296" s="97">
        <v>372</v>
      </c>
      <c r="H296" s="97">
        <v>372</v>
      </c>
      <c r="I296" s="64">
        <v>0</v>
      </c>
      <c r="J296" s="64">
        <v>0</v>
      </c>
      <c r="K296" s="21">
        <f>IF(持仓数据!O111="",0,持仓数据!O111)</f>
        <v>372.00000000000006</v>
      </c>
      <c r="L296" s="21">
        <f t="shared" si="147"/>
        <v>0</v>
      </c>
      <c r="M296" s="28">
        <f t="shared" si="131"/>
        <v>4668.6000000000004</v>
      </c>
      <c r="N296" s="28">
        <f t="shared" si="132"/>
        <v>0</v>
      </c>
      <c r="O296" s="28">
        <f t="shared" si="133"/>
        <v>0</v>
      </c>
      <c r="P296" s="28">
        <f t="shared" si="134"/>
        <v>6.0254023992456494E-15</v>
      </c>
      <c r="Q296" s="28">
        <f t="shared" si="148"/>
        <v>0</v>
      </c>
      <c r="R296" s="28">
        <f t="shared" si="135"/>
        <v>4668.6000000000013</v>
      </c>
      <c r="S296" s="28">
        <f t="shared" si="149"/>
        <v>0</v>
      </c>
      <c r="T296" s="28">
        <f t="shared" si="150"/>
        <v>-7.0735950430389498E-13</v>
      </c>
      <c r="U296" s="28">
        <f t="shared" si="153"/>
        <v>0</v>
      </c>
      <c r="V296" s="28">
        <f t="shared" si="151"/>
        <v>0</v>
      </c>
      <c r="W296" s="118"/>
      <c r="X296" s="143">
        <f t="shared" si="152"/>
        <v>14.954000000000001</v>
      </c>
      <c r="Y296" s="121">
        <f>交易记录!P11</f>
        <v>0.106</v>
      </c>
      <c r="Z296" s="121">
        <f>交易记录!P42</f>
        <v>372</v>
      </c>
      <c r="AA296" s="30">
        <f t="shared" si="136"/>
        <v>0</v>
      </c>
      <c r="AB296" s="124">
        <f>交易记录!P75</f>
        <v>0</v>
      </c>
      <c r="AC296" s="124">
        <f>交易记录!P106</f>
        <v>0</v>
      </c>
      <c r="AD296" s="30">
        <f t="shared" si="154"/>
        <v>0</v>
      </c>
      <c r="AE296" s="121">
        <f>交易记录!P139</f>
        <v>0</v>
      </c>
      <c r="AF296" s="121">
        <f>交易记录!P170</f>
        <v>0</v>
      </c>
      <c r="AG296" s="30">
        <f t="shared" si="155"/>
        <v>0</v>
      </c>
      <c r="AH296" s="124">
        <f>交易记录!P203</f>
        <v>0</v>
      </c>
      <c r="AI296" s="124">
        <f>交易记录!P234</f>
        <v>0</v>
      </c>
      <c r="AJ296" s="30">
        <f t="shared" si="156"/>
        <v>0</v>
      </c>
      <c r="AK296" s="121">
        <f>交易记录!P267</f>
        <v>0</v>
      </c>
      <c r="AL296" s="121">
        <f>交易记录!P298</f>
        <v>0</v>
      </c>
      <c r="AM296" s="30">
        <f t="shared" si="157"/>
        <v>0</v>
      </c>
      <c r="AN296" s="124">
        <f>交易记录!P331</f>
        <v>0</v>
      </c>
      <c r="AO296" s="124">
        <f>交易记录!P362</f>
        <v>0</v>
      </c>
      <c r="AP296" s="30">
        <f t="shared" si="158"/>
        <v>0</v>
      </c>
      <c r="AQ296" s="121">
        <f>交易记录!P395</f>
        <v>0</v>
      </c>
      <c r="AR296" s="121">
        <f>交易记录!P426</f>
        <v>0</v>
      </c>
      <c r="AS296" s="30">
        <f t="shared" si="159"/>
        <v>0</v>
      </c>
      <c r="AT296" s="124">
        <f>交易记录!P459</f>
        <v>0</v>
      </c>
      <c r="AU296" s="124">
        <f>交易记录!P490</f>
        <v>0</v>
      </c>
      <c r="AV296" s="30">
        <f t="shared" si="137"/>
        <v>0</v>
      </c>
      <c r="AW296" s="121">
        <f>交易记录!P523</f>
        <v>0</v>
      </c>
      <c r="AX296" s="121">
        <f>交易记录!P554</f>
        <v>0</v>
      </c>
      <c r="AY296" s="30">
        <f t="shared" si="138"/>
        <v>0</v>
      </c>
      <c r="AZ296" s="124">
        <f>交易记录!P587</f>
        <v>0</v>
      </c>
      <c r="BA296" s="124">
        <f>交易记录!P618</f>
        <v>0</v>
      </c>
      <c r="BB296" s="30">
        <f t="shared" si="139"/>
        <v>0</v>
      </c>
      <c r="BC296" s="121">
        <f>交易记录!P651</f>
        <v>0</v>
      </c>
      <c r="BD296" s="121">
        <f>交易记录!P682</f>
        <v>0</v>
      </c>
      <c r="BE296" s="30">
        <f t="shared" si="140"/>
        <v>0</v>
      </c>
      <c r="BF296" s="124">
        <f>交易记录!P715</f>
        <v>0</v>
      </c>
      <c r="BG296" s="124">
        <f>交易记录!P746</f>
        <v>0</v>
      </c>
      <c r="BH296" s="30">
        <f t="shared" si="141"/>
        <v>0</v>
      </c>
      <c r="BI296" s="121">
        <f>交易记录!P779</f>
        <v>0</v>
      </c>
      <c r="BJ296" s="121">
        <f>交易记录!P810</f>
        <v>0</v>
      </c>
      <c r="BK296" s="30">
        <f t="shared" si="142"/>
        <v>0</v>
      </c>
      <c r="BL296" s="124">
        <f>交易记录!P843</f>
        <v>0</v>
      </c>
      <c r="BM296" s="124">
        <f>交易记录!P874</f>
        <v>0</v>
      </c>
      <c r="BN296" s="30">
        <f t="shared" si="143"/>
        <v>0</v>
      </c>
      <c r="BO296" s="121">
        <f>交易记录!P907</f>
        <v>0</v>
      </c>
      <c r="BP296" s="121">
        <f>交易记录!P938</f>
        <v>0</v>
      </c>
      <c r="BQ296" s="30">
        <f t="shared" si="144"/>
        <v>0</v>
      </c>
    </row>
    <row r="297" spans="1:69" ht="15">
      <c r="A297" s="125">
        <f>'维护-日期'!A$15</f>
        <v>46278</v>
      </c>
      <c r="B297" s="7" t="s">
        <v>13</v>
      </c>
      <c r="C297" s="144">
        <f t="shared" si="145"/>
        <v>12.419</v>
      </c>
      <c r="D297" s="144">
        <f>ROUND(INDEX(持仓数据!$C$3:$AG$26,MATCH('计算过程-数据汇总'!B297,持仓数据!$B$3:$B$26,0),MATCH('计算过程-数据汇总'!A297,'维护-日期'!$B$2:$AF$2,0)),3)</f>
        <v>12.419</v>
      </c>
      <c r="E297" s="98">
        <f t="shared" si="146"/>
        <v>12.419</v>
      </c>
      <c r="F297" s="22">
        <f>持仓数据!O79</f>
        <v>0.11600000000000001</v>
      </c>
      <c r="G297" s="97">
        <v>372</v>
      </c>
      <c r="H297" s="97">
        <v>372</v>
      </c>
      <c r="I297" s="64">
        <v>0</v>
      </c>
      <c r="J297" s="64">
        <v>0</v>
      </c>
      <c r="K297" s="21">
        <f>IF(持仓数据!O112="",0,持仓数据!O112)</f>
        <v>372</v>
      </c>
      <c r="L297" s="21">
        <f t="shared" si="147"/>
        <v>0</v>
      </c>
      <c r="M297" s="28">
        <f t="shared" si="131"/>
        <v>4619.8680000000004</v>
      </c>
      <c r="N297" s="28">
        <f t="shared" si="132"/>
        <v>0</v>
      </c>
      <c r="O297" s="28">
        <f t="shared" si="133"/>
        <v>0</v>
      </c>
      <c r="P297" s="28">
        <f t="shared" si="134"/>
        <v>0</v>
      </c>
      <c r="Q297" s="28">
        <f t="shared" si="148"/>
        <v>0</v>
      </c>
      <c r="R297" s="28">
        <f t="shared" si="135"/>
        <v>4619.8680000000004</v>
      </c>
      <c r="S297" s="28">
        <f t="shared" si="149"/>
        <v>0</v>
      </c>
      <c r="T297" s="28">
        <f t="shared" si="150"/>
        <v>0</v>
      </c>
      <c r="U297" s="28">
        <f t="shared" si="153"/>
        <v>0</v>
      </c>
      <c r="V297" s="28">
        <f t="shared" si="151"/>
        <v>0</v>
      </c>
      <c r="W297" s="118"/>
      <c r="X297" s="143">
        <f t="shared" si="152"/>
        <v>14.787000000000001</v>
      </c>
      <c r="Y297" s="121">
        <f>交易记录!P12</f>
        <v>0.11600000000000001</v>
      </c>
      <c r="Z297" s="121">
        <f>交易记录!P43</f>
        <v>372</v>
      </c>
      <c r="AA297" s="30">
        <f t="shared" si="136"/>
        <v>0</v>
      </c>
      <c r="AB297" s="124">
        <f>交易记录!P76</f>
        <v>0</v>
      </c>
      <c r="AC297" s="124">
        <f>交易记录!P107</f>
        <v>0</v>
      </c>
      <c r="AD297" s="30">
        <f t="shared" si="154"/>
        <v>0</v>
      </c>
      <c r="AE297" s="121">
        <f>交易记录!P140</f>
        <v>0</v>
      </c>
      <c r="AF297" s="121">
        <f>交易记录!P171</f>
        <v>0</v>
      </c>
      <c r="AG297" s="30">
        <f t="shared" si="155"/>
        <v>0</v>
      </c>
      <c r="AH297" s="124">
        <f>交易记录!P204</f>
        <v>0</v>
      </c>
      <c r="AI297" s="124">
        <f>交易记录!P235</f>
        <v>0</v>
      </c>
      <c r="AJ297" s="30">
        <f t="shared" si="156"/>
        <v>0</v>
      </c>
      <c r="AK297" s="121">
        <f>交易记录!P268</f>
        <v>0</v>
      </c>
      <c r="AL297" s="121">
        <f>交易记录!P299</f>
        <v>0</v>
      </c>
      <c r="AM297" s="30">
        <f t="shared" si="157"/>
        <v>0</v>
      </c>
      <c r="AN297" s="124">
        <f>交易记录!P332</f>
        <v>0</v>
      </c>
      <c r="AO297" s="124">
        <f>交易记录!P363</f>
        <v>0</v>
      </c>
      <c r="AP297" s="30">
        <f t="shared" si="158"/>
        <v>0</v>
      </c>
      <c r="AQ297" s="121">
        <f>交易记录!P396</f>
        <v>0</v>
      </c>
      <c r="AR297" s="121">
        <f>交易记录!P427</f>
        <v>0</v>
      </c>
      <c r="AS297" s="30">
        <f t="shared" si="159"/>
        <v>0</v>
      </c>
      <c r="AT297" s="124">
        <f>交易记录!P460</f>
        <v>0</v>
      </c>
      <c r="AU297" s="124">
        <f>交易记录!P491</f>
        <v>0</v>
      </c>
      <c r="AV297" s="30">
        <f t="shared" si="137"/>
        <v>0</v>
      </c>
      <c r="AW297" s="121">
        <f>交易记录!P524</f>
        <v>0</v>
      </c>
      <c r="AX297" s="121">
        <f>交易记录!P555</f>
        <v>0</v>
      </c>
      <c r="AY297" s="30">
        <f t="shared" si="138"/>
        <v>0</v>
      </c>
      <c r="AZ297" s="124">
        <f>交易记录!P588</f>
        <v>0</v>
      </c>
      <c r="BA297" s="124">
        <f>交易记录!P619</f>
        <v>0</v>
      </c>
      <c r="BB297" s="30">
        <f t="shared" si="139"/>
        <v>0</v>
      </c>
      <c r="BC297" s="121">
        <f>交易记录!P652</f>
        <v>0</v>
      </c>
      <c r="BD297" s="121">
        <f>交易记录!P683</f>
        <v>0</v>
      </c>
      <c r="BE297" s="30">
        <f t="shared" si="140"/>
        <v>0</v>
      </c>
      <c r="BF297" s="124">
        <f>交易记录!P716</f>
        <v>0</v>
      </c>
      <c r="BG297" s="124">
        <f>交易记录!P747</f>
        <v>0</v>
      </c>
      <c r="BH297" s="30">
        <f t="shared" si="141"/>
        <v>0</v>
      </c>
      <c r="BI297" s="121">
        <f>交易记录!P780</f>
        <v>0</v>
      </c>
      <c r="BJ297" s="121">
        <f>交易记录!P811</f>
        <v>0</v>
      </c>
      <c r="BK297" s="30">
        <f t="shared" si="142"/>
        <v>0</v>
      </c>
      <c r="BL297" s="124">
        <f>交易记录!P844</f>
        <v>0</v>
      </c>
      <c r="BM297" s="124">
        <f>交易记录!P875</f>
        <v>0</v>
      </c>
      <c r="BN297" s="30">
        <f t="shared" si="143"/>
        <v>0</v>
      </c>
      <c r="BO297" s="121">
        <f>交易记录!P908</f>
        <v>0</v>
      </c>
      <c r="BP297" s="121">
        <f>交易记录!P939</f>
        <v>0</v>
      </c>
      <c r="BQ297" s="30">
        <f t="shared" si="144"/>
        <v>0</v>
      </c>
    </row>
    <row r="298" spans="1:69" ht="15">
      <c r="A298" s="125">
        <f>'维护-日期'!A$15</f>
        <v>46278</v>
      </c>
      <c r="B298" s="7" t="s">
        <v>14</v>
      </c>
      <c r="C298" s="144">
        <f t="shared" si="145"/>
        <v>13.66</v>
      </c>
      <c r="D298" s="144">
        <f>ROUND(INDEX(持仓数据!$C$3:$AG$26,MATCH('计算过程-数据汇总'!B298,持仓数据!$B$3:$B$26,0),MATCH('计算过程-数据汇总'!A298,'维护-日期'!$B$2:$AF$2,0)),3)</f>
        <v>13.66</v>
      </c>
      <c r="E298" s="98">
        <f t="shared" si="146"/>
        <v>13.66</v>
      </c>
      <c r="F298" s="22">
        <f>持仓数据!O80</f>
        <v>0.122</v>
      </c>
      <c r="G298" s="97">
        <v>372</v>
      </c>
      <c r="H298" s="97">
        <v>372</v>
      </c>
      <c r="I298" s="64">
        <v>0</v>
      </c>
      <c r="J298" s="64">
        <v>0</v>
      </c>
      <c r="K298" s="21">
        <f>IF(持仓数据!O113="",0,持仓数据!O113)</f>
        <v>372</v>
      </c>
      <c r="L298" s="21">
        <f t="shared" si="147"/>
        <v>0</v>
      </c>
      <c r="M298" s="28">
        <f t="shared" si="131"/>
        <v>5081.5200000000004</v>
      </c>
      <c r="N298" s="28">
        <f t="shared" si="132"/>
        <v>0</v>
      </c>
      <c r="O298" s="28">
        <f t="shared" si="133"/>
        <v>0</v>
      </c>
      <c r="P298" s="28">
        <f t="shared" si="134"/>
        <v>0</v>
      </c>
      <c r="Q298" s="28">
        <f t="shared" si="148"/>
        <v>0</v>
      </c>
      <c r="R298" s="28">
        <f t="shared" si="135"/>
        <v>5081.5200000000004</v>
      </c>
      <c r="S298" s="28">
        <f t="shared" si="149"/>
        <v>0</v>
      </c>
      <c r="T298" s="28">
        <f t="shared" si="150"/>
        <v>0</v>
      </c>
      <c r="U298" s="28">
        <f t="shared" si="153"/>
        <v>0</v>
      </c>
      <c r="V298" s="28">
        <f t="shared" si="151"/>
        <v>0</v>
      </c>
      <c r="W298" s="118"/>
      <c r="X298" s="143">
        <f t="shared" si="152"/>
        <v>16.27</v>
      </c>
      <c r="Y298" s="121">
        <f>交易记录!P13</f>
        <v>0.122</v>
      </c>
      <c r="Z298" s="121">
        <f>交易记录!P44</f>
        <v>372</v>
      </c>
      <c r="AA298" s="30">
        <f t="shared" si="136"/>
        <v>0</v>
      </c>
      <c r="AB298" s="124">
        <f>交易记录!P77</f>
        <v>0</v>
      </c>
      <c r="AC298" s="124">
        <f>交易记录!P108</f>
        <v>0</v>
      </c>
      <c r="AD298" s="30">
        <f t="shared" si="154"/>
        <v>0</v>
      </c>
      <c r="AE298" s="121">
        <f>交易记录!P141</f>
        <v>0</v>
      </c>
      <c r="AF298" s="121">
        <f>交易记录!P172</f>
        <v>0</v>
      </c>
      <c r="AG298" s="30">
        <f t="shared" si="155"/>
        <v>0</v>
      </c>
      <c r="AH298" s="124">
        <f>交易记录!P205</f>
        <v>0</v>
      </c>
      <c r="AI298" s="124">
        <f>交易记录!P236</f>
        <v>0</v>
      </c>
      <c r="AJ298" s="30">
        <f t="shared" si="156"/>
        <v>0</v>
      </c>
      <c r="AK298" s="121">
        <f>交易记录!P269</f>
        <v>0</v>
      </c>
      <c r="AL298" s="121">
        <f>交易记录!P300</f>
        <v>0</v>
      </c>
      <c r="AM298" s="30">
        <f t="shared" si="157"/>
        <v>0</v>
      </c>
      <c r="AN298" s="124">
        <f>交易记录!P333</f>
        <v>0</v>
      </c>
      <c r="AO298" s="124">
        <f>交易记录!P364</f>
        <v>0</v>
      </c>
      <c r="AP298" s="30">
        <f t="shared" si="158"/>
        <v>0</v>
      </c>
      <c r="AQ298" s="121">
        <f>交易记录!P397</f>
        <v>0</v>
      </c>
      <c r="AR298" s="121">
        <f>交易记录!P428</f>
        <v>0</v>
      </c>
      <c r="AS298" s="30">
        <f t="shared" si="159"/>
        <v>0</v>
      </c>
      <c r="AT298" s="124">
        <f>交易记录!P461</f>
        <v>0</v>
      </c>
      <c r="AU298" s="124">
        <f>交易记录!P492</f>
        <v>0</v>
      </c>
      <c r="AV298" s="30">
        <f t="shared" si="137"/>
        <v>0</v>
      </c>
      <c r="AW298" s="121">
        <f>交易记录!P525</f>
        <v>0</v>
      </c>
      <c r="AX298" s="121">
        <f>交易记录!P556</f>
        <v>0</v>
      </c>
      <c r="AY298" s="30">
        <f t="shared" si="138"/>
        <v>0</v>
      </c>
      <c r="AZ298" s="124">
        <f>交易记录!P589</f>
        <v>0</v>
      </c>
      <c r="BA298" s="124">
        <f>交易记录!P620</f>
        <v>0</v>
      </c>
      <c r="BB298" s="30">
        <f t="shared" si="139"/>
        <v>0</v>
      </c>
      <c r="BC298" s="121">
        <f>交易记录!P653</f>
        <v>0</v>
      </c>
      <c r="BD298" s="121">
        <f>交易记录!P684</f>
        <v>0</v>
      </c>
      <c r="BE298" s="30">
        <f t="shared" si="140"/>
        <v>0</v>
      </c>
      <c r="BF298" s="124">
        <f>交易记录!P717</f>
        <v>0</v>
      </c>
      <c r="BG298" s="124">
        <f>交易记录!P748</f>
        <v>0</v>
      </c>
      <c r="BH298" s="30">
        <f t="shared" si="141"/>
        <v>0</v>
      </c>
      <c r="BI298" s="121">
        <f>交易记录!P781</f>
        <v>0</v>
      </c>
      <c r="BJ298" s="121">
        <f>交易记录!P812</f>
        <v>0</v>
      </c>
      <c r="BK298" s="30">
        <f t="shared" si="142"/>
        <v>0</v>
      </c>
      <c r="BL298" s="124">
        <f>交易记录!P845</f>
        <v>0</v>
      </c>
      <c r="BM298" s="124">
        <f>交易记录!P876</f>
        <v>0</v>
      </c>
      <c r="BN298" s="30">
        <f t="shared" si="143"/>
        <v>0</v>
      </c>
      <c r="BO298" s="121">
        <f>交易记录!P909</f>
        <v>0</v>
      </c>
      <c r="BP298" s="121">
        <f>交易记录!P940</f>
        <v>0</v>
      </c>
      <c r="BQ298" s="30">
        <f t="shared" si="144"/>
        <v>0</v>
      </c>
    </row>
    <row r="299" spans="1:69" ht="15">
      <c r="A299" s="125">
        <f>'维护-日期'!A$15</f>
        <v>46278</v>
      </c>
      <c r="B299" s="7" t="s">
        <v>15</v>
      </c>
      <c r="C299" s="144">
        <f t="shared" si="145"/>
        <v>16.832999999999998</v>
      </c>
      <c r="D299" s="144">
        <f>ROUND(INDEX(持仓数据!$C$3:$AG$26,MATCH('计算过程-数据汇总'!B299,持仓数据!$B$3:$B$26,0),MATCH('计算过程-数据汇总'!A299,'维护-日期'!$B$2:$AF$2,0)),3)</f>
        <v>16.832999999999998</v>
      </c>
      <c r="E299" s="98">
        <f t="shared" si="146"/>
        <v>16.832999999999998</v>
      </c>
      <c r="F299" s="22">
        <f>持仓数据!O81</f>
        <v>0.127</v>
      </c>
      <c r="G299" s="97">
        <v>372</v>
      </c>
      <c r="H299" s="97">
        <v>372</v>
      </c>
      <c r="I299" s="64">
        <v>0</v>
      </c>
      <c r="J299" s="64">
        <v>0</v>
      </c>
      <c r="K299" s="21">
        <f>IF(持仓数据!O114="",0,持仓数据!O114)</f>
        <v>372</v>
      </c>
      <c r="L299" s="21">
        <f t="shared" si="147"/>
        <v>0</v>
      </c>
      <c r="M299" s="28">
        <f t="shared" si="131"/>
        <v>6261.8759999999993</v>
      </c>
      <c r="N299" s="28">
        <f t="shared" si="132"/>
        <v>0</v>
      </c>
      <c r="O299" s="28">
        <f t="shared" si="133"/>
        <v>0</v>
      </c>
      <c r="P299" s="28">
        <f t="shared" si="134"/>
        <v>0</v>
      </c>
      <c r="Q299" s="28">
        <f t="shared" si="148"/>
        <v>0</v>
      </c>
      <c r="R299" s="28">
        <f t="shared" si="135"/>
        <v>6261.8759999999993</v>
      </c>
      <c r="S299" s="28">
        <f t="shared" si="149"/>
        <v>0</v>
      </c>
      <c r="T299" s="28">
        <f t="shared" si="150"/>
        <v>0</v>
      </c>
      <c r="U299" s="28">
        <f t="shared" si="153"/>
        <v>0</v>
      </c>
      <c r="V299" s="28">
        <f t="shared" si="151"/>
        <v>0</v>
      </c>
      <c r="W299" s="118"/>
      <c r="X299" s="143">
        <f t="shared" si="152"/>
        <v>20.073</v>
      </c>
      <c r="Y299" s="121">
        <f>交易记录!P14</f>
        <v>0.127</v>
      </c>
      <c r="Z299" s="121">
        <f>交易记录!P45</f>
        <v>372</v>
      </c>
      <c r="AA299" s="30">
        <f t="shared" si="136"/>
        <v>0</v>
      </c>
      <c r="AB299" s="124">
        <f>交易记录!P78</f>
        <v>0</v>
      </c>
      <c r="AC299" s="124">
        <f>交易记录!P109</f>
        <v>0</v>
      </c>
      <c r="AD299" s="30">
        <f t="shared" si="154"/>
        <v>0</v>
      </c>
      <c r="AE299" s="121">
        <f>交易记录!P142</f>
        <v>0</v>
      </c>
      <c r="AF299" s="121">
        <f>交易记录!P173</f>
        <v>0</v>
      </c>
      <c r="AG299" s="30">
        <f t="shared" si="155"/>
        <v>0</v>
      </c>
      <c r="AH299" s="124">
        <f>交易记录!P206</f>
        <v>0</v>
      </c>
      <c r="AI299" s="124">
        <f>交易记录!P237</f>
        <v>0</v>
      </c>
      <c r="AJ299" s="30">
        <f t="shared" si="156"/>
        <v>0</v>
      </c>
      <c r="AK299" s="121">
        <f>交易记录!P270</f>
        <v>0</v>
      </c>
      <c r="AL299" s="121">
        <f>交易记录!P301</f>
        <v>0</v>
      </c>
      <c r="AM299" s="30">
        <f t="shared" si="157"/>
        <v>0</v>
      </c>
      <c r="AN299" s="124">
        <f>交易记录!P334</f>
        <v>0</v>
      </c>
      <c r="AO299" s="124">
        <f>交易记录!P365</f>
        <v>0</v>
      </c>
      <c r="AP299" s="30">
        <f t="shared" si="158"/>
        <v>0</v>
      </c>
      <c r="AQ299" s="121">
        <f>交易记录!P398</f>
        <v>0</v>
      </c>
      <c r="AR299" s="121">
        <f>交易记录!P429</f>
        <v>0</v>
      </c>
      <c r="AS299" s="30">
        <f t="shared" si="159"/>
        <v>0</v>
      </c>
      <c r="AT299" s="124">
        <f>交易记录!P462</f>
        <v>0</v>
      </c>
      <c r="AU299" s="124">
        <f>交易记录!P493</f>
        <v>0</v>
      </c>
      <c r="AV299" s="30">
        <f t="shared" si="137"/>
        <v>0</v>
      </c>
      <c r="AW299" s="121">
        <f>交易记录!P526</f>
        <v>0</v>
      </c>
      <c r="AX299" s="121">
        <f>交易记录!P557</f>
        <v>0</v>
      </c>
      <c r="AY299" s="30">
        <f t="shared" si="138"/>
        <v>0</v>
      </c>
      <c r="AZ299" s="124">
        <f>交易记录!P590</f>
        <v>0</v>
      </c>
      <c r="BA299" s="124">
        <f>交易记录!P621</f>
        <v>0</v>
      </c>
      <c r="BB299" s="30">
        <f t="shared" si="139"/>
        <v>0</v>
      </c>
      <c r="BC299" s="121">
        <f>交易记录!P654</f>
        <v>0</v>
      </c>
      <c r="BD299" s="121">
        <f>交易记录!P685</f>
        <v>0</v>
      </c>
      <c r="BE299" s="30">
        <f t="shared" si="140"/>
        <v>0</v>
      </c>
      <c r="BF299" s="124">
        <f>交易记录!P718</f>
        <v>0</v>
      </c>
      <c r="BG299" s="124">
        <f>交易记录!P749</f>
        <v>0</v>
      </c>
      <c r="BH299" s="30">
        <f t="shared" si="141"/>
        <v>0</v>
      </c>
      <c r="BI299" s="121">
        <f>交易记录!P782</f>
        <v>0</v>
      </c>
      <c r="BJ299" s="121">
        <f>交易记录!P813</f>
        <v>0</v>
      </c>
      <c r="BK299" s="30">
        <f t="shared" si="142"/>
        <v>0</v>
      </c>
      <c r="BL299" s="124">
        <f>交易记录!P846</f>
        <v>0</v>
      </c>
      <c r="BM299" s="124">
        <f>交易记录!P877</f>
        <v>0</v>
      </c>
      <c r="BN299" s="30">
        <f t="shared" si="143"/>
        <v>0</v>
      </c>
      <c r="BO299" s="121">
        <f>交易记录!P910</f>
        <v>0</v>
      </c>
      <c r="BP299" s="121">
        <f>交易记录!P941</f>
        <v>0</v>
      </c>
      <c r="BQ299" s="30">
        <f t="shared" si="144"/>
        <v>0</v>
      </c>
    </row>
    <row r="300" spans="1:69" ht="15">
      <c r="A300" s="125">
        <f>'维护-日期'!A$15</f>
        <v>46278</v>
      </c>
      <c r="B300" s="7" t="s">
        <v>16</v>
      </c>
      <c r="C300" s="144">
        <f t="shared" si="145"/>
        <v>18.838999999999999</v>
      </c>
      <c r="D300" s="144">
        <f>ROUND(INDEX(持仓数据!$C$3:$AG$26,MATCH('计算过程-数据汇总'!B300,持仓数据!$B$3:$B$26,0),MATCH('计算过程-数据汇总'!A300,'维护-日期'!$B$2:$AF$2,0)),3)</f>
        <v>18.838999999999999</v>
      </c>
      <c r="E300" s="98">
        <f t="shared" si="146"/>
        <v>18.838999999999999</v>
      </c>
      <c r="F300" s="22">
        <f>持仓数据!O82</f>
        <v>0.128</v>
      </c>
      <c r="G300" s="97">
        <v>372</v>
      </c>
      <c r="H300" s="97">
        <v>372</v>
      </c>
      <c r="I300" s="64">
        <v>0</v>
      </c>
      <c r="J300" s="64">
        <v>0</v>
      </c>
      <c r="K300" s="21">
        <f>IF(持仓数据!O115="",0,持仓数据!O115)</f>
        <v>372</v>
      </c>
      <c r="L300" s="21">
        <f t="shared" si="147"/>
        <v>0</v>
      </c>
      <c r="M300" s="28">
        <f t="shared" si="131"/>
        <v>7008.1079999999993</v>
      </c>
      <c r="N300" s="28">
        <f t="shared" si="132"/>
        <v>0</v>
      </c>
      <c r="O300" s="28">
        <f t="shared" si="133"/>
        <v>0</v>
      </c>
      <c r="P300" s="28">
        <f t="shared" si="134"/>
        <v>0</v>
      </c>
      <c r="Q300" s="28">
        <f t="shared" si="148"/>
        <v>0</v>
      </c>
      <c r="R300" s="28">
        <f t="shared" si="135"/>
        <v>7008.1079999999993</v>
      </c>
      <c r="S300" s="28">
        <f t="shared" si="149"/>
        <v>0</v>
      </c>
      <c r="T300" s="28">
        <f t="shared" si="150"/>
        <v>0</v>
      </c>
      <c r="U300" s="28">
        <f t="shared" si="153"/>
        <v>0</v>
      </c>
      <c r="V300" s="28">
        <f t="shared" si="151"/>
        <v>0</v>
      </c>
      <c r="W300" s="118"/>
      <c r="X300" s="143">
        <f t="shared" si="152"/>
        <v>22.478999999999999</v>
      </c>
      <c r="Y300" s="121">
        <f>交易记录!P15</f>
        <v>0.128</v>
      </c>
      <c r="Z300" s="121">
        <f>交易记录!P46</f>
        <v>372</v>
      </c>
      <c r="AA300" s="30">
        <f t="shared" si="136"/>
        <v>0</v>
      </c>
      <c r="AB300" s="124">
        <f>交易记录!P79</f>
        <v>0</v>
      </c>
      <c r="AC300" s="124">
        <f>交易记录!P110</f>
        <v>0</v>
      </c>
      <c r="AD300" s="30">
        <f t="shared" si="154"/>
        <v>0</v>
      </c>
      <c r="AE300" s="121">
        <f>交易记录!P143</f>
        <v>0</v>
      </c>
      <c r="AF300" s="121">
        <f>交易记录!P174</f>
        <v>0</v>
      </c>
      <c r="AG300" s="30">
        <f t="shared" si="155"/>
        <v>0</v>
      </c>
      <c r="AH300" s="124">
        <f>交易记录!P207</f>
        <v>0</v>
      </c>
      <c r="AI300" s="124">
        <f>交易记录!P238</f>
        <v>0</v>
      </c>
      <c r="AJ300" s="30">
        <f t="shared" si="156"/>
        <v>0</v>
      </c>
      <c r="AK300" s="121">
        <f>交易记录!P271</f>
        <v>0</v>
      </c>
      <c r="AL300" s="121">
        <f>交易记录!P302</f>
        <v>0</v>
      </c>
      <c r="AM300" s="30">
        <f t="shared" si="157"/>
        <v>0</v>
      </c>
      <c r="AN300" s="124">
        <f>交易记录!P335</f>
        <v>0</v>
      </c>
      <c r="AO300" s="124">
        <f>交易记录!P366</f>
        <v>0</v>
      </c>
      <c r="AP300" s="30">
        <f t="shared" si="158"/>
        <v>0</v>
      </c>
      <c r="AQ300" s="121">
        <f>交易记录!P399</f>
        <v>0</v>
      </c>
      <c r="AR300" s="121">
        <f>交易记录!P430</f>
        <v>0</v>
      </c>
      <c r="AS300" s="30">
        <f t="shared" si="159"/>
        <v>0</v>
      </c>
      <c r="AT300" s="124">
        <f>交易记录!P463</f>
        <v>0</v>
      </c>
      <c r="AU300" s="124">
        <f>交易记录!P494</f>
        <v>0</v>
      </c>
      <c r="AV300" s="30">
        <f t="shared" si="137"/>
        <v>0</v>
      </c>
      <c r="AW300" s="121">
        <f>交易记录!P527</f>
        <v>0</v>
      </c>
      <c r="AX300" s="121">
        <f>交易记录!P558</f>
        <v>0</v>
      </c>
      <c r="AY300" s="30">
        <f t="shared" si="138"/>
        <v>0</v>
      </c>
      <c r="AZ300" s="124">
        <f>交易记录!P591</f>
        <v>0</v>
      </c>
      <c r="BA300" s="124">
        <f>交易记录!P622</f>
        <v>0</v>
      </c>
      <c r="BB300" s="30">
        <f t="shared" si="139"/>
        <v>0</v>
      </c>
      <c r="BC300" s="121">
        <f>交易记录!P655</f>
        <v>0</v>
      </c>
      <c r="BD300" s="121">
        <f>交易记录!P686</f>
        <v>0</v>
      </c>
      <c r="BE300" s="30">
        <f t="shared" si="140"/>
        <v>0</v>
      </c>
      <c r="BF300" s="124">
        <f>交易记录!P719</f>
        <v>0</v>
      </c>
      <c r="BG300" s="124">
        <f>交易记录!P750</f>
        <v>0</v>
      </c>
      <c r="BH300" s="30">
        <f t="shared" si="141"/>
        <v>0</v>
      </c>
      <c r="BI300" s="121">
        <f>交易记录!P783</f>
        <v>0</v>
      </c>
      <c r="BJ300" s="121">
        <f>交易记录!P814</f>
        <v>0</v>
      </c>
      <c r="BK300" s="30">
        <f t="shared" si="142"/>
        <v>0</v>
      </c>
      <c r="BL300" s="124">
        <f>交易记录!P847</f>
        <v>0</v>
      </c>
      <c r="BM300" s="124">
        <f>交易记录!P878</f>
        <v>0</v>
      </c>
      <c r="BN300" s="30">
        <f t="shared" si="143"/>
        <v>0</v>
      </c>
      <c r="BO300" s="121">
        <f>交易记录!P911</f>
        <v>0</v>
      </c>
      <c r="BP300" s="121">
        <f>交易记录!P942</f>
        <v>0</v>
      </c>
      <c r="BQ300" s="30">
        <f t="shared" si="144"/>
        <v>0</v>
      </c>
    </row>
    <row r="301" spans="1:69" ht="15">
      <c r="A301" s="125">
        <f>'维护-日期'!A$15</f>
        <v>46278</v>
      </c>
      <c r="B301" s="7" t="s">
        <v>17</v>
      </c>
      <c r="C301" s="144">
        <f t="shared" si="145"/>
        <v>19.346</v>
      </c>
      <c r="D301" s="144">
        <f>ROUND(INDEX(持仓数据!$C$3:$AG$26,MATCH('计算过程-数据汇总'!B301,持仓数据!$B$3:$B$26,0),MATCH('计算过程-数据汇总'!A301,'维护-日期'!$B$2:$AF$2,0)),3)</f>
        <v>19.346</v>
      </c>
      <c r="E301" s="98">
        <f t="shared" si="146"/>
        <v>19.346</v>
      </c>
      <c r="F301" s="22">
        <f>持仓数据!O83</f>
        <v>0.13</v>
      </c>
      <c r="G301" s="97">
        <v>372</v>
      </c>
      <c r="H301" s="97">
        <v>372</v>
      </c>
      <c r="I301" s="64">
        <v>0</v>
      </c>
      <c r="J301" s="64">
        <v>0</v>
      </c>
      <c r="K301" s="21">
        <f>IF(持仓数据!O116="",0,持仓数据!O116)</f>
        <v>372</v>
      </c>
      <c r="L301" s="21">
        <f t="shared" si="147"/>
        <v>0</v>
      </c>
      <c r="M301" s="28">
        <f t="shared" si="131"/>
        <v>7196.7120000000004</v>
      </c>
      <c r="N301" s="28">
        <f t="shared" si="132"/>
        <v>0</v>
      </c>
      <c r="O301" s="28">
        <f t="shared" si="133"/>
        <v>0</v>
      </c>
      <c r="P301" s="28">
        <f t="shared" si="134"/>
        <v>0</v>
      </c>
      <c r="Q301" s="28">
        <f t="shared" si="148"/>
        <v>0</v>
      </c>
      <c r="R301" s="28">
        <f t="shared" si="135"/>
        <v>7196.7120000000004</v>
      </c>
      <c r="S301" s="28">
        <f t="shared" si="149"/>
        <v>0</v>
      </c>
      <c r="T301" s="28">
        <f t="shared" si="150"/>
        <v>0</v>
      </c>
      <c r="U301" s="28">
        <f t="shared" si="153"/>
        <v>0</v>
      </c>
      <c r="V301" s="28">
        <f t="shared" si="151"/>
        <v>0</v>
      </c>
      <c r="W301" s="118"/>
      <c r="X301" s="143">
        <f t="shared" si="152"/>
        <v>23.085000000000001</v>
      </c>
      <c r="Y301" s="121">
        <f>交易记录!P16</f>
        <v>0.13</v>
      </c>
      <c r="Z301" s="121">
        <f>交易记录!P47</f>
        <v>372</v>
      </c>
      <c r="AA301" s="30">
        <f t="shared" si="136"/>
        <v>0</v>
      </c>
      <c r="AB301" s="124">
        <f>交易记录!P80</f>
        <v>0</v>
      </c>
      <c r="AC301" s="124">
        <f>交易记录!P111</f>
        <v>0</v>
      </c>
      <c r="AD301" s="30">
        <f t="shared" si="154"/>
        <v>0</v>
      </c>
      <c r="AE301" s="121">
        <f>交易记录!P144</f>
        <v>0</v>
      </c>
      <c r="AF301" s="121">
        <f>交易记录!P175</f>
        <v>0</v>
      </c>
      <c r="AG301" s="30">
        <f t="shared" si="155"/>
        <v>0</v>
      </c>
      <c r="AH301" s="124">
        <f>交易记录!P208</f>
        <v>0</v>
      </c>
      <c r="AI301" s="124">
        <f>交易记录!P239</f>
        <v>0</v>
      </c>
      <c r="AJ301" s="30">
        <f t="shared" si="156"/>
        <v>0</v>
      </c>
      <c r="AK301" s="121">
        <f>交易记录!P272</f>
        <v>0</v>
      </c>
      <c r="AL301" s="121">
        <f>交易记录!P303</f>
        <v>0</v>
      </c>
      <c r="AM301" s="30">
        <f t="shared" si="157"/>
        <v>0</v>
      </c>
      <c r="AN301" s="124">
        <f>交易记录!P336</f>
        <v>0</v>
      </c>
      <c r="AO301" s="124">
        <f>交易记录!P367</f>
        <v>0</v>
      </c>
      <c r="AP301" s="30">
        <f t="shared" si="158"/>
        <v>0</v>
      </c>
      <c r="AQ301" s="121">
        <f>交易记录!P400</f>
        <v>0</v>
      </c>
      <c r="AR301" s="121">
        <f>交易记录!P431</f>
        <v>0</v>
      </c>
      <c r="AS301" s="30">
        <f t="shared" si="159"/>
        <v>0</v>
      </c>
      <c r="AT301" s="124">
        <f>交易记录!P464</f>
        <v>0</v>
      </c>
      <c r="AU301" s="124">
        <f>交易记录!P495</f>
        <v>0</v>
      </c>
      <c r="AV301" s="30">
        <f t="shared" si="137"/>
        <v>0</v>
      </c>
      <c r="AW301" s="121">
        <f>交易记录!P528</f>
        <v>0</v>
      </c>
      <c r="AX301" s="121">
        <f>交易记录!P559</f>
        <v>0</v>
      </c>
      <c r="AY301" s="30">
        <f t="shared" si="138"/>
        <v>0</v>
      </c>
      <c r="AZ301" s="124">
        <f>交易记录!P592</f>
        <v>0</v>
      </c>
      <c r="BA301" s="124">
        <f>交易记录!P623</f>
        <v>0</v>
      </c>
      <c r="BB301" s="30">
        <f t="shared" si="139"/>
        <v>0</v>
      </c>
      <c r="BC301" s="121">
        <f>交易记录!P656</f>
        <v>0</v>
      </c>
      <c r="BD301" s="121">
        <f>交易记录!P687</f>
        <v>0</v>
      </c>
      <c r="BE301" s="30">
        <f t="shared" si="140"/>
        <v>0</v>
      </c>
      <c r="BF301" s="124">
        <f>交易记录!P720</f>
        <v>0</v>
      </c>
      <c r="BG301" s="124">
        <f>交易记录!P751</f>
        <v>0</v>
      </c>
      <c r="BH301" s="30">
        <f t="shared" si="141"/>
        <v>0</v>
      </c>
      <c r="BI301" s="121">
        <f>交易记录!P784</f>
        <v>0</v>
      </c>
      <c r="BJ301" s="121">
        <f>交易记录!P815</f>
        <v>0</v>
      </c>
      <c r="BK301" s="30">
        <f t="shared" si="142"/>
        <v>0</v>
      </c>
      <c r="BL301" s="124">
        <f>交易记录!P848</f>
        <v>0</v>
      </c>
      <c r="BM301" s="124">
        <f>交易记录!P879</f>
        <v>0</v>
      </c>
      <c r="BN301" s="30">
        <f t="shared" si="143"/>
        <v>0</v>
      </c>
      <c r="BO301" s="121">
        <f>交易记录!P912</f>
        <v>0</v>
      </c>
      <c r="BP301" s="121">
        <f>交易记录!P943</f>
        <v>0</v>
      </c>
      <c r="BQ301" s="30">
        <f t="shared" si="144"/>
        <v>0</v>
      </c>
    </row>
    <row r="302" spans="1:69" ht="15">
      <c r="A302" s="125">
        <f>'维护-日期'!A$15</f>
        <v>46278</v>
      </c>
      <c r="B302" s="7" t="s">
        <v>18</v>
      </c>
      <c r="C302" s="144">
        <f t="shared" si="145"/>
        <v>20.166</v>
      </c>
      <c r="D302" s="144">
        <f>ROUND(INDEX(持仓数据!$C$3:$AG$26,MATCH('计算过程-数据汇总'!B302,持仓数据!$B$3:$B$26,0),MATCH('计算过程-数据汇总'!A302,'维护-日期'!$B$2:$AF$2,0)),3)</f>
        <v>20.166</v>
      </c>
      <c r="E302" s="98">
        <f t="shared" si="146"/>
        <v>20.166</v>
      </c>
      <c r="F302" s="22">
        <f>持仓数据!O84</f>
        <v>6.0999999999999999E-2</v>
      </c>
      <c r="G302" s="97">
        <v>372</v>
      </c>
      <c r="H302" s="97">
        <v>372</v>
      </c>
      <c r="I302" s="64">
        <v>0</v>
      </c>
      <c r="J302" s="64">
        <v>0</v>
      </c>
      <c r="K302" s="21">
        <f>IF(持仓数据!O117="",0,持仓数据!O117)</f>
        <v>372</v>
      </c>
      <c r="L302" s="21">
        <f t="shared" si="147"/>
        <v>0</v>
      </c>
      <c r="M302" s="28">
        <f t="shared" si="131"/>
        <v>7501.7520000000004</v>
      </c>
      <c r="N302" s="28">
        <f t="shared" si="132"/>
        <v>0</v>
      </c>
      <c r="O302" s="28">
        <f t="shared" si="133"/>
        <v>0</v>
      </c>
      <c r="P302" s="28">
        <f t="shared" si="134"/>
        <v>0</v>
      </c>
      <c r="Q302" s="28">
        <f t="shared" si="148"/>
        <v>0</v>
      </c>
      <c r="R302" s="28">
        <f t="shared" si="135"/>
        <v>7501.7520000000004</v>
      </c>
      <c r="S302" s="28">
        <f t="shared" si="149"/>
        <v>0</v>
      </c>
      <c r="T302" s="28">
        <f t="shared" si="150"/>
        <v>0</v>
      </c>
      <c r="U302" s="28">
        <f t="shared" si="153"/>
        <v>0</v>
      </c>
      <c r="V302" s="28">
        <f t="shared" si="151"/>
        <v>0</v>
      </c>
      <c r="W302" s="118"/>
      <c r="X302" s="143">
        <f t="shared" si="152"/>
        <v>24.138000000000002</v>
      </c>
      <c r="Y302" s="121">
        <f>交易记录!P17</f>
        <v>6.0999999999999999E-2</v>
      </c>
      <c r="Z302" s="121">
        <f>交易记录!P48</f>
        <v>372</v>
      </c>
      <c r="AA302" s="30">
        <f t="shared" si="136"/>
        <v>0</v>
      </c>
      <c r="AB302" s="124">
        <f>交易记录!P81</f>
        <v>0</v>
      </c>
      <c r="AC302" s="124">
        <f>交易记录!P112</f>
        <v>0</v>
      </c>
      <c r="AD302" s="30">
        <f t="shared" si="154"/>
        <v>0</v>
      </c>
      <c r="AE302" s="121">
        <f>交易记录!P145</f>
        <v>0</v>
      </c>
      <c r="AF302" s="121">
        <f>交易记录!P176</f>
        <v>0</v>
      </c>
      <c r="AG302" s="30">
        <f t="shared" si="155"/>
        <v>0</v>
      </c>
      <c r="AH302" s="124">
        <f>交易记录!P209</f>
        <v>0</v>
      </c>
      <c r="AI302" s="124">
        <f>交易记录!P240</f>
        <v>0</v>
      </c>
      <c r="AJ302" s="30">
        <f t="shared" si="156"/>
        <v>0</v>
      </c>
      <c r="AK302" s="121">
        <f>交易记录!P273</f>
        <v>0</v>
      </c>
      <c r="AL302" s="121">
        <f>交易记录!P304</f>
        <v>0</v>
      </c>
      <c r="AM302" s="30">
        <f t="shared" si="157"/>
        <v>0</v>
      </c>
      <c r="AN302" s="124">
        <f>交易记录!P337</f>
        <v>0</v>
      </c>
      <c r="AO302" s="124">
        <f>交易记录!P368</f>
        <v>0</v>
      </c>
      <c r="AP302" s="30">
        <f t="shared" si="158"/>
        <v>0</v>
      </c>
      <c r="AQ302" s="121">
        <f>交易记录!P401</f>
        <v>0</v>
      </c>
      <c r="AR302" s="121">
        <f>交易记录!P432</f>
        <v>0</v>
      </c>
      <c r="AS302" s="30">
        <f t="shared" si="159"/>
        <v>0</v>
      </c>
      <c r="AT302" s="124">
        <f>交易记录!P465</f>
        <v>0</v>
      </c>
      <c r="AU302" s="124">
        <f>交易记录!P496</f>
        <v>0</v>
      </c>
      <c r="AV302" s="30">
        <f t="shared" si="137"/>
        <v>0</v>
      </c>
      <c r="AW302" s="121">
        <f>交易记录!P529</f>
        <v>0</v>
      </c>
      <c r="AX302" s="121">
        <f>交易记录!P560</f>
        <v>0</v>
      </c>
      <c r="AY302" s="30">
        <f t="shared" si="138"/>
        <v>0</v>
      </c>
      <c r="AZ302" s="124">
        <f>交易记录!P593</f>
        <v>0</v>
      </c>
      <c r="BA302" s="124">
        <f>交易记录!P624</f>
        <v>0</v>
      </c>
      <c r="BB302" s="30">
        <f t="shared" si="139"/>
        <v>0</v>
      </c>
      <c r="BC302" s="121">
        <f>交易记录!P657</f>
        <v>0</v>
      </c>
      <c r="BD302" s="121">
        <f>交易记录!P688</f>
        <v>0</v>
      </c>
      <c r="BE302" s="30">
        <f t="shared" si="140"/>
        <v>0</v>
      </c>
      <c r="BF302" s="124">
        <f>交易记录!P721</f>
        <v>0</v>
      </c>
      <c r="BG302" s="124">
        <f>交易记录!P752</f>
        <v>0</v>
      </c>
      <c r="BH302" s="30">
        <f t="shared" si="141"/>
        <v>0</v>
      </c>
      <c r="BI302" s="121">
        <f>交易记录!P785</f>
        <v>0</v>
      </c>
      <c r="BJ302" s="121">
        <f>交易记录!P816</f>
        <v>0</v>
      </c>
      <c r="BK302" s="30">
        <f t="shared" si="142"/>
        <v>0</v>
      </c>
      <c r="BL302" s="124">
        <f>交易记录!P849</f>
        <v>0</v>
      </c>
      <c r="BM302" s="124">
        <f>交易记录!P880</f>
        <v>0</v>
      </c>
      <c r="BN302" s="30">
        <f t="shared" si="143"/>
        <v>0</v>
      </c>
      <c r="BO302" s="121">
        <f>交易记录!P913</f>
        <v>0</v>
      </c>
      <c r="BP302" s="121">
        <f>交易记录!P944</f>
        <v>0</v>
      </c>
      <c r="BQ302" s="30">
        <f t="shared" si="144"/>
        <v>0</v>
      </c>
    </row>
    <row r="303" spans="1:69" ht="15">
      <c r="A303" s="125">
        <f>'维护-日期'!A$15</f>
        <v>46278</v>
      </c>
      <c r="B303" s="7" t="s">
        <v>19</v>
      </c>
      <c r="C303" s="144">
        <f t="shared" si="145"/>
        <v>21.004999999999999</v>
      </c>
      <c r="D303" s="144">
        <f>ROUND(INDEX(持仓数据!$C$3:$AG$26,MATCH('计算过程-数据汇总'!B303,持仓数据!$B$3:$B$26,0),MATCH('计算过程-数据汇总'!A303,'维护-日期'!$B$2:$AF$2,0)),3)</f>
        <v>21.004999999999999</v>
      </c>
      <c r="E303" s="98">
        <f t="shared" si="146"/>
        <v>21.004999999999999</v>
      </c>
      <c r="F303" s="22">
        <f>持仓数据!O85</f>
        <v>8.1000000000000003E-2</v>
      </c>
      <c r="G303" s="97">
        <v>372</v>
      </c>
      <c r="H303" s="97">
        <v>372</v>
      </c>
      <c r="I303" s="64">
        <v>0</v>
      </c>
      <c r="J303" s="64">
        <v>0</v>
      </c>
      <c r="K303" s="21">
        <f>IF(持仓数据!O118="",0,持仓数据!O118)</f>
        <v>372</v>
      </c>
      <c r="L303" s="21">
        <f t="shared" si="147"/>
        <v>0</v>
      </c>
      <c r="M303" s="28">
        <f t="shared" si="131"/>
        <v>7813.86</v>
      </c>
      <c r="N303" s="28">
        <f t="shared" si="132"/>
        <v>0</v>
      </c>
      <c r="O303" s="28">
        <f t="shared" si="133"/>
        <v>0</v>
      </c>
      <c r="P303" s="28">
        <f t="shared" si="134"/>
        <v>0</v>
      </c>
      <c r="Q303" s="28">
        <f t="shared" si="148"/>
        <v>0</v>
      </c>
      <c r="R303" s="28">
        <f t="shared" si="135"/>
        <v>7813.86</v>
      </c>
      <c r="S303" s="28">
        <f t="shared" si="149"/>
        <v>0</v>
      </c>
      <c r="T303" s="28">
        <f t="shared" si="150"/>
        <v>0</v>
      </c>
      <c r="U303" s="28">
        <f t="shared" si="153"/>
        <v>0</v>
      </c>
      <c r="V303" s="28">
        <f t="shared" si="151"/>
        <v>0</v>
      </c>
      <c r="W303" s="118"/>
      <c r="X303" s="143">
        <f t="shared" si="152"/>
        <v>25.125</v>
      </c>
      <c r="Y303" s="121">
        <f>交易记录!P18</f>
        <v>8.1000000000000003E-2</v>
      </c>
      <c r="Z303" s="121">
        <f>交易记录!P49</f>
        <v>372</v>
      </c>
      <c r="AA303" s="30">
        <f t="shared" si="136"/>
        <v>0</v>
      </c>
      <c r="AB303" s="124">
        <f>交易记录!P82</f>
        <v>0</v>
      </c>
      <c r="AC303" s="124">
        <f>交易记录!P113</f>
        <v>0</v>
      </c>
      <c r="AD303" s="30">
        <f t="shared" si="154"/>
        <v>0</v>
      </c>
      <c r="AE303" s="121">
        <f>交易记录!P146</f>
        <v>0</v>
      </c>
      <c r="AF303" s="121">
        <f>交易记录!P177</f>
        <v>0</v>
      </c>
      <c r="AG303" s="30">
        <f t="shared" si="155"/>
        <v>0</v>
      </c>
      <c r="AH303" s="124">
        <f>交易记录!P210</f>
        <v>0</v>
      </c>
      <c r="AI303" s="124">
        <f>交易记录!P241</f>
        <v>0</v>
      </c>
      <c r="AJ303" s="30">
        <f t="shared" si="156"/>
        <v>0</v>
      </c>
      <c r="AK303" s="121">
        <f>交易记录!P274</f>
        <v>0</v>
      </c>
      <c r="AL303" s="121">
        <f>交易记录!P305</f>
        <v>0</v>
      </c>
      <c r="AM303" s="30">
        <f t="shared" si="157"/>
        <v>0</v>
      </c>
      <c r="AN303" s="124">
        <f>交易记录!P338</f>
        <v>0</v>
      </c>
      <c r="AO303" s="124">
        <f>交易记录!P369</f>
        <v>0</v>
      </c>
      <c r="AP303" s="30">
        <f t="shared" si="158"/>
        <v>0</v>
      </c>
      <c r="AQ303" s="121">
        <f>交易记录!P402</f>
        <v>0</v>
      </c>
      <c r="AR303" s="121">
        <f>交易记录!P433</f>
        <v>0</v>
      </c>
      <c r="AS303" s="30">
        <f t="shared" si="159"/>
        <v>0</v>
      </c>
      <c r="AT303" s="124">
        <f>交易记录!P466</f>
        <v>0</v>
      </c>
      <c r="AU303" s="124">
        <f>交易记录!P497</f>
        <v>0</v>
      </c>
      <c r="AV303" s="30">
        <f t="shared" si="137"/>
        <v>0</v>
      </c>
      <c r="AW303" s="121">
        <f>交易记录!P530</f>
        <v>0</v>
      </c>
      <c r="AX303" s="121">
        <f>交易记录!P561</f>
        <v>0</v>
      </c>
      <c r="AY303" s="30">
        <f t="shared" si="138"/>
        <v>0</v>
      </c>
      <c r="AZ303" s="124">
        <f>交易记录!P594</f>
        <v>0</v>
      </c>
      <c r="BA303" s="124">
        <f>交易记录!P625</f>
        <v>0</v>
      </c>
      <c r="BB303" s="30">
        <f t="shared" si="139"/>
        <v>0</v>
      </c>
      <c r="BC303" s="121">
        <f>交易记录!P658</f>
        <v>0</v>
      </c>
      <c r="BD303" s="121">
        <f>交易记录!P689</f>
        <v>0</v>
      </c>
      <c r="BE303" s="30">
        <f t="shared" si="140"/>
        <v>0</v>
      </c>
      <c r="BF303" s="124">
        <f>交易记录!P722</f>
        <v>0</v>
      </c>
      <c r="BG303" s="124">
        <f>交易记录!P753</f>
        <v>0</v>
      </c>
      <c r="BH303" s="30">
        <f t="shared" si="141"/>
        <v>0</v>
      </c>
      <c r="BI303" s="121">
        <f>交易记录!P786</f>
        <v>0</v>
      </c>
      <c r="BJ303" s="121">
        <f>交易记录!P817</f>
        <v>0</v>
      </c>
      <c r="BK303" s="30">
        <f t="shared" si="142"/>
        <v>0</v>
      </c>
      <c r="BL303" s="124">
        <f>交易记录!P850</f>
        <v>0</v>
      </c>
      <c r="BM303" s="124">
        <f>交易记录!P881</f>
        <v>0</v>
      </c>
      <c r="BN303" s="30">
        <f t="shared" si="143"/>
        <v>0</v>
      </c>
      <c r="BO303" s="121">
        <f>交易记录!P914</f>
        <v>0</v>
      </c>
      <c r="BP303" s="121">
        <f>交易记录!P945</f>
        <v>0</v>
      </c>
      <c r="BQ303" s="30">
        <f t="shared" si="144"/>
        <v>0</v>
      </c>
    </row>
    <row r="304" spans="1:69" ht="15">
      <c r="A304" s="125">
        <f>'维护-日期'!A$15</f>
        <v>46278</v>
      </c>
      <c r="B304" s="7" t="s">
        <v>20</v>
      </c>
      <c r="C304" s="144">
        <f t="shared" si="145"/>
        <v>20.777000000000001</v>
      </c>
      <c r="D304" s="144">
        <f>ROUND(INDEX(持仓数据!$C$3:$AG$26,MATCH('计算过程-数据汇总'!B304,持仓数据!$B$3:$B$26,0),MATCH('计算过程-数据汇总'!A304,'维护-日期'!$B$2:$AF$2,0)),3)</f>
        <v>20.777000000000001</v>
      </c>
      <c r="E304" s="98">
        <f t="shared" si="146"/>
        <v>20.777000000000001</v>
      </c>
      <c r="F304" s="22">
        <f>持仓数据!O86</f>
        <v>0.13</v>
      </c>
      <c r="G304" s="97">
        <v>372</v>
      </c>
      <c r="H304" s="97">
        <v>372</v>
      </c>
      <c r="I304" s="64">
        <v>0</v>
      </c>
      <c r="J304" s="64">
        <v>0</v>
      </c>
      <c r="K304" s="21">
        <f>IF(持仓数据!O119="",0,持仓数据!O119)</f>
        <v>372</v>
      </c>
      <c r="L304" s="21">
        <f t="shared" si="147"/>
        <v>0</v>
      </c>
      <c r="M304" s="28">
        <f t="shared" si="131"/>
        <v>7729.0440000000008</v>
      </c>
      <c r="N304" s="28">
        <f t="shared" si="132"/>
        <v>0</v>
      </c>
      <c r="O304" s="28">
        <f t="shared" si="133"/>
        <v>0</v>
      </c>
      <c r="P304" s="28">
        <f t="shared" si="134"/>
        <v>0</v>
      </c>
      <c r="Q304" s="28">
        <f t="shared" si="148"/>
        <v>0</v>
      </c>
      <c r="R304" s="28">
        <f t="shared" si="135"/>
        <v>7729.0440000000008</v>
      </c>
      <c r="S304" s="28">
        <f t="shared" si="149"/>
        <v>0</v>
      </c>
      <c r="T304" s="28">
        <f t="shared" si="150"/>
        <v>0</v>
      </c>
      <c r="U304" s="28">
        <f t="shared" si="153"/>
        <v>0</v>
      </c>
      <c r="V304" s="28">
        <f t="shared" si="151"/>
        <v>0</v>
      </c>
      <c r="W304" s="118"/>
      <c r="X304" s="143">
        <f t="shared" si="152"/>
        <v>24.802</v>
      </c>
      <c r="Y304" s="121">
        <f>交易记录!P19</f>
        <v>0.13</v>
      </c>
      <c r="Z304" s="121">
        <f>交易记录!P50</f>
        <v>372</v>
      </c>
      <c r="AA304" s="30">
        <f t="shared" si="136"/>
        <v>0</v>
      </c>
      <c r="AB304" s="124">
        <f>交易记录!P83</f>
        <v>0</v>
      </c>
      <c r="AC304" s="124">
        <f>交易记录!P114</f>
        <v>0</v>
      </c>
      <c r="AD304" s="30">
        <f t="shared" si="154"/>
        <v>0</v>
      </c>
      <c r="AE304" s="121">
        <f>交易记录!P147</f>
        <v>0</v>
      </c>
      <c r="AF304" s="121">
        <f>交易记录!P178</f>
        <v>0</v>
      </c>
      <c r="AG304" s="30">
        <f t="shared" si="155"/>
        <v>0</v>
      </c>
      <c r="AH304" s="124">
        <f>交易记录!P211</f>
        <v>0</v>
      </c>
      <c r="AI304" s="124">
        <f>交易记录!P242</f>
        <v>0</v>
      </c>
      <c r="AJ304" s="30">
        <f t="shared" si="156"/>
        <v>0</v>
      </c>
      <c r="AK304" s="121">
        <f>交易记录!P275</f>
        <v>0</v>
      </c>
      <c r="AL304" s="121">
        <f>交易记录!P306</f>
        <v>0</v>
      </c>
      <c r="AM304" s="30">
        <f t="shared" si="157"/>
        <v>0</v>
      </c>
      <c r="AN304" s="124">
        <f>交易记录!P339</f>
        <v>0</v>
      </c>
      <c r="AO304" s="124">
        <f>交易记录!P370</f>
        <v>0</v>
      </c>
      <c r="AP304" s="30">
        <f t="shared" si="158"/>
        <v>0</v>
      </c>
      <c r="AQ304" s="121">
        <f>交易记录!P403</f>
        <v>0</v>
      </c>
      <c r="AR304" s="121">
        <f>交易记录!P434</f>
        <v>0</v>
      </c>
      <c r="AS304" s="30">
        <f t="shared" si="159"/>
        <v>0</v>
      </c>
      <c r="AT304" s="124">
        <f>交易记录!P467</f>
        <v>0</v>
      </c>
      <c r="AU304" s="124">
        <f>交易记录!P498</f>
        <v>0</v>
      </c>
      <c r="AV304" s="30">
        <f t="shared" si="137"/>
        <v>0</v>
      </c>
      <c r="AW304" s="121">
        <f>交易记录!P531</f>
        <v>0</v>
      </c>
      <c r="AX304" s="121">
        <f>交易记录!P562</f>
        <v>0</v>
      </c>
      <c r="AY304" s="30">
        <f t="shared" si="138"/>
        <v>0</v>
      </c>
      <c r="AZ304" s="124">
        <f>交易记录!P595</f>
        <v>0</v>
      </c>
      <c r="BA304" s="124">
        <f>交易记录!P626</f>
        <v>0</v>
      </c>
      <c r="BB304" s="30">
        <f t="shared" si="139"/>
        <v>0</v>
      </c>
      <c r="BC304" s="121">
        <f>交易记录!P659</f>
        <v>0</v>
      </c>
      <c r="BD304" s="121">
        <f>交易记录!P690</f>
        <v>0</v>
      </c>
      <c r="BE304" s="30">
        <f t="shared" si="140"/>
        <v>0</v>
      </c>
      <c r="BF304" s="124">
        <f>交易记录!P723</f>
        <v>0</v>
      </c>
      <c r="BG304" s="124">
        <f>交易记录!P754</f>
        <v>0</v>
      </c>
      <c r="BH304" s="30">
        <f t="shared" si="141"/>
        <v>0</v>
      </c>
      <c r="BI304" s="121">
        <f>交易记录!P787</f>
        <v>0</v>
      </c>
      <c r="BJ304" s="121">
        <f>交易记录!P818</f>
        <v>0</v>
      </c>
      <c r="BK304" s="30">
        <f t="shared" si="142"/>
        <v>0</v>
      </c>
      <c r="BL304" s="124">
        <f>交易记录!P851</f>
        <v>0</v>
      </c>
      <c r="BM304" s="124">
        <f>交易记录!P882</f>
        <v>0</v>
      </c>
      <c r="BN304" s="30">
        <f t="shared" si="143"/>
        <v>0</v>
      </c>
      <c r="BO304" s="121">
        <f>交易记录!P915</f>
        <v>0</v>
      </c>
      <c r="BP304" s="121">
        <f>交易记录!P946</f>
        <v>0</v>
      </c>
      <c r="BQ304" s="30">
        <f t="shared" si="144"/>
        <v>0</v>
      </c>
    </row>
    <row r="305" spans="1:69" ht="15">
      <c r="A305" s="125">
        <f>'维护-日期'!A$15</f>
        <v>46278</v>
      </c>
      <c r="B305" s="7" t="s">
        <v>21</v>
      </c>
      <c r="C305" s="144">
        <f t="shared" si="145"/>
        <v>20.858000000000001</v>
      </c>
      <c r="D305" s="144">
        <f>ROUND(INDEX(持仓数据!$C$3:$AG$26,MATCH('计算过程-数据汇总'!B305,持仓数据!$B$3:$B$26,0),MATCH('计算过程-数据汇总'!A305,'维护-日期'!$B$2:$AF$2,0)),3)</f>
        <v>20.858000000000001</v>
      </c>
      <c r="E305" s="98">
        <f t="shared" si="146"/>
        <v>20.858000000000001</v>
      </c>
      <c r="F305" s="22">
        <f>持仓数据!O87</f>
        <v>0.13</v>
      </c>
      <c r="G305" s="97">
        <v>372</v>
      </c>
      <c r="H305" s="97">
        <v>372</v>
      </c>
      <c r="I305" s="64">
        <v>0</v>
      </c>
      <c r="J305" s="64">
        <v>0</v>
      </c>
      <c r="K305" s="21">
        <f>IF(持仓数据!O120="",0,持仓数据!O120)</f>
        <v>372</v>
      </c>
      <c r="L305" s="21">
        <f t="shared" si="147"/>
        <v>0</v>
      </c>
      <c r="M305" s="28">
        <f t="shared" si="131"/>
        <v>7759.1760000000004</v>
      </c>
      <c r="N305" s="28">
        <f t="shared" si="132"/>
        <v>0</v>
      </c>
      <c r="O305" s="28">
        <f t="shared" si="133"/>
        <v>0</v>
      </c>
      <c r="P305" s="28">
        <f t="shared" si="134"/>
        <v>0</v>
      </c>
      <c r="Q305" s="28">
        <f t="shared" si="148"/>
        <v>0</v>
      </c>
      <c r="R305" s="28">
        <f t="shared" si="135"/>
        <v>7759.1760000000004</v>
      </c>
      <c r="S305" s="28">
        <f t="shared" si="149"/>
        <v>0</v>
      </c>
      <c r="T305" s="28">
        <f t="shared" si="150"/>
        <v>0</v>
      </c>
      <c r="U305" s="28">
        <f t="shared" si="153"/>
        <v>0</v>
      </c>
      <c r="V305" s="28">
        <f t="shared" si="151"/>
        <v>0</v>
      </c>
      <c r="W305" s="118"/>
      <c r="X305" s="143">
        <f t="shared" si="152"/>
        <v>24.9</v>
      </c>
      <c r="Y305" s="121">
        <f>交易记录!P20</f>
        <v>0.13</v>
      </c>
      <c r="Z305" s="121">
        <f>交易记录!P51</f>
        <v>372</v>
      </c>
      <c r="AA305" s="30">
        <f t="shared" si="136"/>
        <v>0</v>
      </c>
      <c r="AB305" s="124">
        <f>交易记录!P84</f>
        <v>0</v>
      </c>
      <c r="AC305" s="124">
        <f>交易记录!P115</f>
        <v>0</v>
      </c>
      <c r="AD305" s="30">
        <f t="shared" si="154"/>
        <v>0</v>
      </c>
      <c r="AE305" s="121">
        <f>交易记录!P148</f>
        <v>0</v>
      </c>
      <c r="AF305" s="121">
        <f>交易记录!P179</f>
        <v>0</v>
      </c>
      <c r="AG305" s="30">
        <f t="shared" si="155"/>
        <v>0</v>
      </c>
      <c r="AH305" s="124">
        <f>交易记录!P212</f>
        <v>0</v>
      </c>
      <c r="AI305" s="124">
        <f>交易记录!P243</f>
        <v>0</v>
      </c>
      <c r="AJ305" s="30">
        <f t="shared" si="156"/>
        <v>0</v>
      </c>
      <c r="AK305" s="121">
        <f>交易记录!P276</f>
        <v>0</v>
      </c>
      <c r="AL305" s="121">
        <f>交易记录!P307</f>
        <v>0</v>
      </c>
      <c r="AM305" s="30">
        <f t="shared" si="157"/>
        <v>0</v>
      </c>
      <c r="AN305" s="124">
        <f>交易记录!P340</f>
        <v>0</v>
      </c>
      <c r="AO305" s="124">
        <f>交易记录!P371</f>
        <v>0</v>
      </c>
      <c r="AP305" s="30">
        <f t="shared" si="158"/>
        <v>0</v>
      </c>
      <c r="AQ305" s="121">
        <f>交易记录!P404</f>
        <v>0</v>
      </c>
      <c r="AR305" s="121">
        <f>交易记录!P435</f>
        <v>0</v>
      </c>
      <c r="AS305" s="30">
        <f t="shared" si="159"/>
        <v>0</v>
      </c>
      <c r="AT305" s="124">
        <f>交易记录!P468</f>
        <v>0</v>
      </c>
      <c r="AU305" s="124">
        <f>交易记录!P499</f>
        <v>0</v>
      </c>
      <c r="AV305" s="30">
        <f t="shared" si="137"/>
        <v>0</v>
      </c>
      <c r="AW305" s="121">
        <f>交易记录!P532</f>
        <v>0</v>
      </c>
      <c r="AX305" s="121">
        <f>交易记录!P563</f>
        <v>0</v>
      </c>
      <c r="AY305" s="30">
        <f t="shared" si="138"/>
        <v>0</v>
      </c>
      <c r="AZ305" s="124">
        <f>交易记录!P596</f>
        <v>0</v>
      </c>
      <c r="BA305" s="124">
        <f>交易记录!P627</f>
        <v>0</v>
      </c>
      <c r="BB305" s="30">
        <f t="shared" si="139"/>
        <v>0</v>
      </c>
      <c r="BC305" s="121">
        <f>交易记录!P660</f>
        <v>0</v>
      </c>
      <c r="BD305" s="121">
        <f>交易记录!P691</f>
        <v>0</v>
      </c>
      <c r="BE305" s="30">
        <f t="shared" si="140"/>
        <v>0</v>
      </c>
      <c r="BF305" s="124">
        <f>交易记录!P724</f>
        <v>0</v>
      </c>
      <c r="BG305" s="124">
        <f>交易记录!P755</f>
        <v>0</v>
      </c>
      <c r="BH305" s="30">
        <f t="shared" si="141"/>
        <v>0</v>
      </c>
      <c r="BI305" s="121">
        <f>交易记录!P788</f>
        <v>0</v>
      </c>
      <c r="BJ305" s="121">
        <f>交易记录!P819</f>
        <v>0</v>
      </c>
      <c r="BK305" s="30">
        <f t="shared" si="142"/>
        <v>0</v>
      </c>
      <c r="BL305" s="124">
        <f>交易记录!P852</f>
        <v>0</v>
      </c>
      <c r="BM305" s="124">
        <f>交易记录!P883</f>
        <v>0</v>
      </c>
      <c r="BN305" s="30">
        <f t="shared" si="143"/>
        <v>0</v>
      </c>
      <c r="BO305" s="121">
        <f>交易记录!P916</f>
        <v>0</v>
      </c>
      <c r="BP305" s="121">
        <f>交易记录!P947</f>
        <v>0</v>
      </c>
      <c r="BQ305" s="30">
        <f t="shared" si="144"/>
        <v>0</v>
      </c>
    </row>
    <row r="306" spans="1:69" ht="15">
      <c r="A306" s="125">
        <f>'维护-日期'!A$15</f>
        <v>46278</v>
      </c>
      <c r="B306" s="7" t="s">
        <v>22</v>
      </c>
      <c r="C306" s="144">
        <f t="shared" si="145"/>
        <v>21.905999999999999</v>
      </c>
      <c r="D306" s="144">
        <f>ROUND(INDEX(持仓数据!$C$3:$AG$26,MATCH('计算过程-数据汇总'!B306,持仓数据!$B$3:$B$26,0),MATCH('计算过程-数据汇总'!A306,'维护-日期'!$B$2:$AF$2,0)),3)</f>
        <v>21.905999999999999</v>
      </c>
      <c r="E306" s="98">
        <f t="shared" si="146"/>
        <v>21.905999999999999</v>
      </c>
      <c r="F306" s="22">
        <f>持仓数据!O88</f>
        <v>0.10200000000000001</v>
      </c>
      <c r="G306" s="97">
        <v>372</v>
      </c>
      <c r="H306" s="97">
        <v>372</v>
      </c>
      <c r="I306" s="64">
        <v>0</v>
      </c>
      <c r="J306" s="64">
        <v>0</v>
      </c>
      <c r="K306" s="21">
        <f>IF(持仓数据!O121="",0,持仓数据!O121)</f>
        <v>372</v>
      </c>
      <c r="L306" s="21">
        <f t="shared" si="147"/>
        <v>0</v>
      </c>
      <c r="M306" s="28">
        <f t="shared" si="131"/>
        <v>8149.0319999999992</v>
      </c>
      <c r="N306" s="28">
        <f t="shared" si="132"/>
        <v>0</v>
      </c>
      <c r="O306" s="28">
        <f t="shared" si="133"/>
        <v>0</v>
      </c>
      <c r="P306" s="28">
        <f t="shared" si="134"/>
        <v>0</v>
      </c>
      <c r="Q306" s="28">
        <f t="shared" si="148"/>
        <v>0</v>
      </c>
      <c r="R306" s="28">
        <f t="shared" si="135"/>
        <v>8149.0319999999992</v>
      </c>
      <c r="S306" s="28">
        <f t="shared" si="149"/>
        <v>0</v>
      </c>
      <c r="T306" s="28">
        <f t="shared" si="150"/>
        <v>0</v>
      </c>
      <c r="U306" s="28">
        <f t="shared" si="153"/>
        <v>0</v>
      </c>
      <c r="V306" s="28">
        <f t="shared" si="151"/>
        <v>0</v>
      </c>
      <c r="W306" s="118"/>
      <c r="X306" s="143">
        <f t="shared" si="152"/>
        <v>26.184999999999999</v>
      </c>
      <c r="Y306" s="121">
        <f>交易记录!P21</f>
        <v>0.10200000000000001</v>
      </c>
      <c r="Z306" s="121">
        <f>交易记录!P52</f>
        <v>372</v>
      </c>
      <c r="AA306" s="30">
        <f t="shared" si="136"/>
        <v>0</v>
      </c>
      <c r="AB306" s="124">
        <f>交易记录!P85</f>
        <v>0</v>
      </c>
      <c r="AC306" s="124">
        <f>交易记录!P116</f>
        <v>0</v>
      </c>
      <c r="AD306" s="30">
        <f t="shared" si="154"/>
        <v>0</v>
      </c>
      <c r="AE306" s="121">
        <f>交易记录!P149</f>
        <v>0</v>
      </c>
      <c r="AF306" s="121">
        <f>交易记录!P180</f>
        <v>0</v>
      </c>
      <c r="AG306" s="30">
        <f t="shared" si="155"/>
        <v>0</v>
      </c>
      <c r="AH306" s="124">
        <f>交易记录!P213</f>
        <v>0</v>
      </c>
      <c r="AI306" s="124">
        <f>交易记录!P244</f>
        <v>0</v>
      </c>
      <c r="AJ306" s="30">
        <f t="shared" si="156"/>
        <v>0</v>
      </c>
      <c r="AK306" s="121">
        <f>交易记录!P277</f>
        <v>0</v>
      </c>
      <c r="AL306" s="121">
        <f>交易记录!P308</f>
        <v>0</v>
      </c>
      <c r="AM306" s="30">
        <f t="shared" si="157"/>
        <v>0</v>
      </c>
      <c r="AN306" s="124">
        <f>交易记录!P341</f>
        <v>0</v>
      </c>
      <c r="AO306" s="124">
        <f>交易记录!P372</f>
        <v>0</v>
      </c>
      <c r="AP306" s="30">
        <f t="shared" si="158"/>
        <v>0</v>
      </c>
      <c r="AQ306" s="121">
        <f>交易记录!P405</f>
        <v>0</v>
      </c>
      <c r="AR306" s="121">
        <f>交易记录!P436</f>
        <v>0</v>
      </c>
      <c r="AS306" s="30">
        <f t="shared" si="159"/>
        <v>0</v>
      </c>
      <c r="AT306" s="124">
        <f>交易记录!P469</f>
        <v>0</v>
      </c>
      <c r="AU306" s="124">
        <f>交易记录!P500</f>
        <v>0</v>
      </c>
      <c r="AV306" s="30">
        <f t="shared" si="137"/>
        <v>0</v>
      </c>
      <c r="AW306" s="121">
        <f>交易记录!P533</f>
        <v>0</v>
      </c>
      <c r="AX306" s="121">
        <f>交易记录!P564</f>
        <v>0</v>
      </c>
      <c r="AY306" s="30">
        <f t="shared" si="138"/>
        <v>0</v>
      </c>
      <c r="AZ306" s="124">
        <f>交易记录!P597</f>
        <v>0</v>
      </c>
      <c r="BA306" s="124">
        <f>交易记录!P628</f>
        <v>0</v>
      </c>
      <c r="BB306" s="30">
        <f t="shared" si="139"/>
        <v>0</v>
      </c>
      <c r="BC306" s="121">
        <f>交易记录!P661</f>
        <v>0</v>
      </c>
      <c r="BD306" s="121">
        <f>交易记录!P692</f>
        <v>0</v>
      </c>
      <c r="BE306" s="30">
        <f t="shared" si="140"/>
        <v>0</v>
      </c>
      <c r="BF306" s="124">
        <f>交易记录!P725</f>
        <v>0</v>
      </c>
      <c r="BG306" s="124">
        <f>交易记录!P756</f>
        <v>0</v>
      </c>
      <c r="BH306" s="30">
        <f t="shared" si="141"/>
        <v>0</v>
      </c>
      <c r="BI306" s="121">
        <f>交易记录!P789</f>
        <v>0</v>
      </c>
      <c r="BJ306" s="121">
        <f>交易记录!P820</f>
        <v>0</v>
      </c>
      <c r="BK306" s="30">
        <f t="shared" si="142"/>
        <v>0</v>
      </c>
      <c r="BL306" s="124">
        <f>交易记录!P853</f>
        <v>0</v>
      </c>
      <c r="BM306" s="124">
        <f>交易记录!P884</f>
        <v>0</v>
      </c>
      <c r="BN306" s="30">
        <f t="shared" si="143"/>
        <v>0</v>
      </c>
      <c r="BO306" s="121">
        <f>交易记录!P917</f>
        <v>0</v>
      </c>
      <c r="BP306" s="121">
        <f>交易记录!P948</f>
        <v>0</v>
      </c>
      <c r="BQ306" s="30">
        <f t="shared" si="144"/>
        <v>0</v>
      </c>
    </row>
    <row r="307" spans="1:69" ht="15">
      <c r="A307" s="125">
        <f>'维护-日期'!A$15</f>
        <v>46278</v>
      </c>
      <c r="B307" s="7" t="s">
        <v>23</v>
      </c>
      <c r="C307" s="144">
        <f t="shared" si="145"/>
        <v>22.69</v>
      </c>
      <c r="D307" s="144">
        <f>ROUND(INDEX(持仓数据!$C$3:$AG$26,MATCH('计算过程-数据汇总'!B307,持仓数据!$B$3:$B$26,0),MATCH('计算过程-数据汇总'!A307,'维护-日期'!$B$2:$AF$2,0)),3)</f>
        <v>22.69</v>
      </c>
      <c r="E307" s="98">
        <f t="shared" si="146"/>
        <v>22.69</v>
      </c>
      <c r="F307" s="22">
        <f>持仓数据!O89</f>
        <v>0.127</v>
      </c>
      <c r="G307" s="97">
        <v>372</v>
      </c>
      <c r="H307" s="97">
        <v>372</v>
      </c>
      <c r="I307" s="64">
        <v>0</v>
      </c>
      <c r="J307" s="64">
        <v>0</v>
      </c>
      <c r="K307" s="21">
        <f>IF(持仓数据!O122="",0,持仓数据!O122)</f>
        <v>372</v>
      </c>
      <c r="L307" s="21">
        <f t="shared" si="147"/>
        <v>0</v>
      </c>
      <c r="M307" s="28">
        <f t="shared" si="131"/>
        <v>8440.68</v>
      </c>
      <c r="N307" s="28">
        <f t="shared" si="132"/>
        <v>0</v>
      </c>
      <c r="O307" s="28">
        <f t="shared" si="133"/>
        <v>0</v>
      </c>
      <c r="P307" s="28">
        <f t="shared" si="134"/>
        <v>0</v>
      </c>
      <c r="Q307" s="28">
        <f t="shared" si="148"/>
        <v>0</v>
      </c>
      <c r="R307" s="28">
        <f t="shared" si="135"/>
        <v>8440.68</v>
      </c>
      <c r="S307" s="28">
        <f t="shared" si="149"/>
        <v>0</v>
      </c>
      <c r="T307" s="28">
        <f t="shared" si="150"/>
        <v>0</v>
      </c>
      <c r="U307" s="28">
        <f t="shared" si="153"/>
        <v>0</v>
      </c>
      <c r="V307" s="28">
        <f t="shared" si="151"/>
        <v>0</v>
      </c>
      <c r="W307" s="118"/>
      <c r="X307" s="143">
        <f t="shared" si="152"/>
        <v>27.100999999999999</v>
      </c>
      <c r="Y307" s="121">
        <f>交易记录!P22</f>
        <v>0.127</v>
      </c>
      <c r="Z307" s="121">
        <f>交易记录!P53</f>
        <v>372</v>
      </c>
      <c r="AA307" s="30">
        <f t="shared" si="136"/>
        <v>0</v>
      </c>
      <c r="AB307" s="124">
        <f>交易记录!P86</f>
        <v>0</v>
      </c>
      <c r="AC307" s="124">
        <f>交易记录!P117</f>
        <v>0</v>
      </c>
      <c r="AD307" s="30">
        <f t="shared" si="154"/>
        <v>0</v>
      </c>
      <c r="AE307" s="121">
        <f>交易记录!P150</f>
        <v>0</v>
      </c>
      <c r="AF307" s="121">
        <f>交易记录!P181</f>
        <v>0</v>
      </c>
      <c r="AG307" s="30">
        <f t="shared" si="155"/>
        <v>0</v>
      </c>
      <c r="AH307" s="124">
        <f>交易记录!P214</f>
        <v>0</v>
      </c>
      <c r="AI307" s="124">
        <f>交易记录!P245</f>
        <v>0</v>
      </c>
      <c r="AJ307" s="30">
        <f t="shared" si="156"/>
        <v>0</v>
      </c>
      <c r="AK307" s="121">
        <f>交易记录!P278</f>
        <v>0</v>
      </c>
      <c r="AL307" s="121">
        <f>交易记录!P309</f>
        <v>0</v>
      </c>
      <c r="AM307" s="30">
        <f t="shared" si="157"/>
        <v>0</v>
      </c>
      <c r="AN307" s="124">
        <f>交易记录!P342</f>
        <v>0</v>
      </c>
      <c r="AO307" s="124">
        <f>交易记录!P373</f>
        <v>0</v>
      </c>
      <c r="AP307" s="30">
        <f t="shared" si="158"/>
        <v>0</v>
      </c>
      <c r="AQ307" s="121">
        <f>交易记录!P406</f>
        <v>0</v>
      </c>
      <c r="AR307" s="121">
        <f>交易记录!P437</f>
        <v>0</v>
      </c>
      <c r="AS307" s="30">
        <f t="shared" si="159"/>
        <v>0</v>
      </c>
      <c r="AT307" s="124">
        <f>交易记录!P470</f>
        <v>0</v>
      </c>
      <c r="AU307" s="124">
        <f>交易记录!P501</f>
        <v>0</v>
      </c>
      <c r="AV307" s="30">
        <f t="shared" si="137"/>
        <v>0</v>
      </c>
      <c r="AW307" s="121">
        <f>交易记录!P534</f>
        <v>0</v>
      </c>
      <c r="AX307" s="121">
        <f>交易记录!P565</f>
        <v>0</v>
      </c>
      <c r="AY307" s="30">
        <f t="shared" si="138"/>
        <v>0</v>
      </c>
      <c r="AZ307" s="124">
        <f>交易记录!P598</f>
        <v>0</v>
      </c>
      <c r="BA307" s="124">
        <f>交易记录!P629</f>
        <v>0</v>
      </c>
      <c r="BB307" s="30">
        <f t="shared" si="139"/>
        <v>0</v>
      </c>
      <c r="BC307" s="121">
        <f>交易记录!P662</f>
        <v>0</v>
      </c>
      <c r="BD307" s="121">
        <f>交易记录!P693</f>
        <v>0</v>
      </c>
      <c r="BE307" s="30">
        <f t="shared" si="140"/>
        <v>0</v>
      </c>
      <c r="BF307" s="124">
        <f>交易记录!P726</f>
        <v>0</v>
      </c>
      <c r="BG307" s="124">
        <f>交易记录!P757</f>
        <v>0</v>
      </c>
      <c r="BH307" s="30">
        <f t="shared" si="141"/>
        <v>0</v>
      </c>
      <c r="BI307" s="121">
        <f>交易记录!P790</f>
        <v>0</v>
      </c>
      <c r="BJ307" s="121">
        <f>交易记录!P821</f>
        <v>0</v>
      </c>
      <c r="BK307" s="30">
        <f t="shared" si="142"/>
        <v>0</v>
      </c>
      <c r="BL307" s="124">
        <f>交易记录!P854</f>
        <v>0</v>
      </c>
      <c r="BM307" s="124">
        <f>交易记录!P885</f>
        <v>0</v>
      </c>
      <c r="BN307" s="30">
        <f t="shared" si="143"/>
        <v>0</v>
      </c>
      <c r="BO307" s="121">
        <f>交易记录!P918</f>
        <v>0</v>
      </c>
      <c r="BP307" s="121">
        <f>交易记录!P949</f>
        <v>0</v>
      </c>
      <c r="BQ307" s="30">
        <f t="shared" si="144"/>
        <v>0</v>
      </c>
    </row>
    <row r="308" spans="1:69" ht="15">
      <c r="A308" s="125">
        <f>'维护-日期'!A$15</f>
        <v>46278</v>
      </c>
      <c r="B308" s="7" t="s">
        <v>24</v>
      </c>
      <c r="C308" s="144">
        <f t="shared" si="145"/>
        <v>23.346</v>
      </c>
      <c r="D308" s="144">
        <f>ROUND(INDEX(持仓数据!$C$3:$AG$26,MATCH('计算过程-数据汇总'!B308,持仓数据!$B$3:$B$26,0),MATCH('计算过程-数据汇总'!A308,'维护-日期'!$B$2:$AF$2,0)),3)</f>
        <v>23.346</v>
      </c>
      <c r="E308" s="98">
        <f t="shared" si="146"/>
        <v>23.346</v>
      </c>
      <c r="F308" s="22">
        <f>持仓数据!O90</f>
        <v>0.128</v>
      </c>
      <c r="G308" s="97">
        <v>372</v>
      </c>
      <c r="H308" s="97">
        <v>372</v>
      </c>
      <c r="I308" s="64">
        <v>0</v>
      </c>
      <c r="J308" s="64">
        <v>0</v>
      </c>
      <c r="K308" s="21">
        <f>IF(持仓数据!O123="",0,持仓数据!O123)</f>
        <v>372</v>
      </c>
      <c r="L308" s="21">
        <f t="shared" si="147"/>
        <v>0</v>
      </c>
      <c r="M308" s="28">
        <f t="shared" si="131"/>
        <v>8684.7119999999995</v>
      </c>
      <c r="N308" s="28">
        <f t="shared" si="132"/>
        <v>0</v>
      </c>
      <c r="O308" s="28">
        <f t="shared" si="133"/>
        <v>0</v>
      </c>
      <c r="P308" s="28">
        <f t="shared" si="134"/>
        <v>0</v>
      </c>
      <c r="Q308" s="28">
        <f t="shared" si="148"/>
        <v>0</v>
      </c>
      <c r="R308" s="28">
        <f t="shared" si="135"/>
        <v>8684.7119999999995</v>
      </c>
      <c r="S308" s="28">
        <f t="shared" si="149"/>
        <v>0</v>
      </c>
      <c r="T308" s="28">
        <f t="shared" si="150"/>
        <v>0</v>
      </c>
      <c r="U308" s="28">
        <f t="shared" si="153"/>
        <v>0</v>
      </c>
      <c r="V308" s="28">
        <f t="shared" si="151"/>
        <v>0</v>
      </c>
      <c r="W308" s="118"/>
      <c r="X308" s="143">
        <f t="shared" si="152"/>
        <v>27.887</v>
      </c>
      <c r="Y308" s="121">
        <f>交易记录!P23</f>
        <v>0.128</v>
      </c>
      <c r="Z308" s="121">
        <f>交易记录!P54</f>
        <v>372</v>
      </c>
      <c r="AA308" s="30">
        <f t="shared" si="136"/>
        <v>0</v>
      </c>
      <c r="AB308" s="124">
        <f>交易记录!P87</f>
        <v>0</v>
      </c>
      <c r="AC308" s="124">
        <f>交易记录!P118</f>
        <v>0</v>
      </c>
      <c r="AD308" s="30">
        <f t="shared" si="154"/>
        <v>0</v>
      </c>
      <c r="AE308" s="121">
        <f>交易记录!P151</f>
        <v>0</v>
      </c>
      <c r="AF308" s="121">
        <f>交易记录!P182</f>
        <v>0</v>
      </c>
      <c r="AG308" s="30">
        <f t="shared" si="155"/>
        <v>0</v>
      </c>
      <c r="AH308" s="124">
        <f>交易记录!P215</f>
        <v>0</v>
      </c>
      <c r="AI308" s="124">
        <f>交易记录!P246</f>
        <v>0</v>
      </c>
      <c r="AJ308" s="30">
        <f t="shared" si="156"/>
        <v>0</v>
      </c>
      <c r="AK308" s="121">
        <f>交易记录!P279</f>
        <v>0</v>
      </c>
      <c r="AL308" s="121">
        <f>交易记录!P310</f>
        <v>0</v>
      </c>
      <c r="AM308" s="30">
        <f t="shared" si="157"/>
        <v>0</v>
      </c>
      <c r="AN308" s="124">
        <f>交易记录!P343</f>
        <v>0</v>
      </c>
      <c r="AO308" s="124">
        <f>交易记录!P374</f>
        <v>0</v>
      </c>
      <c r="AP308" s="30">
        <f t="shared" si="158"/>
        <v>0</v>
      </c>
      <c r="AQ308" s="121">
        <f>交易记录!P407</f>
        <v>0</v>
      </c>
      <c r="AR308" s="121">
        <f>交易记录!P438</f>
        <v>0</v>
      </c>
      <c r="AS308" s="30">
        <f t="shared" si="159"/>
        <v>0</v>
      </c>
      <c r="AT308" s="124">
        <f>交易记录!P471</f>
        <v>0</v>
      </c>
      <c r="AU308" s="124">
        <f>交易记录!P502</f>
        <v>0</v>
      </c>
      <c r="AV308" s="30">
        <f t="shared" si="137"/>
        <v>0</v>
      </c>
      <c r="AW308" s="121">
        <f>交易记录!P535</f>
        <v>0</v>
      </c>
      <c r="AX308" s="121">
        <f>交易记录!P566</f>
        <v>0</v>
      </c>
      <c r="AY308" s="30">
        <f t="shared" si="138"/>
        <v>0</v>
      </c>
      <c r="AZ308" s="124">
        <f>交易记录!P599</f>
        <v>0</v>
      </c>
      <c r="BA308" s="124">
        <f>交易记录!P630</f>
        <v>0</v>
      </c>
      <c r="BB308" s="30">
        <f t="shared" si="139"/>
        <v>0</v>
      </c>
      <c r="BC308" s="121">
        <f>交易记录!P663</f>
        <v>0</v>
      </c>
      <c r="BD308" s="121">
        <f>交易记录!P694</f>
        <v>0</v>
      </c>
      <c r="BE308" s="30">
        <f t="shared" si="140"/>
        <v>0</v>
      </c>
      <c r="BF308" s="124">
        <f>交易记录!P727</f>
        <v>0</v>
      </c>
      <c r="BG308" s="124">
        <f>交易记录!P758</f>
        <v>0</v>
      </c>
      <c r="BH308" s="30">
        <f t="shared" si="141"/>
        <v>0</v>
      </c>
      <c r="BI308" s="121">
        <f>交易记录!P791</f>
        <v>0</v>
      </c>
      <c r="BJ308" s="121">
        <f>交易记录!P822</f>
        <v>0</v>
      </c>
      <c r="BK308" s="30">
        <f t="shared" si="142"/>
        <v>0</v>
      </c>
      <c r="BL308" s="124">
        <f>交易记录!P855</f>
        <v>0</v>
      </c>
      <c r="BM308" s="124">
        <f>交易记录!P886</f>
        <v>0</v>
      </c>
      <c r="BN308" s="30">
        <f t="shared" si="143"/>
        <v>0</v>
      </c>
      <c r="BO308" s="121">
        <f>交易记录!P919</f>
        <v>0</v>
      </c>
      <c r="BP308" s="121">
        <f>交易记录!P950</f>
        <v>0</v>
      </c>
      <c r="BQ308" s="30">
        <f t="shared" si="144"/>
        <v>0</v>
      </c>
    </row>
    <row r="309" spans="1:69" ht="15">
      <c r="A309" s="125">
        <f>'维护-日期'!A$15</f>
        <v>46278</v>
      </c>
      <c r="B309" s="7" t="s">
        <v>25</v>
      </c>
      <c r="C309" s="144">
        <f t="shared" si="145"/>
        <v>23.771999999999998</v>
      </c>
      <c r="D309" s="144">
        <f>ROUND(INDEX(持仓数据!$C$3:$AG$26,MATCH('计算过程-数据汇总'!B309,持仓数据!$B$3:$B$26,0),MATCH('计算过程-数据汇总'!A309,'维护-日期'!$B$2:$AF$2,0)),3)</f>
        <v>23.771999999999998</v>
      </c>
      <c r="E309" s="98">
        <f t="shared" si="146"/>
        <v>23.771999999999998</v>
      </c>
      <c r="F309" s="22">
        <f>持仓数据!O91</f>
        <v>0.22399999999999998</v>
      </c>
      <c r="G309" s="97">
        <v>372</v>
      </c>
      <c r="H309" s="97">
        <v>372</v>
      </c>
      <c r="I309" s="64">
        <v>0</v>
      </c>
      <c r="J309" s="64">
        <v>0</v>
      </c>
      <c r="K309" s="21">
        <f>IF(持仓数据!O124="",0,持仓数据!O124)</f>
        <v>372</v>
      </c>
      <c r="L309" s="21">
        <f t="shared" si="147"/>
        <v>0</v>
      </c>
      <c r="M309" s="28">
        <f t="shared" si="131"/>
        <v>8843.1839999999993</v>
      </c>
      <c r="N309" s="28">
        <f t="shared" si="132"/>
        <v>0</v>
      </c>
      <c r="O309" s="28">
        <f t="shared" si="133"/>
        <v>0</v>
      </c>
      <c r="P309" s="28">
        <f t="shared" si="134"/>
        <v>0</v>
      </c>
      <c r="Q309" s="28">
        <f t="shared" si="148"/>
        <v>0</v>
      </c>
      <c r="R309" s="28">
        <f t="shared" si="135"/>
        <v>8843.1839999999993</v>
      </c>
      <c r="S309" s="28">
        <f t="shared" si="149"/>
        <v>0</v>
      </c>
      <c r="T309" s="28">
        <f t="shared" si="150"/>
        <v>0</v>
      </c>
      <c r="U309" s="28">
        <f t="shared" si="153"/>
        <v>0</v>
      </c>
      <c r="V309" s="28">
        <f t="shared" si="151"/>
        <v>0</v>
      </c>
      <c r="W309" s="118"/>
      <c r="X309" s="143">
        <f t="shared" si="152"/>
        <v>28.302</v>
      </c>
      <c r="Y309" s="121">
        <f>交易记录!P24</f>
        <v>0.22399999999999998</v>
      </c>
      <c r="Z309" s="121">
        <f>交易记录!P55</f>
        <v>372</v>
      </c>
      <c r="AA309" s="30">
        <f t="shared" si="136"/>
        <v>0</v>
      </c>
      <c r="AB309" s="124">
        <f>交易记录!P88</f>
        <v>0</v>
      </c>
      <c r="AC309" s="124">
        <f>交易记录!P119</f>
        <v>0</v>
      </c>
      <c r="AD309" s="30">
        <f t="shared" si="154"/>
        <v>0</v>
      </c>
      <c r="AE309" s="121">
        <f>交易记录!P152</f>
        <v>0</v>
      </c>
      <c r="AF309" s="121">
        <f>交易记录!P183</f>
        <v>0</v>
      </c>
      <c r="AG309" s="30">
        <f t="shared" si="155"/>
        <v>0</v>
      </c>
      <c r="AH309" s="124">
        <f>交易记录!P216</f>
        <v>0</v>
      </c>
      <c r="AI309" s="124">
        <f>交易记录!P247</f>
        <v>0</v>
      </c>
      <c r="AJ309" s="30">
        <f t="shared" si="156"/>
        <v>0</v>
      </c>
      <c r="AK309" s="121">
        <f>交易记录!P280</f>
        <v>0</v>
      </c>
      <c r="AL309" s="121">
        <f>交易记录!P311</f>
        <v>0</v>
      </c>
      <c r="AM309" s="30">
        <f t="shared" si="157"/>
        <v>0</v>
      </c>
      <c r="AN309" s="124">
        <f>交易记录!P344</f>
        <v>0</v>
      </c>
      <c r="AO309" s="124">
        <f>交易记录!P375</f>
        <v>0</v>
      </c>
      <c r="AP309" s="30">
        <f t="shared" si="158"/>
        <v>0</v>
      </c>
      <c r="AQ309" s="121">
        <f>交易记录!P408</f>
        <v>0</v>
      </c>
      <c r="AR309" s="121">
        <f>交易记录!P439</f>
        <v>0</v>
      </c>
      <c r="AS309" s="30">
        <f t="shared" si="159"/>
        <v>0</v>
      </c>
      <c r="AT309" s="124">
        <f>交易记录!P472</f>
        <v>0</v>
      </c>
      <c r="AU309" s="124">
        <f>交易记录!P503</f>
        <v>0</v>
      </c>
      <c r="AV309" s="30">
        <f t="shared" si="137"/>
        <v>0</v>
      </c>
      <c r="AW309" s="121">
        <f>交易记录!P536</f>
        <v>0</v>
      </c>
      <c r="AX309" s="121">
        <f>交易记录!P567</f>
        <v>0</v>
      </c>
      <c r="AY309" s="30">
        <f t="shared" si="138"/>
        <v>0</v>
      </c>
      <c r="AZ309" s="124">
        <f>交易记录!P600</f>
        <v>0</v>
      </c>
      <c r="BA309" s="124">
        <f>交易记录!P631</f>
        <v>0</v>
      </c>
      <c r="BB309" s="30">
        <f t="shared" si="139"/>
        <v>0</v>
      </c>
      <c r="BC309" s="121">
        <f>交易记录!P664</f>
        <v>0</v>
      </c>
      <c r="BD309" s="121">
        <f>交易记录!P695</f>
        <v>0</v>
      </c>
      <c r="BE309" s="30">
        <f t="shared" si="140"/>
        <v>0</v>
      </c>
      <c r="BF309" s="124">
        <f>交易记录!P728</f>
        <v>0</v>
      </c>
      <c r="BG309" s="124">
        <f>交易记录!P759</f>
        <v>0</v>
      </c>
      <c r="BH309" s="30">
        <f t="shared" si="141"/>
        <v>0</v>
      </c>
      <c r="BI309" s="121">
        <f>交易记录!P792</f>
        <v>0</v>
      </c>
      <c r="BJ309" s="121">
        <f>交易记录!P823</f>
        <v>0</v>
      </c>
      <c r="BK309" s="30">
        <f t="shared" si="142"/>
        <v>0</v>
      </c>
      <c r="BL309" s="124">
        <f>交易记录!P856</f>
        <v>0</v>
      </c>
      <c r="BM309" s="124">
        <f>交易记录!P887</f>
        <v>0</v>
      </c>
      <c r="BN309" s="30">
        <f t="shared" si="143"/>
        <v>0</v>
      </c>
      <c r="BO309" s="121">
        <f>交易记录!P920</f>
        <v>0</v>
      </c>
      <c r="BP309" s="121">
        <f>交易记录!P951</f>
        <v>0</v>
      </c>
      <c r="BQ309" s="30">
        <f t="shared" si="144"/>
        <v>0</v>
      </c>
    </row>
    <row r="310" spans="1:69" ht="15">
      <c r="A310" s="125">
        <f>'维护-日期'!A$15</f>
        <v>46278</v>
      </c>
      <c r="B310" s="7" t="s">
        <v>26</v>
      </c>
      <c r="C310" s="144">
        <f t="shared" si="145"/>
        <v>23.515000000000001</v>
      </c>
      <c r="D310" s="144">
        <f>ROUND(INDEX(持仓数据!$C$3:$AG$26,MATCH('计算过程-数据汇总'!B310,持仓数据!$B$3:$B$26,0),MATCH('计算过程-数据汇总'!A310,'维护-日期'!$B$2:$AF$2,0)),3)</f>
        <v>23.515000000000001</v>
      </c>
      <c r="E310" s="98">
        <f t="shared" si="146"/>
        <v>23.515000000000001</v>
      </c>
      <c r="F310" s="22">
        <f>持仓数据!O92</f>
        <v>0.16399999999999998</v>
      </c>
      <c r="G310" s="97">
        <v>372</v>
      </c>
      <c r="H310" s="97">
        <v>372</v>
      </c>
      <c r="I310" s="64">
        <v>0</v>
      </c>
      <c r="J310" s="64">
        <v>0</v>
      </c>
      <c r="K310" s="21">
        <f>IF(持仓数据!O125="",0,持仓数据!O125)</f>
        <v>372</v>
      </c>
      <c r="L310" s="21">
        <f t="shared" si="147"/>
        <v>0</v>
      </c>
      <c r="M310" s="28">
        <f t="shared" si="131"/>
        <v>8747.58</v>
      </c>
      <c r="N310" s="28">
        <f t="shared" si="132"/>
        <v>0</v>
      </c>
      <c r="O310" s="28">
        <f t="shared" si="133"/>
        <v>0</v>
      </c>
      <c r="P310" s="28">
        <f t="shared" si="134"/>
        <v>0</v>
      </c>
      <c r="Q310" s="28">
        <f t="shared" si="148"/>
        <v>0</v>
      </c>
      <c r="R310" s="28">
        <f t="shared" si="135"/>
        <v>8747.58</v>
      </c>
      <c r="S310" s="28">
        <f t="shared" si="149"/>
        <v>0</v>
      </c>
      <c r="T310" s="28">
        <f t="shared" si="150"/>
        <v>0</v>
      </c>
      <c r="U310" s="28">
        <f t="shared" si="153"/>
        <v>0</v>
      </c>
      <c r="V310" s="28">
        <f t="shared" si="151"/>
        <v>0</v>
      </c>
      <c r="W310" s="118"/>
      <c r="X310" s="143">
        <f t="shared" si="152"/>
        <v>28.053999999999998</v>
      </c>
      <c r="Y310" s="121">
        <f>交易记录!P25</f>
        <v>0.16399999999999998</v>
      </c>
      <c r="Z310" s="121">
        <f>交易记录!P56</f>
        <v>372</v>
      </c>
      <c r="AA310" s="30">
        <f t="shared" si="136"/>
        <v>0</v>
      </c>
      <c r="AB310" s="124">
        <f>交易记录!P89</f>
        <v>0</v>
      </c>
      <c r="AC310" s="124">
        <f>交易记录!P120</f>
        <v>0</v>
      </c>
      <c r="AD310" s="30">
        <f t="shared" si="154"/>
        <v>0</v>
      </c>
      <c r="AE310" s="121">
        <f>交易记录!P153</f>
        <v>0</v>
      </c>
      <c r="AF310" s="121">
        <f>交易记录!P184</f>
        <v>0</v>
      </c>
      <c r="AG310" s="30">
        <f t="shared" si="155"/>
        <v>0</v>
      </c>
      <c r="AH310" s="124">
        <f>交易记录!P217</f>
        <v>0</v>
      </c>
      <c r="AI310" s="124">
        <f>交易记录!P248</f>
        <v>0</v>
      </c>
      <c r="AJ310" s="30">
        <f t="shared" si="156"/>
        <v>0</v>
      </c>
      <c r="AK310" s="121">
        <f>交易记录!P281</f>
        <v>0</v>
      </c>
      <c r="AL310" s="121">
        <f>交易记录!P312</f>
        <v>0</v>
      </c>
      <c r="AM310" s="30">
        <f t="shared" si="157"/>
        <v>0</v>
      </c>
      <c r="AN310" s="124">
        <f>交易记录!P345</f>
        <v>0</v>
      </c>
      <c r="AO310" s="124">
        <f>交易记录!P376</f>
        <v>0</v>
      </c>
      <c r="AP310" s="30">
        <f t="shared" si="158"/>
        <v>0</v>
      </c>
      <c r="AQ310" s="121">
        <f>交易记录!P409</f>
        <v>0</v>
      </c>
      <c r="AR310" s="121">
        <f>交易记录!P440</f>
        <v>0</v>
      </c>
      <c r="AS310" s="30">
        <f t="shared" si="159"/>
        <v>0</v>
      </c>
      <c r="AT310" s="124">
        <f>交易记录!P473</f>
        <v>0</v>
      </c>
      <c r="AU310" s="124">
        <f>交易记录!P504</f>
        <v>0</v>
      </c>
      <c r="AV310" s="30">
        <f t="shared" si="137"/>
        <v>0</v>
      </c>
      <c r="AW310" s="121">
        <f>交易记录!P537</f>
        <v>0</v>
      </c>
      <c r="AX310" s="121">
        <f>交易记录!P568</f>
        <v>0</v>
      </c>
      <c r="AY310" s="30">
        <f t="shared" si="138"/>
        <v>0</v>
      </c>
      <c r="AZ310" s="124">
        <f>交易记录!P601</f>
        <v>0</v>
      </c>
      <c r="BA310" s="124">
        <f>交易记录!P632</f>
        <v>0</v>
      </c>
      <c r="BB310" s="30">
        <f t="shared" si="139"/>
        <v>0</v>
      </c>
      <c r="BC310" s="121">
        <f>交易记录!P665</f>
        <v>0</v>
      </c>
      <c r="BD310" s="121">
        <f>交易记录!P696</f>
        <v>0</v>
      </c>
      <c r="BE310" s="30">
        <f t="shared" si="140"/>
        <v>0</v>
      </c>
      <c r="BF310" s="124">
        <f>交易记录!P729</f>
        <v>0</v>
      </c>
      <c r="BG310" s="124">
        <f>交易记录!P760</f>
        <v>0</v>
      </c>
      <c r="BH310" s="30">
        <f t="shared" si="141"/>
        <v>0</v>
      </c>
      <c r="BI310" s="121">
        <f>交易记录!P793</f>
        <v>0</v>
      </c>
      <c r="BJ310" s="121">
        <f>交易记录!P824</f>
        <v>0</v>
      </c>
      <c r="BK310" s="30">
        <f t="shared" si="142"/>
        <v>0</v>
      </c>
      <c r="BL310" s="124">
        <f>交易记录!P857</f>
        <v>0</v>
      </c>
      <c r="BM310" s="124">
        <f>交易记录!P888</f>
        <v>0</v>
      </c>
      <c r="BN310" s="30">
        <f t="shared" si="143"/>
        <v>0</v>
      </c>
      <c r="BO310" s="121">
        <f>交易记录!P921</f>
        <v>0</v>
      </c>
      <c r="BP310" s="121">
        <f>交易记录!P952</f>
        <v>0</v>
      </c>
      <c r="BQ310" s="30">
        <f t="shared" si="144"/>
        <v>0</v>
      </c>
    </row>
    <row r="311" spans="1:69" ht="15">
      <c r="A311" s="125">
        <f>'维护-日期'!A$15</f>
        <v>46278</v>
      </c>
      <c r="B311" s="7" t="s">
        <v>27</v>
      </c>
      <c r="C311" s="144">
        <f t="shared" si="145"/>
        <v>22.122</v>
      </c>
      <c r="D311" s="144">
        <f>ROUND(INDEX(持仓数据!$C$3:$AG$26,MATCH('计算过程-数据汇总'!B311,持仓数据!$B$3:$B$26,0),MATCH('计算过程-数据汇总'!A311,'维护-日期'!$B$2:$AF$2,0)),3)</f>
        <v>22.122</v>
      </c>
      <c r="E311" s="98">
        <f t="shared" si="146"/>
        <v>22.122</v>
      </c>
      <c r="F311" s="22">
        <f>持仓数据!O93</f>
        <v>0.15200000000000002</v>
      </c>
      <c r="G311" s="97">
        <v>372</v>
      </c>
      <c r="H311" s="97">
        <v>372</v>
      </c>
      <c r="I311" s="64">
        <v>0</v>
      </c>
      <c r="J311" s="64">
        <v>0</v>
      </c>
      <c r="K311" s="21">
        <f>IF(持仓数据!O126="",0,持仓数据!O126)</f>
        <v>372</v>
      </c>
      <c r="L311" s="21">
        <f t="shared" si="147"/>
        <v>0</v>
      </c>
      <c r="M311" s="28">
        <f t="shared" si="131"/>
        <v>8229.384</v>
      </c>
      <c r="N311" s="28">
        <f t="shared" si="132"/>
        <v>0</v>
      </c>
      <c r="O311" s="28">
        <f t="shared" si="133"/>
        <v>0</v>
      </c>
      <c r="P311" s="28">
        <f t="shared" si="134"/>
        <v>0</v>
      </c>
      <c r="Q311" s="28">
        <f t="shared" si="148"/>
        <v>0</v>
      </c>
      <c r="R311" s="28">
        <f t="shared" si="135"/>
        <v>8229.384</v>
      </c>
      <c r="S311" s="28">
        <f t="shared" si="149"/>
        <v>0</v>
      </c>
      <c r="T311" s="28">
        <f t="shared" si="150"/>
        <v>0</v>
      </c>
      <c r="U311" s="28">
        <f t="shared" si="153"/>
        <v>0</v>
      </c>
      <c r="V311" s="28">
        <f t="shared" si="151"/>
        <v>0</v>
      </c>
      <c r="W311" s="118"/>
      <c r="X311" s="143">
        <f t="shared" si="152"/>
        <v>26.393999999999998</v>
      </c>
      <c r="Y311" s="121">
        <f>交易记录!P26</f>
        <v>0.15200000000000002</v>
      </c>
      <c r="Z311" s="121">
        <f>交易记录!P57</f>
        <v>372</v>
      </c>
      <c r="AA311" s="30">
        <f t="shared" si="136"/>
        <v>0</v>
      </c>
      <c r="AB311" s="124">
        <f>交易记录!P90</f>
        <v>0</v>
      </c>
      <c r="AC311" s="124">
        <f>交易记录!P121</f>
        <v>0</v>
      </c>
      <c r="AD311" s="30">
        <f t="shared" si="154"/>
        <v>0</v>
      </c>
      <c r="AE311" s="121">
        <f>交易记录!P154</f>
        <v>0</v>
      </c>
      <c r="AF311" s="121">
        <f>交易记录!P185</f>
        <v>0</v>
      </c>
      <c r="AG311" s="30">
        <f t="shared" si="155"/>
        <v>0</v>
      </c>
      <c r="AH311" s="124">
        <f>交易记录!P218</f>
        <v>0</v>
      </c>
      <c r="AI311" s="124">
        <f>交易记录!P249</f>
        <v>0</v>
      </c>
      <c r="AJ311" s="30">
        <f t="shared" si="156"/>
        <v>0</v>
      </c>
      <c r="AK311" s="121">
        <f>交易记录!P282</f>
        <v>0</v>
      </c>
      <c r="AL311" s="121">
        <f>交易记录!P313</f>
        <v>0</v>
      </c>
      <c r="AM311" s="30">
        <f t="shared" si="157"/>
        <v>0</v>
      </c>
      <c r="AN311" s="124">
        <f>交易记录!P346</f>
        <v>0</v>
      </c>
      <c r="AO311" s="124">
        <f>交易记录!P377</f>
        <v>0</v>
      </c>
      <c r="AP311" s="30">
        <f t="shared" si="158"/>
        <v>0</v>
      </c>
      <c r="AQ311" s="121">
        <f>交易记录!P410</f>
        <v>0</v>
      </c>
      <c r="AR311" s="121">
        <f>交易记录!P441</f>
        <v>0</v>
      </c>
      <c r="AS311" s="30">
        <f t="shared" si="159"/>
        <v>0</v>
      </c>
      <c r="AT311" s="124">
        <f>交易记录!P474</f>
        <v>0</v>
      </c>
      <c r="AU311" s="124">
        <f>交易记录!P505</f>
        <v>0</v>
      </c>
      <c r="AV311" s="30">
        <f t="shared" si="137"/>
        <v>0</v>
      </c>
      <c r="AW311" s="121">
        <f>交易记录!P538</f>
        <v>0</v>
      </c>
      <c r="AX311" s="121">
        <f>交易记录!P569</f>
        <v>0</v>
      </c>
      <c r="AY311" s="30">
        <f t="shared" si="138"/>
        <v>0</v>
      </c>
      <c r="AZ311" s="124">
        <f>交易记录!P602</f>
        <v>0</v>
      </c>
      <c r="BA311" s="124">
        <f>交易记录!P633</f>
        <v>0</v>
      </c>
      <c r="BB311" s="30">
        <f t="shared" si="139"/>
        <v>0</v>
      </c>
      <c r="BC311" s="121">
        <f>交易记录!P666</f>
        <v>0</v>
      </c>
      <c r="BD311" s="121">
        <f>交易记录!P697</f>
        <v>0</v>
      </c>
      <c r="BE311" s="30">
        <f t="shared" si="140"/>
        <v>0</v>
      </c>
      <c r="BF311" s="124">
        <f>交易记录!P730</f>
        <v>0</v>
      </c>
      <c r="BG311" s="124">
        <f>交易记录!P761</f>
        <v>0</v>
      </c>
      <c r="BH311" s="30">
        <f t="shared" si="141"/>
        <v>0</v>
      </c>
      <c r="BI311" s="121">
        <f>交易记录!P794</f>
        <v>0</v>
      </c>
      <c r="BJ311" s="121">
        <f>交易记录!P825</f>
        <v>0</v>
      </c>
      <c r="BK311" s="30">
        <f t="shared" si="142"/>
        <v>0</v>
      </c>
      <c r="BL311" s="124">
        <f>交易记录!P858</f>
        <v>0</v>
      </c>
      <c r="BM311" s="124">
        <f>交易记录!P889</f>
        <v>0</v>
      </c>
      <c r="BN311" s="30">
        <f t="shared" si="143"/>
        <v>0</v>
      </c>
      <c r="BO311" s="121">
        <f>交易记录!P922</f>
        <v>0</v>
      </c>
      <c r="BP311" s="121">
        <f>交易记录!P953</f>
        <v>0</v>
      </c>
      <c r="BQ311" s="30">
        <f t="shared" si="144"/>
        <v>0</v>
      </c>
    </row>
    <row r="312" spans="1:69" ht="15">
      <c r="A312" s="125">
        <f>'维护-日期'!A$15</f>
        <v>46278</v>
      </c>
      <c r="B312" s="7" t="s">
        <v>28</v>
      </c>
      <c r="C312" s="144">
        <f t="shared" si="145"/>
        <v>19.263000000000002</v>
      </c>
      <c r="D312" s="144">
        <f>ROUND(INDEX(持仓数据!$C$3:$AG$26,MATCH('计算过程-数据汇总'!B312,持仓数据!$B$3:$B$26,0),MATCH('计算过程-数据汇总'!A312,'维护-日期'!$B$2:$AF$2,0)),3)</f>
        <v>19.263000000000002</v>
      </c>
      <c r="E312" s="98">
        <f t="shared" si="146"/>
        <v>19.263000000000002</v>
      </c>
      <c r="F312" s="22">
        <f>持仓数据!O94</f>
        <v>0.111</v>
      </c>
      <c r="G312" s="97">
        <v>372</v>
      </c>
      <c r="H312" s="97">
        <v>372</v>
      </c>
      <c r="I312" s="64">
        <v>0</v>
      </c>
      <c r="J312" s="64">
        <v>0</v>
      </c>
      <c r="K312" s="21">
        <f>IF(持仓数据!O127="",0,持仓数据!O127)</f>
        <v>372</v>
      </c>
      <c r="L312" s="21">
        <f t="shared" si="147"/>
        <v>0</v>
      </c>
      <c r="M312" s="28">
        <f t="shared" si="131"/>
        <v>7165.8360000000002</v>
      </c>
      <c r="N312" s="28">
        <f t="shared" si="132"/>
        <v>0</v>
      </c>
      <c r="O312" s="28">
        <f t="shared" si="133"/>
        <v>0</v>
      </c>
      <c r="P312" s="28">
        <f t="shared" si="134"/>
        <v>0</v>
      </c>
      <c r="Q312" s="28">
        <f t="shared" si="148"/>
        <v>0</v>
      </c>
      <c r="R312" s="28">
        <f t="shared" si="135"/>
        <v>7165.8360000000002</v>
      </c>
      <c r="S312" s="28">
        <f t="shared" si="149"/>
        <v>0</v>
      </c>
      <c r="T312" s="28">
        <f t="shared" si="150"/>
        <v>0</v>
      </c>
      <c r="U312" s="28">
        <f t="shared" si="153"/>
        <v>0</v>
      </c>
      <c r="V312" s="28">
        <f t="shared" si="151"/>
        <v>0</v>
      </c>
      <c r="W312" s="118"/>
      <c r="X312" s="143">
        <f t="shared" si="152"/>
        <v>23.004999999999999</v>
      </c>
      <c r="Y312" s="121">
        <f>交易记录!P27</f>
        <v>0.111</v>
      </c>
      <c r="Z312" s="121">
        <f>交易记录!P58</f>
        <v>372</v>
      </c>
      <c r="AA312" s="30">
        <f t="shared" si="136"/>
        <v>0</v>
      </c>
      <c r="AB312" s="124">
        <f>交易记录!P91</f>
        <v>0</v>
      </c>
      <c r="AC312" s="124">
        <f>交易记录!P122</f>
        <v>0</v>
      </c>
      <c r="AD312" s="30">
        <f t="shared" si="154"/>
        <v>0</v>
      </c>
      <c r="AE312" s="121">
        <f>交易记录!P155</f>
        <v>0</v>
      </c>
      <c r="AF312" s="121">
        <f>交易记录!P186</f>
        <v>0</v>
      </c>
      <c r="AG312" s="30">
        <f t="shared" si="155"/>
        <v>0</v>
      </c>
      <c r="AH312" s="124">
        <f>交易记录!P219</f>
        <v>0</v>
      </c>
      <c r="AI312" s="124">
        <f>交易记录!P250</f>
        <v>0</v>
      </c>
      <c r="AJ312" s="30">
        <f t="shared" si="156"/>
        <v>0</v>
      </c>
      <c r="AK312" s="121">
        <f>交易记录!P283</f>
        <v>0</v>
      </c>
      <c r="AL312" s="121">
        <f>交易记录!P314</f>
        <v>0</v>
      </c>
      <c r="AM312" s="30">
        <f t="shared" si="157"/>
        <v>0</v>
      </c>
      <c r="AN312" s="124">
        <f>交易记录!P347</f>
        <v>0</v>
      </c>
      <c r="AO312" s="124">
        <f>交易记录!P378</f>
        <v>0</v>
      </c>
      <c r="AP312" s="30">
        <f t="shared" si="158"/>
        <v>0</v>
      </c>
      <c r="AQ312" s="121">
        <f>交易记录!P411</f>
        <v>0</v>
      </c>
      <c r="AR312" s="121">
        <f>交易记录!P442</f>
        <v>0</v>
      </c>
      <c r="AS312" s="30">
        <f t="shared" si="159"/>
        <v>0</v>
      </c>
      <c r="AT312" s="124">
        <f>交易记录!P475</f>
        <v>0</v>
      </c>
      <c r="AU312" s="124">
        <f>交易记录!P506</f>
        <v>0</v>
      </c>
      <c r="AV312" s="30">
        <f t="shared" si="137"/>
        <v>0</v>
      </c>
      <c r="AW312" s="121">
        <f>交易记录!P539</f>
        <v>0</v>
      </c>
      <c r="AX312" s="121">
        <f>交易记录!P570</f>
        <v>0</v>
      </c>
      <c r="AY312" s="30">
        <f t="shared" si="138"/>
        <v>0</v>
      </c>
      <c r="AZ312" s="124">
        <f>交易记录!P603</f>
        <v>0</v>
      </c>
      <c r="BA312" s="124">
        <f>交易记录!P634</f>
        <v>0</v>
      </c>
      <c r="BB312" s="30">
        <f t="shared" si="139"/>
        <v>0</v>
      </c>
      <c r="BC312" s="121">
        <f>交易记录!P667</f>
        <v>0</v>
      </c>
      <c r="BD312" s="121">
        <f>交易记录!P698</f>
        <v>0</v>
      </c>
      <c r="BE312" s="30">
        <f t="shared" si="140"/>
        <v>0</v>
      </c>
      <c r="BF312" s="124">
        <f>交易记录!P731</f>
        <v>0</v>
      </c>
      <c r="BG312" s="124">
        <f>交易记录!P762</f>
        <v>0</v>
      </c>
      <c r="BH312" s="30">
        <f t="shared" si="141"/>
        <v>0</v>
      </c>
      <c r="BI312" s="121">
        <f>交易记录!P795</f>
        <v>0</v>
      </c>
      <c r="BJ312" s="121">
        <f>交易记录!P826</f>
        <v>0</v>
      </c>
      <c r="BK312" s="30">
        <f t="shared" si="142"/>
        <v>0</v>
      </c>
      <c r="BL312" s="124">
        <f>交易记录!P859</f>
        <v>0</v>
      </c>
      <c r="BM312" s="124">
        <f>交易记录!P890</f>
        <v>0</v>
      </c>
      <c r="BN312" s="30">
        <f t="shared" si="143"/>
        <v>0</v>
      </c>
      <c r="BO312" s="121">
        <f>交易记录!P923</f>
        <v>0</v>
      </c>
      <c r="BP312" s="121">
        <f>交易记录!P954</f>
        <v>0</v>
      </c>
      <c r="BQ312" s="30">
        <f t="shared" si="144"/>
        <v>0</v>
      </c>
    </row>
    <row r="313" spans="1:69" ht="15">
      <c r="A313" s="125">
        <f>'维护-日期'!A$15</f>
        <v>46278</v>
      </c>
      <c r="B313" s="7" t="s">
        <v>29</v>
      </c>
      <c r="C313" s="144">
        <f t="shared" si="145"/>
        <v>16.701000000000001</v>
      </c>
      <c r="D313" s="144">
        <f>ROUND(INDEX(持仓数据!$C$3:$AG$26,MATCH('计算过程-数据汇总'!B313,持仓数据!$B$3:$B$26,0),MATCH('计算过程-数据汇总'!A313,'维护-日期'!$B$2:$AF$2,0)),3)</f>
        <v>16.701000000000001</v>
      </c>
      <c r="E313" s="98">
        <f t="shared" si="146"/>
        <v>16.701000000000001</v>
      </c>
      <c r="F313" s="22">
        <f>持仓数据!O95</f>
        <v>9.2999999999999999E-2</v>
      </c>
      <c r="G313" s="97">
        <v>372</v>
      </c>
      <c r="H313" s="97">
        <v>372</v>
      </c>
      <c r="I313" s="64">
        <v>0</v>
      </c>
      <c r="J313" s="64">
        <v>0</v>
      </c>
      <c r="K313" s="21">
        <f>IF(持仓数据!O128="",0,持仓数据!O128)</f>
        <v>371.99999999999994</v>
      </c>
      <c r="L313" s="21">
        <f t="shared" si="147"/>
        <v>0</v>
      </c>
      <c r="M313" s="28">
        <f t="shared" si="131"/>
        <v>6212.7719999999999</v>
      </c>
      <c r="N313" s="28">
        <f t="shared" si="132"/>
        <v>0</v>
      </c>
      <c r="O313" s="28">
        <f t="shared" si="133"/>
        <v>0</v>
      </c>
      <c r="P313" s="28">
        <f t="shared" si="134"/>
        <v>-5.2864379540551453E-15</v>
      </c>
      <c r="Q313" s="28">
        <f t="shared" si="148"/>
        <v>0</v>
      </c>
      <c r="R313" s="28">
        <f t="shared" si="135"/>
        <v>6212.771999999999</v>
      </c>
      <c r="S313" s="28">
        <f t="shared" si="149"/>
        <v>0</v>
      </c>
      <c r="T313" s="28">
        <f t="shared" si="150"/>
        <v>9.4405550044029954E-13</v>
      </c>
      <c r="U313" s="28">
        <f t="shared" si="153"/>
        <v>0</v>
      </c>
      <c r="V313" s="28">
        <f t="shared" si="151"/>
        <v>0</v>
      </c>
      <c r="W313" s="118"/>
      <c r="X313" s="143">
        <f t="shared" si="152"/>
        <v>19.948</v>
      </c>
      <c r="Y313" s="121">
        <f>交易记录!P28</f>
        <v>9.2999999999999999E-2</v>
      </c>
      <c r="Z313" s="121">
        <f>交易记录!P59</f>
        <v>372</v>
      </c>
      <c r="AA313" s="30">
        <f t="shared" si="136"/>
        <v>0</v>
      </c>
      <c r="AB313" s="124">
        <f>交易记录!P92</f>
        <v>0</v>
      </c>
      <c r="AC313" s="124">
        <f>交易记录!P123</f>
        <v>0</v>
      </c>
      <c r="AD313" s="30">
        <f t="shared" si="154"/>
        <v>0</v>
      </c>
      <c r="AE313" s="121">
        <f>交易记录!P156</f>
        <v>0</v>
      </c>
      <c r="AF313" s="121">
        <f>交易记录!P187</f>
        <v>0</v>
      </c>
      <c r="AG313" s="30">
        <f t="shared" si="155"/>
        <v>0</v>
      </c>
      <c r="AH313" s="124">
        <f>交易记录!P220</f>
        <v>0</v>
      </c>
      <c r="AI313" s="124">
        <f>交易记录!P251</f>
        <v>0</v>
      </c>
      <c r="AJ313" s="30">
        <f t="shared" si="156"/>
        <v>0</v>
      </c>
      <c r="AK313" s="121">
        <f>交易记录!P284</f>
        <v>0</v>
      </c>
      <c r="AL313" s="121">
        <f>交易记录!P315</f>
        <v>0</v>
      </c>
      <c r="AM313" s="30">
        <f t="shared" si="157"/>
        <v>0</v>
      </c>
      <c r="AN313" s="124">
        <f>交易记录!P348</f>
        <v>0</v>
      </c>
      <c r="AO313" s="124">
        <f>交易记录!P379</f>
        <v>0</v>
      </c>
      <c r="AP313" s="30">
        <f t="shared" si="158"/>
        <v>0</v>
      </c>
      <c r="AQ313" s="121">
        <f>交易记录!P412</f>
        <v>0</v>
      </c>
      <c r="AR313" s="121">
        <f>交易记录!P443</f>
        <v>0</v>
      </c>
      <c r="AS313" s="30">
        <f t="shared" si="159"/>
        <v>0</v>
      </c>
      <c r="AT313" s="124">
        <f>交易记录!P476</f>
        <v>0</v>
      </c>
      <c r="AU313" s="124">
        <f>交易记录!P507</f>
        <v>0</v>
      </c>
      <c r="AV313" s="30">
        <f t="shared" si="137"/>
        <v>0</v>
      </c>
      <c r="AW313" s="121">
        <f>交易记录!P540</f>
        <v>0</v>
      </c>
      <c r="AX313" s="121">
        <f>交易记录!P571</f>
        <v>0</v>
      </c>
      <c r="AY313" s="30">
        <f t="shared" si="138"/>
        <v>0</v>
      </c>
      <c r="AZ313" s="124">
        <f>交易记录!P604</f>
        <v>0</v>
      </c>
      <c r="BA313" s="124">
        <f>交易记录!P635</f>
        <v>0</v>
      </c>
      <c r="BB313" s="30">
        <f t="shared" si="139"/>
        <v>0</v>
      </c>
      <c r="BC313" s="121">
        <f>交易记录!P668</f>
        <v>0</v>
      </c>
      <c r="BD313" s="121">
        <f>交易记录!P699</f>
        <v>0</v>
      </c>
      <c r="BE313" s="30">
        <f t="shared" si="140"/>
        <v>0</v>
      </c>
      <c r="BF313" s="124">
        <f>交易记录!P732</f>
        <v>0</v>
      </c>
      <c r="BG313" s="124">
        <f>交易记录!P763</f>
        <v>0</v>
      </c>
      <c r="BH313" s="30">
        <f t="shared" si="141"/>
        <v>0</v>
      </c>
      <c r="BI313" s="121">
        <f>交易记录!P796</f>
        <v>0</v>
      </c>
      <c r="BJ313" s="121">
        <f>交易记录!P827</f>
        <v>0</v>
      </c>
      <c r="BK313" s="30">
        <f t="shared" si="142"/>
        <v>0</v>
      </c>
      <c r="BL313" s="124">
        <f>交易记录!P860</f>
        <v>0</v>
      </c>
      <c r="BM313" s="124">
        <f>交易记录!P891</f>
        <v>0</v>
      </c>
      <c r="BN313" s="30">
        <f t="shared" si="143"/>
        <v>0</v>
      </c>
      <c r="BO313" s="121">
        <f>交易记录!P924</f>
        <v>0</v>
      </c>
      <c r="BP313" s="121">
        <f>交易记录!P955</f>
        <v>0</v>
      </c>
      <c r="BQ313" s="30">
        <f t="shared" si="144"/>
        <v>0</v>
      </c>
    </row>
    <row r="314" spans="1:69" ht="15">
      <c r="A314" s="125">
        <f>'维护-日期'!A$16</f>
        <v>46279</v>
      </c>
      <c r="B314" s="7" t="s">
        <v>6</v>
      </c>
      <c r="C314" s="144">
        <f t="shared" si="145"/>
        <v>16.655999999999999</v>
      </c>
      <c r="D314" s="144">
        <f>ROUND(INDEX(持仓数据!$C$3:$AG$26,MATCH('计算过程-数据汇总'!B314,持仓数据!$B$3:$B$26,0),MATCH('计算过程-数据汇总'!A314,'维护-日期'!$B$2:$AF$2,0)),3)</f>
        <v>16.655999999999999</v>
      </c>
      <c r="E314" s="98">
        <f t="shared" si="146"/>
        <v>16.655999999999999</v>
      </c>
      <c r="F314" s="22">
        <f>持仓数据!P72</f>
        <v>0.39700000000000002</v>
      </c>
      <c r="G314" s="97">
        <v>372</v>
      </c>
      <c r="H314" s="97">
        <v>372</v>
      </c>
      <c r="I314" s="64">
        <v>0</v>
      </c>
      <c r="J314" s="64">
        <v>0</v>
      </c>
      <c r="K314" s="21">
        <f>IF(持仓数据!P105="",0,持仓数据!P105)</f>
        <v>372</v>
      </c>
      <c r="L314" s="21">
        <f t="shared" si="147"/>
        <v>0</v>
      </c>
      <c r="M314" s="28">
        <f t="shared" si="131"/>
        <v>6196.0319999999992</v>
      </c>
      <c r="N314" s="28">
        <f t="shared" si="132"/>
        <v>0</v>
      </c>
      <c r="O314" s="28">
        <f t="shared" si="133"/>
        <v>0</v>
      </c>
      <c r="P314" s="28">
        <f t="shared" si="134"/>
        <v>0</v>
      </c>
      <c r="Q314" s="28">
        <f t="shared" si="148"/>
        <v>0</v>
      </c>
      <c r="R314" s="28">
        <f t="shared" si="135"/>
        <v>6196.0319999999992</v>
      </c>
      <c r="S314" s="28">
        <f t="shared" si="149"/>
        <v>0</v>
      </c>
      <c r="T314" s="28">
        <f t="shared" si="150"/>
        <v>0</v>
      </c>
      <c r="U314" s="28">
        <f t="shared" si="153"/>
        <v>0</v>
      </c>
      <c r="V314" s="28">
        <f t="shared" si="151"/>
        <v>0</v>
      </c>
      <c r="W314" s="118"/>
      <c r="X314" s="143">
        <f t="shared" si="152"/>
        <v>19.59</v>
      </c>
      <c r="Y314" s="121">
        <f>交易记录!Q5</f>
        <v>0.39700000000000002</v>
      </c>
      <c r="Z314" s="121">
        <f>交易记录!Q36</f>
        <v>372</v>
      </c>
      <c r="AA314" s="30">
        <f t="shared" si="136"/>
        <v>0</v>
      </c>
      <c r="AB314" s="124">
        <f>交易记录!Q69</f>
        <v>0</v>
      </c>
      <c r="AC314" s="124">
        <f>交易记录!Q100</f>
        <v>0</v>
      </c>
      <c r="AD314" s="30">
        <f t="shared" si="154"/>
        <v>0</v>
      </c>
      <c r="AE314" s="121">
        <f>交易记录!Q133</f>
        <v>0</v>
      </c>
      <c r="AF314" s="121">
        <f>交易记录!Q164</f>
        <v>0</v>
      </c>
      <c r="AG314" s="30">
        <f t="shared" si="155"/>
        <v>0</v>
      </c>
      <c r="AH314" s="124">
        <f>交易记录!Q197</f>
        <v>0</v>
      </c>
      <c r="AI314" s="124">
        <f>交易记录!Q228</f>
        <v>0</v>
      </c>
      <c r="AJ314" s="30">
        <f t="shared" si="156"/>
        <v>0</v>
      </c>
      <c r="AK314" s="121">
        <f>交易记录!Q261</f>
        <v>0</v>
      </c>
      <c r="AL314" s="121">
        <f>交易记录!Q292</f>
        <v>0</v>
      </c>
      <c r="AM314" s="30">
        <f t="shared" si="157"/>
        <v>0</v>
      </c>
      <c r="AN314" s="124">
        <f>交易记录!Q325</f>
        <v>0</v>
      </c>
      <c r="AO314" s="124">
        <f>交易记录!Q356</f>
        <v>0</v>
      </c>
      <c r="AP314" s="30">
        <f t="shared" si="158"/>
        <v>0</v>
      </c>
      <c r="AQ314" s="121">
        <f>交易记录!Q389</f>
        <v>0</v>
      </c>
      <c r="AR314" s="121">
        <f>交易记录!Q420</f>
        <v>0</v>
      </c>
      <c r="AS314" s="30">
        <f t="shared" si="159"/>
        <v>0</v>
      </c>
      <c r="AT314" s="124">
        <f>交易记录!Q453</f>
        <v>0</v>
      </c>
      <c r="AU314" s="124">
        <f>交易记录!Q484</f>
        <v>0</v>
      </c>
      <c r="AV314" s="30">
        <f t="shared" si="137"/>
        <v>0</v>
      </c>
      <c r="AW314" s="121">
        <f>交易记录!Q517</f>
        <v>0</v>
      </c>
      <c r="AX314" s="121">
        <f>交易记录!Q548</f>
        <v>0</v>
      </c>
      <c r="AY314" s="30">
        <f t="shared" si="138"/>
        <v>0</v>
      </c>
      <c r="AZ314" s="124">
        <f>交易记录!Q581</f>
        <v>0</v>
      </c>
      <c r="BA314" s="124">
        <f>交易记录!Q612</f>
        <v>0</v>
      </c>
      <c r="BB314" s="30">
        <f t="shared" si="139"/>
        <v>0</v>
      </c>
      <c r="BC314" s="121">
        <f>交易记录!Q645</f>
        <v>0</v>
      </c>
      <c r="BD314" s="121">
        <f>交易记录!Q676</f>
        <v>0</v>
      </c>
      <c r="BE314" s="30">
        <f t="shared" si="140"/>
        <v>0</v>
      </c>
      <c r="BF314" s="124">
        <f>交易记录!Q709</f>
        <v>0</v>
      </c>
      <c r="BG314" s="124">
        <f>交易记录!Q740</f>
        <v>0</v>
      </c>
      <c r="BH314" s="30">
        <f t="shared" si="141"/>
        <v>0</v>
      </c>
      <c r="BI314" s="121">
        <f>交易记录!Q773</f>
        <v>0</v>
      </c>
      <c r="BJ314" s="121">
        <f>交易记录!Q804</f>
        <v>0</v>
      </c>
      <c r="BK314" s="30">
        <f t="shared" si="142"/>
        <v>0</v>
      </c>
      <c r="BL314" s="124">
        <f>交易记录!Q837</f>
        <v>0</v>
      </c>
      <c r="BM314" s="124">
        <f>交易记录!Q868</f>
        <v>0</v>
      </c>
      <c r="BN314" s="30">
        <f t="shared" si="143"/>
        <v>0</v>
      </c>
      <c r="BO314" s="121">
        <f>交易记录!Q901</f>
        <v>0</v>
      </c>
      <c r="BP314" s="121">
        <f>交易记录!Q932</f>
        <v>0</v>
      </c>
      <c r="BQ314" s="30">
        <f t="shared" si="144"/>
        <v>0</v>
      </c>
    </row>
    <row r="315" spans="1:69" ht="15">
      <c r="A315" s="125">
        <f>'维护-日期'!A$16</f>
        <v>46279</v>
      </c>
      <c r="B315" s="7" t="s">
        <v>7</v>
      </c>
      <c r="C315" s="144">
        <f t="shared" si="145"/>
        <v>15.792</v>
      </c>
      <c r="D315" s="144">
        <f>ROUND(INDEX(持仓数据!$C$3:$AG$26,MATCH('计算过程-数据汇总'!B315,持仓数据!$B$3:$B$26,0),MATCH('计算过程-数据汇总'!A315,'维护-日期'!$B$2:$AF$2,0)),3)</f>
        <v>15.792</v>
      </c>
      <c r="E315" s="98">
        <f t="shared" si="146"/>
        <v>15.792</v>
      </c>
      <c r="F315" s="22">
        <f>持仓数据!P73</f>
        <v>0.26500000000000001</v>
      </c>
      <c r="G315" s="97">
        <v>372</v>
      </c>
      <c r="H315" s="97">
        <v>372</v>
      </c>
      <c r="I315" s="64">
        <v>0</v>
      </c>
      <c r="J315" s="64">
        <v>0</v>
      </c>
      <c r="K315" s="21">
        <f>IF(持仓数据!P106="",0,持仓数据!P106)</f>
        <v>372</v>
      </c>
      <c r="L315" s="21">
        <f t="shared" si="147"/>
        <v>0</v>
      </c>
      <c r="M315" s="28">
        <f t="shared" si="131"/>
        <v>5874.6239999999998</v>
      </c>
      <c r="N315" s="28">
        <f t="shared" si="132"/>
        <v>0</v>
      </c>
      <c r="O315" s="28">
        <f t="shared" si="133"/>
        <v>0</v>
      </c>
      <c r="P315" s="28">
        <f t="shared" si="134"/>
        <v>0</v>
      </c>
      <c r="Q315" s="28">
        <f t="shared" si="148"/>
        <v>0</v>
      </c>
      <c r="R315" s="28">
        <f t="shared" si="135"/>
        <v>5874.6239999999998</v>
      </c>
      <c r="S315" s="28">
        <f t="shared" si="149"/>
        <v>0</v>
      </c>
      <c r="T315" s="28">
        <f t="shared" si="150"/>
        <v>0</v>
      </c>
      <c r="U315" s="28">
        <f t="shared" si="153"/>
        <v>0</v>
      </c>
      <c r="V315" s="28">
        <f t="shared" si="151"/>
        <v>0</v>
      </c>
      <c r="W315" s="118"/>
      <c r="X315" s="143">
        <f t="shared" si="152"/>
        <v>18.684999999999999</v>
      </c>
      <c r="Y315" s="121">
        <f>交易记录!Q6</f>
        <v>0.26500000000000001</v>
      </c>
      <c r="Z315" s="121">
        <f>交易记录!Q37</f>
        <v>372</v>
      </c>
      <c r="AA315" s="30">
        <f t="shared" si="136"/>
        <v>0</v>
      </c>
      <c r="AB315" s="124">
        <f>交易记录!Q70</f>
        <v>0</v>
      </c>
      <c r="AC315" s="124">
        <f>交易记录!Q101</f>
        <v>0</v>
      </c>
      <c r="AD315" s="30">
        <f t="shared" si="154"/>
        <v>0</v>
      </c>
      <c r="AE315" s="121">
        <f>交易记录!Q134</f>
        <v>0</v>
      </c>
      <c r="AF315" s="121">
        <f>交易记录!Q165</f>
        <v>0</v>
      </c>
      <c r="AG315" s="30">
        <f t="shared" si="155"/>
        <v>0</v>
      </c>
      <c r="AH315" s="124">
        <f>交易记录!Q198</f>
        <v>0</v>
      </c>
      <c r="AI315" s="124">
        <f>交易记录!Q229</f>
        <v>0</v>
      </c>
      <c r="AJ315" s="30">
        <f t="shared" si="156"/>
        <v>0</v>
      </c>
      <c r="AK315" s="121">
        <f>交易记录!Q262</f>
        <v>0</v>
      </c>
      <c r="AL315" s="121">
        <f>交易记录!Q293</f>
        <v>0</v>
      </c>
      <c r="AM315" s="30">
        <f t="shared" si="157"/>
        <v>0</v>
      </c>
      <c r="AN315" s="124">
        <f>交易记录!Q326</f>
        <v>0</v>
      </c>
      <c r="AO315" s="124">
        <f>交易记录!Q357</f>
        <v>0</v>
      </c>
      <c r="AP315" s="30">
        <f t="shared" si="158"/>
        <v>0</v>
      </c>
      <c r="AQ315" s="121">
        <f>交易记录!Q390</f>
        <v>0</v>
      </c>
      <c r="AR315" s="121">
        <f>交易记录!Q421</f>
        <v>0</v>
      </c>
      <c r="AS315" s="30">
        <f t="shared" si="159"/>
        <v>0</v>
      </c>
      <c r="AT315" s="124">
        <f>交易记录!Q454</f>
        <v>0</v>
      </c>
      <c r="AU315" s="124">
        <f>交易记录!Q485</f>
        <v>0</v>
      </c>
      <c r="AV315" s="30">
        <f t="shared" si="137"/>
        <v>0</v>
      </c>
      <c r="AW315" s="121">
        <f>交易记录!Q518</f>
        <v>0</v>
      </c>
      <c r="AX315" s="121">
        <f>交易记录!Q549</f>
        <v>0</v>
      </c>
      <c r="AY315" s="30">
        <f t="shared" si="138"/>
        <v>0</v>
      </c>
      <c r="AZ315" s="124">
        <f>交易记录!Q582</f>
        <v>0</v>
      </c>
      <c r="BA315" s="124">
        <f>交易记录!Q613</f>
        <v>0</v>
      </c>
      <c r="BB315" s="30">
        <f t="shared" si="139"/>
        <v>0</v>
      </c>
      <c r="BC315" s="121">
        <f>交易记录!Q646</f>
        <v>0</v>
      </c>
      <c r="BD315" s="121">
        <f>交易记录!Q677</f>
        <v>0</v>
      </c>
      <c r="BE315" s="30">
        <f t="shared" si="140"/>
        <v>0</v>
      </c>
      <c r="BF315" s="124">
        <f>交易记录!Q710</f>
        <v>0</v>
      </c>
      <c r="BG315" s="124">
        <f>交易记录!Q741</f>
        <v>0</v>
      </c>
      <c r="BH315" s="30">
        <f t="shared" si="141"/>
        <v>0</v>
      </c>
      <c r="BI315" s="121">
        <f>交易记录!Q774</f>
        <v>0</v>
      </c>
      <c r="BJ315" s="121">
        <f>交易记录!Q805</f>
        <v>0</v>
      </c>
      <c r="BK315" s="30">
        <f t="shared" si="142"/>
        <v>0</v>
      </c>
      <c r="BL315" s="124">
        <f>交易记录!Q838</f>
        <v>0</v>
      </c>
      <c r="BM315" s="124">
        <f>交易记录!Q869</f>
        <v>0</v>
      </c>
      <c r="BN315" s="30">
        <f t="shared" si="143"/>
        <v>0</v>
      </c>
      <c r="BO315" s="121">
        <f>交易记录!Q902</f>
        <v>0</v>
      </c>
      <c r="BP315" s="121">
        <f>交易记录!Q933</f>
        <v>0</v>
      </c>
      <c r="BQ315" s="30">
        <f t="shared" si="144"/>
        <v>0</v>
      </c>
    </row>
    <row r="316" spans="1:69" ht="15">
      <c r="A316" s="125">
        <f>'维护-日期'!A$16</f>
        <v>46279</v>
      </c>
      <c r="B316" s="7" t="s">
        <v>8</v>
      </c>
      <c r="C316" s="144">
        <f t="shared" si="145"/>
        <v>14.821999999999999</v>
      </c>
      <c r="D316" s="144">
        <f>ROUND(INDEX(持仓数据!$C$3:$AG$26,MATCH('计算过程-数据汇总'!B316,持仓数据!$B$3:$B$26,0),MATCH('计算过程-数据汇总'!A316,'维护-日期'!$B$2:$AF$2,0)),3)</f>
        <v>14.821999999999999</v>
      </c>
      <c r="E316" s="98">
        <f t="shared" si="146"/>
        <v>14.821999999999999</v>
      </c>
      <c r="F316" s="22">
        <f>持仓数据!P74</f>
        <v>0.24199999999999999</v>
      </c>
      <c r="G316" s="97">
        <v>372</v>
      </c>
      <c r="H316" s="97">
        <v>372</v>
      </c>
      <c r="I316" s="64">
        <v>0</v>
      </c>
      <c r="J316" s="64">
        <v>0</v>
      </c>
      <c r="K316" s="21">
        <f>IF(持仓数据!P107="",0,持仓数据!P107)</f>
        <v>372</v>
      </c>
      <c r="L316" s="21">
        <f t="shared" si="147"/>
        <v>0</v>
      </c>
      <c r="M316" s="28">
        <f t="shared" si="131"/>
        <v>5513.7839999999997</v>
      </c>
      <c r="N316" s="28">
        <f t="shared" si="132"/>
        <v>0</v>
      </c>
      <c r="O316" s="28">
        <f t="shared" si="133"/>
        <v>0</v>
      </c>
      <c r="P316" s="28">
        <f t="shared" si="134"/>
        <v>0</v>
      </c>
      <c r="Q316" s="28">
        <f t="shared" si="148"/>
        <v>0</v>
      </c>
      <c r="R316" s="28">
        <f t="shared" si="135"/>
        <v>5513.7839999999997</v>
      </c>
      <c r="S316" s="28">
        <f t="shared" si="149"/>
        <v>0</v>
      </c>
      <c r="T316" s="28">
        <f t="shared" si="150"/>
        <v>0</v>
      </c>
      <c r="U316" s="28">
        <f t="shared" si="153"/>
        <v>0</v>
      </c>
      <c r="V316" s="28">
        <f t="shared" si="151"/>
        <v>0</v>
      </c>
      <c r="W316" s="118"/>
      <c r="X316" s="143">
        <f t="shared" si="152"/>
        <v>17.544</v>
      </c>
      <c r="Y316" s="121">
        <f>交易记录!Q7</f>
        <v>0.24199999999999999</v>
      </c>
      <c r="Z316" s="121">
        <f>交易记录!Q38</f>
        <v>372</v>
      </c>
      <c r="AA316" s="30">
        <f t="shared" si="136"/>
        <v>0</v>
      </c>
      <c r="AB316" s="124">
        <f>交易记录!Q71</f>
        <v>0</v>
      </c>
      <c r="AC316" s="124">
        <f>交易记录!Q102</f>
        <v>0</v>
      </c>
      <c r="AD316" s="30">
        <f t="shared" si="154"/>
        <v>0</v>
      </c>
      <c r="AE316" s="121">
        <f>交易记录!Q135</f>
        <v>0</v>
      </c>
      <c r="AF316" s="121">
        <f>交易记录!Q166</f>
        <v>0</v>
      </c>
      <c r="AG316" s="30">
        <f t="shared" si="155"/>
        <v>0</v>
      </c>
      <c r="AH316" s="124">
        <f>交易记录!Q199</f>
        <v>0</v>
      </c>
      <c r="AI316" s="124">
        <f>交易记录!Q230</f>
        <v>0</v>
      </c>
      <c r="AJ316" s="30">
        <f t="shared" si="156"/>
        <v>0</v>
      </c>
      <c r="AK316" s="121">
        <f>交易记录!Q263</f>
        <v>0</v>
      </c>
      <c r="AL316" s="121">
        <f>交易记录!Q294</f>
        <v>0</v>
      </c>
      <c r="AM316" s="30">
        <f t="shared" si="157"/>
        <v>0</v>
      </c>
      <c r="AN316" s="124">
        <f>交易记录!Q327</f>
        <v>0</v>
      </c>
      <c r="AO316" s="124">
        <f>交易记录!Q358</f>
        <v>0</v>
      </c>
      <c r="AP316" s="30">
        <f t="shared" si="158"/>
        <v>0</v>
      </c>
      <c r="AQ316" s="121">
        <f>交易记录!Q391</f>
        <v>0</v>
      </c>
      <c r="AR316" s="121">
        <f>交易记录!Q422</f>
        <v>0</v>
      </c>
      <c r="AS316" s="30">
        <f t="shared" si="159"/>
        <v>0</v>
      </c>
      <c r="AT316" s="124">
        <f>交易记录!Q455</f>
        <v>0</v>
      </c>
      <c r="AU316" s="124">
        <f>交易记录!Q486</f>
        <v>0</v>
      </c>
      <c r="AV316" s="30">
        <f t="shared" si="137"/>
        <v>0</v>
      </c>
      <c r="AW316" s="121">
        <f>交易记录!Q519</f>
        <v>0</v>
      </c>
      <c r="AX316" s="121">
        <f>交易记录!Q550</f>
        <v>0</v>
      </c>
      <c r="AY316" s="30">
        <f t="shared" si="138"/>
        <v>0</v>
      </c>
      <c r="AZ316" s="124">
        <f>交易记录!Q583</f>
        <v>0</v>
      </c>
      <c r="BA316" s="124">
        <f>交易记录!Q614</f>
        <v>0</v>
      </c>
      <c r="BB316" s="30">
        <f t="shared" si="139"/>
        <v>0</v>
      </c>
      <c r="BC316" s="121">
        <f>交易记录!Q647</f>
        <v>0</v>
      </c>
      <c r="BD316" s="121">
        <f>交易记录!Q678</f>
        <v>0</v>
      </c>
      <c r="BE316" s="30">
        <f t="shared" si="140"/>
        <v>0</v>
      </c>
      <c r="BF316" s="124">
        <f>交易记录!Q711</f>
        <v>0</v>
      </c>
      <c r="BG316" s="124">
        <f>交易记录!Q742</f>
        <v>0</v>
      </c>
      <c r="BH316" s="30">
        <f t="shared" si="141"/>
        <v>0</v>
      </c>
      <c r="BI316" s="121">
        <f>交易记录!Q775</f>
        <v>0</v>
      </c>
      <c r="BJ316" s="121">
        <f>交易记录!Q806</f>
        <v>0</v>
      </c>
      <c r="BK316" s="30">
        <f t="shared" si="142"/>
        <v>0</v>
      </c>
      <c r="BL316" s="124">
        <f>交易记录!Q839</f>
        <v>0</v>
      </c>
      <c r="BM316" s="124">
        <f>交易记录!Q870</f>
        <v>0</v>
      </c>
      <c r="BN316" s="30">
        <f t="shared" si="143"/>
        <v>0</v>
      </c>
      <c r="BO316" s="121">
        <f>交易记录!Q903</f>
        <v>0</v>
      </c>
      <c r="BP316" s="121">
        <f>交易记录!Q934</f>
        <v>0</v>
      </c>
      <c r="BQ316" s="30">
        <f t="shared" si="144"/>
        <v>0</v>
      </c>
    </row>
    <row r="317" spans="1:69" ht="15">
      <c r="A317" s="125">
        <f>'维护-日期'!A$16</f>
        <v>46279</v>
      </c>
      <c r="B317" s="7" t="s">
        <v>9</v>
      </c>
      <c r="C317" s="144">
        <f t="shared" si="145"/>
        <v>13.817</v>
      </c>
      <c r="D317" s="144">
        <f>ROUND(INDEX(持仓数据!$C$3:$AG$26,MATCH('计算过程-数据汇总'!B317,持仓数据!$B$3:$B$26,0),MATCH('计算过程-数据汇总'!A317,'维护-日期'!$B$2:$AF$2,0)),3)</f>
        <v>13.817</v>
      </c>
      <c r="E317" s="98">
        <f t="shared" si="146"/>
        <v>13.817</v>
      </c>
      <c r="F317" s="22">
        <f>持仓数据!P75</f>
        <v>0.09</v>
      </c>
      <c r="G317" s="97">
        <v>372</v>
      </c>
      <c r="H317" s="97">
        <v>372</v>
      </c>
      <c r="I317" s="64">
        <v>0</v>
      </c>
      <c r="J317" s="64">
        <v>0</v>
      </c>
      <c r="K317" s="21">
        <f>IF(持仓数据!P108="",0,持仓数据!P108)</f>
        <v>372</v>
      </c>
      <c r="L317" s="21">
        <f t="shared" si="147"/>
        <v>0</v>
      </c>
      <c r="M317" s="28">
        <f t="shared" si="131"/>
        <v>5139.924</v>
      </c>
      <c r="N317" s="28">
        <f t="shared" si="132"/>
        <v>0</v>
      </c>
      <c r="O317" s="28">
        <f t="shared" si="133"/>
        <v>0</v>
      </c>
      <c r="P317" s="28">
        <f t="shared" si="134"/>
        <v>0</v>
      </c>
      <c r="Q317" s="28">
        <f t="shared" si="148"/>
        <v>0</v>
      </c>
      <c r="R317" s="28">
        <f t="shared" si="135"/>
        <v>5139.924</v>
      </c>
      <c r="S317" s="28">
        <f t="shared" si="149"/>
        <v>0</v>
      </c>
      <c r="T317" s="28">
        <f t="shared" si="150"/>
        <v>0</v>
      </c>
      <c r="U317" s="28">
        <f t="shared" si="153"/>
        <v>0</v>
      </c>
      <c r="V317" s="28">
        <f t="shared" si="151"/>
        <v>0</v>
      </c>
      <c r="W317" s="118"/>
      <c r="X317" s="143">
        <f t="shared" si="152"/>
        <v>16.489999999999998</v>
      </c>
      <c r="Y317" s="121">
        <f>交易记录!Q8</f>
        <v>0.09</v>
      </c>
      <c r="Z317" s="121">
        <f>交易记录!Q39</f>
        <v>372</v>
      </c>
      <c r="AA317" s="30">
        <f t="shared" si="136"/>
        <v>0</v>
      </c>
      <c r="AB317" s="124">
        <f>交易记录!Q72</f>
        <v>0</v>
      </c>
      <c r="AC317" s="124">
        <f>交易记录!Q103</f>
        <v>0</v>
      </c>
      <c r="AD317" s="30">
        <f t="shared" si="154"/>
        <v>0</v>
      </c>
      <c r="AE317" s="121">
        <f>交易记录!Q136</f>
        <v>0</v>
      </c>
      <c r="AF317" s="121">
        <f>交易记录!Q167</f>
        <v>0</v>
      </c>
      <c r="AG317" s="30">
        <f t="shared" si="155"/>
        <v>0</v>
      </c>
      <c r="AH317" s="124">
        <f>交易记录!Q200</f>
        <v>0</v>
      </c>
      <c r="AI317" s="124">
        <f>交易记录!Q231</f>
        <v>0</v>
      </c>
      <c r="AJ317" s="30">
        <f t="shared" si="156"/>
        <v>0</v>
      </c>
      <c r="AK317" s="121">
        <f>交易记录!Q264</f>
        <v>0</v>
      </c>
      <c r="AL317" s="121">
        <f>交易记录!Q295</f>
        <v>0</v>
      </c>
      <c r="AM317" s="30">
        <f t="shared" si="157"/>
        <v>0</v>
      </c>
      <c r="AN317" s="124">
        <f>交易记录!Q328</f>
        <v>0</v>
      </c>
      <c r="AO317" s="124">
        <f>交易记录!Q359</f>
        <v>0</v>
      </c>
      <c r="AP317" s="30">
        <f t="shared" si="158"/>
        <v>0</v>
      </c>
      <c r="AQ317" s="121">
        <f>交易记录!Q392</f>
        <v>0</v>
      </c>
      <c r="AR317" s="121">
        <f>交易记录!Q423</f>
        <v>0</v>
      </c>
      <c r="AS317" s="30">
        <f t="shared" si="159"/>
        <v>0</v>
      </c>
      <c r="AT317" s="124">
        <f>交易记录!Q456</f>
        <v>0</v>
      </c>
      <c r="AU317" s="124">
        <f>交易记录!Q487</f>
        <v>0</v>
      </c>
      <c r="AV317" s="30">
        <f t="shared" si="137"/>
        <v>0</v>
      </c>
      <c r="AW317" s="121">
        <f>交易记录!Q520</f>
        <v>0</v>
      </c>
      <c r="AX317" s="121">
        <f>交易记录!Q551</f>
        <v>0</v>
      </c>
      <c r="AY317" s="30">
        <f t="shared" si="138"/>
        <v>0</v>
      </c>
      <c r="AZ317" s="124">
        <f>交易记录!Q584</f>
        <v>0</v>
      </c>
      <c r="BA317" s="124">
        <f>交易记录!Q615</f>
        <v>0</v>
      </c>
      <c r="BB317" s="30">
        <f t="shared" si="139"/>
        <v>0</v>
      </c>
      <c r="BC317" s="121">
        <f>交易记录!Q648</f>
        <v>0</v>
      </c>
      <c r="BD317" s="121">
        <f>交易记录!Q679</f>
        <v>0</v>
      </c>
      <c r="BE317" s="30">
        <f t="shared" si="140"/>
        <v>0</v>
      </c>
      <c r="BF317" s="124">
        <f>交易记录!Q712</f>
        <v>0</v>
      </c>
      <c r="BG317" s="124">
        <f>交易记录!Q743</f>
        <v>0</v>
      </c>
      <c r="BH317" s="30">
        <f t="shared" si="141"/>
        <v>0</v>
      </c>
      <c r="BI317" s="121">
        <f>交易记录!Q776</f>
        <v>0</v>
      </c>
      <c r="BJ317" s="121">
        <f>交易记录!Q807</f>
        <v>0</v>
      </c>
      <c r="BK317" s="30">
        <f t="shared" si="142"/>
        <v>0</v>
      </c>
      <c r="BL317" s="124">
        <f>交易记录!Q840</f>
        <v>0</v>
      </c>
      <c r="BM317" s="124">
        <f>交易记录!Q871</f>
        <v>0</v>
      </c>
      <c r="BN317" s="30">
        <f t="shared" si="143"/>
        <v>0</v>
      </c>
      <c r="BO317" s="121">
        <f>交易记录!Q904</f>
        <v>0</v>
      </c>
      <c r="BP317" s="121">
        <f>交易记录!Q935</f>
        <v>0</v>
      </c>
      <c r="BQ317" s="30">
        <f t="shared" si="144"/>
        <v>0</v>
      </c>
    </row>
    <row r="318" spans="1:69" ht="15">
      <c r="A318" s="125">
        <f>'维护-日期'!A$16</f>
        <v>46279</v>
      </c>
      <c r="B318" s="7" t="s">
        <v>10</v>
      </c>
      <c r="C318" s="144">
        <f t="shared" si="145"/>
        <v>13.388</v>
      </c>
      <c r="D318" s="144">
        <f>ROUND(INDEX(持仓数据!$C$3:$AG$26,MATCH('计算过程-数据汇总'!B318,持仓数据!$B$3:$B$26,0),MATCH('计算过程-数据汇总'!A318,'维护-日期'!$B$2:$AF$2,0)),3)</f>
        <v>13.388</v>
      </c>
      <c r="E318" s="98">
        <f t="shared" si="146"/>
        <v>13.388</v>
      </c>
      <c r="F318" s="22">
        <f>持仓数据!P76</f>
        <v>8.6999999999999994E-2</v>
      </c>
      <c r="G318" s="97">
        <v>372</v>
      </c>
      <c r="H318" s="97">
        <v>372</v>
      </c>
      <c r="I318" s="64">
        <v>0</v>
      </c>
      <c r="J318" s="64">
        <v>0</v>
      </c>
      <c r="K318" s="21">
        <f>IF(持仓数据!P109="",0,持仓数据!P109)</f>
        <v>372</v>
      </c>
      <c r="L318" s="21">
        <f t="shared" si="147"/>
        <v>0</v>
      </c>
      <c r="M318" s="28">
        <f t="shared" si="131"/>
        <v>4980.3360000000002</v>
      </c>
      <c r="N318" s="28">
        <f t="shared" si="132"/>
        <v>0</v>
      </c>
      <c r="O318" s="28">
        <f t="shared" si="133"/>
        <v>0</v>
      </c>
      <c r="P318" s="28">
        <f t="shared" si="134"/>
        <v>0</v>
      </c>
      <c r="Q318" s="28">
        <f t="shared" si="148"/>
        <v>0</v>
      </c>
      <c r="R318" s="28">
        <f t="shared" si="135"/>
        <v>4980.3360000000002</v>
      </c>
      <c r="S318" s="28">
        <f t="shared" si="149"/>
        <v>0</v>
      </c>
      <c r="T318" s="28">
        <f t="shared" si="150"/>
        <v>0</v>
      </c>
      <c r="U318" s="28">
        <f t="shared" si="153"/>
        <v>0</v>
      </c>
      <c r="V318" s="28">
        <f t="shared" si="151"/>
        <v>0</v>
      </c>
      <c r="W318" s="118"/>
      <c r="X318" s="143">
        <f t="shared" si="152"/>
        <v>15.978999999999999</v>
      </c>
      <c r="Y318" s="121">
        <f>交易记录!Q9</f>
        <v>8.6999999999999994E-2</v>
      </c>
      <c r="Z318" s="121">
        <f>交易记录!Q40</f>
        <v>372</v>
      </c>
      <c r="AA318" s="30">
        <f t="shared" si="136"/>
        <v>0</v>
      </c>
      <c r="AB318" s="124">
        <f>交易记录!Q73</f>
        <v>0</v>
      </c>
      <c r="AC318" s="124">
        <f>交易记录!Q104</f>
        <v>0</v>
      </c>
      <c r="AD318" s="30">
        <f t="shared" si="154"/>
        <v>0</v>
      </c>
      <c r="AE318" s="121">
        <f>交易记录!Q137</f>
        <v>0</v>
      </c>
      <c r="AF318" s="121">
        <f>交易记录!Q168</f>
        <v>0</v>
      </c>
      <c r="AG318" s="30">
        <f t="shared" si="155"/>
        <v>0</v>
      </c>
      <c r="AH318" s="124">
        <f>交易记录!Q201</f>
        <v>0</v>
      </c>
      <c r="AI318" s="124">
        <f>交易记录!Q232</f>
        <v>0</v>
      </c>
      <c r="AJ318" s="30">
        <f t="shared" si="156"/>
        <v>0</v>
      </c>
      <c r="AK318" s="121">
        <f>交易记录!Q265</f>
        <v>0</v>
      </c>
      <c r="AL318" s="121">
        <f>交易记录!Q296</f>
        <v>0</v>
      </c>
      <c r="AM318" s="30">
        <f t="shared" si="157"/>
        <v>0</v>
      </c>
      <c r="AN318" s="124">
        <f>交易记录!Q329</f>
        <v>0</v>
      </c>
      <c r="AO318" s="124">
        <f>交易记录!Q360</f>
        <v>0</v>
      </c>
      <c r="AP318" s="30">
        <f t="shared" si="158"/>
        <v>0</v>
      </c>
      <c r="AQ318" s="121">
        <f>交易记录!Q393</f>
        <v>0</v>
      </c>
      <c r="AR318" s="121">
        <f>交易记录!Q424</f>
        <v>0</v>
      </c>
      <c r="AS318" s="30">
        <f t="shared" si="159"/>
        <v>0</v>
      </c>
      <c r="AT318" s="124">
        <f>交易记录!Q457</f>
        <v>0</v>
      </c>
      <c r="AU318" s="124">
        <f>交易记录!Q488</f>
        <v>0</v>
      </c>
      <c r="AV318" s="30">
        <f t="shared" si="137"/>
        <v>0</v>
      </c>
      <c r="AW318" s="121">
        <f>交易记录!Q521</f>
        <v>0</v>
      </c>
      <c r="AX318" s="121">
        <f>交易记录!Q552</f>
        <v>0</v>
      </c>
      <c r="AY318" s="30">
        <f t="shared" si="138"/>
        <v>0</v>
      </c>
      <c r="AZ318" s="124">
        <f>交易记录!Q585</f>
        <v>0</v>
      </c>
      <c r="BA318" s="124">
        <f>交易记录!Q616</f>
        <v>0</v>
      </c>
      <c r="BB318" s="30">
        <f t="shared" si="139"/>
        <v>0</v>
      </c>
      <c r="BC318" s="121">
        <f>交易记录!Q649</f>
        <v>0</v>
      </c>
      <c r="BD318" s="121">
        <f>交易记录!Q680</f>
        <v>0</v>
      </c>
      <c r="BE318" s="30">
        <f t="shared" si="140"/>
        <v>0</v>
      </c>
      <c r="BF318" s="124">
        <f>交易记录!Q713</f>
        <v>0</v>
      </c>
      <c r="BG318" s="124">
        <f>交易记录!Q744</f>
        <v>0</v>
      </c>
      <c r="BH318" s="30">
        <f t="shared" si="141"/>
        <v>0</v>
      </c>
      <c r="BI318" s="121">
        <f>交易记录!Q777</f>
        <v>0</v>
      </c>
      <c r="BJ318" s="121">
        <f>交易记录!Q808</f>
        <v>0</v>
      </c>
      <c r="BK318" s="30">
        <f t="shared" si="142"/>
        <v>0</v>
      </c>
      <c r="BL318" s="124">
        <f>交易记录!Q841</f>
        <v>0</v>
      </c>
      <c r="BM318" s="124">
        <f>交易记录!Q872</f>
        <v>0</v>
      </c>
      <c r="BN318" s="30">
        <f t="shared" si="143"/>
        <v>0</v>
      </c>
      <c r="BO318" s="121">
        <f>交易记录!Q905</f>
        <v>0</v>
      </c>
      <c r="BP318" s="121">
        <f>交易记录!Q936</f>
        <v>0</v>
      </c>
      <c r="BQ318" s="30">
        <f t="shared" si="144"/>
        <v>0</v>
      </c>
    </row>
    <row r="319" spans="1:69" ht="15">
      <c r="A319" s="125">
        <f>'维护-日期'!A$16</f>
        <v>46279</v>
      </c>
      <c r="B319" s="7" t="s">
        <v>11</v>
      </c>
      <c r="C319" s="144">
        <f t="shared" si="145"/>
        <v>13.087</v>
      </c>
      <c r="D319" s="144">
        <f>ROUND(INDEX(持仓数据!$C$3:$AG$26,MATCH('计算过程-数据汇总'!B319,持仓数据!$B$3:$B$26,0),MATCH('计算过程-数据汇总'!A319,'维护-日期'!$B$2:$AF$2,0)),3)</f>
        <v>13.087</v>
      </c>
      <c r="E319" s="98">
        <f t="shared" si="146"/>
        <v>13.087</v>
      </c>
      <c r="F319" s="22">
        <f>持仓数据!P77</f>
        <v>8.6999999999999994E-2</v>
      </c>
      <c r="G319" s="97">
        <v>372</v>
      </c>
      <c r="H319" s="97">
        <v>372</v>
      </c>
      <c r="I319" s="64">
        <v>0</v>
      </c>
      <c r="J319" s="64">
        <v>0</v>
      </c>
      <c r="K319" s="21">
        <f>IF(持仓数据!P110="",0,持仓数据!P110)</f>
        <v>372</v>
      </c>
      <c r="L319" s="21">
        <f t="shared" si="147"/>
        <v>0</v>
      </c>
      <c r="M319" s="28">
        <f t="shared" si="131"/>
        <v>4868.3639999999996</v>
      </c>
      <c r="N319" s="28">
        <f t="shared" si="132"/>
        <v>0</v>
      </c>
      <c r="O319" s="28">
        <f t="shared" si="133"/>
        <v>0</v>
      </c>
      <c r="P319" s="28">
        <f t="shared" si="134"/>
        <v>0</v>
      </c>
      <c r="Q319" s="28">
        <f t="shared" si="148"/>
        <v>0</v>
      </c>
      <c r="R319" s="28">
        <f t="shared" si="135"/>
        <v>4868.3639999999996</v>
      </c>
      <c r="S319" s="28">
        <f t="shared" si="149"/>
        <v>0</v>
      </c>
      <c r="T319" s="28">
        <f t="shared" si="150"/>
        <v>0</v>
      </c>
      <c r="U319" s="28">
        <f t="shared" si="153"/>
        <v>0</v>
      </c>
      <c r="V319" s="28">
        <f t="shared" si="151"/>
        <v>0</v>
      </c>
      <c r="W319" s="118"/>
      <c r="X319" s="143">
        <f t="shared" si="152"/>
        <v>15.617000000000001</v>
      </c>
      <c r="Y319" s="121">
        <f>交易记录!Q10</f>
        <v>8.6999999999999994E-2</v>
      </c>
      <c r="Z319" s="121">
        <f>交易记录!Q41</f>
        <v>372</v>
      </c>
      <c r="AA319" s="30">
        <f t="shared" si="136"/>
        <v>0</v>
      </c>
      <c r="AB319" s="124">
        <f>交易记录!Q74</f>
        <v>0</v>
      </c>
      <c r="AC319" s="124">
        <f>交易记录!Q105</f>
        <v>0</v>
      </c>
      <c r="AD319" s="30">
        <f t="shared" si="154"/>
        <v>0</v>
      </c>
      <c r="AE319" s="121">
        <f>交易记录!Q138</f>
        <v>0</v>
      </c>
      <c r="AF319" s="121">
        <f>交易记录!Q169</f>
        <v>0</v>
      </c>
      <c r="AG319" s="30">
        <f t="shared" si="155"/>
        <v>0</v>
      </c>
      <c r="AH319" s="124">
        <f>交易记录!Q202</f>
        <v>0</v>
      </c>
      <c r="AI319" s="124">
        <f>交易记录!Q233</f>
        <v>0</v>
      </c>
      <c r="AJ319" s="30">
        <f t="shared" si="156"/>
        <v>0</v>
      </c>
      <c r="AK319" s="121">
        <f>交易记录!Q266</f>
        <v>0</v>
      </c>
      <c r="AL319" s="121">
        <f>交易记录!Q297</f>
        <v>0</v>
      </c>
      <c r="AM319" s="30">
        <f t="shared" si="157"/>
        <v>0</v>
      </c>
      <c r="AN319" s="124">
        <f>交易记录!Q330</f>
        <v>0</v>
      </c>
      <c r="AO319" s="124">
        <f>交易记录!Q361</f>
        <v>0</v>
      </c>
      <c r="AP319" s="30">
        <f t="shared" si="158"/>
        <v>0</v>
      </c>
      <c r="AQ319" s="121">
        <f>交易记录!Q394</f>
        <v>0</v>
      </c>
      <c r="AR319" s="121">
        <f>交易记录!Q425</f>
        <v>0</v>
      </c>
      <c r="AS319" s="30">
        <f t="shared" si="159"/>
        <v>0</v>
      </c>
      <c r="AT319" s="124">
        <f>交易记录!Q458</f>
        <v>0</v>
      </c>
      <c r="AU319" s="124">
        <f>交易记录!Q489</f>
        <v>0</v>
      </c>
      <c r="AV319" s="30">
        <f t="shared" si="137"/>
        <v>0</v>
      </c>
      <c r="AW319" s="121">
        <f>交易记录!Q522</f>
        <v>0</v>
      </c>
      <c r="AX319" s="121">
        <f>交易记录!Q553</f>
        <v>0</v>
      </c>
      <c r="AY319" s="30">
        <f t="shared" si="138"/>
        <v>0</v>
      </c>
      <c r="AZ319" s="124">
        <f>交易记录!Q586</f>
        <v>0</v>
      </c>
      <c r="BA319" s="124">
        <f>交易记录!Q617</f>
        <v>0</v>
      </c>
      <c r="BB319" s="30">
        <f t="shared" si="139"/>
        <v>0</v>
      </c>
      <c r="BC319" s="121">
        <f>交易记录!Q650</f>
        <v>0</v>
      </c>
      <c r="BD319" s="121">
        <f>交易记录!Q681</f>
        <v>0</v>
      </c>
      <c r="BE319" s="30">
        <f t="shared" si="140"/>
        <v>0</v>
      </c>
      <c r="BF319" s="124">
        <f>交易记录!Q714</f>
        <v>0</v>
      </c>
      <c r="BG319" s="124">
        <f>交易记录!Q745</f>
        <v>0</v>
      </c>
      <c r="BH319" s="30">
        <f t="shared" si="141"/>
        <v>0</v>
      </c>
      <c r="BI319" s="121">
        <f>交易记录!Q778</f>
        <v>0</v>
      </c>
      <c r="BJ319" s="121">
        <f>交易记录!Q809</f>
        <v>0</v>
      </c>
      <c r="BK319" s="30">
        <f t="shared" si="142"/>
        <v>0</v>
      </c>
      <c r="BL319" s="124">
        <f>交易记录!Q842</f>
        <v>0</v>
      </c>
      <c r="BM319" s="124">
        <f>交易记录!Q873</f>
        <v>0</v>
      </c>
      <c r="BN319" s="30">
        <f t="shared" si="143"/>
        <v>0</v>
      </c>
      <c r="BO319" s="121">
        <f>交易记录!Q906</f>
        <v>0</v>
      </c>
      <c r="BP319" s="121">
        <f>交易记录!Q937</f>
        <v>0</v>
      </c>
      <c r="BQ319" s="30">
        <f t="shared" si="144"/>
        <v>0</v>
      </c>
    </row>
    <row r="320" spans="1:69" ht="15">
      <c r="A320" s="125">
        <f>'维护-日期'!A$16</f>
        <v>46279</v>
      </c>
      <c r="B320" s="7" t="s">
        <v>12</v>
      </c>
      <c r="C320" s="144">
        <f t="shared" si="145"/>
        <v>12.95</v>
      </c>
      <c r="D320" s="144">
        <f>ROUND(INDEX(持仓数据!$C$3:$AG$26,MATCH('计算过程-数据汇总'!B320,持仓数据!$B$3:$B$26,0),MATCH('计算过程-数据汇总'!A320,'维护-日期'!$B$2:$AF$2,0)),3)</f>
        <v>12.95</v>
      </c>
      <c r="E320" s="98">
        <f t="shared" si="146"/>
        <v>12.95</v>
      </c>
      <c r="F320" s="22">
        <f>持仓数据!P78</f>
        <v>0.14499999999999999</v>
      </c>
      <c r="G320" s="97">
        <v>372</v>
      </c>
      <c r="H320" s="97">
        <v>372</v>
      </c>
      <c r="I320" s="64">
        <v>0</v>
      </c>
      <c r="J320" s="64">
        <v>0</v>
      </c>
      <c r="K320" s="21">
        <f>IF(持仓数据!P111="",0,持仓数据!P111)</f>
        <v>372</v>
      </c>
      <c r="L320" s="21">
        <f t="shared" si="147"/>
        <v>0</v>
      </c>
      <c r="M320" s="28">
        <f t="shared" si="131"/>
        <v>4817.3999999999996</v>
      </c>
      <c r="N320" s="28">
        <f t="shared" si="132"/>
        <v>0</v>
      </c>
      <c r="O320" s="28">
        <f t="shared" si="133"/>
        <v>0</v>
      </c>
      <c r="P320" s="28">
        <f t="shared" si="134"/>
        <v>0</v>
      </c>
      <c r="Q320" s="28">
        <f t="shared" si="148"/>
        <v>0</v>
      </c>
      <c r="R320" s="28">
        <f t="shared" si="135"/>
        <v>4817.3999999999996</v>
      </c>
      <c r="S320" s="28">
        <f t="shared" si="149"/>
        <v>0</v>
      </c>
      <c r="T320" s="28">
        <f t="shared" si="150"/>
        <v>0</v>
      </c>
      <c r="U320" s="28">
        <f t="shared" si="153"/>
        <v>0</v>
      </c>
      <c r="V320" s="28">
        <f t="shared" si="151"/>
        <v>0</v>
      </c>
      <c r="W320" s="118"/>
      <c r="X320" s="143">
        <f t="shared" si="152"/>
        <v>15.395</v>
      </c>
      <c r="Y320" s="121">
        <f>交易记录!Q11</f>
        <v>0.14499999999999999</v>
      </c>
      <c r="Z320" s="121">
        <f>交易记录!Q42</f>
        <v>372</v>
      </c>
      <c r="AA320" s="30">
        <f t="shared" si="136"/>
        <v>0</v>
      </c>
      <c r="AB320" s="124">
        <f>交易记录!Q75</f>
        <v>0</v>
      </c>
      <c r="AC320" s="124">
        <f>交易记录!Q106</f>
        <v>0</v>
      </c>
      <c r="AD320" s="30">
        <f t="shared" si="154"/>
        <v>0</v>
      </c>
      <c r="AE320" s="121">
        <f>交易记录!Q139</f>
        <v>0</v>
      </c>
      <c r="AF320" s="121">
        <f>交易记录!Q170</f>
        <v>0</v>
      </c>
      <c r="AG320" s="30">
        <f t="shared" si="155"/>
        <v>0</v>
      </c>
      <c r="AH320" s="124">
        <f>交易记录!Q203</f>
        <v>0</v>
      </c>
      <c r="AI320" s="124">
        <f>交易记录!Q234</f>
        <v>0</v>
      </c>
      <c r="AJ320" s="30">
        <f t="shared" si="156"/>
        <v>0</v>
      </c>
      <c r="AK320" s="121">
        <f>交易记录!Q267</f>
        <v>0</v>
      </c>
      <c r="AL320" s="121">
        <f>交易记录!Q298</f>
        <v>0</v>
      </c>
      <c r="AM320" s="30">
        <f t="shared" si="157"/>
        <v>0</v>
      </c>
      <c r="AN320" s="124">
        <f>交易记录!Q331</f>
        <v>0</v>
      </c>
      <c r="AO320" s="124">
        <f>交易记录!Q362</f>
        <v>0</v>
      </c>
      <c r="AP320" s="30">
        <f t="shared" si="158"/>
        <v>0</v>
      </c>
      <c r="AQ320" s="121">
        <f>交易记录!Q395</f>
        <v>0</v>
      </c>
      <c r="AR320" s="121">
        <f>交易记录!Q426</f>
        <v>0</v>
      </c>
      <c r="AS320" s="30">
        <f t="shared" si="159"/>
        <v>0</v>
      </c>
      <c r="AT320" s="124">
        <f>交易记录!Q459</f>
        <v>0</v>
      </c>
      <c r="AU320" s="124">
        <f>交易记录!Q490</f>
        <v>0</v>
      </c>
      <c r="AV320" s="30">
        <f t="shared" si="137"/>
        <v>0</v>
      </c>
      <c r="AW320" s="121">
        <f>交易记录!Q523</f>
        <v>0</v>
      </c>
      <c r="AX320" s="121">
        <f>交易记录!Q554</f>
        <v>0</v>
      </c>
      <c r="AY320" s="30">
        <f t="shared" si="138"/>
        <v>0</v>
      </c>
      <c r="AZ320" s="124">
        <f>交易记录!Q587</f>
        <v>0</v>
      </c>
      <c r="BA320" s="124">
        <f>交易记录!Q618</f>
        <v>0</v>
      </c>
      <c r="BB320" s="30">
        <f t="shared" si="139"/>
        <v>0</v>
      </c>
      <c r="BC320" s="121">
        <f>交易记录!Q651</f>
        <v>0</v>
      </c>
      <c r="BD320" s="121">
        <f>交易记录!Q682</f>
        <v>0</v>
      </c>
      <c r="BE320" s="30">
        <f t="shared" si="140"/>
        <v>0</v>
      </c>
      <c r="BF320" s="124">
        <f>交易记录!Q715</f>
        <v>0</v>
      </c>
      <c r="BG320" s="124">
        <f>交易记录!Q746</f>
        <v>0</v>
      </c>
      <c r="BH320" s="30">
        <f t="shared" si="141"/>
        <v>0</v>
      </c>
      <c r="BI320" s="121">
        <f>交易记录!Q779</f>
        <v>0</v>
      </c>
      <c r="BJ320" s="121">
        <f>交易记录!Q810</f>
        <v>0</v>
      </c>
      <c r="BK320" s="30">
        <f t="shared" si="142"/>
        <v>0</v>
      </c>
      <c r="BL320" s="124">
        <f>交易记录!Q843</f>
        <v>0</v>
      </c>
      <c r="BM320" s="124">
        <f>交易记录!Q874</f>
        <v>0</v>
      </c>
      <c r="BN320" s="30">
        <f t="shared" si="143"/>
        <v>0</v>
      </c>
      <c r="BO320" s="121">
        <f>交易记录!Q907</f>
        <v>0</v>
      </c>
      <c r="BP320" s="121">
        <f>交易记录!Q938</f>
        <v>0</v>
      </c>
      <c r="BQ320" s="30">
        <f t="shared" si="144"/>
        <v>0</v>
      </c>
    </row>
    <row r="321" spans="1:69" ht="15">
      <c r="A321" s="125">
        <f>'维护-日期'!A$16</f>
        <v>46279</v>
      </c>
      <c r="B321" s="7" t="s">
        <v>13</v>
      </c>
      <c r="C321" s="144">
        <f t="shared" si="145"/>
        <v>13.266999999999999</v>
      </c>
      <c r="D321" s="144">
        <f>ROUND(INDEX(持仓数据!$C$3:$AG$26,MATCH('计算过程-数据汇总'!B321,持仓数据!$B$3:$B$26,0),MATCH('计算过程-数据汇总'!A321,'维护-日期'!$B$2:$AF$2,0)),3)</f>
        <v>13.266999999999999</v>
      </c>
      <c r="E321" s="98">
        <f t="shared" si="146"/>
        <v>13.266999999999999</v>
      </c>
      <c r="F321" s="22">
        <f>持仓数据!P79</f>
        <v>0.307</v>
      </c>
      <c r="G321" s="97">
        <v>372</v>
      </c>
      <c r="H321" s="97">
        <v>372</v>
      </c>
      <c r="I321" s="64">
        <v>0</v>
      </c>
      <c r="J321" s="64">
        <v>0</v>
      </c>
      <c r="K321" s="21">
        <f>IF(持仓数据!P112="",0,持仓数据!P112)</f>
        <v>372</v>
      </c>
      <c r="L321" s="21">
        <f t="shared" si="147"/>
        <v>0</v>
      </c>
      <c r="M321" s="28">
        <f t="shared" si="131"/>
        <v>4935.3239999999996</v>
      </c>
      <c r="N321" s="28">
        <f t="shared" si="132"/>
        <v>0</v>
      </c>
      <c r="O321" s="28">
        <f t="shared" si="133"/>
        <v>0</v>
      </c>
      <c r="P321" s="28">
        <f t="shared" si="134"/>
        <v>0</v>
      </c>
      <c r="Q321" s="28">
        <f t="shared" si="148"/>
        <v>0</v>
      </c>
      <c r="R321" s="28">
        <f t="shared" si="135"/>
        <v>4935.3239999999996</v>
      </c>
      <c r="S321" s="28">
        <f t="shared" si="149"/>
        <v>0</v>
      </c>
      <c r="T321" s="28">
        <f t="shared" si="150"/>
        <v>0</v>
      </c>
      <c r="U321" s="28">
        <f t="shared" si="153"/>
        <v>0</v>
      </c>
      <c r="V321" s="28">
        <f t="shared" si="151"/>
        <v>0</v>
      </c>
      <c r="W321" s="118"/>
      <c r="X321" s="143">
        <f t="shared" si="152"/>
        <v>15.613</v>
      </c>
      <c r="Y321" s="121">
        <f>交易记录!Q12</f>
        <v>0.307</v>
      </c>
      <c r="Z321" s="121">
        <f>交易记录!Q43</f>
        <v>372</v>
      </c>
      <c r="AA321" s="30">
        <f t="shared" si="136"/>
        <v>0</v>
      </c>
      <c r="AB321" s="124">
        <f>交易记录!Q76</f>
        <v>0</v>
      </c>
      <c r="AC321" s="124">
        <f>交易记录!Q107</f>
        <v>0</v>
      </c>
      <c r="AD321" s="30">
        <f t="shared" si="154"/>
        <v>0</v>
      </c>
      <c r="AE321" s="121">
        <f>交易记录!Q140</f>
        <v>0</v>
      </c>
      <c r="AF321" s="121">
        <f>交易记录!Q171</f>
        <v>0</v>
      </c>
      <c r="AG321" s="30">
        <f t="shared" si="155"/>
        <v>0</v>
      </c>
      <c r="AH321" s="124">
        <f>交易记录!Q204</f>
        <v>0</v>
      </c>
      <c r="AI321" s="124">
        <f>交易记录!Q235</f>
        <v>0</v>
      </c>
      <c r="AJ321" s="30">
        <f t="shared" si="156"/>
        <v>0</v>
      </c>
      <c r="AK321" s="121">
        <f>交易记录!Q268</f>
        <v>0</v>
      </c>
      <c r="AL321" s="121">
        <f>交易记录!Q299</f>
        <v>0</v>
      </c>
      <c r="AM321" s="30">
        <f t="shared" si="157"/>
        <v>0</v>
      </c>
      <c r="AN321" s="124">
        <f>交易记录!Q332</f>
        <v>0</v>
      </c>
      <c r="AO321" s="124">
        <f>交易记录!Q363</f>
        <v>0</v>
      </c>
      <c r="AP321" s="30">
        <f t="shared" si="158"/>
        <v>0</v>
      </c>
      <c r="AQ321" s="121">
        <f>交易记录!Q396</f>
        <v>0</v>
      </c>
      <c r="AR321" s="121">
        <f>交易记录!Q427</f>
        <v>0</v>
      </c>
      <c r="AS321" s="30">
        <f t="shared" si="159"/>
        <v>0</v>
      </c>
      <c r="AT321" s="124">
        <f>交易记录!Q460</f>
        <v>0</v>
      </c>
      <c r="AU321" s="124">
        <f>交易记录!Q491</f>
        <v>0</v>
      </c>
      <c r="AV321" s="30">
        <f t="shared" si="137"/>
        <v>0</v>
      </c>
      <c r="AW321" s="121">
        <f>交易记录!Q524</f>
        <v>0</v>
      </c>
      <c r="AX321" s="121">
        <f>交易记录!Q555</f>
        <v>0</v>
      </c>
      <c r="AY321" s="30">
        <f t="shared" si="138"/>
        <v>0</v>
      </c>
      <c r="AZ321" s="124">
        <f>交易记录!Q588</f>
        <v>0</v>
      </c>
      <c r="BA321" s="124">
        <f>交易记录!Q619</f>
        <v>0</v>
      </c>
      <c r="BB321" s="30">
        <f t="shared" si="139"/>
        <v>0</v>
      </c>
      <c r="BC321" s="121">
        <f>交易记录!Q652</f>
        <v>0</v>
      </c>
      <c r="BD321" s="121">
        <f>交易记录!Q683</f>
        <v>0</v>
      </c>
      <c r="BE321" s="30">
        <f t="shared" si="140"/>
        <v>0</v>
      </c>
      <c r="BF321" s="124">
        <f>交易记录!Q716</f>
        <v>0</v>
      </c>
      <c r="BG321" s="124">
        <f>交易记录!Q747</f>
        <v>0</v>
      </c>
      <c r="BH321" s="30">
        <f t="shared" si="141"/>
        <v>0</v>
      </c>
      <c r="BI321" s="121">
        <f>交易记录!Q780</f>
        <v>0</v>
      </c>
      <c r="BJ321" s="121">
        <f>交易记录!Q811</f>
        <v>0</v>
      </c>
      <c r="BK321" s="30">
        <f t="shared" si="142"/>
        <v>0</v>
      </c>
      <c r="BL321" s="124">
        <f>交易记录!Q844</f>
        <v>0</v>
      </c>
      <c r="BM321" s="124">
        <f>交易记录!Q875</f>
        <v>0</v>
      </c>
      <c r="BN321" s="30">
        <f t="shared" si="143"/>
        <v>0</v>
      </c>
      <c r="BO321" s="121">
        <f>交易记录!Q908</f>
        <v>0</v>
      </c>
      <c r="BP321" s="121">
        <f>交易记录!Q939</f>
        <v>0</v>
      </c>
      <c r="BQ321" s="30">
        <f t="shared" si="144"/>
        <v>0</v>
      </c>
    </row>
    <row r="322" spans="1:69" ht="15">
      <c r="A322" s="125">
        <f>'维护-日期'!A$16</f>
        <v>46279</v>
      </c>
      <c r="B322" s="7" t="s">
        <v>14</v>
      </c>
      <c r="C322" s="144">
        <f t="shared" si="145"/>
        <v>15.795999999999999</v>
      </c>
      <c r="D322" s="144">
        <f>ROUND(INDEX(持仓数据!$C$3:$AG$26,MATCH('计算过程-数据汇总'!B322,持仓数据!$B$3:$B$26,0),MATCH('计算过程-数据汇总'!A322,'维护-日期'!$B$2:$AF$2,0)),3)</f>
        <v>15.795999999999999</v>
      </c>
      <c r="E322" s="98">
        <f t="shared" si="146"/>
        <v>15.795999999999999</v>
      </c>
      <c r="F322" s="22">
        <f>持仓数据!P80</f>
        <v>0.42800000000000005</v>
      </c>
      <c r="G322" s="97">
        <v>372</v>
      </c>
      <c r="H322" s="97">
        <v>372</v>
      </c>
      <c r="I322" s="64">
        <v>0</v>
      </c>
      <c r="J322" s="64">
        <v>0</v>
      </c>
      <c r="K322" s="21">
        <f>IF(持仓数据!P113="",0,持仓数据!P113)</f>
        <v>372</v>
      </c>
      <c r="L322" s="21">
        <f t="shared" si="147"/>
        <v>0</v>
      </c>
      <c r="M322" s="28">
        <f t="shared" ref="M322:M385" si="160">IFERROR(C322*G322,0)</f>
        <v>5876.1120000000001</v>
      </c>
      <c r="N322" s="28">
        <f t="shared" ref="N322:N385" si="161">IFERROR((D322-C322)*(G322-H322),0)</f>
        <v>0</v>
      </c>
      <c r="O322" s="28">
        <f t="shared" ref="O322:O385" si="162">IFERROR((E322-D322)*(G322-H322),0)</f>
        <v>0</v>
      </c>
      <c r="P322" s="28">
        <f t="shared" ref="P322:P385" si="163">IFERROR(F322*(K322-G322),0)</f>
        <v>0</v>
      </c>
      <c r="Q322" s="28">
        <f t="shared" si="148"/>
        <v>0</v>
      </c>
      <c r="R322" s="28">
        <f t="shared" ref="R322:R385" si="164">IFERROR(K322*C322,0)</f>
        <v>5876.1120000000001</v>
      </c>
      <c r="S322" s="28">
        <f t="shared" si="149"/>
        <v>0</v>
      </c>
      <c r="T322" s="28">
        <f t="shared" si="150"/>
        <v>0</v>
      </c>
      <c r="U322" s="28">
        <f t="shared" si="153"/>
        <v>0</v>
      </c>
      <c r="V322" s="28">
        <f t="shared" si="151"/>
        <v>0</v>
      </c>
      <c r="W322" s="118"/>
      <c r="X322" s="143">
        <f t="shared" si="152"/>
        <v>18.527000000000001</v>
      </c>
      <c r="Y322" s="121">
        <f>交易记录!Q13</f>
        <v>0.42800000000000005</v>
      </c>
      <c r="Z322" s="121">
        <f>交易记录!Q44</f>
        <v>372</v>
      </c>
      <c r="AA322" s="30">
        <f t="shared" ref="AA322:AA385" si="165">IFERROR((Z322-G322)*Y322,0)</f>
        <v>0</v>
      </c>
      <c r="AB322" s="124">
        <f>交易记录!Q77</f>
        <v>0</v>
      </c>
      <c r="AC322" s="124">
        <f>交易记录!Q108</f>
        <v>0</v>
      </c>
      <c r="AD322" s="30">
        <f t="shared" si="154"/>
        <v>0</v>
      </c>
      <c r="AE322" s="121">
        <f>交易记录!Q141</f>
        <v>0</v>
      </c>
      <c r="AF322" s="121">
        <f>交易记录!Q172</f>
        <v>0</v>
      </c>
      <c r="AG322" s="30">
        <f t="shared" si="155"/>
        <v>0</v>
      </c>
      <c r="AH322" s="124">
        <f>交易记录!Q205</f>
        <v>0</v>
      </c>
      <c r="AI322" s="124">
        <f>交易记录!Q236</f>
        <v>0</v>
      </c>
      <c r="AJ322" s="30">
        <f t="shared" si="156"/>
        <v>0</v>
      </c>
      <c r="AK322" s="121">
        <f>交易记录!Q269</f>
        <v>0</v>
      </c>
      <c r="AL322" s="121">
        <f>交易记录!Q300</f>
        <v>0</v>
      </c>
      <c r="AM322" s="30">
        <f t="shared" si="157"/>
        <v>0</v>
      </c>
      <c r="AN322" s="124">
        <f>交易记录!Q333</f>
        <v>0</v>
      </c>
      <c r="AO322" s="124">
        <f>交易记录!Q364</f>
        <v>0</v>
      </c>
      <c r="AP322" s="30">
        <f t="shared" si="158"/>
        <v>0</v>
      </c>
      <c r="AQ322" s="121">
        <f>交易记录!Q397</f>
        <v>0</v>
      </c>
      <c r="AR322" s="121">
        <f>交易记录!Q428</f>
        <v>0</v>
      </c>
      <c r="AS322" s="30">
        <f t="shared" si="159"/>
        <v>0</v>
      </c>
      <c r="AT322" s="124">
        <f>交易记录!Q461</f>
        <v>0</v>
      </c>
      <c r="AU322" s="124">
        <f>交易记录!Q492</f>
        <v>0</v>
      </c>
      <c r="AV322" s="30">
        <f t="shared" ref="AV322:AV385" si="166">IFERROR((AU322-$G322)*AT322,0)</f>
        <v>0</v>
      </c>
      <c r="AW322" s="121">
        <f>交易记录!Q525</f>
        <v>0</v>
      </c>
      <c r="AX322" s="121">
        <f>交易记录!Q556</f>
        <v>0</v>
      </c>
      <c r="AY322" s="30">
        <f t="shared" ref="AY322:AY385" si="167">IFERROR((AX322-$G322)*AW322,0)</f>
        <v>0</v>
      </c>
      <c r="AZ322" s="124">
        <f>交易记录!Q589</f>
        <v>0</v>
      </c>
      <c r="BA322" s="124">
        <f>交易记录!Q620</f>
        <v>0</v>
      </c>
      <c r="BB322" s="30">
        <f t="shared" ref="BB322:BB385" si="168">IFERROR((BA322-$G322)*AZ322,0)</f>
        <v>0</v>
      </c>
      <c r="BC322" s="121">
        <f>交易记录!Q653</f>
        <v>0</v>
      </c>
      <c r="BD322" s="121">
        <f>交易记录!Q684</f>
        <v>0</v>
      </c>
      <c r="BE322" s="30">
        <f t="shared" ref="BE322:BE385" si="169">IFERROR((BD322-$G322)*BC322,0)</f>
        <v>0</v>
      </c>
      <c r="BF322" s="124">
        <f>交易记录!Q717</f>
        <v>0</v>
      </c>
      <c r="BG322" s="124">
        <f>交易记录!Q748</f>
        <v>0</v>
      </c>
      <c r="BH322" s="30">
        <f t="shared" ref="BH322:BH385" si="170">IFERROR((BG322-$G322)*BF322,0)</f>
        <v>0</v>
      </c>
      <c r="BI322" s="121">
        <f>交易记录!Q781</f>
        <v>0</v>
      </c>
      <c r="BJ322" s="121">
        <f>交易记录!Q812</f>
        <v>0</v>
      </c>
      <c r="BK322" s="30">
        <f t="shared" ref="BK322:BK385" si="171">IFERROR((BJ322-$G322)*BI322,0)</f>
        <v>0</v>
      </c>
      <c r="BL322" s="124">
        <f>交易记录!Q845</f>
        <v>0</v>
      </c>
      <c r="BM322" s="124">
        <f>交易记录!Q876</f>
        <v>0</v>
      </c>
      <c r="BN322" s="30">
        <f t="shared" ref="BN322:BN385" si="172">IFERROR((BM322-$G322)*BL322,0)</f>
        <v>0</v>
      </c>
      <c r="BO322" s="121">
        <f>交易记录!Q909</f>
        <v>0</v>
      </c>
      <c r="BP322" s="121">
        <f>交易记录!Q940</f>
        <v>0</v>
      </c>
      <c r="BQ322" s="30">
        <f t="shared" ref="BQ322:BQ385" si="173">IFERROR((BP322-$G322)*BO322,0)</f>
        <v>0</v>
      </c>
    </row>
    <row r="323" spans="1:69" ht="15">
      <c r="A323" s="125">
        <f>'维护-日期'!A$16</f>
        <v>46279</v>
      </c>
      <c r="B323" s="7" t="s">
        <v>15</v>
      </c>
      <c r="C323" s="144">
        <f t="shared" ref="C323:C386" si="174">D323</f>
        <v>19.308</v>
      </c>
      <c r="D323" s="144">
        <f>ROUND(INDEX(持仓数据!$C$3:$AG$26,MATCH('计算过程-数据汇总'!B323,持仓数据!$B$3:$B$26,0),MATCH('计算过程-数据汇总'!A323,'维护-日期'!$B$2:$AF$2,0)),3)</f>
        <v>19.308</v>
      </c>
      <c r="E323" s="98">
        <f t="shared" ref="E323:E386" si="175">D323*1</f>
        <v>19.308</v>
      </c>
      <c r="F323" s="22">
        <f>持仓数据!P81</f>
        <v>0.46100000000000002</v>
      </c>
      <c r="G323" s="97">
        <v>372</v>
      </c>
      <c r="H323" s="97">
        <v>372</v>
      </c>
      <c r="I323" s="64">
        <v>0</v>
      </c>
      <c r="J323" s="64">
        <v>0</v>
      </c>
      <c r="K323" s="21">
        <f>IF(持仓数据!P114="",0,持仓数据!P114)</f>
        <v>372</v>
      </c>
      <c r="L323" s="21">
        <f t="shared" ref="L323:L386" si="176">I323*J323</f>
        <v>0</v>
      </c>
      <c r="M323" s="28">
        <f t="shared" si="160"/>
        <v>7182.576</v>
      </c>
      <c r="N323" s="28">
        <f t="shared" si="161"/>
        <v>0</v>
      </c>
      <c r="O323" s="28">
        <f t="shared" si="162"/>
        <v>0</v>
      </c>
      <c r="P323" s="28">
        <f t="shared" si="163"/>
        <v>0</v>
      </c>
      <c r="Q323" s="28">
        <f t="shared" ref="Q323:Q386" si="177">IFERROR(IF(ABS((E323-C323)/C323)&gt;0.2,IF(SUM(N323:O323)&lt;0,ABS(G323-H323)*(ABS(C323-E323)-C323*0.2),0),0),IF(SUM(N323:O323)&lt;0,ABS(G323-H323)*(ABS(C323-E323)-C323*0.2),0))</f>
        <v>0</v>
      </c>
      <c r="R323" s="28">
        <f t="shared" si="164"/>
        <v>7182.576</v>
      </c>
      <c r="S323" s="28">
        <f t="shared" ref="S323:S386" si="178">IFERROR((D323-E323)*(K323-G323),0)</f>
        <v>0</v>
      </c>
      <c r="T323" s="28">
        <f t="shared" ref="T323:T386" si="179">IFERROR((F323-D323)*(K323-G323),0)</f>
        <v>0</v>
      </c>
      <c r="U323" s="28">
        <f t="shared" si="153"/>
        <v>0</v>
      </c>
      <c r="V323" s="28">
        <f t="shared" ref="V323:V386" si="180">IFERROR((E323-D323)*(K323-H323),0)</f>
        <v>0</v>
      </c>
      <c r="W323" s="118"/>
      <c r="X323" s="143">
        <f t="shared" ref="X323:X386" si="181">ROUND(D323*1.2-SUM(Y323,AB323,AE323,AH323,AK323,AN323,AQ323,AT323,AW323,AZ323,BC323,BF323,BI323,BL323,BO323),3)</f>
        <v>22.709</v>
      </c>
      <c r="Y323" s="121">
        <f>交易记录!Q14</f>
        <v>0.46100000000000002</v>
      </c>
      <c r="Z323" s="121">
        <f>交易记录!Q45</f>
        <v>372</v>
      </c>
      <c r="AA323" s="30">
        <f t="shared" si="165"/>
        <v>0</v>
      </c>
      <c r="AB323" s="124">
        <f>交易记录!Q78</f>
        <v>0</v>
      </c>
      <c r="AC323" s="124">
        <f>交易记录!Q109</f>
        <v>0</v>
      </c>
      <c r="AD323" s="30">
        <f t="shared" si="154"/>
        <v>0</v>
      </c>
      <c r="AE323" s="121">
        <f>交易记录!Q142</f>
        <v>0</v>
      </c>
      <c r="AF323" s="121">
        <f>交易记录!Q173</f>
        <v>0</v>
      </c>
      <c r="AG323" s="30">
        <f t="shared" si="155"/>
        <v>0</v>
      </c>
      <c r="AH323" s="124">
        <f>交易记录!Q206</f>
        <v>0</v>
      </c>
      <c r="AI323" s="124">
        <f>交易记录!Q237</f>
        <v>0</v>
      </c>
      <c r="AJ323" s="30">
        <f t="shared" si="156"/>
        <v>0</v>
      </c>
      <c r="AK323" s="121">
        <f>交易记录!Q270</f>
        <v>0</v>
      </c>
      <c r="AL323" s="121">
        <f>交易记录!Q301</f>
        <v>0</v>
      </c>
      <c r="AM323" s="30">
        <f t="shared" si="157"/>
        <v>0</v>
      </c>
      <c r="AN323" s="124">
        <f>交易记录!Q334</f>
        <v>0</v>
      </c>
      <c r="AO323" s="124">
        <f>交易记录!Q365</f>
        <v>0</v>
      </c>
      <c r="AP323" s="30">
        <f t="shared" si="158"/>
        <v>0</v>
      </c>
      <c r="AQ323" s="121">
        <f>交易记录!Q398</f>
        <v>0</v>
      </c>
      <c r="AR323" s="121">
        <f>交易记录!Q429</f>
        <v>0</v>
      </c>
      <c r="AS323" s="30">
        <f t="shared" si="159"/>
        <v>0</v>
      </c>
      <c r="AT323" s="124">
        <f>交易记录!Q462</f>
        <v>0</v>
      </c>
      <c r="AU323" s="124">
        <f>交易记录!Q493</f>
        <v>0</v>
      </c>
      <c r="AV323" s="30">
        <f t="shared" si="166"/>
        <v>0</v>
      </c>
      <c r="AW323" s="121">
        <f>交易记录!Q526</f>
        <v>0</v>
      </c>
      <c r="AX323" s="121">
        <f>交易记录!Q557</f>
        <v>0</v>
      </c>
      <c r="AY323" s="30">
        <f t="shared" si="167"/>
        <v>0</v>
      </c>
      <c r="AZ323" s="124">
        <f>交易记录!Q590</f>
        <v>0</v>
      </c>
      <c r="BA323" s="124">
        <f>交易记录!Q621</f>
        <v>0</v>
      </c>
      <c r="BB323" s="30">
        <f t="shared" si="168"/>
        <v>0</v>
      </c>
      <c r="BC323" s="121">
        <f>交易记录!Q654</f>
        <v>0</v>
      </c>
      <c r="BD323" s="121">
        <f>交易记录!Q685</f>
        <v>0</v>
      </c>
      <c r="BE323" s="30">
        <f t="shared" si="169"/>
        <v>0</v>
      </c>
      <c r="BF323" s="124">
        <f>交易记录!Q718</f>
        <v>0</v>
      </c>
      <c r="BG323" s="124">
        <f>交易记录!Q749</f>
        <v>0</v>
      </c>
      <c r="BH323" s="30">
        <f t="shared" si="170"/>
        <v>0</v>
      </c>
      <c r="BI323" s="121">
        <f>交易记录!Q782</f>
        <v>0</v>
      </c>
      <c r="BJ323" s="121">
        <f>交易记录!Q813</f>
        <v>0</v>
      </c>
      <c r="BK323" s="30">
        <f t="shared" si="171"/>
        <v>0</v>
      </c>
      <c r="BL323" s="124">
        <f>交易记录!Q846</f>
        <v>0</v>
      </c>
      <c r="BM323" s="124">
        <f>交易记录!Q877</f>
        <v>0</v>
      </c>
      <c r="BN323" s="30">
        <f t="shared" si="172"/>
        <v>0</v>
      </c>
      <c r="BO323" s="121">
        <f>交易记录!Q910</f>
        <v>0</v>
      </c>
      <c r="BP323" s="121">
        <f>交易记录!Q941</f>
        <v>0</v>
      </c>
      <c r="BQ323" s="30">
        <f t="shared" si="173"/>
        <v>0</v>
      </c>
    </row>
    <row r="324" spans="1:69" ht="15">
      <c r="A324" s="125">
        <f>'维护-日期'!A$16</f>
        <v>46279</v>
      </c>
      <c r="B324" s="7" t="s">
        <v>16</v>
      </c>
      <c r="C324" s="144">
        <f t="shared" si="174"/>
        <v>21.01</v>
      </c>
      <c r="D324" s="144">
        <f>ROUND(INDEX(持仓数据!$C$3:$AG$26,MATCH('计算过程-数据汇总'!B324,持仓数据!$B$3:$B$26,0),MATCH('计算过程-数据汇总'!A324,'维护-日期'!$B$2:$AF$2,0)),3)</f>
        <v>21.01</v>
      </c>
      <c r="E324" s="98">
        <f t="shared" si="175"/>
        <v>21.01</v>
      </c>
      <c r="F324" s="22">
        <f>持仓数据!P82</f>
        <v>0.46700000000000003</v>
      </c>
      <c r="G324" s="97">
        <v>372</v>
      </c>
      <c r="H324" s="97">
        <v>372</v>
      </c>
      <c r="I324" s="64">
        <v>0</v>
      </c>
      <c r="J324" s="64">
        <v>0</v>
      </c>
      <c r="K324" s="21">
        <f>IF(持仓数据!P115="",0,持仓数据!P115)</f>
        <v>372</v>
      </c>
      <c r="L324" s="21">
        <f t="shared" si="176"/>
        <v>0</v>
      </c>
      <c r="M324" s="28">
        <f t="shared" si="160"/>
        <v>7815.72</v>
      </c>
      <c r="N324" s="28">
        <f t="shared" si="161"/>
        <v>0</v>
      </c>
      <c r="O324" s="28">
        <f t="shared" si="162"/>
        <v>0</v>
      </c>
      <c r="P324" s="28">
        <f t="shared" si="163"/>
        <v>0</v>
      </c>
      <c r="Q324" s="28">
        <f t="shared" si="177"/>
        <v>0</v>
      </c>
      <c r="R324" s="28">
        <f t="shared" si="164"/>
        <v>7815.72</v>
      </c>
      <c r="S324" s="28">
        <f t="shared" si="178"/>
        <v>0</v>
      </c>
      <c r="T324" s="28">
        <f t="shared" si="179"/>
        <v>0</v>
      </c>
      <c r="U324" s="28">
        <f t="shared" ref="U324:U387" si="182">IFERROR((D324-C324)*(K324-H324),0)</f>
        <v>0</v>
      </c>
      <c r="V324" s="28">
        <f t="shared" si="180"/>
        <v>0</v>
      </c>
      <c r="W324" s="118"/>
      <c r="X324" s="143">
        <f t="shared" si="181"/>
        <v>24.745000000000001</v>
      </c>
      <c r="Y324" s="121">
        <f>交易记录!Q15</f>
        <v>0.46700000000000003</v>
      </c>
      <c r="Z324" s="121">
        <f>交易记录!Q46</f>
        <v>372</v>
      </c>
      <c r="AA324" s="30">
        <f t="shared" si="165"/>
        <v>0</v>
      </c>
      <c r="AB324" s="124">
        <f>交易记录!Q79</f>
        <v>0</v>
      </c>
      <c r="AC324" s="124">
        <f>交易记录!Q110</f>
        <v>0</v>
      </c>
      <c r="AD324" s="30">
        <f t="shared" si="154"/>
        <v>0</v>
      </c>
      <c r="AE324" s="121">
        <f>交易记录!Q143</f>
        <v>0</v>
      </c>
      <c r="AF324" s="121">
        <f>交易记录!Q174</f>
        <v>0</v>
      </c>
      <c r="AG324" s="30">
        <f t="shared" si="155"/>
        <v>0</v>
      </c>
      <c r="AH324" s="124">
        <f>交易记录!Q207</f>
        <v>0</v>
      </c>
      <c r="AI324" s="124">
        <f>交易记录!Q238</f>
        <v>0</v>
      </c>
      <c r="AJ324" s="30">
        <f t="shared" si="156"/>
        <v>0</v>
      </c>
      <c r="AK324" s="121">
        <f>交易记录!Q271</f>
        <v>0</v>
      </c>
      <c r="AL324" s="121">
        <f>交易记录!Q302</f>
        <v>0</v>
      </c>
      <c r="AM324" s="30">
        <f t="shared" si="157"/>
        <v>0</v>
      </c>
      <c r="AN324" s="124">
        <f>交易记录!Q335</f>
        <v>0</v>
      </c>
      <c r="AO324" s="124">
        <f>交易记录!Q366</f>
        <v>0</v>
      </c>
      <c r="AP324" s="30">
        <f t="shared" si="158"/>
        <v>0</v>
      </c>
      <c r="AQ324" s="121">
        <f>交易记录!Q399</f>
        <v>0</v>
      </c>
      <c r="AR324" s="121">
        <f>交易记录!Q430</f>
        <v>0</v>
      </c>
      <c r="AS324" s="30">
        <f t="shared" si="159"/>
        <v>0</v>
      </c>
      <c r="AT324" s="124">
        <f>交易记录!Q463</f>
        <v>0</v>
      </c>
      <c r="AU324" s="124">
        <f>交易记录!Q494</f>
        <v>0</v>
      </c>
      <c r="AV324" s="30">
        <f t="shared" si="166"/>
        <v>0</v>
      </c>
      <c r="AW324" s="121">
        <f>交易记录!Q527</f>
        <v>0</v>
      </c>
      <c r="AX324" s="121">
        <f>交易记录!Q558</f>
        <v>0</v>
      </c>
      <c r="AY324" s="30">
        <f t="shared" si="167"/>
        <v>0</v>
      </c>
      <c r="AZ324" s="124">
        <f>交易记录!Q591</f>
        <v>0</v>
      </c>
      <c r="BA324" s="124">
        <f>交易记录!Q622</f>
        <v>0</v>
      </c>
      <c r="BB324" s="30">
        <f t="shared" si="168"/>
        <v>0</v>
      </c>
      <c r="BC324" s="121">
        <f>交易记录!Q655</f>
        <v>0</v>
      </c>
      <c r="BD324" s="121">
        <f>交易记录!Q686</f>
        <v>0</v>
      </c>
      <c r="BE324" s="30">
        <f t="shared" si="169"/>
        <v>0</v>
      </c>
      <c r="BF324" s="124">
        <f>交易记录!Q719</f>
        <v>0</v>
      </c>
      <c r="BG324" s="124">
        <f>交易记录!Q750</f>
        <v>0</v>
      </c>
      <c r="BH324" s="30">
        <f t="shared" si="170"/>
        <v>0</v>
      </c>
      <c r="BI324" s="121">
        <f>交易记录!Q783</f>
        <v>0</v>
      </c>
      <c r="BJ324" s="121">
        <f>交易记录!Q814</f>
        <v>0</v>
      </c>
      <c r="BK324" s="30">
        <f t="shared" si="171"/>
        <v>0</v>
      </c>
      <c r="BL324" s="124">
        <f>交易记录!Q847</f>
        <v>0</v>
      </c>
      <c r="BM324" s="124">
        <f>交易记录!Q878</f>
        <v>0</v>
      </c>
      <c r="BN324" s="30">
        <f t="shared" si="172"/>
        <v>0</v>
      </c>
      <c r="BO324" s="121">
        <f>交易记录!Q911</f>
        <v>0</v>
      </c>
      <c r="BP324" s="121">
        <f>交易记录!Q942</f>
        <v>0</v>
      </c>
      <c r="BQ324" s="30">
        <f t="shared" si="173"/>
        <v>0</v>
      </c>
    </row>
    <row r="325" spans="1:69" ht="15">
      <c r="A325" s="125">
        <f>'维护-日期'!A$16</f>
        <v>46279</v>
      </c>
      <c r="B325" s="7" t="s">
        <v>17</v>
      </c>
      <c r="C325" s="144">
        <f t="shared" si="174"/>
        <v>21.329000000000001</v>
      </c>
      <c r="D325" s="144">
        <f>ROUND(INDEX(持仓数据!$C$3:$AG$26,MATCH('计算过程-数据汇总'!B325,持仓数据!$B$3:$B$26,0),MATCH('计算过程-数据汇总'!A325,'维护-日期'!$B$2:$AF$2,0)),3)</f>
        <v>21.329000000000001</v>
      </c>
      <c r="E325" s="98">
        <f t="shared" si="175"/>
        <v>21.329000000000001</v>
      </c>
      <c r="F325" s="22">
        <f>持仓数据!P83</f>
        <v>0.32100000000000001</v>
      </c>
      <c r="G325" s="97">
        <v>372</v>
      </c>
      <c r="H325" s="97">
        <v>372</v>
      </c>
      <c r="I325" s="64">
        <v>0</v>
      </c>
      <c r="J325" s="64">
        <v>0</v>
      </c>
      <c r="K325" s="21">
        <f>IF(持仓数据!P116="",0,持仓数据!P116)</f>
        <v>372</v>
      </c>
      <c r="L325" s="21">
        <f t="shared" si="176"/>
        <v>0</v>
      </c>
      <c r="M325" s="28">
        <f t="shared" si="160"/>
        <v>7934.3879999999999</v>
      </c>
      <c r="N325" s="28">
        <f t="shared" si="161"/>
        <v>0</v>
      </c>
      <c r="O325" s="28">
        <f t="shared" si="162"/>
        <v>0</v>
      </c>
      <c r="P325" s="28">
        <f t="shared" si="163"/>
        <v>0</v>
      </c>
      <c r="Q325" s="28">
        <f t="shared" si="177"/>
        <v>0</v>
      </c>
      <c r="R325" s="28">
        <f t="shared" si="164"/>
        <v>7934.3879999999999</v>
      </c>
      <c r="S325" s="28">
        <f t="shared" si="178"/>
        <v>0</v>
      </c>
      <c r="T325" s="28">
        <f t="shared" si="179"/>
        <v>0</v>
      </c>
      <c r="U325" s="28">
        <f t="shared" si="182"/>
        <v>0</v>
      </c>
      <c r="V325" s="28">
        <f t="shared" si="180"/>
        <v>0</v>
      </c>
      <c r="W325" s="118"/>
      <c r="X325" s="143">
        <f t="shared" si="181"/>
        <v>25.274000000000001</v>
      </c>
      <c r="Y325" s="121">
        <f>交易记录!Q16</f>
        <v>0.32100000000000001</v>
      </c>
      <c r="Z325" s="121">
        <f>交易记录!Q47</f>
        <v>372</v>
      </c>
      <c r="AA325" s="30">
        <f t="shared" si="165"/>
        <v>0</v>
      </c>
      <c r="AB325" s="124">
        <f>交易记录!Q80</f>
        <v>0</v>
      </c>
      <c r="AC325" s="124">
        <f>交易记录!Q111</f>
        <v>0</v>
      </c>
      <c r="AD325" s="30">
        <f t="shared" si="154"/>
        <v>0</v>
      </c>
      <c r="AE325" s="121">
        <f>交易记录!Q144</f>
        <v>0</v>
      </c>
      <c r="AF325" s="121">
        <f>交易记录!Q175</f>
        <v>0</v>
      </c>
      <c r="AG325" s="30">
        <f t="shared" si="155"/>
        <v>0</v>
      </c>
      <c r="AH325" s="124">
        <f>交易记录!Q208</f>
        <v>0</v>
      </c>
      <c r="AI325" s="124">
        <f>交易记录!Q239</f>
        <v>0</v>
      </c>
      <c r="AJ325" s="30">
        <f t="shared" si="156"/>
        <v>0</v>
      </c>
      <c r="AK325" s="121">
        <f>交易记录!Q272</f>
        <v>0</v>
      </c>
      <c r="AL325" s="121">
        <f>交易记录!Q303</f>
        <v>0</v>
      </c>
      <c r="AM325" s="30">
        <f t="shared" si="157"/>
        <v>0</v>
      </c>
      <c r="AN325" s="124">
        <f>交易记录!Q336</f>
        <v>0</v>
      </c>
      <c r="AO325" s="124">
        <f>交易记录!Q367</f>
        <v>0</v>
      </c>
      <c r="AP325" s="30">
        <f t="shared" si="158"/>
        <v>0</v>
      </c>
      <c r="AQ325" s="121">
        <f>交易记录!Q400</f>
        <v>0</v>
      </c>
      <c r="AR325" s="121">
        <f>交易记录!Q431</f>
        <v>0</v>
      </c>
      <c r="AS325" s="30">
        <f t="shared" si="159"/>
        <v>0</v>
      </c>
      <c r="AT325" s="124">
        <f>交易记录!Q464</f>
        <v>0</v>
      </c>
      <c r="AU325" s="124">
        <f>交易记录!Q495</f>
        <v>0</v>
      </c>
      <c r="AV325" s="30">
        <f t="shared" si="166"/>
        <v>0</v>
      </c>
      <c r="AW325" s="121">
        <f>交易记录!Q528</f>
        <v>0</v>
      </c>
      <c r="AX325" s="121">
        <f>交易记录!Q559</f>
        <v>0</v>
      </c>
      <c r="AY325" s="30">
        <f t="shared" si="167"/>
        <v>0</v>
      </c>
      <c r="AZ325" s="124">
        <f>交易记录!Q592</f>
        <v>0</v>
      </c>
      <c r="BA325" s="124">
        <f>交易记录!Q623</f>
        <v>0</v>
      </c>
      <c r="BB325" s="30">
        <f t="shared" si="168"/>
        <v>0</v>
      </c>
      <c r="BC325" s="121">
        <f>交易记录!Q656</f>
        <v>0</v>
      </c>
      <c r="BD325" s="121">
        <f>交易记录!Q687</f>
        <v>0</v>
      </c>
      <c r="BE325" s="30">
        <f t="shared" si="169"/>
        <v>0</v>
      </c>
      <c r="BF325" s="124">
        <f>交易记录!Q720</f>
        <v>0</v>
      </c>
      <c r="BG325" s="124">
        <f>交易记录!Q751</f>
        <v>0</v>
      </c>
      <c r="BH325" s="30">
        <f t="shared" si="170"/>
        <v>0</v>
      </c>
      <c r="BI325" s="121">
        <f>交易记录!Q784</f>
        <v>0</v>
      </c>
      <c r="BJ325" s="121">
        <f>交易记录!Q815</f>
        <v>0</v>
      </c>
      <c r="BK325" s="30">
        <f t="shared" si="171"/>
        <v>0</v>
      </c>
      <c r="BL325" s="124">
        <f>交易记录!Q848</f>
        <v>0</v>
      </c>
      <c r="BM325" s="124">
        <f>交易记录!Q879</f>
        <v>0</v>
      </c>
      <c r="BN325" s="30">
        <f t="shared" si="172"/>
        <v>0</v>
      </c>
      <c r="BO325" s="121">
        <f>交易记录!Q912</f>
        <v>0</v>
      </c>
      <c r="BP325" s="121">
        <f>交易记录!Q943</f>
        <v>0</v>
      </c>
      <c r="BQ325" s="30">
        <f t="shared" si="173"/>
        <v>0</v>
      </c>
    </row>
    <row r="326" spans="1:69" ht="15">
      <c r="A326" s="125">
        <f>'维护-日期'!A$16</f>
        <v>46279</v>
      </c>
      <c r="B326" s="7" t="s">
        <v>18</v>
      </c>
      <c r="C326" s="144">
        <f t="shared" si="174"/>
        <v>22.643999999999998</v>
      </c>
      <c r="D326" s="144">
        <f>ROUND(INDEX(持仓数据!$C$3:$AG$26,MATCH('计算过程-数据汇总'!B326,持仓数据!$B$3:$B$26,0),MATCH('计算过程-数据汇总'!A326,'维护-日期'!$B$2:$AF$2,0)),3)</f>
        <v>22.643999999999998</v>
      </c>
      <c r="E326" s="98">
        <f t="shared" si="175"/>
        <v>22.643999999999998</v>
      </c>
      <c r="F326" s="22">
        <f>持仓数据!P84</f>
        <v>7.8E-2</v>
      </c>
      <c r="G326" s="97">
        <v>372</v>
      </c>
      <c r="H326" s="97">
        <v>372</v>
      </c>
      <c r="I326" s="64">
        <v>0</v>
      </c>
      <c r="J326" s="64">
        <v>0</v>
      </c>
      <c r="K326" s="21">
        <f>IF(持仓数据!P117="",0,持仓数据!P117)</f>
        <v>372</v>
      </c>
      <c r="L326" s="21">
        <f t="shared" si="176"/>
        <v>0</v>
      </c>
      <c r="M326" s="28">
        <f t="shared" si="160"/>
        <v>8423.5679999999993</v>
      </c>
      <c r="N326" s="28">
        <f t="shared" si="161"/>
        <v>0</v>
      </c>
      <c r="O326" s="28">
        <f t="shared" si="162"/>
        <v>0</v>
      </c>
      <c r="P326" s="28">
        <f t="shared" si="163"/>
        <v>0</v>
      </c>
      <c r="Q326" s="28">
        <f t="shared" si="177"/>
        <v>0</v>
      </c>
      <c r="R326" s="28">
        <f t="shared" si="164"/>
        <v>8423.5679999999993</v>
      </c>
      <c r="S326" s="28">
        <f t="shared" si="178"/>
        <v>0</v>
      </c>
      <c r="T326" s="28">
        <f t="shared" si="179"/>
        <v>0</v>
      </c>
      <c r="U326" s="28">
        <f t="shared" si="182"/>
        <v>0</v>
      </c>
      <c r="V326" s="28">
        <f t="shared" si="180"/>
        <v>0</v>
      </c>
      <c r="W326" s="118"/>
      <c r="X326" s="143">
        <f t="shared" si="181"/>
        <v>27.094999999999999</v>
      </c>
      <c r="Y326" s="121">
        <f>交易记录!Q17</f>
        <v>7.8E-2</v>
      </c>
      <c r="Z326" s="121">
        <f>交易记录!Q48</f>
        <v>372</v>
      </c>
      <c r="AA326" s="30">
        <f t="shared" si="165"/>
        <v>0</v>
      </c>
      <c r="AB326" s="124">
        <f>交易记录!Q81</f>
        <v>0</v>
      </c>
      <c r="AC326" s="124">
        <f>交易记录!Q112</f>
        <v>0</v>
      </c>
      <c r="AD326" s="30">
        <f t="shared" si="154"/>
        <v>0</v>
      </c>
      <c r="AE326" s="121">
        <f>交易记录!Q145</f>
        <v>0</v>
      </c>
      <c r="AF326" s="121">
        <f>交易记录!Q176</f>
        <v>0</v>
      </c>
      <c r="AG326" s="30">
        <f t="shared" si="155"/>
        <v>0</v>
      </c>
      <c r="AH326" s="124">
        <f>交易记录!Q209</f>
        <v>0</v>
      </c>
      <c r="AI326" s="124">
        <f>交易记录!Q240</f>
        <v>0</v>
      </c>
      <c r="AJ326" s="30">
        <f t="shared" si="156"/>
        <v>0</v>
      </c>
      <c r="AK326" s="121">
        <f>交易记录!Q273</f>
        <v>0</v>
      </c>
      <c r="AL326" s="121">
        <f>交易记录!Q304</f>
        <v>0</v>
      </c>
      <c r="AM326" s="30">
        <f t="shared" si="157"/>
        <v>0</v>
      </c>
      <c r="AN326" s="124">
        <f>交易记录!Q337</f>
        <v>0</v>
      </c>
      <c r="AO326" s="124">
        <f>交易记录!Q368</f>
        <v>0</v>
      </c>
      <c r="AP326" s="30">
        <f t="shared" si="158"/>
        <v>0</v>
      </c>
      <c r="AQ326" s="121">
        <f>交易记录!Q401</f>
        <v>0</v>
      </c>
      <c r="AR326" s="121">
        <f>交易记录!Q432</f>
        <v>0</v>
      </c>
      <c r="AS326" s="30">
        <f t="shared" si="159"/>
        <v>0</v>
      </c>
      <c r="AT326" s="124">
        <f>交易记录!Q465</f>
        <v>0</v>
      </c>
      <c r="AU326" s="124">
        <f>交易记录!Q496</f>
        <v>0</v>
      </c>
      <c r="AV326" s="30">
        <f t="shared" si="166"/>
        <v>0</v>
      </c>
      <c r="AW326" s="121">
        <f>交易记录!Q529</f>
        <v>0</v>
      </c>
      <c r="AX326" s="121">
        <f>交易记录!Q560</f>
        <v>0</v>
      </c>
      <c r="AY326" s="30">
        <f t="shared" si="167"/>
        <v>0</v>
      </c>
      <c r="AZ326" s="124">
        <f>交易记录!Q593</f>
        <v>0</v>
      </c>
      <c r="BA326" s="124">
        <f>交易记录!Q624</f>
        <v>0</v>
      </c>
      <c r="BB326" s="30">
        <f t="shared" si="168"/>
        <v>0</v>
      </c>
      <c r="BC326" s="121">
        <f>交易记录!Q657</f>
        <v>0</v>
      </c>
      <c r="BD326" s="121">
        <f>交易记录!Q688</f>
        <v>0</v>
      </c>
      <c r="BE326" s="30">
        <f t="shared" si="169"/>
        <v>0</v>
      </c>
      <c r="BF326" s="124">
        <f>交易记录!Q721</f>
        <v>0</v>
      </c>
      <c r="BG326" s="124">
        <f>交易记录!Q752</f>
        <v>0</v>
      </c>
      <c r="BH326" s="30">
        <f t="shared" si="170"/>
        <v>0</v>
      </c>
      <c r="BI326" s="121">
        <f>交易记录!Q785</f>
        <v>0</v>
      </c>
      <c r="BJ326" s="121">
        <f>交易记录!Q816</f>
        <v>0</v>
      </c>
      <c r="BK326" s="30">
        <f t="shared" si="171"/>
        <v>0</v>
      </c>
      <c r="BL326" s="124">
        <f>交易记录!Q849</f>
        <v>0</v>
      </c>
      <c r="BM326" s="124">
        <f>交易记录!Q880</f>
        <v>0</v>
      </c>
      <c r="BN326" s="30">
        <f t="shared" si="172"/>
        <v>0</v>
      </c>
      <c r="BO326" s="121">
        <f>交易记录!Q913</f>
        <v>0</v>
      </c>
      <c r="BP326" s="121">
        <f>交易记录!Q944</f>
        <v>0</v>
      </c>
      <c r="BQ326" s="30">
        <f t="shared" si="173"/>
        <v>0</v>
      </c>
    </row>
    <row r="327" spans="1:69" ht="15">
      <c r="A327" s="125">
        <f>'维护-日期'!A$16</f>
        <v>46279</v>
      </c>
      <c r="B327" s="7" t="s">
        <v>19</v>
      </c>
      <c r="C327" s="144">
        <f t="shared" si="174"/>
        <v>22.904</v>
      </c>
      <c r="D327" s="144">
        <f>ROUND(INDEX(持仓数据!$C$3:$AG$26,MATCH('计算过程-数据汇总'!B327,持仓数据!$B$3:$B$26,0),MATCH('计算过程-数据汇总'!A327,'维护-日期'!$B$2:$AF$2,0)),3)</f>
        <v>22.904</v>
      </c>
      <c r="E327" s="98">
        <f t="shared" si="175"/>
        <v>22.904</v>
      </c>
      <c r="F327" s="22">
        <f>持仓数据!P85</f>
        <v>0.19500000000000001</v>
      </c>
      <c r="G327" s="97">
        <v>372</v>
      </c>
      <c r="H327" s="97">
        <v>372</v>
      </c>
      <c r="I327" s="64">
        <v>0</v>
      </c>
      <c r="J327" s="64">
        <v>0</v>
      </c>
      <c r="K327" s="21">
        <f>IF(持仓数据!P118="",0,持仓数据!P118)</f>
        <v>372</v>
      </c>
      <c r="L327" s="21">
        <f t="shared" si="176"/>
        <v>0</v>
      </c>
      <c r="M327" s="28">
        <f t="shared" si="160"/>
        <v>8520.2880000000005</v>
      </c>
      <c r="N327" s="28">
        <f t="shared" si="161"/>
        <v>0</v>
      </c>
      <c r="O327" s="28">
        <f t="shared" si="162"/>
        <v>0</v>
      </c>
      <c r="P327" s="28">
        <f t="shared" si="163"/>
        <v>0</v>
      </c>
      <c r="Q327" s="28">
        <f t="shared" si="177"/>
        <v>0</v>
      </c>
      <c r="R327" s="28">
        <f t="shared" si="164"/>
        <v>8520.2880000000005</v>
      </c>
      <c r="S327" s="28">
        <f t="shared" si="178"/>
        <v>0</v>
      </c>
      <c r="T327" s="28">
        <f t="shared" si="179"/>
        <v>0</v>
      </c>
      <c r="U327" s="28">
        <f t="shared" si="182"/>
        <v>0</v>
      </c>
      <c r="V327" s="28">
        <f t="shared" si="180"/>
        <v>0</v>
      </c>
      <c r="W327" s="118"/>
      <c r="X327" s="143">
        <f t="shared" si="181"/>
        <v>27.29</v>
      </c>
      <c r="Y327" s="121">
        <f>交易记录!Q18</f>
        <v>0.19500000000000001</v>
      </c>
      <c r="Z327" s="121">
        <f>交易记录!Q49</f>
        <v>372</v>
      </c>
      <c r="AA327" s="30">
        <f t="shared" si="165"/>
        <v>0</v>
      </c>
      <c r="AB327" s="124">
        <f>交易记录!Q82</f>
        <v>0</v>
      </c>
      <c r="AC327" s="124">
        <f>交易记录!Q113</f>
        <v>0</v>
      </c>
      <c r="AD327" s="30">
        <f t="shared" si="154"/>
        <v>0</v>
      </c>
      <c r="AE327" s="121">
        <f>交易记录!Q146</f>
        <v>0</v>
      </c>
      <c r="AF327" s="121">
        <f>交易记录!Q177</f>
        <v>0</v>
      </c>
      <c r="AG327" s="30">
        <f t="shared" si="155"/>
        <v>0</v>
      </c>
      <c r="AH327" s="124">
        <f>交易记录!Q210</f>
        <v>0</v>
      </c>
      <c r="AI327" s="124">
        <f>交易记录!Q241</f>
        <v>0</v>
      </c>
      <c r="AJ327" s="30">
        <f t="shared" si="156"/>
        <v>0</v>
      </c>
      <c r="AK327" s="121">
        <f>交易记录!Q274</f>
        <v>0</v>
      </c>
      <c r="AL327" s="121">
        <f>交易记录!Q305</f>
        <v>0</v>
      </c>
      <c r="AM327" s="30">
        <f t="shared" si="157"/>
        <v>0</v>
      </c>
      <c r="AN327" s="124">
        <f>交易记录!Q338</f>
        <v>0</v>
      </c>
      <c r="AO327" s="124">
        <f>交易记录!Q369</f>
        <v>0</v>
      </c>
      <c r="AP327" s="30">
        <f t="shared" si="158"/>
        <v>0</v>
      </c>
      <c r="AQ327" s="121">
        <f>交易记录!Q402</f>
        <v>0</v>
      </c>
      <c r="AR327" s="121">
        <f>交易记录!Q433</f>
        <v>0</v>
      </c>
      <c r="AS327" s="30">
        <f t="shared" si="159"/>
        <v>0</v>
      </c>
      <c r="AT327" s="124">
        <f>交易记录!Q466</f>
        <v>0</v>
      </c>
      <c r="AU327" s="124">
        <f>交易记录!Q497</f>
        <v>0</v>
      </c>
      <c r="AV327" s="30">
        <f t="shared" si="166"/>
        <v>0</v>
      </c>
      <c r="AW327" s="121">
        <f>交易记录!Q530</f>
        <v>0</v>
      </c>
      <c r="AX327" s="121">
        <f>交易记录!Q561</f>
        <v>0</v>
      </c>
      <c r="AY327" s="30">
        <f t="shared" si="167"/>
        <v>0</v>
      </c>
      <c r="AZ327" s="124">
        <f>交易记录!Q594</f>
        <v>0</v>
      </c>
      <c r="BA327" s="124">
        <f>交易记录!Q625</f>
        <v>0</v>
      </c>
      <c r="BB327" s="30">
        <f t="shared" si="168"/>
        <v>0</v>
      </c>
      <c r="BC327" s="121">
        <f>交易记录!Q658</f>
        <v>0</v>
      </c>
      <c r="BD327" s="121">
        <f>交易记录!Q689</f>
        <v>0</v>
      </c>
      <c r="BE327" s="30">
        <f t="shared" si="169"/>
        <v>0</v>
      </c>
      <c r="BF327" s="124">
        <f>交易记录!Q722</f>
        <v>0</v>
      </c>
      <c r="BG327" s="124">
        <f>交易记录!Q753</f>
        <v>0</v>
      </c>
      <c r="BH327" s="30">
        <f t="shared" si="170"/>
        <v>0</v>
      </c>
      <c r="BI327" s="121">
        <f>交易记录!Q786</f>
        <v>0</v>
      </c>
      <c r="BJ327" s="121">
        <f>交易记录!Q817</f>
        <v>0</v>
      </c>
      <c r="BK327" s="30">
        <f t="shared" si="171"/>
        <v>0</v>
      </c>
      <c r="BL327" s="124">
        <f>交易记录!Q850</f>
        <v>0</v>
      </c>
      <c r="BM327" s="124">
        <f>交易记录!Q881</f>
        <v>0</v>
      </c>
      <c r="BN327" s="30">
        <f t="shared" si="172"/>
        <v>0</v>
      </c>
      <c r="BO327" s="121">
        <f>交易记录!Q914</f>
        <v>0</v>
      </c>
      <c r="BP327" s="121">
        <f>交易记录!Q945</f>
        <v>0</v>
      </c>
      <c r="BQ327" s="30">
        <f t="shared" si="173"/>
        <v>0</v>
      </c>
    </row>
    <row r="328" spans="1:69" ht="15">
      <c r="A328" s="125">
        <f>'维护-日期'!A$16</f>
        <v>46279</v>
      </c>
      <c r="B328" s="7" t="s">
        <v>20</v>
      </c>
      <c r="C328" s="144">
        <f t="shared" si="174"/>
        <v>22.071000000000002</v>
      </c>
      <c r="D328" s="144">
        <f>ROUND(INDEX(持仓数据!$C$3:$AG$26,MATCH('计算过程-数据汇总'!B328,持仓数据!$B$3:$B$26,0),MATCH('计算过程-数据汇总'!A328,'维护-日期'!$B$2:$AF$2,0)),3)</f>
        <v>22.071000000000002</v>
      </c>
      <c r="E328" s="98">
        <f t="shared" si="175"/>
        <v>22.071000000000002</v>
      </c>
      <c r="F328" s="22">
        <f>持仓数据!P86</f>
        <v>0.34599999999999997</v>
      </c>
      <c r="G328" s="97">
        <v>372</v>
      </c>
      <c r="H328" s="97">
        <v>372</v>
      </c>
      <c r="I328" s="64">
        <v>0</v>
      </c>
      <c r="J328" s="64">
        <v>0</v>
      </c>
      <c r="K328" s="21">
        <f>IF(持仓数据!P119="",0,持仓数据!P119)</f>
        <v>372</v>
      </c>
      <c r="L328" s="21">
        <f t="shared" si="176"/>
        <v>0</v>
      </c>
      <c r="M328" s="28">
        <f t="shared" si="160"/>
        <v>8210.4120000000003</v>
      </c>
      <c r="N328" s="28">
        <f t="shared" si="161"/>
        <v>0</v>
      </c>
      <c r="O328" s="28">
        <f t="shared" si="162"/>
        <v>0</v>
      </c>
      <c r="P328" s="28">
        <f t="shared" si="163"/>
        <v>0</v>
      </c>
      <c r="Q328" s="28">
        <f t="shared" si="177"/>
        <v>0</v>
      </c>
      <c r="R328" s="28">
        <f t="shared" si="164"/>
        <v>8210.4120000000003</v>
      </c>
      <c r="S328" s="28">
        <f t="shared" si="178"/>
        <v>0</v>
      </c>
      <c r="T328" s="28">
        <f t="shared" si="179"/>
        <v>0</v>
      </c>
      <c r="U328" s="28">
        <f t="shared" si="182"/>
        <v>0</v>
      </c>
      <c r="V328" s="28">
        <f t="shared" si="180"/>
        <v>0</v>
      </c>
      <c r="W328" s="118"/>
      <c r="X328" s="143">
        <f t="shared" si="181"/>
        <v>26.138999999999999</v>
      </c>
      <c r="Y328" s="121">
        <f>交易记录!Q19</f>
        <v>0.34599999999999997</v>
      </c>
      <c r="Z328" s="121">
        <f>交易记录!Q50</f>
        <v>372</v>
      </c>
      <c r="AA328" s="30">
        <f t="shared" si="165"/>
        <v>0</v>
      </c>
      <c r="AB328" s="124">
        <f>交易记录!Q83</f>
        <v>0</v>
      </c>
      <c r="AC328" s="124">
        <f>交易记录!Q114</f>
        <v>0</v>
      </c>
      <c r="AD328" s="30">
        <f t="shared" si="154"/>
        <v>0</v>
      </c>
      <c r="AE328" s="121">
        <f>交易记录!Q147</f>
        <v>0</v>
      </c>
      <c r="AF328" s="121">
        <f>交易记录!Q178</f>
        <v>0</v>
      </c>
      <c r="AG328" s="30">
        <f t="shared" si="155"/>
        <v>0</v>
      </c>
      <c r="AH328" s="124">
        <f>交易记录!Q211</f>
        <v>0</v>
      </c>
      <c r="AI328" s="124">
        <f>交易记录!Q242</f>
        <v>0</v>
      </c>
      <c r="AJ328" s="30">
        <f t="shared" si="156"/>
        <v>0</v>
      </c>
      <c r="AK328" s="121">
        <f>交易记录!Q275</f>
        <v>0</v>
      </c>
      <c r="AL328" s="121">
        <f>交易记录!Q306</f>
        <v>0</v>
      </c>
      <c r="AM328" s="30">
        <f t="shared" si="157"/>
        <v>0</v>
      </c>
      <c r="AN328" s="124">
        <f>交易记录!Q339</f>
        <v>0</v>
      </c>
      <c r="AO328" s="124">
        <f>交易记录!Q370</f>
        <v>0</v>
      </c>
      <c r="AP328" s="30">
        <f t="shared" si="158"/>
        <v>0</v>
      </c>
      <c r="AQ328" s="121">
        <f>交易记录!Q403</f>
        <v>0</v>
      </c>
      <c r="AR328" s="121">
        <f>交易记录!Q434</f>
        <v>0</v>
      </c>
      <c r="AS328" s="30">
        <f t="shared" si="159"/>
        <v>0</v>
      </c>
      <c r="AT328" s="124">
        <f>交易记录!Q467</f>
        <v>0</v>
      </c>
      <c r="AU328" s="124">
        <f>交易记录!Q498</f>
        <v>0</v>
      </c>
      <c r="AV328" s="30">
        <f t="shared" si="166"/>
        <v>0</v>
      </c>
      <c r="AW328" s="121">
        <f>交易记录!Q531</f>
        <v>0</v>
      </c>
      <c r="AX328" s="121">
        <f>交易记录!Q562</f>
        <v>0</v>
      </c>
      <c r="AY328" s="30">
        <f t="shared" si="167"/>
        <v>0</v>
      </c>
      <c r="AZ328" s="124">
        <f>交易记录!Q595</f>
        <v>0</v>
      </c>
      <c r="BA328" s="124">
        <f>交易记录!Q626</f>
        <v>0</v>
      </c>
      <c r="BB328" s="30">
        <f t="shared" si="168"/>
        <v>0</v>
      </c>
      <c r="BC328" s="121">
        <f>交易记录!Q659</f>
        <v>0</v>
      </c>
      <c r="BD328" s="121">
        <f>交易记录!Q690</f>
        <v>0</v>
      </c>
      <c r="BE328" s="30">
        <f t="shared" si="169"/>
        <v>0</v>
      </c>
      <c r="BF328" s="124">
        <f>交易记录!Q723</f>
        <v>0</v>
      </c>
      <c r="BG328" s="124">
        <f>交易记录!Q754</f>
        <v>0</v>
      </c>
      <c r="BH328" s="30">
        <f t="shared" si="170"/>
        <v>0</v>
      </c>
      <c r="BI328" s="121">
        <f>交易记录!Q787</f>
        <v>0</v>
      </c>
      <c r="BJ328" s="121">
        <f>交易记录!Q818</f>
        <v>0</v>
      </c>
      <c r="BK328" s="30">
        <f t="shared" si="171"/>
        <v>0</v>
      </c>
      <c r="BL328" s="124">
        <f>交易记录!Q851</f>
        <v>0</v>
      </c>
      <c r="BM328" s="124">
        <f>交易记录!Q882</f>
        <v>0</v>
      </c>
      <c r="BN328" s="30">
        <f t="shared" si="172"/>
        <v>0</v>
      </c>
      <c r="BO328" s="121">
        <f>交易记录!Q915</f>
        <v>0</v>
      </c>
      <c r="BP328" s="121">
        <f>交易记录!Q946</f>
        <v>0</v>
      </c>
      <c r="BQ328" s="30">
        <f t="shared" si="173"/>
        <v>0</v>
      </c>
    </row>
    <row r="329" spans="1:69" ht="15">
      <c r="A329" s="125">
        <f>'维护-日期'!A$16</f>
        <v>46279</v>
      </c>
      <c r="B329" s="7" t="s">
        <v>21</v>
      </c>
      <c r="C329" s="144">
        <f t="shared" si="174"/>
        <v>22.087</v>
      </c>
      <c r="D329" s="144">
        <f>ROUND(INDEX(持仓数据!$C$3:$AG$26,MATCH('计算过程-数据汇总'!B329,持仓数据!$B$3:$B$26,0),MATCH('计算过程-数据汇总'!A329,'维护-日期'!$B$2:$AF$2,0)),3)</f>
        <v>22.087</v>
      </c>
      <c r="E329" s="98">
        <f t="shared" si="175"/>
        <v>22.087</v>
      </c>
      <c r="F329" s="22">
        <f>持仓数据!P87</f>
        <v>0.38</v>
      </c>
      <c r="G329" s="97">
        <v>372</v>
      </c>
      <c r="H329" s="97">
        <v>372</v>
      </c>
      <c r="I329" s="64">
        <v>0</v>
      </c>
      <c r="J329" s="64">
        <v>0</v>
      </c>
      <c r="K329" s="21">
        <f>IF(持仓数据!P120="",0,持仓数据!P120)</f>
        <v>372.00000000000006</v>
      </c>
      <c r="L329" s="21">
        <f t="shared" si="176"/>
        <v>0</v>
      </c>
      <c r="M329" s="28">
        <f t="shared" si="160"/>
        <v>8216.3639999999996</v>
      </c>
      <c r="N329" s="28">
        <f t="shared" si="161"/>
        <v>0</v>
      </c>
      <c r="O329" s="28">
        <f t="shared" si="162"/>
        <v>0</v>
      </c>
      <c r="P329" s="28">
        <f t="shared" si="163"/>
        <v>2.1600499167107046E-14</v>
      </c>
      <c r="Q329" s="28">
        <f t="shared" si="177"/>
        <v>0</v>
      </c>
      <c r="R329" s="28">
        <f t="shared" si="164"/>
        <v>8216.3640000000014</v>
      </c>
      <c r="S329" s="28">
        <f t="shared" si="178"/>
        <v>0</v>
      </c>
      <c r="T329" s="28">
        <f t="shared" si="179"/>
        <v>-1.2339000932115596E-12</v>
      </c>
      <c r="U329" s="28">
        <f t="shared" si="182"/>
        <v>0</v>
      </c>
      <c r="V329" s="28">
        <f t="shared" si="180"/>
        <v>0</v>
      </c>
      <c r="W329" s="118"/>
      <c r="X329" s="143">
        <f t="shared" si="181"/>
        <v>26.123999999999999</v>
      </c>
      <c r="Y329" s="121">
        <f>交易记录!Q20</f>
        <v>0.38</v>
      </c>
      <c r="Z329" s="121">
        <f>交易记录!Q51</f>
        <v>372</v>
      </c>
      <c r="AA329" s="30">
        <f t="shared" si="165"/>
        <v>0</v>
      </c>
      <c r="AB329" s="124">
        <f>交易记录!Q84</f>
        <v>0</v>
      </c>
      <c r="AC329" s="124">
        <f>交易记录!Q115</f>
        <v>0</v>
      </c>
      <c r="AD329" s="30">
        <f t="shared" si="154"/>
        <v>0</v>
      </c>
      <c r="AE329" s="121">
        <f>交易记录!Q148</f>
        <v>0</v>
      </c>
      <c r="AF329" s="121">
        <f>交易记录!Q179</f>
        <v>0</v>
      </c>
      <c r="AG329" s="30">
        <f t="shared" si="155"/>
        <v>0</v>
      </c>
      <c r="AH329" s="124">
        <f>交易记录!Q212</f>
        <v>0</v>
      </c>
      <c r="AI329" s="124">
        <f>交易记录!Q243</f>
        <v>0</v>
      </c>
      <c r="AJ329" s="30">
        <f t="shared" si="156"/>
        <v>0</v>
      </c>
      <c r="AK329" s="121">
        <f>交易记录!Q276</f>
        <v>0</v>
      </c>
      <c r="AL329" s="121">
        <f>交易记录!Q307</f>
        <v>0</v>
      </c>
      <c r="AM329" s="30">
        <f t="shared" si="157"/>
        <v>0</v>
      </c>
      <c r="AN329" s="124">
        <f>交易记录!Q340</f>
        <v>0</v>
      </c>
      <c r="AO329" s="124">
        <f>交易记录!Q371</f>
        <v>0</v>
      </c>
      <c r="AP329" s="30">
        <f t="shared" si="158"/>
        <v>0</v>
      </c>
      <c r="AQ329" s="121">
        <f>交易记录!Q404</f>
        <v>0</v>
      </c>
      <c r="AR329" s="121">
        <f>交易记录!Q435</f>
        <v>0</v>
      </c>
      <c r="AS329" s="30">
        <f t="shared" si="159"/>
        <v>0</v>
      </c>
      <c r="AT329" s="124">
        <f>交易记录!Q468</f>
        <v>0</v>
      </c>
      <c r="AU329" s="124">
        <f>交易记录!Q499</f>
        <v>0</v>
      </c>
      <c r="AV329" s="30">
        <f t="shared" si="166"/>
        <v>0</v>
      </c>
      <c r="AW329" s="121">
        <f>交易记录!Q532</f>
        <v>0</v>
      </c>
      <c r="AX329" s="121">
        <f>交易记录!Q563</f>
        <v>0</v>
      </c>
      <c r="AY329" s="30">
        <f t="shared" si="167"/>
        <v>0</v>
      </c>
      <c r="AZ329" s="124">
        <f>交易记录!Q596</f>
        <v>0</v>
      </c>
      <c r="BA329" s="124">
        <f>交易记录!Q627</f>
        <v>0</v>
      </c>
      <c r="BB329" s="30">
        <f t="shared" si="168"/>
        <v>0</v>
      </c>
      <c r="BC329" s="121">
        <f>交易记录!Q660</f>
        <v>0</v>
      </c>
      <c r="BD329" s="121">
        <f>交易记录!Q691</f>
        <v>0</v>
      </c>
      <c r="BE329" s="30">
        <f t="shared" si="169"/>
        <v>0</v>
      </c>
      <c r="BF329" s="124">
        <f>交易记录!Q724</f>
        <v>0</v>
      </c>
      <c r="BG329" s="124">
        <f>交易记录!Q755</f>
        <v>0</v>
      </c>
      <c r="BH329" s="30">
        <f t="shared" si="170"/>
        <v>0</v>
      </c>
      <c r="BI329" s="121">
        <f>交易记录!Q788</f>
        <v>0</v>
      </c>
      <c r="BJ329" s="121">
        <f>交易记录!Q819</f>
        <v>0</v>
      </c>
      <c r="BK329" s="30">
        <f t="shared" si="171"/>
        <v>0</v>
      </c>
      <c r="BL329" s="124">
        <f>交易记录!Q852</f>
        <v>0</v>
      </c>
      <c r="BM329" s="124">
        <f>交易记录!Q883</f>
        <v>0</v>
      </c>
      <c r="BN329" s="30">
        <f t="shared" si="172"/>
        <v>0</v>
      </c>
      <c r="BO329" s="121">
        <f>交易记录!Q916</f>
        <v>0</v>
      </c>
      <c r="BP329" s="121">
        <f>交易记录!Q947</f>
        <v>0</v>
      </c>
      <c r="BQ329" s="30">
        <f t="shared" si="173"/>
        <v>0</v>
      </c>
    </row>
    <row r="330" spans="1:69" ht="15">
      <c r="A330" s="125">
        <f>'维护-日期'!A$16</f>
        <v>46279</v>
      </c>
      <c r="B330" s="7" t="s">
        <v>22</v>
      </c>
      <c r="C330" s="144">
        <f t="shared" si="174"/>
        <v>23.077999999999999</v>
      </c>
      <c r="D330" s="144">
        <f>ROUND(INDEX(持仓数据!$C$3:$AG$26,MATCH('计算过程-数据汇总'!B330,持仓数据!$B$3:$B$26,0),MATCH('计算过程-数据汇总'!A330,'维护-日期'!$B$2:$AF$2,0)),3)</f>
        <v>23.077999999999999</v>
      </c>
      <c r="E330" s="98">
        <f t="shared" si="175"/>
        <v>23.077999999999999</v>
      </c>
      <c r="F330" s="22">
        <f>持仓数据!P88</f>
        <v>0.58600000000000008</v>
      </c>
      <c r="G330" s="97">
        <v>372</v>
      </c>
      <c r="H330" s="97">
        <v>372</v>
      </c>
      <c r="I330" s="64">
        <v>0</v>
      </c>
      <c r="J330" s="64">
        <v>0</v>
      </c>
      <c r="K330" s="21">
        <f>IF(持仓数据!P121="",0,持仓数据!P121)</f>
        <v>372</v>
      </c>
      <c r="L330" s="21">
        <f t="shared" si="176"/>
        <v>0</v>
      </c>
      <c r="M330" s="28">
        <f t="shared" si="160"/>
        <v>8585.0159999999996</v>
      </c>
      <c r="N330" s="28">
        <f t="shared" si="161"/>
        <v>0</v>
      </c>
      <c r="O330" s="28">
        <f t="shared" si="162"/>
        <v>0</v>
      </c>
      <c r="P330" s="28">
        <f t="shared" si="163"/>
        <v>0</v>
      </c>
      <c r="Q330" s="28">
        <f t="shared" si="177"/>
        <v>0</v>
      </c>
      <c r="R330" s="28">
        <f t="shared" si="164"/>
        <v>8585.0159999999996</v>
      </c>
      <c r="S330" s="28">
        <f t="shared" si="178"/>
        <v>0</v>
      </c>
      <c r="T330" s="28">
        <f t="shared" si="179"/>
        <v>0</v>
      </c>
      <c r="U330" s="28">
        <f t="shared" si="182"/>
        <v>0</v>
      </c>
      <c r="V330" s="28">
        <f t="shared" si="180"/>
        <v>0</v>
      </c>
      <c r="W330" s="118"/>
      <c r="X330" s="143">
        <f t="shared" si="181"/>
        <v>27.108000000000001</v>
      </c>
      <c r="Y330" s="121">
        <f>交易记录!Q21</f>
        <v>0.58600000000000008</v>
      </c>
      <c r="Z330" s="121">
        <f>交易记录!Q52</f>
        <v>372</v>
      </c>
      <c r="AA330" s="30">
        <f t="shared" si="165"/>
        <v>0</v>
      </c>
      <c r="AB330" s="124">
        <f>交易记录!Q85</f>
        <v>0</v>
      </c>
      <c r="AC330" s="124">
        <f>交易记录!Q116</f>
        <v>0</v>
      </c>
      <c r="AD330" s="30">
        <f t="shared" si="154"/>
        <v>0</v>
      </c>
      <c r="AE330" s="121">
        <f>交易记录!Q149</f>
        <v>0</v>
      </c>
      <c r="AF330" s="121">
        <f>交易记录!Q180</f>
        <v>0</v>
      </c>
      <c r="AG330" s="30">
        <f t="shared" si="155"/>
        <v>0</v>
      </c>
      <c r="AH330" s="124">
        <f>交易记录!Q213</f>
        <v>0</v>
      </c>
      <c r="AI330" s="124">
        <f>交易记录!Q244</f>
        <v>0</v>
      </c>
      <c r="AJ330" s="30">
        <f t="shared" si="156"/>
        <v>0</v>
      </c>
      <c r="AK330" s="121">
        <f>交易记录!Q277</f>
        <v>0</v>
      </c>
      <c r="AL330" s="121">
        <f>交易记录!Q308</f>
        <v>0</v>
      </c>
      <c r="AM330" s="30">
        <f t="shared" si="157"/>
        <v>0</v>
      </c>
      <c r="AN330" s="124">
        <f>交易记录!Q341</f>
        <v>0</v>
      </c>
      <c r="AO330" s="124">
        <f>交易记录!Q372</f>
        <v>0</v>
      </c>
      <c r="AP330" s="30">
        <f t="shared" si="158"/>
        <v>0</v>
      </c>
      <c r="AQ330" s="121">
        <f>交易记录!Q405</f>
        <v>0</v>
      </c>
      <c r="AR330" s="121">
        <f>交易记录!Q436</f>
        <v>0</v>
      </c>
      <c r="AS330" s="30">
        <f t="shared" si="159"/>
        <v>0</v>
      </c>
      <c r="AT330" s="124">
        <f>交易记录!Q469</f>
        <v>0</v>
      </c>
      <c r="AU330" s="124">
        <f>交易记录!Q500</f>
        <v>0</v>
      </c>
      <c r="AV330" s="30">
        <f t="shared" si="166"/>
        <v>0</v>
      </c>
      <c r="AW330" s="121">
        <f>交易记录!Q533</f>
        <v>0</v>
      </c>
      <c r="AX330" s="121">
        <f>交易记录!Q564</f>
        <v>0</v>
      </c>
      <c r="AY330" s="30">
        <f t="shared" si="167"/>
        <v>0</v>
      </c>
      <c r="AZ330" s="124">
        <f>交易记录!Q597</f>
        <v>0</v>
      </c>
      <c r="BA330" s="124">
        <f>交易记录!Q628</f>
        <v>0</v>
      </c>
      <c r="BB330" s="30">
        <f t="shared" si="168"/>
        <v>0</v>
      </c>
      <c r="BC330" s="121">
        <f>交易记录!Q661</f>
        <v>0</v>
      </c>
      <c r="BD330" s="121">
        <f>交易记录!Q692</f>
        <v>0</v>
      </c>
      <c r="BE330" s="30">
        <f t="shared" si="169"/>
        <v>0</v>
      </c>
      <c r="BF330" s="124">
        <f>交易记录!Q725</f>
        <v>0</v>
      </c>
      <c r="BG330" s="124">
        <f>交易记录!Q756</f>
        <v>0</v>
      </c>
      <c r="BH330" s="30">
        <f t="shared" si="170"/>
        <v>0</v>
      </c>
      <c r="BI330" s="121">
        <f>交易记录!Q789</f>
        <v>0</v>
      </c>
      <c r="BJ330" s="121">
        <f>交易记录!Q820</f>
        <v>0</v>
      </c>
      <c r="BK330" s="30">
        <f t="shared" si="171"/>
        <v>0</v>
      </c>
      <c r="BL330" s="124">
        <f>交易记录!Q853</f>
        <v>0</v>
      </c>
      <c r="BM330" s="124">
        <f>交易记录!Q884</f>
        <v>0</v>
      </c>
      <c r="BN330" s="30">
        <f t="shared" si="172"/>
        <v>0</v>
      </c>
      <c r="BO330" s="121">
        <f>交易记录!Q917</f>
        <v>0</v>
      </c>
      <c r="BP330" s="121">
        <f>交易记录!Q948</f>
        <v>0</v>
      </c>
      <c r="BQ330" s="30">
        <f t="shared" si="173"/>
        <v>0</v>
      </c>
    </row>
    <row r="331" spans="1:69" ht="15">
      <c r="A331" s="125">
        <f>'维护-日期'!A$16</f>
        <v>46279</v>
      </c>
      <c r="B331" s="7" t="s">
        <v>23</v>
      </c>
      <c r="C331" s="144">
        <f t="shared" si="174"/>
        <v>23.443000000000001</v>
      </c>
      <c r="D331" s="144">
        <f>ROUND(INDEX(持仓数据!$C$3:$AG$26,MATCH('计算过程-数据汇总'!B331,持仓数据!$B$3:$B$26,0),MATCH('计算过程-数据汇总'!A331,'维护-日期'!$B$2:$AF$2,0)),3)</f>
        <v>23.443000000000001</v>
      </c>
      <c r="E331" s="98">
        <f t="shared" si="175"/>
        <v>23.443000000000001</v>
      </c>
      <c r="F331" s="22">
        <f>持仓数据!P89</f>
        <v>0.63300000000000001</v>
      </c>
      <c r="G331" s="97">
        <v>372</v>
      </c>
      <c r="H331" s="97">
        <v>372</v>
      </c>
      <c r="I331" s="64">
        <v>0</v>
      </c>
      <c r="J331" s="64">
        <v>0</v>
      </c>
      <c r="K331" s="21">
        <f>IF(持仓数据!P122="",0,持仓数据!P122)</f>
        <v>372</v>
      </c>
      <c r="L331" s="21">
        <f t="shared" si="176"/>
        <v>0</v>
      </c>
      <c r="M331" s="28">
        <f t="shared" si="160"/>
        <v>8720.7960000000003</v>
      </c>
      <c r="N331" s="28">
        <f t="shared" si="161"/>
        <v>0</v>
      </c>
      <c r="O331" s="28">
        <f t="shared" si="162"/>
        <v>0</v>
      </c>
      <c r="P331" s="28">
        <f t="shared" si="163"/>
        <v>0</v>
      </c>
      <c r="Q331" s="28">
        <f t="shared" si="177"/>
        <v>0</v>
      </c>
      <c r="R331" s="28">
        <f t="shared" si="164"/>
        <v>8720.7960000000003</v>
      </c>
      <c r="S331" s="28">
        <f t="shared" si="178"/>
        <v>0</v>
      </c>
      <c r="T331" s="28">
        <f t="shared" si="179"/>
        <v>0</v>
      </c>
      <c r="U331" s="28">
        <f t="shared" si="182"/>
        <v>0</v>
      </c>
      <c r="V331" s="28">
        <f t="shared" si="180"/>
        <v>0</v>
      </c>
      <c r="W331" s="118"/>
      <c r="X331" s="143">
        <f t="shared" si="181"/>
        <v>27.498999999999999</v>
      </c>
      <c r="Y331" s="121">
        <f>交易记录!Q22</f>
        <v>0.63300000000000001</v>
      </c>
      <c r="Z331" s="121">
        <f>交易记录!Q53</f>
        <v>372</v>
      </c>
      <c r="AA331" s="30">
        <f t="shared" si="165"/>
        <v>0</v>
      </c>
      <c r="AB331" s="124">
        <f>交易记录!Q86</f>
        <v>0</v>
      </c>
      <c r="AC331" s="124">
        <f>交易记录!Q117</f>
        <v>0</v>
      </c>
      <c r="AD331" s="30">
        <f t="shared" si="154"/>
        <v>0</v>
      </c>
      <c r="AE331" s="121">
        <f>交易记录!Q150</f>
        <v>0</v>
      </c>
      <c r="AF331" s="121">
        <f>交易记录!Q181</f>
        <v>0</v>
      </c>
      <c r="AG331" s="30">
        <f t="shared" si="155"/>
        <v>0</v>
      </c>
      <c r="AH331" s="124">
        <f>交易记录!Q214</f>
        <v>0</v>
      </c>
      <c r="AI331" s="124">
        <f>交易记录!Q245</f>
        <v>0</v>
      </c>
      <c r="AJ331" s="30">
        <f t="shared" si="156"/>
        <v>0</v>
      </c>
      <c r="AK331" s="121">
        <f>交易记录!Q278</f>
        <v>0</v>
      </c>
      <c r="AL331" s="121">
        <f>交易记录!Q309</f>
        <v>0</v>
      </c>
      <c r="AM331" s="30">
        <f t="shared" si="157"/>
        <v>0</v>
      </c>
      <c r="AN331" s="124">
        <f>交易记录!Q342</f>
        <v>0</v>
      </c>
      <c r="AO331" s="124">
        <f>交易记录!Q373</f>
        <v>0</v>
      </c>
      <c r="AP331" s="30">
        <f t="shared" si="158"/>
        <v>0</v>
      </c>
      <c r="AQ331" s="121">
        <f>交易记录!Q406</f>
        <v>0</v>
      </c>
      <c r="AR331" s="121">
        <f>交易记录!Q437</f>
        <v>0</v>
      </c>
      <c r="AS331" s="30">
        <f t="shared" si="159"/>
        <v>0</v>
      </c>
      <c r="AT331" s="124">
        <f>交易记录!Q470</f>
        <v>0</v>
      </c>
      <c r="AU331" s="124">
        <f>交易记录!Q501</f>
        <v>0</v>
      </c>
      <c r="AV331" s="30">
        <f t="shared" si="166"/>
        <v>0</v>
      </c>
      <c r="AW331" s="121">
        <f>交易记录!Q534</f>
        <v>0</v>
      </c>
      <c r="AX331" s="121">
        <f>交易记录!Q565</f>
        <v>0</v>
      </c>
      <c r="AY331" s="30">
        <f t="shared" si="167"/>
        <v>0</v>
      </c>
      <c r="AZ331" s="124">
        <f>交易记录!Q598</f>
        <v>0</v>
      </c>
      <c r="BA331" s="124">
        <f>交易记录!Q629</f>
        <v>0</v>
      </c>
      <c r="BB331" s="30">
        <f t="shared" si="168"/>
        <v>0</v>
      </c>
      <c r="BC331" s="121">
        <f>交易记录!Q662</f>
        <v>0</v>
      </c>
      <c r="BD331" s="121">
        <f>交易记录!Q693</f>
        <v>0</v>
      </c>
      <c r="BE331" s="30">
        <f t="shared" si="169"/>
        <v>0</v>
      </c>
      <c r="BF331" s="124">
        <f>交易记录!Q726</f>
        <v>0</v>
      </c>
      <c r="BG331" s="124">
        <f>交易记录!Q757</f>
        <v>0</v>
      </c>
      <c r="BH331" s="30">
        <f t="shared" si="170"/>
        <v>0</v>
      </c>
      <c r="BI331" s="121">
        <f>交易记录!Q790</f>
        <v>0</v>
      </c>
      <c r="BJ331" s="121">
        <f>交易记录!Q821</f>
        <v>0</v>
      </c>
      <c r="BK331" s="30">
        <f t="shared" si="171"/>
        <v>0</v>
      </c>
      <c r="BL331" s="124">
        <f>交易记录!Q854</f>
        <v>0</v>
      </c>
      <c r="BM331" s="124">
        <f>交易记录!Q885</f>
        <v>0</v>
      </c>
      <c r="BN331" s="30">
        <f t="shared" si="172"/>
        <v>0</v>
      </c>
      <c r="BO331" s="121">
        <f>交易记录!Q918</f>
        <v>0</v>
      </c>
      <c r="BP331" s="121">
        <f>交易记录!Q949</f>
        <v>0</v>
      </c>
      <c r="BQ331" s="30">
        <f t="shared" si="173"/>
        <v>0</v>
      </c>
    </row>
    <row r="332" spans="1:69" ht="15">
      <c r="A332" s="125">
        <f>'维护-日期'!A$16</f>
        <v>46279</v>
      </c>
      <c r="B332" s="7" t="s">
        <v>24</v>
      </c>
      <c r="C332" s="144">
        <f t="shared" si="174"/>
        <v>23.85</v>
      </c>
      <c r="D332" s="144">
        <f>ROUND(INDEX(持仓数据!$C$3:$AG$26,MATCH('计算过程-数据汇总'!B332,持仓数据!$B$3:$B$26,0),MATCH('计算过程-数据汇总'!A332,'维护-日期'!$B$2:$AF$2,0)),3)</f>
        <v>23.85</v>
      </c>
      <c r="E332" s="98">
        <f t="shared" si="175"/>
        <v>23.85</v>
      </c>
      <c r="F332" s="22">
        <f>持仓数据!P90</f>
        <v>0.45400000000000001</v>
      </c>
      <c r="G332" s="97">
        <v>372</v>
      </c>
      <c r="H332" s="97">
        <v>372</v>
      </c>
      <c r="I332" s="64">
        <v>0</v>
      </c>
      <c r="J332" s="64">
        <v>0</v>
      </c>
      <c r="K332" s="21">
        <f>IF(持仓数据!P123="",0,持仓数据!P123)</f>
        <v>372</v>
      </c>
      <c r="L332" s="21">
        <f t="shared" si="176"/>
        <v>0</v>
      </c>
      <c r="M332" s="28">
        <f t="shared" si="160"/>
        <v>8872.2000000000007</v>
      </c>
      <c r="N332" s="28">
        <f t="shared" si="161"/>
        <v>0</v>
      </c>
      <c r="O332" s="28">
        <f t="shared" si="162"/>
        <v>0</v>
      </c>
      <c r="P332" s="28">
        <f t="shared" si="163"/>
        <v>0</v>
      </c>
      <c r="Q332" s="28">
        <f t="shared" si="177"/>
        <v>0</v>
      </c>
      <c r="R332" s="28">
        <f t="shared" si="164"/>
        <v>8872.2000000000007</v>
      </c>
      <c r="S332" s="28">
        <f t="shared" si="178"/>
        <v>0</v>
      </c>
      <c r="T332" s="28">
        <f t="shared" si="179"/>
        <v>0</v>
      </c>
      <c r="U332" s="28">
        <f t="shared" si="182"/>
        <v>0</v>
      </c>
      <c r="V332" s="28">
        <f t="shared" si="180"/>
        <v>0</v>
      </c>
      <c r="W332" s="118"/>
      <c r="X332" s="143">
        <f t="shared" si="181"/>
        <v>28.166</v>
      </c>
      <c r="Y332" s="121">
        <f>交易记录!Q23</f>
        <v>0.45400000000000001</v>
      </c>
      <c r="Z332" s="121">
        <f>交易记录!Q54</f>
        <v>372</v>
      </c>
      <c r="AA332" s="30">
        <f t="shared" si="165"/>
        <v>0</v>
      </c>
      <c r="AB332" s="124">
        <f>交易记录!Q87</f>
        <v>0</v>
      </c>
      <c r="AC332" s="124">
        <f>交易记录!Q118</f>
        <v>0</v>
      </c>
      <c r="AD332" s="30">
        <f t="shared" si="154"/>
        <v>0</v>
      </c>
      <c r="AE332" s="121">
        <f>交易记录!Q151</f>
        <v>0</v>
      </c>
      <c r="AF332" s="121">
        <f>交易记录!Q182</f>
        <v>0</v>
      </c>
      <c r="AG332" s="30">
        <f t="shared" si="155"/>
        <v>0</v>
      </c>
      <c r="AH332" s="124">
        <f>交易记录!Q215</f>
        <v>0</v>
      </c>
      <c r="AI332" s="124">
        <f>交易记录!Q246</f>
        <v>0</v>
      </c>
      <c r="AJ332" s="30">
        <f t="shared" si="156"/>
        <v>0</v>
      </c>
      <c r="AK332" s="121">
        <f>交易记录!Q279</f>
        <v>0</v>
      </c>
      <c r="AL332" s="121">
        <f>交易记录!Q310</f>
        <v>0</v>
      </c>
      <c r="AM332" s="30">
        <f t="shared" si="157"/>
        <v>0</v>
      </c>
      <c r="AN332" s="124">
        <f>交易记录!Q343</f>
        <v>0</v>
      </c>
      <c r="AO332" s="124">
        <f>交易记录!Q374</f>
        <v>0</v>
      </c>
      <c r="AP332" s="30">
        <f t="shared" si="158"/>
        <v>0</v>
      </c>
      <c r="AQ332" s="121">
        <f>交易记录!Q407</f>
        <v>0</v>
      </c>
      <c r="AR332" s="121">
        <f>交易记录!Q438</f>
        <v>0</v>
      </c>
      <c r="AS332" s="30">
        <f t="shared" si="159"/>
        <v>0</v>
      </c>
      <c r="AT332" s="124">
        <f>交易记录!Q471</f>
        <v>0</v>
      </c>
      <c r="AU332" s="124">
        <f>交易记录!Q502</f>
        <v>0</v>
      </c>
      <c r="AV332" s="30">
        <f t="shared" si="166"/>
        <v>0</v>
      </c>
      <c r="AW332" s="121">
        <f>交易记录!Q535</f>
        <v>0</v>
      </c>
      <c r="AX332" s="121">
        <f>交易记录!Q566</f>
        <v>0</v>
      </c>
      <c r="AY332" s="30">
        <f t="shared" si="167"/>
        <v>0</v>
      </c>
      <c r="AZ332" s="124">
        <f>交易记录!Q599</f>
        <v>0</v>
      </c>
      <c r="BA332" s="124">
        <f>交易记录!Q630</f>
        <v>0</v>
      </c>
      <c r="BB332" s="30">
        <f t="shared" si="168"/>
        <v>0</v>
      </c>
      <c r="BC332" s="121">
        <f>交易记录!Q663</f>
        <v>0</v>
      </c>
      <c r="BD332" s="121">
        <f>交易记录!Q694</f>
        <v>0</v>
      </c>
      <c r="BE332" s="30">
        <f t="shared" si="169"/>
        <v>0</v>
      </c>
      <c r="BF332" s="124">
        <f>交易记录!Q727</f>
        <v>0</v>
      </c>
      <c r="BG332" s="124">
        <f>交易记录!Q758</f>
        <v>0</v>
      </c>
      <c r="BH332" s="30">
        <f t="shared" si="170"/>
        <v>0</v>
      </c>
      <c r="BI332" s="121">
        <f>交易记录!Q791</f>
        <v>0</v>
      </c>
      <c r="BJ332" s="121">
        <f>交易记录!Q822</f>
        <v>0</v>
      </c>
      <c r="BK332" s="30">
        <f t="shared" si="171"/>
        <v>0</v>
      </c>
      <c r="BL332" s="124">
        <f>交易记录!Q855</f>
        <v>0</v>
      </c>
      <c r="BM332" s="124">
        <f>交易记录!Q886</f>
        <v>0</v>
      </c>
      <c r="BN332" s="30">
        <f t="shared" si="172"/>
        <v>0</v>
      </c>
      <c r="BO332" s="121">
        <f>交易记录!Q919</f>
        <v>0</v>
      </c>
      <c r="BP332" s="121">
        <f>交易记录!Q950</f>
        <v>0</v>
      </c>
      <c r="BQ332" s="30">
        <f t="shared" si="173"/>
        <v>0</v>
      </c>
    </row>
    <row r="333" spans="1:69" ht="15">
      <c r="A333" s="125">
        <f>'维护-日期'!A$16</f>
        <v>46279</v>
      </c>
      <c r="B333" s="7" t="s">
        <v>25</v>
      </c>
      <c r="C333" s="144">
        <f t="shared" si="174"/>
        <v>24.105</v>
      </c>
      <c r="D333" s="144">
        <f>ROUND(INDEX(持仓数据!$C$3:$AG$26,MATCH('计算过程-数据汇总'!B333,持仓数据!$B$3:$B$26,0),MATCH('计算过程-数据汇总'!A333,'维护-日期'!$B$2:$AF$2,0)),3)</f>
        <v>24.105</v>
      </c>
      <c r="E333" s="98">
        <f t="shared" si="175"/>
        <v>24.105</v>
      </c>
      <c r="F333" s="22">
        <f>持仓数据!P91</f>
        <v>1.1160000000000001</v>
      </c>
      <c r="G333" s="97">
        <v>372</v>
      </c>
      <c r="H333" s="97">
        <v>372</v>
      </c>
      <c r="I333" s="64">
        <v>0</v>
      </c>
      <c r="J333" s="64">
        <v>0</v>
      </c>
      <c r="K333" s="21">
        <f>IF(持仓数据!P124="",0,持仓数据!P124)</f>
        <v>372</v>
      </c>
      <c r="L333" s="21">
        <f t="shared" si="176"/>
        <v>0</v>
      </c>
      <c r="M333" s="28">
        <f t="shared" si="160"/>
        <v>8967.06</v>
      </c>
      <c r="N333" s="28">
        <f t="shared" si="161"/>
        <v>0</v>
      </c>
      <c r="O333" s="28">
        <f t="shared" si="162"/>
        <v>0</v>
      </c>
      <c r="P333" s="28">
        <f t="shared" si="163"/>
        <v>0</v>
      </c>
      <c r="Q333" s="28">
        <f t="shared" si="177"/>
        <v>0</v>
      </c>
      <c r="R333" s="28">
        <f t="shared" si="164"/>
        <v>8967.06</v>
      </c>
      <c r="S333" s="28">
        <f t="shared" si="178"/>
        <v>0</v>
      </c>
      <c r="T333" s="28">
        <f t="shared" si="179"/>
        <v>0</v>
      </c>
      <c r="U333" s="28">
        <f t="shared" si="182"/>
        <v>0</v>
      </c>
      <c r="V333" s="28">
        <f t="shared" si="180"/>
        <v>0</v>
      </c>
      <c r="W333" s="118"/>
      <c r="X333" s="143">
        <f t="shared" si="181"/>
        <v>27.81</v>
      </c>
      <c r="Y333" s="121">
        <f>交易记录!Q24</f>
        <v>1.1160000000000001</v>
      </c>
      <c r="Z333" s="121">
        <f>交易记录!Q55</f>
        <v>372</v>
      </c>
      <c r="AA333" s="30">
        <f t="shared" si="165"/>
        <v>0</v>
      </c>
      <c r="AB333" s="124">
        <f>交易记录!Q88</f>
        <v>0</v>
      </c>
      <c r="AC333" s="124">
        <f>交易记录!Q119</f>
        <v>0</v>
      </c>
      <c r="AD333" s="30">
        <f t="shared" si="154"/>
        <v>0</v>
      </c>
      <c r="AE333" s="121">
        <f>交易记录!Q152</f>
        <v>0</v>
      </c>
      <c r="AF333" s="121">
        <f>交易记录!Q183</f>
        <v>0</v>
      </c>
      <c r="AG333" s="30">
        <f t="shared" si="155"/>
        <v>0</v>
      </c>
      <c r="AH333" s="124">
        <f>交易记录!Q216</f>
        <v>0</v>
      </c>
      <c r="AI333" s="124">
        <f>交易记录!Q247</f>
        <v>0</v>
      </c>
      <c r="AJ333" s="30">
        <f t="shared" si="156"/>
        <v>0</v>
      </c>
      <c r="AK333" s="121">
        <f>交易记录!Q280</f>
        <v>0</v>
      </c>
      <c r="AL333" s="121">
        <f>交易记录!Q311</f>
        <v>0</v>
      </c>
      <c r="AM333" s="30">
        <f t="shared" si="157"/>
        <v>0</v>
      </c>
      <c r="AN333" s="124">
        <f>交易记录!Q344</f>
        <v>0</v>
      </c>
      <c r="AO333" s="124">
        <f>交易记录!Q375</f>
        <v>0</v>
      </c>
      <c r="AP333" s="30">
        <f t="shared" si="158"/>
        <v>0</v>
      </c>
      <c r="AQ333" s="121">
        <f>交易记录!Q408</f>
        <v>0</v>
      </c>
      <c r="AR333" s="121">
        <f>交易记录!Q439</f>
        <v>0</v>
      </c>
      <c r="AS333" s="30">
        <f t="shared" si="159"/>
        <v>0</v>
      </c>
      <c r="AT333" s="124">
        <f>交易记录!Q472</f>
        <v>0</v>
      </c>
      <c r="AU333" s="124">
        <f>交易记录!Q503</f>
        <v>0</v>
      </c>
      <c r="AV333" s="30">
        <f t="shared" si="166"/>
        <v>0</v>
      </c>
      <c r="AW333" s="121">
        <f>交易记录!Q536</f>
        <v>0</v>
      </c>
      <c r="AX333" s="121">
        <f>交易记录!Q567</f>
        <v>0</v>
      </c>
      <c r="AY333" s="30">
        <f t="shared" si="167"/>
        <v>0</v>
      </c>
      <c r="AZ333" s="124">
        <f>交易记录!Q600</f>
        <v>0</v>
      </c>
      <c r="BA333" s="124">
        <f>交易记录!Q631</f>
        <v>0</v>
      </c>
      <c r="BB333" s="30">
        <f t="shared" si="168"/>
        <v>0</v>
      </c>
      <c r="BC333" s="121">
        <f>交易记录!Q664</f>
        <v>0</v>
      </c>
      <c r="BD333" s="121">
        <f>交易记录!Q695</f>
        <v>0</v>
      </c>
      <c r="BE333" s="30">
        <f t="shared" si="169"/>
        <v>0</v>
      </c>
      <c r="BF333" s="124">
        <f>交易记录!Q728</f>
        <v>0</v>
      </c>
      <c r="BG333" s="124">
        <f>交易记录!Q759</f>
        <v>0</v>
      </c>
      <c r="BH333" s="30">
        <f t="shared" si="170"/>
        <v>0</v>
      </c>
      <c r="BI333" s="121">
        <f>交易记录!Q792</f>
        <v>0</v>
      </c>
      <c r="BJ333" s="121">
        <f>交易记录!Q823</f>
        <v>0</v>
      </c>
      <c r="BK333" s="30">
        <f t="shared" si="171"/>
        <v>0</v>
      </c>
      <c r="BL333" s="124">
        <f>交易记录!Q856</f>
        <v>0</v>
      </c>
      <c r="BM333" s="124">
        <f>交易记录!Q887</f>
        <v>0</v>
      </c>
      <c r="BN333" s="30">
        <f t="shared" si="172"/>
        <v>0</v>
      </c>
      <c r="BO333" s="121">
        <f>交易记录!Q920</f>
        <v>0</v>
      </c>
      <c r="BP333" s="121">
        <f>交易记录!Q951</f>
        <v>0</v>
      </c>
      <c r="BQ333" s="30">
        <f t="shared" si="173"/>
        <v>0</v>
      </c>
    </row>
    <row r="334" spans="1:69" ht="15">
      <c r="A334" s="125">
        <f>'维护-日期'!A$16</f>
        <v>46279</v>
      </c>
      <c r="B334" s="7" t="s">
        <v>26</v>
      </c>
      <c r="C334" s="144">
        <f t="shared" si="174"/>
        <v>24.047999999999998</v>
      </c>
      <c r="D334" s="144">
        <f>ROUND(INDEX(持仓数据!$C$3:$AG$26,MATCH('计算过程-数据汇总'!B334,持仓数据!$B$3:$B$26,0),MATCH('计算过程-数据汇总'!A334,'维护-日期'!$B$2:$AF$2,0)),3)</f>
        <v>24.047999999999998</v>
      </c>
      <c r="E334" s="98">
        <f t="shared" si="175"/>
        <v>24.047999999999998</v>
      </c>
      <c r="F334" s="22">
        <f>持仓数据!P92</f>
        <v>1</v>
      </c>
      <c r="G334" s="97">
        <v>372</v>
      </c>
      <c r="H334" s="97">
        <v>372</v>
      </c>
      <c r="I334" s="64">
        <v>0</v>
      </c>
      <c r="J334" s="64">
        <v>0</v>
      </c>
      <c r="K334" s="21">
        <f>IF(持仓数据!P125="",0,持仓数据!P125)</f>
        <v>372</v>
      </c>
      <c r="L334" s="21">
        <f t="shared" si="176"/>
        <v>0</v>
      </c>
      <c r="M334" s="28">
        <f t="shared" si="160"/>
        <v>8945.8559999999998</v>
      </c>
      <c r="N334" s="28">
        <f t="shared" si="161"/>
        <v>0</v>
      </c>
      <c r="O334" s="28">
        <f t="shared" si="162"/>
        <v>0</v>
      </c>
      <c r="P334" s="28">
        <f t="shared" si="163"/>
        <v>0</v>
      </c>
      <c r="Q334" s="28">
        <f t="shared" si="177"/>
        <v>0</v>
      </c>
      <c r="R334" s="28">
        <f t="shared" si="164"/>
        <v>8945.8559999999998</v>
      </c>
      <c r="S334" s="28">
        <f t="shared" si="178"/>
        <v>0</v>
      </c>
      <c r="T334" s="28">
        <f t="shared" si="179"/>
        <v>0</v>
      </c>
      <c r="U334" s="28">
        <f t="shared" si="182"/>
        <v>0</v>
      </c>
      <c r="V334" s="28">
        <f t="shared" si="180"/>
        <v>0</v>
      </c>
      <c r="W334" s="118"/>
      <c r="X334" s="143">
        <f t="shared" si="181"/>
        <v>27.858000000000001</v>
      </c>
      <c r="Y334" s="121">
        <f>交易记录!Q25</f>
        <v>1</v>
      </c>
      <c r="Z334" s="121">
        <f>交易记录!Q56</f>
        <v>372</v>
      </c>
      <c r="AA334" s="30">
        <f t="shared" si="165"/>
        <v>0</v>
      </c>
      <c r="AB334" s="124">
        <f>交易记录!Q89</f>
        <v>0</v>
      </c>
      <c r="AC334" s="124">
        <f>交易记录!Q120</f>
        <v>0</v>
      </c>
      <c r="AD334" s="30">
        <f t="shared" si="154"/>
        <v>0</v>
      </c>
      <c r="AE334" s="121">
        <f>交易记录!Q153</f>
        <v>0</v>
      </c>
      <c r="AF334" s="121">
        <f>交易记录!Q184</f>
        <v>0</v>
      </c>
      <c r="AG334" s="30">
        <f t="shared" si="155"/>
        <v>0</v>
      </c>
      <c r="AH334" s="124">
        <f>交易记录!Q217</f>
        <v>0</v>
      </c>
      <c r="AI334" s="124">
        <f>交易记录!Q248</f>
        <v>0</v>
      </c>
      <c r="AJ334" s="30">
        <f t="shared" si="156"/>
        <v>0</v>
      </c>
      <c r="AK334" s="121">
        <f>交易记录!Q281</f>
        <v>0</v>
      </c>
      <c r="AL334" s="121">
        <f>交易记录!Q312</f>
        <v>0</v>
      </c>
      <c r="AM334" s="30">
        <f t="shared" si="157"/>
        <v>0</v>
      </c>
      <c r="AN334" s="124">
        <f>交易记录!Q345</f>
        <v>0</v>
      </c>
      <c r="AO334" s="124">
        <f>交易记录!Q376</f>
        <v>0</v>
      </c>
      <c r="AP334" s="30">
        <f t="shared" si="158"/>
        <v>0</v>
      </c>
      <c r="AQ334" s="121">
        <f>交易记录!Q409</f>
        <v>0</v>
      </c>
      <c r="AR334" s="121">
        <f>交易记录!Q440</f>
        <v>0</v>
      </c>
      <c r="AS334" s="30">
        <f t="shared" si="159"/>
        <v>0</v>
      </c>
      <c r="AT334" s="124">
        <f>交易记录!Q473</f>
        <v>0</v>
      </c>
      <c r="AU334" s="124">
        <f>交易记录!Q504</f>
        <v>0</v>
      </c>
      <c r="AV334" s="30">
        <f t="shared" si="166"/>
        <v>0</v>
      </c>
      <c r="AW334" s="121">
        <f>交易记录!Q537</f>
        <v>0</v>
      </c>
      <c r="AX334" s="121">
        <f>交易记录!Q568</f>
        <v>0</v>
      </c>
      <c r="AY334" s="30">
        <f t="shared" si="167"/>
        <v>0</v>
      </c>
      <c r="AZ334" s="124">
        <f>交易记录!Q601</f>
        <v>0</v>
      </c>
      <c r="BA334" s="124">
        <f>交易记录!Q632</f>
        <v>0</v>
      </c>
      <c r="BB334" s="30">
        <f t="shared" si="168"/>
        <v>0</v>
      </c>
      <c r="BC334" s="121">
        <f>交易记录!Q665</f>
        <v>0</v>
      </c>
      <c r="BD334" s="121">
        <f>交易记录!Q696</f>
        <v>0</v>
      </c>
      <c r="BE334" s="30">
        <f t="shared" si="169"/>
        <v>0</v>
      </c>
      <c r="BF334" s="124">
        <f>交易记录!Q729</f>
        <v>0</v>
      </c>
      <c r="BG334" s="124">
        <f>交易记录!Q760</f>
        <v>0</v>
      </c>
      <c r="BH334" s="30">
        <f t="shared" si="170"/>
        <v>0</v>
      </c>
      <c r="BI334" s="121">
        <f>交易记录!Q793</f>
        <v>0</v>
      </c>
      <c r="BJ334" s="121">
        <f>交易记录!Q824</f>
        <v>0</v>
      </c>
      <c r="BK334" s="30">
        <f t="shared" si="171"/>
        <v>0</v>
      </c>
      <c r="BL334" s="124">
        <f>交易记录!Q857</f>
        <v>0</v>
      </c>
      <c r="BM334" s="124">
        <f>交易记录!Q888</f>
        <v>0</v>
      </c>
      <c r="BN334" s="30">
        <f t="shared" si="172"/>
        <v>0</v>
      </c>
      <c r="BO334" s="121">
        <f>交易记录!Q921</f>
        <v>0</v>
      </c>
      <c r="BP334" s="121">
        <f>交易记录!Q952</f>
        <v>0</v>
      </c>
      <c r="BQ334" s="30">
        <f t="shared" si="173"/>
        <v>0</v>
      </c>
    </row>
    <row r="335" spans="1:69" ht="15">
      <c r="A335" s="125">
        <f>'维护-日期'!A$16</f>
        <v>46279</v>
      </c>
      <c r="B335" s="7" t="s">
        <v>27</v>
      </c>
      <c r="C335" s="144">
        <f t="shared" si="174"/>
        <v>22.594000000000001</v>
      </c>
      <c r="D335" s="144">
        <f>ROUND(INDEX(持仓数据!$C$3:$AG$26,MATCH('计算过程-数据汇总'!B335,持仓数据!$B$3:$B$26,0),MATCH('计算过程-数据汇总'!A335,'维护-日期'!$B$2:$AF$2,0)),3)</f>
        <v>22.594000000000001</v>
      </c>
      <c r="E335" s="98">
        <f t="shared" si="175"/>
        <v>22.594000000000001</v>
      </c>
      <c r="F335" s="22">
        <f>持仓数据!P93</f>
        <v>0.95199999999999996</v>
      </c>
      <c r="G335" s="97">
        <v>372</v>
      </c>
      <c r="H335" s="97">
        <v>372</v>
      </c>
      <c r="I335" s="64">
        <v>0</v>
      </c>
      <c r="J335" s="64">
        <v>0</v>
      </c>
      <c r="K335" s="21">
        <f>IF(持仓数据!P126="",0,持仓数据!P126)</f>
        <v>372</v>
      </c>
      <c r="L335" s="21">
        <f t="shared" si="176"/>
        <v>0</v>
      </c>
      <c r="M335" s="28">
        <f t="shared" si="160"/>
        <v>8404.9680000000008</v>
      </c>
      <c r="N335" s="28">
        <f t="shared" si="161"/>
        <v>0</v>
      </c>
      <c r="O335" s="28">
        <f t="shared" si="162"/>
        <v>0</v>
      </c>
      <c r="P335" s="28">
        <f t="shared" si="163"/>
        <v>0</v>
      </c>
      <c r="Q335" s="28">
        <f t="shared" si="177"/>
        <v>0</v>
      </c>
      <c r="R335" s="28">
        <f t="shared" si="164"/>
        <v>8404.9680000000008</v>
      </c>
      <c r="S335" s="28">
        <f t="shared" si="178"/>
        <v>0</v>
      </c>
      <c r="T335" s="28">
        <f t="shared" si="179"/>
        <v>0</v>
      </c>
      <c r="U335" s="28">
        <f t="shared" si="182"/>
        <v>0</v>
      </c>
      <c r="V335" s="28">
        <f t="shared" si="180"/>
        <v>0</v>
      </c>
      <c r="W335" s="118"/>
      <c r="X335" s="143">
        <f t="shared" si="181"/>
        <v>26.161000000000001</v>
      </c>
      <c r="Y335" s="121">
        <f>交易记录!Q26</f>
        <v>0.95199999999999996</v>
      </c>
      <c r="Z335" s="121">
        <f>交易记录!Q57</f>
        <v>372</v>
      </c>
      <c r="AA335" s="30">
        <f t="shared" si="165"/>
        <v>0</v>
      </c>
      <c r="AB335" s="124">
        <f>交易记录!Q90</f>
        <v>0</v>
      </c>
      <c r="AC335" s="124">
        <f>交易记录!Q121</f>
        <v>0</v>
      </c>
      <c r="AD335" s="30">
        <f t="shared" si="154"/>
        <v>0</v>
      </c>
      <c r="AE335" s="121">
        <f>交易记录!Q154</f>
        <v>0</v>
      </c>
      <c r="AF335" s="121">
        <f>交易记录!Q185</f>
        <v>0</v>
      </c>
      <c r="AG335" s="30">
        <f t="shared" si="155"/>
        <v>0</v>
      </c>
      <c r="AH335" s="124">
        <f>交易记录!Q218</f>
        <v>0</v>
      </c>
      <c r="AI335" s="124">
        <f>交易记录!Q249</f>
        <v>0</v>
      </c>
      <c r="AJ335" s="30">
        <f t="shared" si="156"/>
        <v>0</v>
      </c>
      <c r="AK335" s="121">
        <f>交易记录!Q282</f>
        <v>0</v>
      </c>
      <c r="AL335" s="121">
        <f>交易记录!Q313</f>
        <v>0</v>
      </c>
      <c r="AM335" s="30">
        <f t="shared" si="157"/>
        <v>0</v>
      </c>
      <c r="AN335" s="124">
        <f>交易记录!Q346</f>
        <v>0</v>
      </c>
      <c r="AO335" s="124">
        <f>交易记录!Q377</f>
        <v>0</v>
      </c>
      <c r="AP335" s="30">
        <f t="shared" si="158"/>
        <v>0</v>
      </c>
      <c r="AQ335" s="121">
        <f>交易记录!Q410</f>
        <v>0</v>
      </c>
      <c r="AR335" s="121">
        <f>交易记录!Q441</f>
        <v>0</v>
      </c>
      <c r="AS335" s="30">
        <f t="shared" si="159"/>
        <v>0</v>
      </c>
      <c r="AT335" s="124">
        <f>交易记录!Q474</f>
        <v>0</v>
      </c>
      <c r="AU335" s="124">
        <f>交易记录!Q505</f>
        <v>0</v>
      </c>
      <c r="AV335" s="30">
        <f t="shared" si="166"/>
        <v>0</v>
      </c>
      <c r="AW335" s="121">
        <f>交易记录!Q538</f>
        <v>0</v>
      </c>
      <c r="AX335" s="121">
        <f>交易记录!Q569</f>
        <v>0</v>
      </c>
      <c r="AY335" s="30">
        <f t="shared" si="167"/>
        <v>0</v>
      </c>
      <c r="AZ335" s="124">
        <f>交易记录!Q602</f>
        <v>0</v>
      </c>
      <c r="BA335" s="124">
        <f>交易记录!Q633</f>
        <v>0</v>
      </c>
      <c r="BB335" s="30">
        <f t="shared" si="168"/>
        <v>0</v>
      </c>
      <c r="BC335" s="121">
        <f>交易记录!Q666</f>
        <v>0</v>
      </c>
      <c r="BD335" s="121">
        <f>交易记录!Q697</f>
        <v>0</v>
      </c>
      <c r="BE335" s="30">
        <f t="shared" si="169"/>
        <v>0</v>
      </c>
      <c r="BF335" s="124">
        <f>交易记录!Q730</f>
        <v>0</v>
      </c>
      <c r="BG335" s="124">
        <f>交易记录!Q761</f>
        <v>0</v>
      </c>
      <c r="BH335" s="30">
        <f t="shared" si="170"/>
        <v>0</v>
      </c>
      <c r="BI335" s="121">
        <f>交易记录!Q794</f>
        <v>0</v>
      </c>
      <c r="BJ335" s="121">
        <f>交易记录!Q825</f>
        <v>0</v>
      </c>
      <c r="BK335" s="30">
        <f t="shared" si="171"/>
        <v>0</v>
      </c>
      <c r="BL335" s="124">
        <f>交易记录!Q858</f>
        <v>0</v>
      </c>
      <c r="BM335" s="124">
        <f>交易记录!Q889</f>
        <v>0</v>
      </c>
      <c r="BN335" s="30">
        <f t="shared" si="172"/>
        <v>0</v>
      </c>
      <c r="BO335" s="121">
        <f>交易记录!Q922</f>
        <v>0</v>
      </c>
      <c r="BP335" s="121">
        <f>交易记录!Q953</f>
        <v>0</v>
      </c>
      <c r="BQ335" s="30">
        <f t="shared" si="173"/>
        <v>0</v>
      </c>
    </row>
    <row r="336" spans="1:69" ht="15">
      <c r="A336" s="125">
        <f>'维护-日期'!A$16</f>
        <v>46279</v>
      </c>
      <c r="B336" s="7" t="s">
        <v>28</v>
      </c>
      <c r="C336" s="144">
        <f t="shared" si="174"/>
        <v>19.387</v>
      </c>
      <c r="D336" s="144">
        <f>ROUND(INDEX(持仓数据!$C$3:$AG$26,MATCH('计算过程-数据汇总'!B336,持仓数据!$B$3:$B$26,0),MATCH('计算过程-数据汇总'!A336,'维护-日期'!$B$2:$AF$2,0)),3)</f>
        <v>19.387</v>
      </c>
      <c r="E336" s="98">
        <f t="shared" si="175"/>
        <v>19.387</v>
      </c>
      <c r="F336" s="22">
        <f>持仓数据!P94</f>
        <v>0.84300000000000008</v>
      </c>
      <c r="G336" s="97">
        <v>372</v>
      </c>
      <c r="H336" s="97">
        <v>372</v>
      </c>
      <c r="I336" s="64">
        <v>0</v>
      </c>
      <c r="J336" s="64">
        <v>0</v>
      </c>
      <c r="K336" s="21">
        <f>IF(持仓数据!P127="",0,持仓数据!P127)</f>
        <v>371.99999999999994</v>
      </c>
      <c r="L336" s="21">
        <f t="shared" si="176"/>
        <v>0</v>
      </c>
      <c r="M336" s="28">
        <f t="shared" si="160"/>
        <v>7211.9639999999999</v>
      </c>
      <c r="N336" s="28">
        <f t="shared" si="161"/>
        <v>0</v>
      </c>
      <c r="O336" s="28">
        <f t="shared" si="162"/>
        <v>0</v>
      </c>
      <c r="P336" s="28">
        <f t="shared" si="163"/>
        <v>-4.7919002099661161E-14</v>
      </c>
      <c r="Q336" s="28">
        <f t="shared" si="177"/>
        <v>0</v>
      </c>
      <c r="R336" s="28">
        <f t="shared" si="164"/>
        <v>7211.963999999999</v>
      </c>
      <c r="S336" s="28">
        <f t="shared" si="178"/>
        <v>0</v>
      </c>
      <c r="T336" s="28">
        <f t="shared" si="179"/>
        <v>1.0541043593548239E-12</v>
      </c>
      <c r="U336" s="28">
        <f t="shared" si="182"/>
        <v>0</v>
      </c>
      <c r="V336" s="28">
        <f t="shared" si="180"/>
        <v>0</v>
      </c>
      <c r="W336" s="118"/>
      <c r="X336" s="143">
        <f t="shared" si="181"/>
        <v>22.420999999999999</v>
      </c>
      <c r="Y336" s="121">
        <f>交易记录!Q27</f>
        <v>0.84300000000000008</v>
      </c>
      <c r="Z336" s="121">
        <f>交易记录!Q58</f>
        <v>372</v>
      </c>
      <c r="AA336" s="30">
        <f t="shared" si="165"/>
        <v>0</v>
      </c>
      <c r="AB336" s="124">
        <f>交易记录!Q91</f>
        <v>0</v>
      </c>
      <c r="AC336" s="124">
        <f>交易记录!Q122</f>
        <v>0</v>
      </c>
      <c r="AD336" s="30">
        <f t="shared" si="154"/>
        <v>0</v>
      </c>
      <c r="AE336" s="121">
        <f>交易记录!Q155</f>
        <v>0</v>
      </c>
      <c r="AF336" s="121">
        <f>交易记录!Q186</f>
        <v>0</v>
      </c>
      <c r="AG336" s="30">
        <f t="shared" si="155"/>
        <v>0</v>
      </c>
      <c r="AH336" s="124">
        <f>交易记录!Q219</f>
        <v>0</v>
      </c>
      <c r="AI336" s="124">
        <f>交易记录!Q250</f>
        <v>0</v>
      </c>
      <c r="AJ336" s="30">
        <f t="shared" si="156"/>
        <v>0</v>
      </c>
      <c r="AK336" s="121">
        <f>交易记录!Q283</f>
        <v>0</v>
      </c>
      <c r="AL336" s="121">
        <f>交易记录!Q314</f>
        <v>0</v>
      </c>
      <c r="AM336" s="30">
        <f t="shared" si="157"/>
        <v>0</v>
      </c>
      <c r="AN336" s="124">
        <f>交易记录!Q347</f>
        <v>0</v>
      </c>
      <c r="AO336" s="124">
        <f>交易记录!Q378</f>
        <v>0</v>
      </c>
      <c r="AP336" s="30">
        <f t="shared" si="158"/>
        <v>0</v>
      </c>
      <c r="AQ336" s="121">
        <f>交易记录!Q411</f>
        <v>0</v>
      </c>
      <c r="AR336" s="121">
        <f>交易记录!Q442</f>
        <v>0</v>
      </c>
      <c r="AS336" s="30">
        <f t="shared" si="159"/>
        <v>0</v>
      </c>
      <c r="AT336" s="124">
        <f>交易记录!Q475</f>
        <v>0</v>
      </c>
      <c r="AU336" s="124">
        <f>交易记录!Q506</f>
        <v>0</v>
      </c>
      <c r="AV336" s="30">
        <f t="shared" si="166"/>
        <v>0</v>
      </c>
      <c r="AW336" s="121">
        <f>交易记录!Q539</f>
        <v>0</v>
      </c>
      <c r="AX336" s="121">
        <f>交易记录!Q570</f>
        <v>0</v>
      </c>
      <c r="AY336" s="30">
        <f t="shared" si="167"/>
        <v>0</v>
      </c>
      <c r="AZ336" s="124">
        <f>交易记录!Q603</f>
        <v>0</v>
      </c>
      <c r="BA336" s="124">
        <f>交易记录!Q634</f>
        <v>0</v>
      </c>
      <c r="BB336" s="30">
        <f t="shared" si="168"/>
        <v>0</v>
      </c>
      <c r="BC336" s="121">
        <f>交易记录!Q667</f>
        <v>0</v>
      </c>
      <c r="BD336" s="121">
        <f>交易记录!Q698</f>
        <v>0</v>
      </c>
      <c r="BE336" s="30">
        <f t="shared" si="169"/>
        <v>0</v>
      </c>
      <c r="BF336" s="124">
        <f>交易记录!Q731</f>
        <v>0</v>
      </c>
      <c r="BG336" s="124">
        <f>交易记录!Q762</f>
        <v>0</v>
      </c>
      <c r="BH336" s="30">
        <f t="shared" si="170"/>
        <v>0</v>
      </c>
      <c r="BI336" s="121">
        <f>交易记录!Q795</f>
        <v>0</v>
      </c>
      <c r="BJ336" s="121">
        <f>交易记录!Q826</f>
        <v>0</v>
      </c>
      <c r="BK336" s="30">
        <f t="shared" si="171"/>
        <v>0</v>
      </c>
      <c r="BL336" s="124">
        <f>交易记录!Q859</f>
        <v>0</v>
      </c>
      <c r="BM336" s="124">
        <f>交易记录!Q890</f>
        <v>0</v>
      </c>
      <c r="BN336" s="30">
        <f t="shared" si="172"/>
        <v>0</v>
      </c>
      <c r="BO336" s="121">
        <f>交易记录!Q923</f>
        <v>0</v>
      </c>
      <c r="BP336" s="121">
        <f>交易记录!Q954</f>
        <v>0</v>
      </c>
      <c r="BQ336" s="30">
        <f t="shared" si="173"/>
        <v>0</v>
      </c>
    </row>
    <row r="337" spans="1:69" ht="15">
      <c r="A337" s="125">
        <f>'维护-日期'!A$16</f>
        <v>46279</v>
      </c>
      <c r="B337" s="7" t="s">
        <v>29</v>
      </c>
      <c r="C337" s="144">
        <f t="shared" si="174"/>
        <v>16.963000000000001</v>
      </c>
      <c r="D337" s="144">
        <f>ROUND(INDEX(持仓数据!$C$3:$AG$26,MATCH('计算过程-数据汇总'!B337,持仓数据!$B$3:$B$26,0),MATCH('计算过程-数据汇总'!A337,'维护-日期'!$B$2:$AF$2,0)),3)</f>
        <v>16.963000000000001</v>
      </c>
      <c r="E337" s="98">
        <f t="shared" si="175"/>
        <v>16.963000000000001</v>
      </c>
      <c r="F337" s="22">
        <f>持仓数据!P95</f>
        <v>0.33299999999999996</v>
      </c>
      <c r="G337" s="97">
        <v>372</v>
      </c>
      <c r="H337" s="97">
        <v>372</v>
      </c>
      <c r="I337" s="64">
        <v>0</v>
      </c>
      <c r="J337" s="64">
        <v>0</v>
      </c>
      <c r="K337" s="21">
        <f>IF(持仓数据!P128="",0,持仓数据!P128)</f>
        <v>372</v>
      </c>
      <c r="L337" s="21">
        <f t="shared" si="176"/>
        <v>0</v>
      </c>
      <c r="M337" s="28">
        <f t="shared" si="160"/>
        <v>6310.2360000000008</v>
      </c>
      <c r="N337" s="28">
        <f t="shared" si="161"/>
        <v>0</v>
      </c>
      <c r="O337" s="28">
        <f t="shared" si="162"/>
        <v>0</v>
      </c>
      <c r="P337" s="28">
        <f t="shared" si="163"/>
        <v>0</v>
      </c>
      <c r="Q337" s="28">
        <f t="shared" si="177"/>
        <v>0</v>
      </c>
      <c r="R337" s="28">
        <f t="shared" si="164"/>
        <v>6310.2360000000008</v>
      </c>
      <c r="S337" s="28">
        <f t="shared" si="178"/>
        <v>0</v>
      </c>
      <c r="T337" s="28">
        <f t="shared" si="179"/>
        <v>0</v>
      </c>
      <c r="U337" s="28">
        <f t="shared" si="182"/>
        <v>0</v>
      </c>
      <c r="V337" s="28">
        <f t="shared" si="180"/>
        <v>0</v>
      </c>
      <c r="W337" s="118"/>
      <c r="X337" s="143">
        <f t="shared" si="181"/>
        <v>20.023</v>
      </c>
      <c r="Y337" s="121">
        <f>交易记录!Q28</f>
        <v>0.33299999999999996</v>
      </c>
      <c r="Z337" s="121">
        <f>交易记录!Q59</f>
        <v>372</v>
      </c>
      <c r="AA337" s="30">
        <f t="shared" si="165"/>
        <v>0</v>
      </c>
      <c r="AB337" s="124">
        <f>交易记录!Q92</f>
        <v>0</v>
      </c>
      <c r="AC337" s="124">
        <f>交易记录!Q123</f>
        <v>0</v>
      </c>
      <c r="AD337" s="30">
        <f t="shared" si="154"/>
        <v>0</v>
      </c>
      <c r="AE337" s="121">
        <f>交易记录!Q156</f>
        <v>0</v>
      </c>
      <c r="AF337" s="121">
        <f>交易记录!Q187</f>
        <v>0</v>
      </c>
      <c r="AG337" s="30">
        <f t="shared" si="155"/>
        <v>0</v>
      </c>
      <c r="AH337" s="124">
        <f>交易记录!Q220</f>
        <v>0</v>
      </c>
      <c r="AI337" s="124">
        <f>交易记录!Q251</f>
        <v>0</v>
      </c>
      <c r="AJ337" s="30">
        <f t="shared" si="156"/>
        <v>0</v>
      </c>
      <c r="AK337" s="121">
        <f>交易记录!Q284</f>
        <v>0</v>
      </c>
      <c r="AL337" s="121">
        <f>交易记录!Q315</f>
        <v>0</v>
      </c>
      <c r="AM337" s="30">
        <f t="shared" si="157"/>
        <v>0</v>
      </c>
      <c r="AN337" s="124">
        <f>交易记录!Q348</f>
        <v>0</v>
      </c>
      <c r="AO337" s="124">
        <f>交易记录!Q379</f>
        <v>0</v>
      </c>
      <c r="AP337" s="30">
        <f t="shared" si="158"/>
        <v>0</v>
      </c>
      <c r="AQ337" s="121">
        <f>交易记录!Q412</f>
        <v>0</v>
      </c>
      <c r="AR337" s="121">
        <f>交易记录!Q443</f>
        <v>0</v>
      </c>
      <c r="AS337" s="30">
        <f t="shared" si="159"/>
        <v>0</v>
      </c>
      <c r="AT337" s="124">
        <f>交易记录!Q476</f>
        <v>0</v>
      </c>
      <c r="AU337" s="124">
        <f>交易记录!Q507</f>
        <v>0</v>
      </c>
      <c r="AV337" s="30">
        <f t="shared" si="166"/>
        <v>0</v>
      </c>
      <c r="AW337" s="121">
        <f>交易记录!Q540</f>
        <v>0</v>
      </c>
      <c r="AX337" s="121">
        <f>交易记录!Q571</f>
        <v>0</v>
      </c>
      <c r="AY337" s="30">
        <f t="shared" si="167"/>
        <v>0</v>
      </c>
      <c r="AZ337" s="124">
        <f>交易记录!Q604</f>
        <v>0</v>
      </c>
      <c r="BA337" s="124">
        <f>交易记录!Q635</f>
        <v>0</v>
      </c>
      <c r="BB337" s="30">
        <f t="shared" si="168"/>
        <v>0</v>
      </c>
      <c r="BC337" s="121">
        <f>交易记录!Q668</f>
        <v>0</v>
      </c>
      <c r="BD337" s="121">
        <f>交易记录!Q699</f>
        <v>0</v>
      </c>
      <c r="BE337" s="30">
        <f t="shared" si="169"/>
        <v>0</v>
      </c>
      <c r="BF337" s="124">
        <f>交易记录!Q732</f>
        <v>0</v>
      </c>
      <c r="BG337" s="124">
        <f>交易记录!Q763</f>
        <v>0</v>
      </c>
      <c r="BH337" s="30">
        <f t="shared" si="170"/>
        <v>0</v>
      </c>
      <c r="BI337" s="121">
        <f>交易记录!Q796</f>
        <v>0</v>
      </c>
      <c r="BJ337" s="121">
        <f>交易记录!Q827</f>
        <v>0</v>
      </c>
      <c r="BK337" s="30">
        <f t="shared" si="171"/>
        <v>0</v>
      </c>
      <c r="BL337" s="124">
        <f>交易记录!Q860</f>
        <v>0</v>
      </c>
      <c r="BM337" s="124">
        <f>交易记录!Q891</f>
        <v>0</v>
      </c>
      <c r="BN337" s="30">
        <f t="shared" si="172"/>
        <v>0</v>
      </c>
      <c r="BO337" s="121">
        <f>交易记录!Q924</f>
        <v>0</v>
      </c>
      <c r="BP337" s="121">
        <f>交易记录!Q955</f>
        <v>0</v>
      </c>
      <c r="BQ337" s="30">
        <f t="shared" si="173"/>
        <v>0</v>
      </c>
    </row>
    <row r="338" spans="1:69" ht="15">
      <c r="A338" s="125">
        <f>'维护-日期'!A$17</f>
        <v>46280</v>
      </c>
      <c r="B338" s="7" t="s">
        <v>6</v>
      </c>
      <c r="C338" s="144">
        <f t="shared" si="174"/>
        <v>16.655999999999999</v>
      </c>
      <c r="D338" s="144">
        <f>ROUND(INDEX(持仓数据!$C$3:$AG$26,MATCH('计算过程-数据汇总'!B338,持仓数据!$B$3:$B$26,0),MATCH('计算过程-数据汇总'!A338,'维护-日期'!$B$2:$AF$2,0)),3)</f>
        <v>16.655999999999999</v>
      </c>
      <c r="E338" s="98">
        <f t="shared" si="175"/>
        <v>16.655999999999999</v>
      </c>
      <c r="F338" s="22">
        <f>持仓数据!Q72</f>
        <v>0.39700000000000002</v>
      </c>
      <c r="G338" s="97">
        <v>372</v>
      </c>
      <c r="H338" s="97">
        <v>372</v>
      </c>
      <c r="I338" s="64">
        <v>0</v>
      </c>
      <c r="J338" s="64">
        <v>0</v>
      </c>
      <c r="K338" s="21">
        <f>IF(持仓数据!Q105="",0,持仓数据!Q105)</f>
        <v>372</v>
      </c>
      <c r="L338" s="21">
        <f t="shared" si="176"/>
        <v>0</v>
      </c>
      <c r="M338" s="28">
        <f t="shared" si="160"/>
        <v>6196.0319999999992</v>
      </c>
      <c r="N338" s="28">
        <f t="shared" si="161"/>
        <v>0</v>
      </c>
      <c r="O338" s="28">
        <f t="shared" si="162"/>
        <v>0</v>
      </c>
      <c r="P338" s="28">
        <f t="shared" si="163"/>
        <v>0</v>
      </c>
      <c r="Q338" s="28">
        <f t="shared" si="177"/>
        <v>0</v>
      </c>
      <c r="R338" s="28">
        <f t="shared" si="164"/>
        <v>6196.0319999999992</v>
      </c>
      <c r="S338" s="28">
        <f t="shared" si="178"/>
        <v>0</v>
      </c>
      <c r="T338" s="28">
        <f t="shared" si="179"/>
        <v>0</v>
      </c>
      <c r="U338" s="28">
        <f t="shared" si="182"/>
        <v>0</v>
      </c>
      <c r="V338" s="28">
        <f t="shared" si="180"/>
        <v>0</v>
      </c>
      <c r="W338" s="118"/>
      <c r="X338" s="143">
        <f t="shared" si="181"/>
        <v>19.59</v>
      </c>
      <c r="Y338" s="121">
        <f>交易记录!R5</f>
        <v>0.39700000000000002</v>
      </c>
      <c r="Z338" s="121">
        <f>交易记录!R36</f>
        <v>372</v>
      </c>
      <c r="AA338" s="30">
        <f t="shared" si="165"/>
        <v>0</v>
      </c>
      <c r="AB338" s="124">
        <f>交易记录!R69</f>
        <v>0</v>
      </c>
      <c r="AC338" s="124">
        <f>交易记录!R100</f>
        <v>0</v>
      </c>
      <c r="AD338" s="30">
        <f t="shared" si="154"/>
        <v>0</v>
      </c>
      <c r="AE338" s="121">
        <f>交易记录!R133</f>
        <v>0</v>
      </c>
      <c r="AF338" s="121">
        <f>交易记录!R164</f>
        <v>0</v>
      </c>
      <c r="AG338" s="30">
        <f t="shared" si="155"/>
        <v>0</v>
      </c>
      <c r="AH338" s="124">
        <f>交易记录!R197</f>
        <v>0</v>
      </c>
      <c r="AI338" s="124">
        <f>交易记录!R228</f>
        <v>0</v>
      </c>
      <c r="AJ338" s="30">
        <f t="shared" si="156"/>
        <v>0</v>
      </c>
      <c r="AK338" s="121">
        <f>交易记录!R261</f>
        <v>0</v>
      </c>
      <c r="AL338" s="121">
        <f>交易记录!R292</f>
        <v>0</v>
      </c>
      <c r="AM338" s="30">
        <f t="shared" si="157"/>
        <v>0</v>
      </c>
      <c r="AN338" s="124">
        <f>交易记录!R325</f>
        <v>0</v>
      </c>
      <c r="AO338" s="124">
        <f>交易记录!R356</f>
        <v>0</v>
      </c>
      <c r="AP338" s="30">
        <f t="shared" si="158"/>
        <v>0</v>
      </c>
      <c r="AQ338" s="121">
        <f>交易记录!R389</f>
        <v>0</v>
      </c>
      <c r="AR338" s="121">
        <f>交易记录!R420</f>
        <v>0</v>
      </c>
      <c r="AS338" s="30">
        <f t="shared" si="159"/>
        <v>0</v>
      </c>
      <c r="AT338" s="124">
        <f>交易记录!R453</f>
        <v>0</v>
      </c>
      <c r="AU338" s="124">
        <f>交易记录!R484</f>
        <v>0</v>
      </c>
      <c r="AV338" s="30">
        <f t="shared" si="166"/>
        <v>0</v>
      </c>
      <c r="AW338" s="121">
        <f>交易记录!R517</f>
        <v>0</v>
      </c>
      <c r="AX338" s="121">
        <f>交易记录!R548</f>
        <v>0</v>
      </c>
      <c r="AY338" s="30">
        <f t="shared" si="167"/>
        <v>0</v>
      </c>
      <c r="AZ338" s="124">
        <f>交易记录!R581</f>
        <v>0</v>
      </c>
      <c r="BA338" s="124">
        <f>交易记录!R612</f>
        <v>0</v>
      </c>
      <c r="BB338" s="30">
        <f t="shared" si="168"/>
        <v>0</v>
      </c>
      <c r="BC338" s="121">
        <f>交易记录!R645</f>
        <v>0</v>
      </c>
      <c r="BD338" s="121">
        <f>交易记录!R676</f>
        <v>0</v>
      </c>
      <c r="BE338" s="30">
        <f t="shared" si="169"/>
        <v>0</v>
      </c>
      <c r="BF338" s="124">
        <f>交易记录!R709</f>
        <v>0</v>
      </c>
      <c r="BG338" s="124">
        <f>交易记录!R740</f>
        <v>0</v>
      </c>
      <c r="BH338" s="30">
        <f t="shared" si="170"/>
        <v>0</v>
      </c>
      <c r="BI338" s="121">
        <f>交易记录!R773</f>
        <v>0</v>
      </c>
      <c r="BJ338" s="121">
        <f>交易记录!R804</f>
        <v>0</v>
      </c>
      <c r="BK338" s="30">
        <f t="shared" si="171"/>
        <v>0</v>
      </c>
      <c r="BL338" s="124">
        <f>交易记录!R837</f>
        <v>0</v>
      </c>
      <c r="BM338" s="124">
        <f>交易记录!R868</f>
        <v>0</v>
      </c>
      <c r="BN338" s="30">
        <f t="shared" si="172"/>
        <v>0</v>
      </c>
      <c r="BO338" s="121">
        <f>交易记录!R901</f>
        <v>0</v>
      </c>
      <c r="BP338" s="121">
        <f>交易记录!R932</f>
        <v>0</v>
      </c>
      <c r="BQ338" s="30">
        <f t="shared" si="173"/>
        <v>0</v>
      </c>
    </row>
    <row r="339" spans="1:69" ht="15">
      <c r="A339" s="125">
        <f>'维护-日期'!A$17</f>
        <v>46280</v>
      </c>
      <c r="B339" s="7" t="s">
        <v>7</v>
      </c>
      <c r="C339" s="144">
        <f t="shared" si="174"/>
        <v>15.792</v>
      </c>
      <c r="D339" s="144">
        <f>ROUND(INDEX(持仓数据!$C$3:$AG$26,MATCH('计算过程-数据汇总'!B339,持仓数据!$B$3:$B$26,0),MATCH('计算过程-数据汇总'!A339,'维护-日期'!$B$2:$AF$2,0)),3)</f>
        <v>15.792</v>
      </c>
      <c r="E339" s="98">
        <f t="shared" si="175"/>
        <v>15.792</v>
      </c>
      <c r="F339" s="22">
        <f>持仓数据!Q73</f>
        <v>0.26500000000000001</v>
      </c>
      <c r="G339" s="97">
        <v>372</v>
      </c>
      <c r="H339" s="97">
        <v>372</v>
      </c>
      <c r="I339" s="64">
        <v>0</v>
      </c>
      <c r="J339" s="64">
        <v>0</v>
      </c>
      <c r="K339" s="21">
        <f>IF(持仓数据!Q106="",0,持仓数据!Q106)</f>
        <v>372</v>
      </c>
      <c r="L339" s="21">
        <f t="shared" si="176"/>
        <v>0</v>
      </c>
      <c r="M339" s="28">
        <f t="shared" si="160"/>
        <v>5874.6239999999998</v>
      </c>
      <c r="N339" s="28">
        <f t="shared" si="161"/>
        <v>0</v>
      </c>
      <c r="O339" s="28">
        <f t="shared" si="162"/>
        <v>0</v>
      </c>
      <c r="P339" s="28">
        <f t="shared" si="163"/>
        <v>0</v>
      </c>
      <c r="Q339" s="28">
        <f t="shared" si="177"/>
        <v>0</v>
      </c>
      <c r="R339" s="28">
        <f t="shared" si="164"/>
        <v>5874.6239999999998</v>
      </c>
      <c r="S339" s="28">
        <f t="shared" si="178"/>
        <v>0</v>
      </c>
      <c r="T339" s="28">
        <f t="shared" si="179"/>
        <v>0</v>
      </c>
      <c r="U339" s="28">
        <f t="shared" si="182"/>
        <v>0</v>
      </c>
      <c r="V339" s="28">
        <f t="shared" si="180"/>
        <v>0</v>
      </c>
      <c r="W339" s="118"/>
      <c r="X339" s="143">
        <f t="shared" si="181"/>
        <v>18.684999999999999</v>
      </c>
      <c r="Y339" s="121">
        <f>交易记录!R6</f>
        <v>0.26500000000000001</v>
      </c>
      <c r="Z339" s="121">
        <f>交易记录!R37</f>
        <v>372</v>
      </c>
      <c r="AA339" s="30">
        <f t="shared" si="165"/>
        <v>0</v>
      </c>
      <c r="AB339" s="124">
        <f>交易记录!R70</f>
        <v>0</v>
      </c>
      <c r="AC339" s="124">
        <f>交易记录!R101</f>
        <v>0</v>
      </c>
      <c r="AD339" s="30">
        <f t="shared" si="154"/>
        <v>0</v>
      </c>
      <c r="AE339" s="121">
        <f>交易记录!R134</f>
        <v>0</v>
      </c>
      <c r="AF339" s="121">
        <f>交易记录!R165</f>
        <v>0</v>
      </c>
      <c r="AG339" s="30">
        <f t="shared" si="155"/>
        <v>0</v>
      </c>
      <c r="AH339" s="124">
        <f>交易记录!R198</f>
        <v>0</v>
      </c>
      <c r="AI339" s="124">
        <f>交易记录!R229</f>
        <v>0</v>
      </c>
      <c r="AJ339" s="30">
        <f t="shared" si="156"/>
        <v>0</v>
      </c>
      <c r="AK339" s="121">
        <f>交易记录!R262</f>
        <v>0</v>
      </c>
      <c r="AL339" s="121">
        <f>交易记录!R293</f>
        <v>0</v>
      </c>
      <c r="AM339" s="30">
        <f t="shared" si="157"/>
        <v>0</v>
      </c>
      <c r="AN339" s="124">
        <f>交易记录!R326</f>
        <v>0</v>
      </c>
      <c r="AO339" s="124">
        <f>交易记录!R357</f>
        <v>0</v>
      </c>
      <c r="AP339" s="30">
        <f t="shared" si="158"/>
        <v>0</v>
      </c>
      <c r="AQ339" s="121">
        <f>交易记录!R390</f>
        <v>0</v>
      </c>
      <c r="AR339" s="121">
        <f>交易记录!R421</f>
        <v>0</v>
      </c>
      <c r="AS339" s="30">
        <f t="shared" si="159"/>
        <v>0</v>
      </c>
      <c r="AT339" s="124">
        <f>交易记录!R454</f>
        <v>0</v>
      </c>
      <c r="AU339" s="124">
        <f>交易记录!R485</f>
        <v>0</v>
      </c>
      <c r="AV339" s="30">
        <f t="shared" si="166"/>
        <v>0</v>
      </c>
      <c r="AW339" s="121">
        <f>交易记录!R518</f>
        <v>0</v>
      </c>
      <c r="AX339" s="121">
        <f>交易记录!R549</f>
        <v>0</v>
      </c>
      <c r="AY339" s="30">
        <f t="shared" si="167"/>
        <v>0</v>
      </c>
      <c r="AZ339" s="124">
        <f>交易记录!R582</f>
        <v>0</v>
      </c>
      <c r="BA339" s="124">
        <f>交易记录!R613</f>
        <v>0</v>
      </c>
      <c r="BB339" s="30">
        <f t="shared" si="168"/>
        <v>0</v>
      </c>
      <c r="BC339" s="121">
        <f>交易记录!R646</f>
        <v>0</v>
      </c>
      <c r="BD339" s="121">
        <f>交易记录!R677</f>
        <v>0</v>
      </c>
      <c r="BE339" s="30">
        <f t="shared" si="169"/>
        <v>0</v>
      </c>
      <c r="BF339" s="124">
        <f>交易记录!R710</f>
        <v>0</v>
      </c>
      <c r="BG339" s="124">
        <f>交易记录!R741</f>
        <v>0</v>
      </c>
      <c r="BH339" s="30">
        <f t="shared" si="170"/>
        <v>0</v>
      </c>
      <c r="BI339" s="121">
        <f>交易记录!R774</f>
        <v>0</v>
      </c>
      <c r="BJ339" s="121">
        <f>交易记录!R805</f>
        <v>0</v>
      </c>
      <c r="BK339" s="30">
        <f t="shared" si="171"/>
        <v>0</v>
      </c>
      <c r="BL339" s="124">
        <f>交易记录!R838</f>
        <v>0</v>
      </c>
      <c r="BM339" s="124">
        <f>交易记录!R869</f>
        <v>0</v>
      </c>
      <c r="BN339" s="30">
        <f t="shared" si="172"/>
        <v>0</v>
      </c>
      <c r="BO339" s="121">
        <f>交易记录!R902</f>
        <v>0</v>
      </c>
      <c r="BP339" s="121">
        <f>交易记录!R933</f>
        <v>0</v>
      </c>
      <c r="BQ339" s="30">
        <f t="shared" si="173"/>
        <v>0</v>
      </c>
    </row>
    <row r="340" spans="1:69" ht="15">
      <c r="A340" s="125">
        <f>'维护-日期'!A$17</f>
        <v>46280</v>
      </c>
      <c r="B340" s="7" t="s">
        <v>8</v>
      </c>
      <c r="C340" s="144">
        <f t="shared" si="174"/>
        <v>14.821999999999999</v>
      </c>
      <c r="D340" s="144">
        <f>ROUND(INDEX(持仓数据!$C$3:$AG$26,MATCH('计算过程-数据汇总'!B340,持仓数据!$B$3:$B$26,0),MATCH('计算过程-数据汇总'!A340,'维护-日期'!$B$2:$AF$2,0)),3)</f>
        <v>14.821999999999999</v>
      </c>
      <c r="E340" s="98">
        <f t="shared" si="175"/>
        <v>14.821999999999999</v>
      </c>
      <c r="F340" s="22">
        <f>持仓数据!Q74</f>
        <v>0.24199999999999999</v>
      </c>
      <c r="G340" s="97">
        <v>372</v>
      </c>
      <c r="H340" s="97">
        <v>372</v>
      </c>
      <c r="I340" s="64">
        <v>0</v>
      </c>
      <c r="J340" s="64">
        <v>0</v>
      </c>
      <c r="K340" s="21">
        <f>IF(持仓数据!Q107="",0,持仓数据!Q107)</f>
        <v>372</v>
      </c>
      <c r="L340" s="21">
        <f t="shared" si="176"/>
        <v>0</v>
      </c>
      <c r="M340" s="28">
        <f t="shared" si="160"/>
        <v>5513.7839999999997</v>
      </c>
      <c r="N340" s="28">
        <f t="shared" si="161"/>
        <v>0</v>
      </c>
      <c r="O340" s="28">
        <f t="shared" si="162"/>
        <v>0</v>
      </c>
      <c r="P340" s="28">
        <f t="shared" si="163"/>
        <v>0</v>
      </c>
      <c r="Q340" s="28">
        <f t="shared" si="177"/>
        <v>0</v>
      </c>
      <c r="R340" s="28">
        <f t="shared" si="164"/>
        <v>5513.7839999999997</v>
      </c>
      <c r="S340" s="28">
        <f t="shared" si="178"/>
        <v>0</v>
      </c>
      <c r="T340" s="28">
        <f t="shared" si="179"/>
        <v>0</v>
      </c>
      <c r="U340" s="28">
        <f t="shared" si="182"/>
        <v>0</v>
      </c>
      <c r="V340" s="28">
        <f t="shared" si="180"/>
        <v>0</v>
      </c>
      <c r="W340" s="118"/>
      <c r="X340" s="143">
        <f t="shared" si="181"/>
        <v>17.544</v>
      </c>
      <c r="Y340" s="121">
        <f>交易记录!R7</f>
        <v>0.24199999999999999</v>
      </c>
      <c r="Z340" s="121">
        <f>交易记录!R38</f>
        <v>372</v>
      </c>
      <c r="AA340" s="30">
        <f t="shared" si="165"/>
        <v>0</v>
      </c>
      <c r="AB340" s="124">
        <f>交易记录!R71</f>
        <v>0</v>
      </c>
      <c r="AC340" s="124">
        <f>交易记录!R102</f>
        <v>0</v>
      </c>
      <c r="AD340" s="30">
        <f t="shared" si="154"/>
        <v>0</v>
      </c>
      <c r="AE340" s="121">
        <f>交易记录!R135</f>
        <v>0</v>
      </c>
      <c r="AF340" s="121">
        <f>交易记录!R166</f>
        <v>0</v>
      </c>
      <c r="AG340" s="30">
        <f t="shared" si="155"/>
        <v>0</v>
      </c>
      <c r="AH340" s="124">
        <f>交易记录!R199</f>
        <v>0</v>
      </c>
      <c r="AI340" s="124">
        <f>交易记录!R230</f>
        <v>0</v>
      </c>
      <c r="AJ340" s="30">
        <f t="shared" si="156"/>
        <v>0</v>
      </c>
      <c r="AK340" s="121">
        <f>交易记录!R263</f>
        <v>0</v>
      </c>
      <c r="AL340" s="121">
        <f>交易记录!R294</f>
        <v>0</v>
      </c>
      <c r="AM340" s="30">
        <f t="shared" si="157"/>
        <v>0</v>
      </c>
      <c r="AN340" s="124">
        <f>交易记录!R327</f>
        <v>0</v>
      </c>
      <c r="AO340" s="124">
        <f>交易记录!R358</f>
        <v>0</v>
      </c>
      <c r="AP340" s="30">
        <f t="shared" si="158"/>
        <v>0</v>
      </c>
      <c r="AQ340" s="121">
        <f>交易记录!R391</f>
        <v>0</v>
      </c>
      <c r="AR340" s="121">
        <f>交易记录!R422</f>
        <v>0</v>
      </c>
      <c r="AS340" s="30">
        <f t="shared" si="159"/>
        <v>0</v>
      </c>
      <c r="AT340" s="124">
        <f>交易记录!R455</f>
        <v>0</v>
      </c>
      <c r="AU340" s="124">
        <f>交易记录!R486</f>
        <v>0</v>
      </c>
      <c r="AV340" s="30">
        <f t="shared" si="166"/>
        <v>0</v>
      </c>
      <c r="AW340" s="121">
        <f>交易记录!R519</f>
        <v>0</v>
      </c>
      <c r="AX340" s="121">
        <f>交易记录!R550</f>
        <v>0</v>
      </c>
      <c r="AY340" s="30">
        <f t="shared" si="167"/>
        <v>0</v>
      </c>
      <c r="AZ340" s="124">
        <f>交易记录!R583</f>
        <v>0</v>
      </c>
      <c r="BA340" s="124">
        <f>交易记录!R614</f>
        <v>0</v>
      </c>
      <c r="BB340" s="30">
        <f t="shared" si="168"/>
        <v>0</v>
      </c>
      <c r="BC340" s="121">
        <f>交易记录!R647</f>
        <v>0</v>
      </c>
      <c r="BD340" s="121">
        <f>交易记录!R678</f>
        <v>0</v>
      </c>
      <c r="BE340" s="30">
        <f t="shared" si="169"/>
        <v>0</v>
      </c>
      <c r="BF340" s="124">
        <f>交易记录!R711</f>
        <v>0</v>
      </c>
      <c r="BG340" s="124">
        <f>交易记录!R742</f>
        <v>0</v>
      </c>
      <c r="BH340" s="30">
        <f t="shared" si="170"/>
        <v>0</v>
      </c>
      <c r="BI340" s="121">
        <f>交易记录!R775</f>
        <v>0</v>
      </c>
      <c r="BJ340" s="121">
        <f>交易记录!R806</f>
        <v>0</v>
      </c>
      <c r="BK340" s="30">
        <f t="shared" si="171"/>
        <v>0</v>
      </c>
      <c r="BL340" s="124">
        <f>交易记录!R839</f>
        <v>0</v>
      </c>
      <c r="BM340" s="124">
        <f>交易记录!R870</f>
        <v>0</v>
      </c>
      <c r="BN340" s="30">
        <f t="shared" si="172"/>
        <v>0</v>
      </c>
      <c r="BO340" s="121">
        <f>交易记录!R903</f>
        <v>0</v>
      </c>
      <c r="BP340" s="121">
        <f>交易记录!R934</f>
        <v>0</v>
      </c>
      <c r="BQ340" s="30">
        <f t="shared" si="173"/>
        <v>0</v>
      </c>
    </row>
    <row r="341" spans="1:69" ht="15">
      <c r="A341" s="125">
        <f>'维护-日期'!A$17</f>
        <v>46280</v>
      </c>
      <c r="B341" s="7" t="s">
        <v>9</v>
      </c>
      <c r="C341" s="144">
        <f t="shared" si="174"/>
        <v>13.817</v>
      </c>
      <c r="D341" s="144">
        <f>ROUND(INDEX(持仓数据!$C$3:$AG$26,MATCH('计算过程-数据汇总'!B341,持仓数据!$B$3:$B$26,0),MATCH('计算过程-数据汇总'!A341,'维护-日期'!$B$2:$AF$2,0)),3)</f>
        <v>13.817</v>
      </c>
      <c r="E341" s="98">
        <f t="shared" si="175"/>
        <v>13.817</v>
      </c>
      <c r="F341" s="22">
        <f>持仓数据!Q75</f>
        <v>0.09</v>
      </c>
      <c r="G341" s="97">
        <v>372</v>
      </c>
      <c r="H341" s="97">
        <v>372</v>
      </c>
      <c r="I341" s="64">
        <v>0</v>
      </c>
      <c r="J341" s="64">
        <v>0</v>
      </c>
      <c r="K341" s="21">
        <f>IF(持仓数据!Q108="",0,持仓数据!Q108)</f>
        <v>372</v>
      </c>
      <c r="L341" s="21">
        <f t="shared" si="176"/>
        <v>0</v>
      </c>
      <c r="M341" s="28">
        <f t="shared" si="160"/>
        <v>5139.924</v>
      </c>
      <c r="N341" s="28">
        <f t="shared" si="161"/>
        <v>0</v>
      </c>
      <c r="O341" s="28">
        <f t="shared" si="162"/>
        <v>0</v>
      </c>
      <c r="P341" s="28">
        <f t="shared" si="163"/>
        <v>0</v>
      </c>
      <c r="Q341" s="28">
        <f t="shared" si="177"/>
        <v>0</v>
      </c>
      <c r="R341" s="28">
        <f t="shared" si="164"/>
        <v>5139.924</v>
      </c>
      <c r="S341" s="28">
        <f t="shared" si="178"/>
        <v>0</v>
      </c>
      <c r="T341" s="28">
        <f t="shared" si="179"/>
        <v>0</v>
      </c>
      <c r="U341" s="28">
        <f t="shared" si="182"/>
        <v>0</v>
      </c>
      <c r="V341" s="28">
        <f t="shared" si="180"/>
        <v>0</v>
      </c>
      <c r="W341" s="118"/>
      <c r="X341" s="143">
        <f t="shared" si="181"/>
        <v>16.489999999999998</v>
      </c>
      <c r="Y341" s="121">
        <f>交易记录!R8</f>
        <v>0.09</v>
      </c>
      <c r="Z341" s="121">
        <f>交易记录!R39</f>
        <v>372</v>
      </c>
      <c r="AA341" s="30">
        <f t="shared" si="165"/>
        <v>0</v>
      </c>
      <c r="AB341" s="124">
        <f>交易记录!R72</f>
        <v>0</v>
      </c>
      <c r="AC341" s="124">
        <f>交易记录!R103</f>
        <v>0</v>
      </c>
      <c r="AD341" s="30">
        <f t="shared" si="154"/>
        <v>0</v>
      </c>
      <c r="AE341" s="121">
        <f>交易记录!R136</f>
        <v>0</v>
      </c>
      <c r="AF341" s="121">
        <f>交易记录!R167</f>
        <v>0</v>
      </c>
      <c r="AG341" s="30">
        <f t="shared" si="155"/>
        <v>0</v>
      </c>
      <c r="AH341" s="124">
        <f>交易记录!R200</f>
        <v>0</v>
      </c>
      <c r="AI341" s="124">
        <f>交易记录!R231</f>
        <v>0</v>
      </c>
      <c r="AJ341" s="30">
        <f t="shared" si="156"/>
        <v>0</v>
      </c>
      <c r="AK341" s="121">
        <f>交易记录!R264</f>
        <v>0</v>
      </c>
      <c r="AL341" s="121">
        <f>交易记录!R295</f>
        <v>0</v>
      </c>
      <c r="AM341" s="30">
        <f t="shared" si="157"/>
        <v>0</v>
      </c>
      <c r="AN341" s="124">
        <f>交易记录!R328</f>
        <v>0</v>
      </c>
      <c r="AO341" s="124">
        <f>交易记录!R359</f>
        <v>0</v>
      </c>
      <c r="AP341" s="30">
        <f t="shared" si="158"/>
        <v>0</v>
      </c>
      <c r="AQ341" s="121">
        <f>交易记录!R392</f>
        <v>0</v>
      </c>
      <c r="AR341" s="121">
        <f>交易记录!R423</f>
        <v>0</v>
      </c>
      <c r="AS341" s="30">
        <f t="shared" si="159"/>
        <v>0</v>
      </c>
      <c r="AT341" s="124">
        <f>交易记录!R456</f>
        <v>0</v>
      </c>
      <c r="AU341" s="124">
        <f>交易记录!R487</f>
        <v>0</v>
      </c>
      <c r="AV341" s="30">
        <f t="shared" si="166"/>
        <v>0</v>
      </c>
      <c r="AW341" s="121">
        <f>交易记录!R520</f>
        <v>0</v>
      </c>
      <c r="AX341" s="121">
        <f>交易记录!R551</f>
        <v>0</v>
      </c>
      <c r="AY341" s="30">
        <f t="shared" si="167"/>
        <v>0</v>
      </c>
      <c r="AZ341" s="124">
        <f>交易记录!R584</f>
        <v>0</v>
      </c>
      <c r="BA341" s="124">
        <f>交易记录!R615</f>
        <v>0</v>
      </c>
      <c r="BB341" s="30">
        <f t="shared" si="168"/>
        <v>0</v>
      </c>
      <c r="BC341" s="121">
        <f>交易记录!R648</f>
        <v>0</v>
      </c>
      <c r="BD341" s="121">
        <f>交易记录!R679</f>
        <v>0</v>
      </c>
      <c r="BE341" s="30">
        <f t="shared" si="169"/>
        <v>0</v>
      </c>
      <c r="BF341" s="124">
        <f>交易记录!R712</f>
        <v>0</v>
      </c>
      <c r="BG341" s="124">
        <f>交易记录!R743</f>
        <v>0</v>
      </c>
      <c r="BH341" s="30">
        <f t="shared" si="170"/>
        <v>0</v>
      </c>
      <c r="BI341" s="121">
        <f>交易记录!R776</f>
        <v>0</v>
      </c>
      <c r="BJ341" s="121">
        <f>交易记录!R807</f>
        <v>0</v>
      </c>
      <c r="BK341" s="30">
        <f t="shared" si="171"/>
        <v>0</v>
      </c>
      <c r="BL341" s="124">
        <f>交易记录!R840</f>
        <v>0</v>
      </c>
      <c r="BM341" s="124">
        <f>交易记录!R871</f>
        <v>0</v>
      </c>
      <c r="BN341" s="30">
        <f t="shared" si="172"/>
        <v>0</v>
      </c>
      <c r="BO341" s="121">
        <f>交易记录!R904</f>
        <v>0</v>
      </c>
      <c r="BP341" s="121">
        <f>交易记录!R935</f>
        <v>0</v>
      </c>
      <c r="BQ341" s="30">
        <f t="shared" si="173"/>
        <v>0</v>
      </c>
    </row>
    <row r="342" spans="1:69" ht="15">
      <c r="A342" s="125">
        <f>'维护-日期'!A$17</f>
        <v>46280</v>
      </c>
      <c r="B342" s="7" t="s">
        <v>10</v>
      </c>
      <c r="C342" s="144">
        <f t="shared" si="174"/>
        <v>13.388</v>
      </c>
      <c r="D342" s="144">
        <f>ROUND(INDEX(持仓数据!$C$3:$AG$26,MATCH('计算过程-数据汇总'!B342,持仓数据!$B$3:$B$26,0),MATCH('计算过程-数据汇总'!A342,'维护-日期'!$B$2:$AF$2,0)),3)</f>
        <v>13.388</v>
      </c>
      <c r="E342" s="98">
        <f t="shared" si="175"/>
        <v>13.388</v>
      </c>
      <c r="F342" s="22">
        <f>持仓数据!Q76</f>
        <v>8.6999999999999994E-2</v>
      </c>
      <c r="G342" s="97">
        <v>372</v>
      </c>
      <c r="H342" s="97">
        <v>372</v>
      </c>
      <c r="I342" s="64">
        <v>0</v>
      </c>
      <c r="J342" s="64">
        <v>0</v>
      </c>
      <c r="K342" s="21">
        <f>IF(持仓数据!Q109="",0,持仓数据!Q109)</f>
        <v>372</v>
      </c>
      <c r="L342" s="21">
        <f t="shared" si="176"/>
        <v>0</v>
      </c>
      <c r="M342" s="28">
        <f t="shared" si="160"/>
        <v>4980.3360000000002</v>
      </c>
      <c r="N342" s="28">
        <f t="shared" si="161"/>
        <v>0</v>
      </c>
      <c r="O342" s="28">
        <f t="shared" si="162"/>
        <v>0</v>
      </c>
      <c r="P342" s="28">
        <f t="shared" si="163"/>
        <v>0</v>
      </c>
      <c r="Q342" s="28">
        <f t="shared" si="177"/>
        <v>0</v>
      </c>
      <c r="R342" s="28">
        <f t="shared" si="164"/>
        <v>4980.3360000000002</v>
      </c>
      <c r="S342" s="28">
        <f t="shared" si="178"/>
        <v>0</v>
      </c>
      <c r="T342" s="28">
        <f t="shared" si="179"/>
        <v>0</v>
      </c>
      <c r="U342" s="28">
        <f t="shared" si="182"/>
        <v>0</v>
      </c>
      <c r="V342" s="28">
        <f t="shared" si="180"/>
        <v>0</v>
      </c>
      <c r="W342" s="118"/>
      <c r="X342" s="143">
        <f t="shared" si="181"/>
        <v>15.978999999999999</v>
      </c>
      <c r="Y342" s="121">
        <f>交易记录!R9</f>
        <v>8.6999999999999994E-2</v>
      </c>
      <c r="Z342" s="121">
        <f>交易记录!R40</f>
        <v>372</v>
      </c>
      <c r="AA342" s="30">
        <f t="shared" si="165"/>
        <v>0</v>
      </c>
      <c r="AB342" s="124">
        <f>交易记录!R73</f>
        <v>0</v>
      </c>
      <c r="AC342" s="124">
        <f>交易记录!R104</f>
        <v>0</v>
      </c>
      <c r="AD342" s="30">
        <f t="shared" si="154"/>
        <v>0</v>
      </c>
      <c r="AE342" s="121">
        <f>交易记录!R137</f>
        <v>0</v>
      </c>
      <c r="AF342" s="121">
        <f>交易记录!R168</f>
        <v>0</v>
      </c>
      <c r="AG342" s="30">
        <f t="shared" si="155"/>
        <v>0</v>
      </c>
      <c r="AH342" s="124">
        <f>交易记录!R201</f>
        <v>0</v>
      </c>
      <c r="AI342" s="124">
        <f>交易记录!R232</f>
        <v>0</v>
      </c>
      <c r="AJ342" s="30">
        <f t="shared" si="156"/>
        <v>0</v>
      </c>
      <c r="AK342" s="121">
        <f>交易记录!R265</f>
        <v>0</v>
      </c>
      <c r="AL342" s="121">
        <f>交易记录!R296</f>
        <v>0</v>
      </c>
      <c r="AM342" s="30">
        <f t="shared" si="157"/>
        <v>0</v>
      </c>
      <c r="AN342" s="124">
        <f>交易记录!R329</f>
        <v>0</v>
      </c>
      <c r="AO342" s="124">
        <f>交易记录!R360</f>
        <v>0</v>
      </c>
      <c r="AP342" s="30">
        <f t="shared" si="158"/>
        <v>0</v>
      </c>
      <c r="AQ342" s="121">
        <f>交易记录!R393</f>
        <v>0</v>
      </c>
      <c r="AR342" s="121">
        <f>交易记录!R424</f>
        <v>0</v>
      </c>
      <c r="AS342" s="30">
        <f t="shared" si="159"/>
        <v>0</v>
      </c>
      <c r="AT342" s="124">
        <f>交易记录!R457</f>
        <v>0</v>
      </c>
      <c r="AU342" s="124">
        <f>交易记录!R488</f>
        <v>0</v>
      </c>
      <c r="AV342" s="30">
        <f t="shared" si="166"/>
        <v>0</v>
      </c>
      <c r="AW342" s="121">
        <f>交易记录!R521</f>
        <v>0</v>
      </c>
      <c r="AX342" s="121">
        <f>交易记录!R552</f>
        <v>0</v>
      </c>
      <c r="AY342" s="30">
        <f t="shared" si="167"/>
        <v>0</v>
      </c>
      <c r="AZ342" s="124">
        <f>交易记录!R585</f>
        <v>0</v>
      </c>
      <c r="BA342" s="124">
        <f>交易记录!R616</f>
        <v>0</v>
      </c>
      <c r="BB342" s="30">
        <f t="shared" si="168"/>
        <v>0</v>
      </c>
      <c r="BC342" s="121">
        <f>交易记录!R649</f>
        <v>0</v>
      </c>
      <c r="BD342" s="121">
        <f>交易记录!R680</f>
        <v>0</v>
      </c>
      <c r="BE342" s="30">
        <f t="shared" si="169"/>
        <v>0</v>
      </c>
      <c r="BF342" s="124">
        <f>交易记录!R713</f>
        <v>0</v>
      </c>
      <c r="BG342" s="124">
        <f>交易记录!R744</f>
        <v>0</v>
      </c>
      <c r="BH342" s="30">
        <f t="shared" si="170"/>
        <v>0</v>
      </c>
      <c r="BI342" s="121">
        <f>交易记录!R777</f>
        <v>0</v>
      </c>
      <c r="BJ342" s="121">
        <f>交易记录!R808</f>
        <v>0</v>
      </c>
      <c r="BK342" s="30">
        <f t="shared" si="171"/>
        <v>0</v>
      </c>
      <c r="BL342" s="124">
        <f>交易记录!R841</f>
        <v>0</v>
      </c>
      <c r="BM342" s="124">
        <f>交易记录!R872</f>
        <v>0</v>
      </c>
      <c r="BN342" s="30">
        <f t="shared" si="172"/>
        <v>0</v>
      </c>
      <c r="BO342" s="121">
        <f>交易记录!R905</f>
        <v>0</v>
      </c>
      <c r="BP342" s="121">
        <f>交易记录!R936</f>
        <v>0</v>
      </c>
      <c r="BQ342" s="30">
        <f t="shared" si="173"/>
        <v>0</v>
      </c>
    </row>
    <row r="343" spans="1:69" ht="15">
      <c r="A343" s="125">
        <f>'维护-日期'!A$17</f>
        <v>46280</v>
      </c>
      <c r="B343" s="7" t="s">
        <v>11</v>
      </c>
      <c r="C343" s="144">
        <f t="shared" si="174"/>
        <v>13.087</v>
      </c>
      <c r="D343" s="144">
        <f>ROUND(INDEX(持仓数据!$C$3:$AG$26,MATCH('计算过程-数据汇总'!B343,持仓数据!$B$3:$B$26,0),MATCH('计算过程-数据汇总'!A343,'维护-日期'!$B$2:$AF$2,0)),3)</f>
        <v>13.087</v>
      </c>
      <c r="E343" s="98">
        <f t="shared" si="175"/>
        <v>13.087</v>
      </c>
      <c r="F343" s="22">
        <f>持仓数据!Q77</f>
        <v>8.6999999999999994E-2</v>
      </c>
      <c r="G343" s="97">
        <v>372</v>
      </c>
      <c r="H343" s="97">
        <v>372</v>
      </c>
      <c r="I343" s="64">
        <v>0</v>
      </c>
      <c r="J343" s="64">
        <v>0</v>
      </c>
      <c r="K343" s="21">
        <f>IF(持仓数据!Q110="",0,持仓数据!Q110)</f>
        <v>372</v>
      </c>
      <c r="L343" s="21">
        <f t="shared" si="176"/>
        <v>0</v>
      </c>
      <c r="M343" s="28">
        <f t="shared" si="160"/>
        <v>4868.3639999999996</v>
      </c>
      <c r="N343" s="28">
        <f t="shared" si="161"/>
        <v>0</v>
      </c>
      <c r="O343" s="28">
        <f t="shared" si="162"/>
        <v>0</v>
      </c>
      <c r="P343" s="28">
        <f t="shared" si="163"/>
        <v>0</v>
      </c>
      <c r="Q343" s="28">
        <f t="shared" si="177"/>
        <v>0</v>
      </c>
      <c r="R343" s="28">
        <f t="shared" si="164"/>
        <v>4868.3639999999996</v>
      </c>
      <c r="S343" s="28">
        <f t="shared" si="178"/>
        <v>0</v>
      </c>
      <c r="T343" s="28">
        <f t="shared" si="179"/>
        <v>0</v>
      </c>
      <c r="U343" s="28">
        <f t="shared" si="182"/>
        <v>0</v>
      </c>
      <c r="V343" s="28">
        <f t="shared" si="180"/>
        <v>0</v>
      </c>
      <c r="W343" s="118"/>
      <c r="X343" s="143">
        <f t="shared" si="181"/>
        <v>15.617000000000001</v>
      </c>
      <c r="Y343" s="121">
        <f>交易记录!R10</f>
        <v>8.6999999999999994E-2</v>
      </c>
      <c r="Z343" s="121">
        <f>交易记录!R41</f>
        <v>372</v>
      </c>
      <c r="AA343" s="30">
        <f t="shared" si="165"/>
        <v>0</v>
      </c>
      <c r="AB343" s="124">
        <f>交易记录!R74</f>
        <v>0</v>
      </c>
      <c r="AC343" s="124">
        <f>交易记录!R105</f>
        <v>0</v>
      </c>
      <c r="AD343" s="30">
        <f t="shared" si="154"/>
        <v>0</v>
      </c>
      <c r="AE343" s="121">
        <f>交易记录!R138</f>
        <v>0</v>
      </c>
      <c r="AF343" s="121">
        <f>交易记录!R169</f>
        <v>0</v>
      </c>
      <c r="AG343" s="30">
        <f t="shared" si="155"/>
        <v>0</v>
      </c>
      <c r="AH343" s="124">
        <f>交易记录!R202</f>
        <v>0</v>
      </c>
      <c r="AI343" s="124">
        <f>交易记录!R233</f>
        <v>0</v>
      </c>
      <c r="AJ343" s="30">
        <f t="shared" si="156"/>
        <v>0</v>
      </c>
      <c r="AK343" s="121">
        <f>交易记录!R266</f>
        <v>0</v>
      </c>
      <c r="AL343" s="121">
        <f>交易记录!R297</f>
        <v>0</v>
      </c>
      <c r="AM343" s="30">
        <f t="shared" si="157"/>
        <v>0</v>
      </c>
      <c r="AN343" s="124">
        <f>交易记录!R330</f>
        <v>0</v>
      </c>
      <c r="AO343" s="124">
        <f>交易记录!R361</f>
        <v>0</v>
      </c>
      <c r="AP343" s="30">
        <f t="shared" si="158"/>
        <v>0</v>
      </c>
      <c r="AQ343" s="121">
        <f>交易记录!R394</f>
        <v>0</v>
      </c>
      <c r="AR343" s="121">
        <f>交易记录!R425</f>
        <v>0</v>
      </c>
      <c r="AS343" s="30">
        <f t="shared" si="159"/>
        <v>0</v>
      </c>
      <c r="AT343" s="124">
        <f>交易记录!R458</f>
        <v>0</v>
      </c>
      <c r="AU343" s="124">
        <f>交易记录!R489</f>
        <v>0</v>
      </c>
      <c r="AV343" s="30">
        <f t="shared" si="166"/>
        <v>0</v>
      </c>
      <c r="AW343" s="121">
        <f>交易记录!R522</f>
        <v>0</v>
      </c>
      <c r="AX343" s="121">
        <f>交易记录!R553</f>
        <v>0</v>
      </c>
      <c r="AY343" s="30">
        <f t="shared" si="167"/>
        <v>0</v>
      </c>
      <c r="AZ343" s="124">
        <f>交易记录!R586</f>
        <v>0</v>
      </c>
      <c r="BA343" s="124">
        <f>交易记录!R617</f>
        <v>0</v>
      </c>
      <c r="BB343" s="30">
        <f t="shared" si="168"/>
        <v>0</v>
      </c>
      <c r="BC343" s="121">
        <f>交易记录!R650</f>
        <v>0</v>
      </c>
      <c r="BD343" s="121">
        <f>交易记录!R681</f>
        <v>0</v>
      </c>
      <c r="BE343" s="30">
        <f t="shared" si="169"/>
        <v>0</v>
      </c>
      <c r="BF343" s="124">
        <f>交易记录!R714</f>
        <v>0</v>
      </c>
      <c r="BG343" s="124">
        <f>交易记录!R745</f>
        <v>0</v>
      </c>
      <c r="BH343" s="30">
        <f t="shared" si="170"/>
        <v>0</v>
      </c>
      <c r="BI343" s="121">
        <f>交易记录!R778</f>
        <v>0</v>
      </c>
      <c r="BJ343" s="121">
        <f>交易记录!R809</f>
        <v>0</v>
      </c>
      <c r="BK343" s="30">
        <f t="shared" si="171"/>
        <v>0</v>
      </c>
      <c r="BL343" s="124">
        <f>交易记录!R842</f>
        <v>0</v>
      </c>
      <c r="BM343" s="124">
        <f>交易记录!R873</f>
        <v>0</v>
      </c>
      <c r="BN343" s="30">
        <f t="shared" si="172"/>
        <v>0</v>
      </c>
      <c r="BO343" s="121">
        <f>交易记录!R906</f>
        <v>0</v>
      </c>
      <c r="BP343" s="121">
        <f>交易记录!R937</f>
        <v>0</v>
      </c>
      <c r="BQ343" s="30">
        <f t="shared" si="173"/>
        <v>0</v>
      </c>
    </row>
    <row r="344" spans="1:69" ht="15">
      <c r="A344" s="125">
        <f>'维护-日期'!A$17</f>
        <v>46280</v>
      </c>
      <c r="B344" s="7" t="s">
        <v>12</v>
      </c>
      <c r="C344" s="144">
        <f t="shared" si="174"/>
        <v>12.95</v>
      </c>
      <c r="D344" s="144">
        <f>ROUND(INDEX(持仓数据!$C$3:$AG$26,MATCH('计算过程-数据汇总'!B344,持仓数据!$B$3:$B$26,0),MATCH('计算过程-数据汇总'!A344,'维护-日期'!$B$2:$AF$2,0)),3)</f>
        <v>12.95</v>
      </c>
      <c r="E344" s="98">
        <f t="shared" si="175"/>
        <v>12.95</v>
      </c>
      <c r="F344" s="22">
        <f>持仓数据!Q78</f>
        <v>0.14499999999999999</v>
      </c>
      <c r="G344" s="97">
        <v>372</v>
      </c>
      <c r="H344" s="97">
        <v>372</v>
      </c>
      <c r="I344" s="64">
        <v>0</v>
      </c>
      <c r="J344" s="64">
        <v>0</v>
      </c>
      <c r="K344" s="21">
        <f>IF(持仓数据!Q111="",0,持仓数据!Q111)</f>
        <v>372</v>
      </c>
      <c r="L344" s="21">
        <f t="shared" si="176"/>
        <v>0</v>
      </c>
      <c r="M344" s="28">
        <f t="shared" si="160"/>
        <v>4817.3999999999996</v>
      </c>
      <c r="N344" s="28">
        <f t="shared" si="161"/>
        <v>0</v>
      </c>
      <c r="O344" s="28">
        <f t="shared" si="162"/>
        <v>0</v>
      </c>
      <c r="P344" s="28">
        <f t="shared" si="163"/>
        <v>0</v>
      </c>
      <c r="Q344" s="28">
        <f t="shared" si="177"/>
        <v>0</v>
      </c>
      <c r="R344" s="28">
        <f t="shared" si="164"/>
        <v>4817.3999999999996</v>
      </c>
      <c r="S344" s="28">
        <f t="shared" si="178"/>
        <v>0</v>
      </c>
      <c r="T344" s="28">
        <f t="shared" si="179"/>
        <v>0</v>
      </c>
      <c r="U344" s="28">
        <f t="shared" si="182"/>
        <v>0</v>
      </c>
      <c r="V344" s="28">
        <f t="shared" si="180"/>
        <v>0</v>
      </c>
      <c r="W344" s="118"/>
      <c r="X344" s="143">
        <f t="shared" si="181"/>
        <v>15.395</v>
      </c>
      <c r="Y344" s="121">
        <f>交易记录!R11</f>
        <v>0.14499999999999999</v>
      </c>
      <c r="Z344" s="121">
        <f>交易记录!R42</f>
        <v>372</v>
      </c>
      <c r="AA344" s="30">
        <f t="shared" si="165"/>
        <v>0</v>
      </c>
      <c r="AB344" s="124">
        <f>交易记录!R75</f>
        <v>0</v>
      </c>
      <c r="AC344" s="124">
        <f>交易记录!R106</f>
        <v>0</v>
      </c>
      <c r="AD344" s="30">
        <f t="shared" si="154"/>
        <v>0</v>
      </c>
      <c r="AE344" s="121">
        <f>交易记录!R139</f>
        <v>0</v>
      </c>
      <c r="AF344" s="121">
        <f>交易记录!R170</f>
        <v>0</v>
      </c>
      <c r="AG344" s="30">
        <f t="shared" si="155"/>
        <v>0</v>
      </c>
      <c r="AH344" s="124">
        <f>交易记录!R203</f>
        <v>0</v>
      </c>
      <c r="AI344" s="124">
        <f>交易记录!R234</f>
        <v>0</v>
      </c>
      <c r="AJ344" s="30">
        <f t="shared" si="156"/>
        <v>0</v>
      </c>
      <c r="AK344" s="121">
        <f>交易记录!R267</f>
        <v>0</v>
      </c>
      <c r="AL344" s="121">
        <f>交易记录!R298</f>
        <v>0</v>
      </c>
      <c r="AM344" s="30">
        <f t="shared" si="157"/>
        <v>0</v>
      </c>
      <c r="AN344" s="124">
        <f>交易记录!R331</f>
        <v>0</v>
      </c>
      <c r="AO344" s="124">
        <f>交易记录!R362</f>
        <v>0</v>
      </c>
      <c r="AP344" s="30">
        <f t="shared" si="158"/>
        <v>0</v>
      </c>
      <c r="AQ344" s="121">
        <f>交易记录!R395</f>
        <v>0</v>
      </c>
      <c r="AR344" s="121">
        <f>交易记录!R426</f>
        <v>0</v>
      </c>
      <c r="AS344" s="30">
        <f t="shared" si="159"/>
        <v>0</v>
      </c>
      <c r="AT344" s="124">
        <f>交易记录!R459</f>
        <v>0</v>
      </c>
      <c r="AU344" s="124">
        <f>交易记录!R490</f>
        <v>0</v>
      </c>
      <c r="AV344" s="30">
        <f t="shared" si="166"/>
        <v>0</v>
      </c>
      <c r="AW344" s="121">
        <f>交易记录!R523</f>
        <v>0</v>
      </c>
      <c r="AX344" s="121">
        <f>交易记录!R554</f>
        <v>0</v>
      </c>
      <c r="AY344" s="30">
        <f t="shared" si="167"/>
        <v>0</v>
      </c>
      <c r="AZ344" s="124">
        <f>交易记录!R587</f>
        <v>0</v>
      </c>
      <c r="BA344" s="124">
        <f>交易记录!R618</f>
        <v>0</v>
      </c>
      <c r="BB344" s="30">
        <f t="shared" si="168"/>
        <v>0</v>
      </c>
      <c r="BC344" s="121">
        <f>交易记录!R651</f>
        <v>0</v>
      </c>
      <c r="BD344" s="121">
        <f>交易记录!R682</f>
        <v>0</v>
      </c>
      <c r="BE344" s="30">
        <f t="shared" si="169"/>
        <v>0</v>
      </c>
      <c r="BF344" s="124">
        <f>交易记录!R715</f>
        <v>0</v>
      </c>
      <c r="BG344" s="124">
        <f>交易记录!R746</f>
        <v>0</v>
      </c>
      <c r="BH344" s="30">
        <f t="shared" si="170"/>
        <v>0</v>
      </c>
      <c r="BI344" s="121">
        <f>交易记录!R779</f>
        <v>0</v>
      </c>
      <c r="BJ344" s="121">
        <f>交易记录!R810</f>
        <v>0</v>
      </c>
      <c r="BK344" s="30">
        <f t="shared" si="171"/>
        <v>0</v>
      </c>
      <c r="BL344" s="124">
        <f>交易记录!R843</f>
        <v>0</v>
      </c>
      <c r="BM344" s="124">
        <f>交易记录!R874</f>
        <v>0</v>
      </c>
      <c r="BN344" s="30">
        <f t="shared" si="172"/>
        <v>0</v>
      </c>
      <c r="BO344" s="121">
        <f>交易记录!R907</f>
        <v>0</v>
      </c>
      <c r="BP344" s="121">
        <f>交易记录!R938</f>
        <v>0</v>
      </c>
      <c r="BQ344" s="30">
        <f t="shared" si="173"/>
        <v>0</v>
      </c>
    </row>
    <row r="345" spans="1:69" ht="15">
      <c r="A345" s="125">
        <f>'维护-日期'!A$17</f>
        <v>46280</v>
      </c>
      <c r="B345" s="7" t="s">
        <v>13</v>
      </c>
      <c r="C345" s="144">
        <f t="shared" si="174"/>
        <v>13.266999999999999</v>
      </c>
      <c r="D345" s="144">
        <f>ROUND(INDEX(持仓数据!$C$3:$AG$26,MATCH('计算过程-数据汇总'!B345,持仓数据!$B$3:$B$26,0),MATCH('计算过程-数据汇总'!A345,'维护-日期'!$B$2:$AF$2,0)),3)</f>
        <v>13.266999999999999</v>
      </c>
      <c r="E345" s="98">
        <f t="shared" si="175"/>
        <v>13.266999999999999</v>
      </c>
      <c r="F345" s="22">
        <f>持仓数据!Q79</f>
        <v>0.307</v>
      </c>
      <c r="G345" s="97">
        <v>372</v>
      </c>
      <c r="H345" s="97">
        <v>372</v>
      </c>
      <c r="I345" s="64">
        <v>0</v>
      </c>
      <c r="J345" s="64">
        <v>0</v>
      </c>
      <c r="K345" s="21">
        <f>IF(持仓数据!Q112="",0,持仓数据!Q112)</f>
        <v>372</v>
      </c>
      <c r="L345" s="21">
        <f t="shared" si="176"/>
        <v>0</v>
      </c>
      <c r="M345" s="28">
        <f t="shared" si="160"/>
        <v>4935.3239999999996</v>
      </c>
      <c r="N345" s="28">
        <f t="shared" si="161"/>
        <v>0</v>
      </c>
      <c r="O345" s="28">
        <f t="shared" si="162"/>
        <v>0</v>
      </c>
      <c r="P345" s="28">
        <f t="shared" si="163"/>
        <v>0</v>
      </c>
      <c r="Q345" s="28">
        <f t="shared" si="177"/>
        <v>0</v>
      </c>
      <c r="R345" s="28">
        <f t="shared" si="164"/>
        <v>4935.3239999999996</v>
      </c>
      <c r="S345" s="28">
        <f t="shared" si="178"/>
        <v>0</v>
      </c>
      <c r="T345" s="28">
        <f t="shared" si="179"/>
        <v>0</v>
      </c>
      <c r="U345" s="28">
        <f t="shared" si="182"/>
        <v>0</v>
      </c>
      <c r="V345" s="28">
        <f t="shared" si="180"/>
        <v>0</v>
      </c>
      <c r="W345" s="118"/>
      <c r="X345" s="143">
        <f t="shared" si="181"/>
        <v>15.613</v>
      </c>
      <c r="Y345" s="121">
        <f>交易记录!R12</f>
        <v>0.307</v>
      </c>
      <c r="Z345" s="121">
        <f>交易记录!R43</f>
        <v>372</v>
      </c>
      <c r="AA345" s="30">
        <f t="shared" si="165"/>
        <v>0</v>
      </c>
      <c r="AB345" s="124">
        <f>交易记录!R76</f>
        <v>0</v>
      </c>
      <c r="AC345" s="124">
        <f>交易记录!R107</f>
        <v>0</v>
      </c>
      <c r="AD345" s="30">
        <f t="shared" si="154"/>
        <v>0</v>
      </c>
      <c r="AE345" s="121">
        <f>交易记录!R140</f>
        <v>0</v>
      </c>
      <c r="AF345" s="121">
        <f>交易记录!R171</f>
        <v>0</v>
      </c>
      <c r="AG345" s="30">
        <f t="shared" si="155"/>
        <v>0</v>
      </c>
      <c r="AH345" s="124">
        <f>交易记录!R204</f>
        <v>0</v>
      </c>
      <c r="AI345" s="124">
        <f>交易记录!R235</f>
        <v>0</v>
      </c>
      <c r="AJ345" s="30">
        <f t="shared" si="156"/>
        <v>0</v>
      </c>
      <c r="AK345" s="121">
        <f>交易记录!R268</f>
        <v>0</v>
      </c>
      <c r="AL345" s="121">
        <f>交易记录!R299</f>
        <v>0</v>
      </c>
      <c r="AM345" s="30">
        <f t="shared" si="157"/>
        <v>0</v>
      </c>
      <c r="AN345" s="124">
        <f>交易记录!R332</f>
        <v>0</v>
      </c>
      <c r="AO345" s="124">
        <f>交易记录!R363</f>
        <v>0</v>
      </c>
      <c r="AP345" s="30">
        <f t="shared" si="158"/>
        <v>0</v>
      </c>
      <c r="AQ345" s="121">
        <f>交易记录!R396</f>
        <v>0</v>
      </c>
      <c r="AR345" s="121">
        <f>交易记录!R427</f>
        <v>0</v>
      </c>
      <c r="AS345" s="30">
        <f t="shared" si="159"/>
        <v>0</v>
      </c>
      <c r="AT345" s="124">
        <f>交易记录!R460</f>
        <v>0</v>
      </c>
      <c r="AU345" s="124">
        <f>交易记录!R491</f>
        <v>0</v>
      </c>
      <c r="AV345" s="30">
        <f t="shared" si="166"/>
        <v>0</v>
      </c>
      <c r="AW345" s="121">
        <f>交易记录!R524</f>
        <v>0</v>
      </c>
      <c r="AX345" s="121">
        <f>交易记录!R555</f>
        <v>0</v>
      </c>
      <c r="AY345" s="30">
        <f t="shared" si="167"/>
        <v>0</v>
      </c>
      <c r="AZ345" s="124">
        <f>交易记录!R588</f>
        <v>0</v>
      </c>
      <c r="BA345" s="124">
        <f>交易记录!R619</f>
        <v>0</v>
      </c>
      <c r="BB345" s="30">
        <f t="shared" si="168"/>
        <v>0</v>
      </c>
      <c r="BC345" s="121">
        <f>交易记录!R652</f>
        <v>0</v>
      </c>
      <c r="BD345" s="121">
        <f>交易记录!R683</f>
        <v>0</v>
      </c>
      <c r="BE345" s="30">
        <f t="shared" si="169"/>
        <v>0</v>
      </c>
      <c r="BF345" s="124">
        <f>交易记录!R716</f>
        <v>0</v>
      </c>
      <c r="BG345" s="124">
        <f>交易记录!R747</f>
        <v>0</v>
      </c>
      <c r="BH345" s="30">
        <f t="shared" si="170"/>
        <v>0</v>
      </c>
      <c r="BI345" s="121">
        <f>交易记录!R780</f>
        <v>0</v>
      </c>
      <c r="BJ345" s="121">
        <f>交易记录!R811</f>
        <v>0</v>
      </c>
      <c r="BK345" s="30">
        <f t="shared" si="171"/>
        <v>0</v>
      </c>
      <c r="BL345" s="124">
        <f>交易记录!R844</f>
        <v>0</v>
      </c>
      <c r="BM345" s="124">
        <f>交易记录!R875</f>
        <v>0</v>
      </c>
      <c r="BN345" s="30">
        <f t="shared" si="172"/>
        <v>0</v>
      </c>
      <c r="BO345" s="121">
        <f>交易记录!R908</f>
        <v>0</v>
      </c>
      <c r="BP345" s="121">
        <f>交易记录!R939</f>
        <v>0</v>
      </c>
      <c r="BQ345" s="30">
        <f t="shared" si="173"/>
        <v>0</v>
      </c>
    </row>
    <row r="346" spans="1:69" ht="15">
      <c r="A346" s="125">
        <f>'维护-日期'!A$17</f>
        <v>46280</v>
      </c>
      <c r="B346" s="7" t="s">
        <v>14</v>
      </c>
      <c r="C346" s="144">
        <f t="shared" si="174"/>
        <v>15.795999999999999</v>
      </c>
      <c r="D346" s="144">
        <f>ROUND(INDEX(持仓数据!$C$3:$AG$26,MATCH('计算过程-数据汇总'!B346,持仓数据!$B$3:$B$26,0),MATCH('计算过程-数据汇总'!A346,'维护-日期'!$B$2:$AF$2,0)),3)</f>
        <v>15.795999999999999</v>
      </c>
      <c r="E346" s="98">
        <f t="shared" si="175"/>
        <v>15.795999999999999</v>
      </c>
      <c r="F346" s="22">
        <f>持仓数据!Q80</f>
        <v>0.42800000000000005</v>
      </c>
      <c r="G346" s="97">
        <v>372</v>
      </c>
      <c r="H346" s="97">
        <v>372</v>
      </c>
      <c r="I346" s="64">
        <v>0</v>
      </c>
      <c r="J346" s="64">
        <v>0</v>
      </c>
      <c r="K346" s="21">
        <f>IF(持仓数据!Q113="",0,持仓数据!Q113)</f>
        <v>372</v>
      </c>
      <c r="L346" s="21">
        <f t="shared" si="176"/>
        <v>0</v>
      </c>
      <c r="M346" s="28">
        <f t="shared" si="160"/>
        <v>5876.1120000000001</v>
      </c>
      <c r="N346" s="28">
        <f t="shared" si="161"/>
        <v>0</v>
      </c>
      <c r="O346" s="28">
        <f t="shared" si="162"/>
        <v>0</v>
      </c>
      <c r="P346" s="28">
        <f t="shared" si="163"/>
        <v>0</v>
      </c>
      <c r="Q346" s="28">
        <f t="shared" si="177"/>
        <v>0</v>
      </c>
      <c r="R346" s="28">
        <f t="shared" si="164"/>
        <v>5876.1120000000001</v>
      </c>
      <c r="S346" s="28">
        <f t="shared" si="178"/>
        <v>0</v>
      </c>
      <c r="T346" s="28">
        <f t="shared" si="179"/>
        <v>0</v>
      </c>
      <c r="U346" s="28">
        <f t="shared" si="182"/>
        <v>0</v>
      </c>
      <c r="V346" s="28">
        <f t="shared" si="180"/>
        <v>0</v>
      </c>
      <c r="W346" s="118"/>
      <c r="X346" s="143">
        <f t="shared" si="181"/>
        <v>18.527000000000001</v>
      </c>
      <c r="Y346" s="121">
        <f>交易记录!R13</f>
        <v>0.42800000000000005</v>
      </c>
      <c r="Z346" s="121">
        <f>交易记录!R44</f>
        <v>372</v>
      </c>
      <c r="AA346" s="30">
        <f t="shared" si="165"/>
        <v>0</v>
      </c>
      <c r="AB346" s="124">
        <f>交易记录!R77</f>
        <v>0</v>
      </c>
      <c r="AC346" s="124">
        <f>交易记录!R108</f>
        <v>0</v>
      </c>
      <c r="AD346" s="30">
        <f t="shared" si="154"/>
        <v>0</v>
      </c>
      <c r="AE346" s="121">
        <f>交易记录!R141</f>
        <v>0</v>
      </c>
      <c r="AF346" s="121">
        <f>交易记录!R172</f>
        <v>0</v>
      </c>
      <c r="AG346" s="30">
        <f t="shared" si="155"/>
        <v>0</v>
      </c>
      <c r="AH346" s="124">
        <f>交易记录!R205</f>
        <v>0</v>
      </c>
      <c r="AI346" s="124">
        <f>交易记录!R236</f>
        <v>0</v>
      </c>
      <c r="AJ346" s="30">
        <f t="shared" si="156"/>
        <v>0</v>
      </c>
      <c r="AK346" s="121">
        <f>交易记录!R269</f>
        <v>0</v>
      </c>
      <c r="AL346" s="121">
        <f>交易记录!R300</f>
        <v>0</v>
      </c>
      <c r="AM346" s="30">
        <f t="shared" si="157"/>
        <v>0</v>
      </c>
      <c r="AN346" s="124">
        <f>交易记录!R333</f>
        <v>0</v>
      </c>
      <c r="AO346" s="124">
        <f>交易记录!R364</f>
        <v>0</v>
      </c>
      <c r="AP346" s="30">
        <f t="shared" si="158"/>
        <v>0</v>
      </c>
      <c r="AQ346" s="121">
        <f>交易记录!R397</f>
        <v>0</v>
      </c>
      <c r="AR346" s="121">
        <f>交易记录!R428</f>
        <v>0</v>
      </c>
      <c r="AS346" s="30">
        <f t="shared" si="159"/>
        <v>0</v>
      </c>
      <c r="AT346" s="124">
        <f>交易记录!R461</f>
        <v>0</v>
      </c>
      <c r="AU346" s="124">
        <f>交易记录!R492</f>
        <v>0</v>
      </c>
      <c r="AV346" s="30">
        <f t="shared" si="166"/>
        <v>0</v>
      </c>
      <c r="AW346" s="121">
        <f>交易记录!R525</f>
        <v>0</v>
      </c>
      <c r="AX346" s="121">
        <f>交易记录!R556</f>
        <v>0</v>
      </c>
      <c r="AY346" s="30">
        <f t="shared" si="167"/>
        <v>0</v>
      </c>
      <c r="AZ346" s="124">
        <f>交易记录!R589</f>
        <v>0</v>
      </c>
      <c r="BA346" s="124">
        <f>交易记录!R620</f>
        <v>0</v>
      </c>
      <c r="BB346" s="30">
        <f t="shared" si="168"/>
        <v>0</v>
      </c>
      <c r="BC346" s="121">
        <f>交易记录!R653</f>
        <v>0</v>
      </c>
      <c r="BD346" s="121">
        <f>交易记录!R684</f>
        <v>0</v>
      </c>
      <c r="BE346" s="30">
        <f t="shared" si="169"/>
        <v>0</v>
      </c>
      <c r="BF346" s="124">
        <f>交易记录!R717</f>
        <v>0</v>
      </c>
      <c r="BG346" s="124">
        <f>交易记录!R748</f>
        <v>0</v>
      </c>
      <c r="BH346" s="30">
        <f t="shared" si="170"/>
        <v>0</v>
      </c>
      <c r="BI346" s="121">
        <f>交易记录!R781</f>
        <v>0</v>
      </c>
      <c r="BJ346" s="121">
        <f>交易记录!R812</f>
        <v>0</v>
      </c>
      <c r="BK346" s="30">
        <f t="shared" si="171"/>
        <v>0</v>
      </c>
      <c r="BL346" s="124">
        <f>交易记录!R845</f>
        <v>0</v>
      </c>
      <c r="BM346" s="124">
        <f>交易记录!R876</f>
        <v>0</v>
      </c>
      <c r="BN346" s="30">
        <f t="shared" si="172"/>
        <v>0</v>
      </c>
      <c r="BO346" s="121">
        <f>交易记录!R909</f>
        <v>0</v>
      </c>
      <c r="BP346" s="121">
        <f>交易记录!R940</f>
        <v>0</v>
      </c>
      <c r="BQ346" s="30">
        <f t="shared" si="173"/>
        <v>0</v>
      </c>
    </row>
    <row r="347" spans="1:69" ht="15">
      <c r="A347" s="125">
        <f>'维护-日期'!A$17</f>
        <v>46280</v>
      </c>
      <c r="B347" s="7" t="s">
        <v>15</v>
      </c>
      <c r="C347" s="144">
        <f t="shared" si="174"/>
        <v>19.308</v>
      </c>
      <c r="D347" s="144">
        <f>ROUND(INDEX(持仓数据!$C$3:$AG$26,MATCH('计算过程-数据汇总'!B347,持仓数据!$B$3:$B$26,0),MATCH('计算过程-数据汇总'!A347,'维护-日期'!$B$2:$AF$2,0)),3)</f>
        <v>19.308</v>
      </c>
      <c r="E347" s="98">
        <f t="shared" si="175"/>
        <v>19.308</v>
      </c>
      <c r="F347" s="22">
        <f>持仓数据!Q81</f>
        <v>0.46100000000000002</v>
      </c>
      <c r="G347" s="97">
        <v>372</v>
      </c>
      <c r="H347" s="97">
        <v>372</v>
      </c>
      <c r="I347" s="64">
        <v>0</v>
      </c>
      <c r="J347" s="64">
        <v>0</v>
      </c>
      <c r="K347" s="21">
        <f>IF(持仓数据!Q114="",0,持仓数据!Q114)</f>
        <v>372</v>
      </c>
      <c r="L347" s="21">
        <f t="shared" si="176"/>
        <v>0</v>
      </c>
      <c r="M347" s="28">
        <f t="shared" si="160"/>
        <v>7182.576</v>
      </c>
      <c r="N347" s="28">
        <f t="shared" si="161"/>
        <v>0</v>
      </c>
      <c r="O347" s="28">
        <f t="shared" si="162"/>
        <v>0</v>
      </c>
      <c r="P347" s="28">
        <f t="shared" si="163"/>
        <v>0</v>
      </c>
      <c r="Q347" s="28">
        <f t="shared" si="177"/>
        <v>0</v>
      </c>
      <c r="R347" s="28">
        <f t="shared" si="164"/>
        <v>7182.576</v>
      </c>
      <c r="S347" s="28">
        <f t="shared" si="178"/>
        <v>0</v>
      </c>
      <c r="T347" s="28">
        <f t="shared" si="179"/>
        <v>0</v>
      </c>
      <c r="U347" s="28">
        <f t="shared" si="182"/>
        <v>0</v>
      </c>
      <c r="V347" s="28">
        <f t="shared" si="180"/>
        <v>0</v>
      </c>
      <c r="W347" s="118"/>
      <c r="X347" s="143">
        <f t="shared" si="181"/>
        <v>22.709</v>
      </c>
      <c r="Y347" s="121">
        <f>交易记录!R14</f>
        <v>0.46100000000000002</v>
      </c>
      <c r="Z347" s="121">
        <f>交易记录!R45</f>
        <v>372</v>
      </c>
      <c r="AA347" s="30">
        <f t="shared" si="165"/>
        <v>0</v>
      </c>
      <c r="AB347" s="124">
        <f>交易记录!R78</f>
        <v>0</v>
      </c>
      <c r="AC347" s="124">
        <f>交易记录!R109</f>
        <v>0</v>
      </c>
      <c r="AD347" s="30">
        <f t="shared" ref="AD347:AD410" si="183">IFERROR((AC347-$G347)*AB347,0)</f>
        <v>0</v>
      </c>
      <c r="AE347" s="121">
        <f>交易记录!R142</f>
        <v>0</v>
      </c>
      <c r="AF347" s="121">
        <f>交易记录!R173</f>
        <v>0</v>
      </c>
      <c r="AG347" s="30">
        <f t="shared" ref="AG347:AG410" si="184">IFERROR((AF347-$G347)*AE347,0)</f>
        <v>0</v>
      </c>
      <c r="AH347" s="124">
        <f>交易记录!R206</f>
        <v>0</v>
      </c>
      <c r="AI347" s="124">
        <f>交易记录!R237</f>
        <v>0</v>
      </c>
      <c r="AJ347" s="30">
        <f t="shared" ref="AJ347:AJ410" si="185">IFERROR((AI347-$G347)*AH347,0)</f>
        <v>0</v>
      </c>
      <c r="AK347" s="121">
        <f>交易记录!R270</f>
        <v>0</v>
      </c>
      <c r="AL347" s="121">
        <f>交易记录!R301</f>
        <v>0</v>
      </c>
      <c r="AM347" s="30">
        <f t="shared" ref="AM347:AM410" si="186">IFERROR((AL347-$G347)*AK347,0)</f>
        <v>0</v>
      </c>
      <c r="AN347" s="124">
        <f>交易记录!R334</f>
        <v>0</v>
      </c>
      <c r="AO347" s="124">
        <f>交易记录!R365</f>
        <v>0</v>
      </c>
      <c r="AP347" s="30">
        <f t="shared" ref="AP347:AP410" si="187">IFERROR((AO347-$G347)*AN347,0)</f>
        <v>0</v>
      </c>
      <c r="AQ347" s="121">
        <f>交易记录!R398</f>
        <v>0</v>
      </c>
      <c r="AR347" s="121">
        <f>交易记录!R429</f>
        <v>0</v>
      </c>
      <c r="AS347" s="30">
        <f t="shared" ref="AS347:AS410" si="188">IFERROR((AR347-$G347)*AQ347,0)</f>
        <v>0</v>
      </c>
      <c r="AT347" s="124">
        <f>交易记录!R462</f>
        <v>0</v>
      </c>
      <c r="AU347" s="124">
        <f>交易记录!R493</f>
        <v>0</v>
      </c>
      <c r="AV347" s="30">
        <f t="shared" si="166"/>
        <v>0</v>
      </c>
      <c r="AW347" s="121">
        <f>交易记录!R526</f>
        <v>0</v>
      </c>
      <c r="AX347" s="121">
        <f>交易记录!R557</f>
        <v>0</v>
      </c>
      <c r="AY347" s="30">
        <f t="shared" si="167"/>
        <v>0</v>
      </c>
      <c r="AZ347" s="124">
        <f>交易记录!R590</f>
        <v>0</v>
      </c>
      <c r="BA347" s="124">
        <f>交易记录!R621</f>
        <v>0</v>
      </c>
      <c r="BB347" s="30">
        <f t="shared" si="168"/>
        <v>0</v>
      </c>
      <c r="BC347" s="121">
        <f>交易记录!R654</f>
        <v>0</v>
      </c>
      <c r="BD347" s="121">
        <f>交易记录!R685</f>
        <v>0</v>
      </c>
      <c r="BE347" s="30">
        <f t="shared" si="169"/>
        <v>0</v>
      </c>
      <c r="BF347" s="124">
        <f>交易记录!R718</f>
        <v>0</v>
      </c>
      <c r="BG347" s="124">
        <f>交易记录!R749</f>
        <v>0</v>
      </c>
      <c r="BH347" s="30">
        <f t="shared" si="170"/>
        <v>0</v>
      </c>
      <c r="BI347" s="121">
        <f>交易记录!R782</f>
        <v>0</v>
      </c>
      <c r="BJ347" s="121">
        <f>交易记录!R813</f>
        <v>0</v>
      </c>
      <c r="BK347" s="30">
        <f t="shared" si="171"/>
        <v>0</v>
      </c>
      <c r="BL347" s="124">
        <f>交易记录!R846</f>
        <v>0</v>
      </c>
      <c r="BM347" s="124">
        <f>交易记录!R877</f>
        <v>0</v>
      </c>
      <c r="BN347" s="30">
        <f t="shared" si="172"/>
        <v>0</v>
      </c>
      <c r="BO347" s="121">
        <f>交易记录!R910</f>
        <v>0</v>
      </c>
      <c r="BP347" s="121">
        <f>交易记录!R941</f>
        <v>0</v>
      </c>
      <c r="BQ347" s="30">
        <f t="shared" si="173"/>
        <v>0</v>
      </c>
    </row>
    <row r="348" spans="1:69" ht="15">
      <c r="A348" s="125">
        <f>'维护-日期'!A$17</f>
        <v>46280</v>
      </c>
      <c r="B348" s="7" t="s">
        <v>16</v>
      </c>
      <c r="C348" s="144">
        <f t="shared" si="174"/>
        <v>21.01</v>
      </c>
      <c r="D348" s="144">
        <f>ROUND(INDEX(持仓数据!$C$3:$AG$26,MATCH('计算过程-数据汇总'!B348,持仓数据!$B$3:$B$26,0),MATCH('计算过程-数据汇总'!A348,'维护-日期'!$B$2:$AF$2,0)),3)</f>
        <v>21.01</v>
      </c>
      <c r="E348" s="98">
        <f t="shared" si="175"/>
        <v>21.01</v>
      </c>
      <c r="F348" s="22">
        <f>持仓数据!Q82</f>
        <v>0.46700000000000003</v>
      </c>
      <c r="G348" s="97">
        <v>372</v>
      </c>
      <c r="H348" s="97">
        <v>372</v>
      </c>
      <c r="I348" s="64">
        <v>0</v>
      </c>
      <c r="J348" s="64">
        <v>0</v>
      </c>
      <c r="K348" s="21">
        <f>IF(持仓数据!Q115="",0,持仓数据!Q115)</f>
        <v>372</v>
      </c>
      <c r="L348" s="21">
        <f t="shared" si="176"/>
        <v>0</v>
      </c>
      <c r="M348" s="28">
        <f t="shared" si="160"/>
        <v>7815.72</v>
      </c>
      <c r="N348" s="28">
        <f t="shared" si="161"/>
        <v>0</v>
      </c>
      <c r="O348" s="28">
        <f t="shared" si="162"/>
        <v>0</v>
      </c>
      <c r="P348" s="28">
        <f t="shared" si="163"/>
        <v>0</v>
      </c>
      <c r="Q348" s="28">
        <f t="shared" si="177"/>
        <v>0</v>
      </c>
      <c r="R348" s="28">
        <f t="shared" si="164"/>
        <v>7815.72</v>
      </c>
      <c r="S348" s="28">
        <f t="shared" si="178"/>
        <v>0</v>
      </c>
      <c r="T348" s="28">
        <f t="shared" si="179"/>
        <v>0</v>
      </c>
      <c r="U348" s="28">
        <f t="shared" si="182"/>
        <v>0</v>
      </c>
      <c r="V348" s="28">
        <f t="shared" si="180"/>
        <v>0</v>
      </c>
      <c r="W348" s="118"/>
      <c r="X348" s="143">
        <f t="shared" si="181"/>
        <v>24.745000000000001</v>
      </c>
      <c r="Y348" s="121">
        <f>交易记录!R15</f>
        <v>0.46700000000000003</v>
      </c>
      <c r="Z348" s="121">
        <f>交易记录!R46</f>
        <v>372</v>
      </c>
      <c r="AA348" s="30">
        <f t="shared" si="165"/>
        <v>0</v>
      </c>
      <c r="AB348" s="124">
        <f>交易记录!R79</f>
        <v>0</v>
      </c>
      <c r="AC348" s="124">
        <f>交易记录!R110</f>
        <v>0</v>
      </c>
      <c r="AD348" s="30">
        <f t="shared" si="183"/>
        <v>0</v>
      </c>
      <c r="AE348" s="121">
        <f>交易记录!R143</f>
        <v>0</v>
      </c>
      <c r="AF348" s="121">
        <f>交易记录!R174</f>
        <v>0</v>
      </c>
      <c r="AG348" s="30">
        <f t="shared" si="184"/>
        <v>0</v>
      </c>
      <c r="AH348" s="124">
        <f>交易记录!R207</f>
        <v>0</v>
      </c>
      <c r="AI348" s="124">
        <f>交易记录!R238</f>
        <v>0</v>
      </c>
      <c r="AJ348" s="30">
        <f t="shared" si="185"/>
        <v>0</v>
      </c>
      <c r="AK348" s="121">
        <f>交易记录!R271</f>
        <v>0</v>
      </c>
      <c r="AL348" s="121">
        <f>交易记录!R302</f>
        <v>0</v>
      </c>
      <c r="AM348" s="30">
        <f t="shared" si="186"/>
        <v>0</v>
      </c>
      <c r="AN348" s="124">
        <f>交易记录!R335</f>
        <v>0</v>
      </c>
      <c r="AO348" s="124">
        <f>交易记录!R366</f>
        <v>0</v>
      </c>
      <c r="AP348" s="30">
        <f t="shared" si="187"/>
        <v>0</v>
      </c>
      <c r="AQ348" s="121">
        <f>交易记录!R399</f>
        <v>0</v>
      </c>
      <c r="AR348" s="121">
        <f>交易记录!R430</f>
        <v>0</v>
      </c>
      <c r="AS348" s="30">
        <f t="shared" si="188"/>
        <v>0</v>
      </c>
      <c r="AT348" s="124">
        <f>交易记录!R463</f>
        <v>0</v>
      </c>
      <c r="AU348" s="124">
        <f>交易记录!R494</f>
        <v>0</v>
      </c>
      <c r="AV348" s="30">
        <f t="shared" si="166"/>
        <v>0</v>
      </c>
      <c r="AW348" s="121">
        <f>交易记录!R527</f>
        <v>0</v>
      </c>
      <c r="AX348" s="121">
        <f>交易记录!R558</f>
        <v>0</v>
      </c>
      <c r="AY348" s="30">
        <f t="shared" si="167"/>
        <v>0</v>
      </c>
      <c r="AZ348" s="124">
        <f>交易记录!R591</f>
        <v>0</v>
      </c>
      <c r="BA348" s="124">
        <f>交易记录!R622</f>
        <v>0</v>
      </c>
      <c r="BB348" s="30">
        <f t="shared" si="168"/>
        <v>0</v>
      </c>
      <c r="BC348" s="121">
        <f>交易记录!R655</f>
        <v>0</v>
      </c>
      <c r="BD348" s="121">
        <f>交易记录!R686</f>
        <v>0</v>
      </c>
      <c r="BE348" s="30">
        <f t="shared" si="169"/>
        <v>0</v>
      </c>
      <c r="BF348" s="124">
        <f>交易记录!R719</f>
        <v>0</v>
      </c>
      <c r="BG348" s="124">
        <f>交易记录!R750</f>
        <v>0</v>
      </c>
      <c r="BH348" s="30">
        <f t="shared" si="170"/>
        <v>0</v>
      </c>
      <c r="BI348" s="121">
        <f>交易记录!R783</f>
        <v>0</v>
      </c>
      <c r="BJ348" s="121">
        <f>交易记录!R814</f>
        <v>0</v>
      </c>
      <c r="BK348" s="30">
        <f t="shared" si="171"/>
        <v>0</v>
      </c>
      <c r="BL348" s="124">
        <f>交易记录!R847</f>
        <v>0</v>
      </c>
      <c r="BM348" s="124">
        <f>交易记录!R878</f>
        <v>0</v>
      </c>
      <c r="BN348" s="30">
        <f t="shared" si="172"/>
        <v>0</v>
      </c>
      <c r="BO348" s="121">
        <f>交易记录!R911</f>
        <v>0</v>
      </c>
      <c r="BP348" s="121">
        <f>交易记录!R942</f>
        <v>0</v>
      </c>
      <c r="BQ348" s="30">
        <f t="shared" si="173"/>
        <v>0</v>
      </c>
    </row>
    <row r="349" spans="1:69" ht="15">
      <c r="A349" s="125">
        <f>'维护-日期'!A$17</f>
        <v>46280</v>
      </c>
      <c r="B349" s="7" t="s">
        <v>17</v>
      </c>
      <c r="C349" s="144">
        <f t="shared" si="174"/>
        <v>21.329000000000001</v>
      </c>
      <c r="D349" s="144">
        <f>ROUND(INDEX(持仓数据!$C$3:$AG$26,MATCH('计算过程-数据汇总'!B349,持仓数据!$B$3:$B$26,0),MATCH('计算过程-数据汇总'!A349,'维护-日期'!$B$2:$AF$2,0)),3)</f>
        <v>21.329000000000001</v>
      </c>
      <c r="E349" s="98">
        <f t="shared" si="175"/>
        <v>21.329000000000001</v>
      </c>
      <c r="F349" s="22">
        <f>持仓数据!Q83</f>
        <v>0.32100000000000001</v>
      </c>
      <c r="G349" s="97">
        <v>372</v>
      </c>
      <c r="H349" s="97">
        <v>372</v>
      </c>
      <c r="I349" s="64">
        <v>0</v>
      </c>
      <c r="J349" s="64">
        <v>0</v>
      </c>
      <c r="K349" s="21">
        <f>IF(持仓数据!Q116="",0,持仓数据!Q116)</f>
        <v>372</v>
      </c>
      <c r="L349" s="21">
        <f t="shared" si="176"/>
        <v>0</v>
      </c>
      <c r="M349" s="28">
        <f t="shared" si="160"/>
        <v>7934.3879999999999</v>
      </c>
      <c r="N349" s="28">
        <f t="shared" si="161"/>
        <v>0</v>
      </c>
      <c r="O349" s="28">
        <f t="shared" si="162"/>
        <v>0</v>
      </c>
      <c r="P349" s="28">
        <f t="shared" si="163"/>
        <v>0</v>
      </c>
      <c r="Q349" s="28">
        <f t="shared" si="177"/>
        <v>0</v>
      </c>
      <c r="R349" s="28">
        <f t="shared" si="164"/>
        <v>7934.3879999999999</v>
      </c>
      <c r="S349" s="28">
        <f t="shared" si="178"/>
        <v>0</v>
      </c>
      <c r="T349" s="28">
        <f t="shared" si="179"/>
        <v>0</v>
      </c>
      <c r="U349" s="28">
        <f t="shared" si="182"/>
        <v>0</v>
      </c>
      <c r="V349" s="28">
        <f t="shared" si="180"/>
        <v>0</v>
      </c>
      <c r="W349" s="118"/>
      <c r="X349" s="143">
        <f t="shared" si="181"/>
        <v>25.274000000000001</v>
      </c>
      <c r="Y349" s="121">
        <f>交易记录!R16</f>
        <v>0.32100000000000001</v>
      </c>
      <c r="Z349" s="121">
        <f>交易记录!R47</f>
        <v>372</v>
      </c>
      <c r="AA349" s="30">
        <f t="shared" si="165"/>
        <v>0</v>
      </c>
      <c r="AB349" s="124">
        <f>交易记录!R80</f>
        <v>0</v>
      </c>
      <c r="AC349" s="124">
        <f>交易记录!R111</f>
        <v>0</v>
      </c>
      <c r="AD349" s="30">
        <f t="shared" si="183"/>
        <v>0</v>
      </c>
      <c r="AE349" s="121">
        <f>交易记录!R144</f>
        <v>0</v>
      </c>
      <c r="AF349" s="121">
        <f>交易记录!R175</f>
        <v>0</v>
      </c>
      <c r="AG349" s="30">
        <f t="shared" si="184"/>
        <v>0</v>
      </c>
      <c r="AH349" s="124">
        <f>交易记录!R208</f>
        <v>0</v>
      </c>
      <c r="AI349" s="124">
        <f>交易记录!R239</f>
        <v>0</v>
      </c>
      <c r="AJ349" s="30">
        <f t="shared" si="185"/>
        <v>0</v>
      </c>
      <c r="AK349" s="121">
        <f>交易记录!R272</f>
        <v>0</v>
      </c>
      <c r="AL349" s="121">
        <f>交易记录!R303</f>
        <v>0</v>
      </c>
      <c r="AM349" s="30">
        <f t="shared" si="186"/>
        <v>0</v>
      </c>
      <c r="AN349" s="124">
        <f>交易记录!R336</f>
        <v>0</v>
      </c>
      <c r="AO349" s="124">
        <f>交易记录!R367</f>
        <v>0</v>
      </c>
      <c r="AP349" s="30">
        <f t="shared" si="187"/>
        <v>0</v>
      </c>
      <c r="AQ349" s="121">
        <f>交易记录!R400</f>
        <v>0</v>
      </c>
      <c r="AR349" s="121">
        <f>交易记录!R431</f>
        <v>0</v>
      </c>
      <c r="AS349" s="30">
        <f t="shared" si="188"/>
        <v>0</v>
      </c>
      <c r="AT349" s="124">
        <f>交易记录!R464</f>
        <v>0</v>
      </c>
      <c r="AU349" s="124">
        <f>交易记录!R495</f>
        <v>0</v>
      </c>
      <c r="AV349" s="30">
        <f t="shared" si="166"/>
        <v>0</v>
      </c>
      <c r="AW349" s="121">
        <f>交易记录!R528</f>
        <v>0</v>
      </c>
      <c r="AX349" s="121">
        <f>交易记录!R559</f>
        <v>0</v>
      </c>
      <c r="AY349" s="30">
        <f t="shared" si="167"/>
        <v>0</v>
      </c>
      <c r="AZ349" s="124">
        <f>交易记录!R592</f>
        <v>0</v>
      </c>
      <c r="BA349" s="124">
        <f>交易记录!R623</f>
        <v>0</v>
      </c>
      <c r="BB349" s="30">
        <f t="shared" si="168"/>
        <v>0</v>
      </c>
      <c r="BC349" s="121">
        <f>交易记录!R656</f>
        <v>0</v>
      </c>
      <c r="BD349" s="121">
        <f>交易记录!R687</f>
        <v>0</v>
      </c>
      <c r="BE349" s="30">
        <f t="shared" si="169"/>
        <v>0</v>
      </c>
      <c r="BF349" s="124">
        <f>交易记录!R720</f>
        <v>0</v>
      </c>
      <c r="BG349" s="124">
        <f>交易记录!R751</f>
        <v>0</v>
      </c>
      <c r="BH349" s="30">
        <f t="shared" si="170"/>
        <v>0</v>
      </c>
      <c r="BI349" s="121">
        <f>交易记录!R784</f>
        <v>0</v>
      </c>
      <c r="BJ349" s="121">
        <f>交易记录!R815</f>
        <v>0</v>
      </c>
      <c r="BK349" s="30">
        <f t="shared" si="171"/>
        <v>0</v>
      </c>
      <c r="BL349" s="124">
        <f>交易记录!R848</f>
        <v>0</v>
      </c>
      <c r="BM349" s="124">
        <f>交易记录!R879</f>
        <v>0</v>
      </c>
      <c r="BN349" s="30">
        <f t="shared" si="172"/>
        <v>0</v>
      </c>
      <c r="BO349" s="121">
        <f>交易记录!R912</f>
        <v>0</v>
      </c>
      <c r="BP349" s="121">
        <f>交易记录!R943</f>
        <v>0</v>
      </c>
      <c r="BQ349" s="30">
        <f t="shared" si="173"/>
        <v>0</v>
      </c>
    </row>
    <row r="350" spans="1:69" ht="15">
      <c r="A350" s="125">
        <f>'维护-日期'!A$17</f>
        <v>46280</v>
      </c>
      <c r="B350" s="7" t="s">
        <v>18</v>
      </c>
      <c r="C350" s="144">
        <f t="shared" si="174"/>
        <v>22.643999999999998</v>
      </c>
      <c r="D350" s="144">
        <f>ROUND(INDEX(持仓数据!$C$3:$AG$26,MATCH('计算过程-数据汇总'!B350,持仓数据!$B$3:$B$26,0),MATCH('计算过程-数据汇总'!A350,'维护-日期'!$B$2:$AF$2,0)),3)</f>
        <v>22.643999999999998</v>
      </c>
      <c r="E350" s="98">
        <f t="shared" si="175"/>
        <v>22.643999999999998</v>
      </c>
      <c r="F350" s="22">
        <f>持仓数据!Q84</f>
        <v>7.8E-2</v>
      </c>
      <c r="G350" s="97">
        <v>372</v>
      </c>
      <c r="H350" s="97">
        <v>372</v>
      </c>
      <c r="I350" s="64">
        <v>0</v>
      </c>
      <c r="J350" s="64">
        <v>0</v>
      </c>
      <c r="K350" s="21">
        <f>IF(持仓数据!Q117="",0,持仓数据!Q117)</f>
        <v>372</v>
      </c>
      <c r="L350" s="21">
        <f t="shared" si="176"/>
        <v>0</v>
      </c>
      <c r="M350" s="28">
        <f t="shared" si="160"/>
        <v>8423.5679999999993</v>
      </c>
      <c r="N350" s="28">
        <f t="shared" si="161"/>
        <v>0</v>
      </c>
      <c r="O350" s="28">
        <f t="shared" si="162"/>
        <v>0</v>
      </c>
      <c r="P350" s="28">
        <f t="shared" si="163"/>
        <v>0</v>
      </c>
      <c r="Q350" s="28">
        <f t="shared" si="177"/>
        <v>0</v>
      </c>
      <c r="R350" s="28">
        <f t="shared" si="164"/>
        <v>8423.5679999999993</v>
      </c>
      <c r="S350" s="28">
        <f t="shared" si="178"/>
        <v>0</v>
      </c>
      <c r="T350" s="28">
        <f t="shared" si="179"/>
        <v>0</v>
      </c>
      <c r="U350" s="28">
        <f t="shared" si="182"/>
        <v>0</v>
      </c>
      <c r="V350" s="28">
        <f t="shared" si="180"/>
        <v>0</v>
      </c>
      <c r="W350" s="118"/>
      <c r="X350" s="143">
        <f t="shared" si="181"/>
        <v>27.094999999999999</v>
      </c>
      <c r="Y350" s="121">
        <f>交易记录!R17</f>
        <v>7.8E-2</v>
      </c>
      <c r="Z350" s="121">
        <f>交易记录!R48</f>
        <v>372</v>
      </c>
      <c r="AA350" s="30">
        <f t="shared" si="165"/>
        <v>0</v>
      </c>
      <c r="AB350" s="124">
        <f>交易记录!R81</f>
        <v>0</v>
      </c>
      <c r="AC350" s="124">
        <f>交易记录!R112</f>
        <v>0</v>
      </c>
      <c r="AD350" s="30">
        <f t="shared" si="183"/>
        <v>0</v>
      </c>
      <c r="AE350" s="121">
        <f>交易记录!R145</f>
        <v>0</v>
      </c>
      <c r="AF350" s="121">
        <f>交易记录!R176</f>
        <v>0</v>
      </c>
      <c r="AG350" s="30">
        <f t="shared" si="184"/>
        <v>0</v>
      </c>
      <c r="AH350" s="124">
        <f>交易记录!R209</f>
        <v>0</v>
      </c>
      <c r="AI350" s="124">
        <f>交易记录!R240</f>
        <v>0</v>
      </c>
      <c r="AJ350" s="30">
        <f t="shared" si="185"/>
        <v>0</v>
      </c>
      <c r="AK350" s="121">
        <f>交易记录!R273</f>
        <v>0</v>
      </c>
      <c r="AL350" s="121">
        <f>交易记录!R304</f>
        <v>0</v>
      </c>
      <c r="AM350" s="30">
        <f t="shared" si="186"/>
        <v>0</v>
      </c>
      <c r="AN350" s="124">
        <f>交易记录!R337</f>
        <v>0</v>
      </c>
      <c r="AO350" s="124">
        <f>交易记录!R368</f>
        <v>0</v>
      </c>
      <c r="AP350" s="30">
        <f t="shared" si="187"/>
        <v>0</v>
      </c>
      <c r="AQ350" s="121">
        <f>交易记录!R401</f>
        <v>0</v>
      </c>
      <c r="AR350" s="121">
        <f>交易记录!R432</f>
        <v>0</v>
      </c>
      <c r="AS350" s="30">
        <f t="shared" si="188"/>
        <v>0</v>
      </c>
      <c r="AT350" s="124">
        <f>交易记录!R465</f>
        <v>0</v>
      </c>
      <c r="AU350" s="124">
        <f>交易记录!R496</f>
        <v>0</v>
      </c>
      <c r="AV350" s="30">
        <f t="shared" si="166"/>
        <v>0</v>
      </c>
      <c r="AW350" s="121">
        <f>交易记录!R529</f>
        <v>0</v>
      </c>
      <c r="AX350" s="121">
        <f>交易记录!R560</f>
        <v>0</v>
      </c>
      <c r="AY350" s="30">
        <f t="shared" si="167"/>
        <v>0</v>
      </c>
      <c r="AZ350" s="124">
        <f>交易记录!R593</f>
        <v>0</v>
      </c>
      <c r="BA350" s="124">
        <f>交易记录!R624</f>
        <v>0</v>
      </c>
      <c r="BB350" s="30">
        <f t="shared" si="168"/>
        <v>0</v>
      </c>
      <c r="BC350" s="121">
        <f>交易记录!R657</f>
        <v>0</v>
      </c>
      <c r="BD350" s="121">
        <f>交易记录!R688</f>
        <v>0</v>
      </c>
      <c r="BE350" s="30">
        <f t="shared" si="169"/>
        <v>0</v>
      </c>
      <c r="BF350" s="124">
        <f>交易记录!R721</f>
        <v>0</v>
      </c>
      <c r="BG350" s="124">
        <f>交易记录!R752</f>
        <v>0</v>
      </c>
      <c r="BH350" s="30">
        <f t="shared" si="170"/>
        <v>0</v>
      </c>
      <c r="BI350" s="121">
        <f>交易记录!R785</f>
        <v>0</v>
      </c>
      <c r="BJ350" s="121">
        <f>交易记录!R816</f>
        <v>0</v>
      </c>
      <c r="BK350" s="30">
        <f t="shared" si="171"/>
        <v>0</v>
      </c>
      <c r="BL350" s="124">
        <f>交易记录!R849</f>
        <v>0</v>
      </c>
      <c r="BM350" s="124">
        <f>交易记录!R880</f>
        <v>0</v>
      </c>
      <c r="BN350" s="30">
        <f t="shared" si="172"/>
        <v>0</v>
      </c>
      <c r="BO350" s="121">
        <f>交易记录!R913</f>
        <v>0</v>
      </c>
      <c r="BP350" s="121">
        <f>交易记录!R944</f>
        <v>0</v>
      </c>
      <c r="BQ350" s="30">
        <f t="shared" si="173"/>
        <v>0</v>
      </c>
    </row>
    <row r="351" spans="1:69" ht="15">
      <c r="A351" s="125">
        <f>'维护-日期'!A$17</f>
        <v>46280</v>
      </c>
      <c r="B351" s="7" t="s">
        <v>19</v>
      </c>
      <c r="C351" s="144">
        <f t="shared" si="174"/>
        <v>22.904</v>
      </c>
      <c r="D351" s="144">
        <f>ROUND(INDEX(持仓数据!$C$3:$AG$26,MATCH('计算过程-数据汇总'!B351,持仓数据!$B$3:$B$26,0),MATCH('计算过程-数据汇总'!A351,'维护-日期'!$B$2:$AF$2,0)),3)</f>
        <v>22.904</v>
      </c>
      <c r="E351" s="98">
        <f t="shared" si="175"/>
        <v>22.904</v>
      </c>
      <c r="F351" s="22">
        <f>持仓数据!Q85</f>
        <v>0.19500000000000001</v>
      </c>
      <c r="G351" s="97">
        <v>372</v>
      </c>
      <c r="H351" s="97">
        <v>372</v>
      </c>
      <c r="I351" s="64">
        <v>0</v>
      </c>
      <c r="J351" s="64">
        <v>0</v>
      </c>
      <c r="K351" s="21">
        <f>IF(持仓数据!Q118="",0,持仓数据!Q118)</f>
        <v>372</v>
      </c>
      <c r="L351" s="21">
        <f t="shared" si="176"/>
        <v>0</v>
      </c>
      <c r="M351" s="28">
        <f t="shared" si="160"/>
        <v>8520.2880000000005</v>
      </c>
      <c r="N351" s="28">
        <f t="shared" si="161"/>
        <v>0</v>
      </c>
      <c r="O351" s="28">
        <f t="shared" si="162"/>
        <v>0</v>
      </c>
      <c r="P351" s="28">
        <f t="shared" si="163"/>
        <v>0</v>
      </c>
      <c r="Q351" s="28">
        <f t="shared" si="177"/>
        <v>0</v>
      </c>
      <c r="R351" s="28">
        <f t="shared" si="164"/>
        <v>8520.2880000000005</v>
      </c>
      <c r="S351" s="28">
        <f t="shared" si="178"/>
        <v>0</v>
      </c>
      <c r="T351" s="28">
        <f t="shared" si="179"/>
        <v>0</v>
      </c>
      <c r="U351" s="28">
        <f t="shared" si="182"/>
        <v>0</v>
      </c>
      <c r="V351" s="28">
        <f t="shared" si="180"/>
        <v>0</v>
      </c>
      <c r="W351" s="118"/>
      <c r="X351" s="143">
        <f t="shared" si="181"/>
        <v>27.29</v>
      </c>
      <c r="Y351" s="121">
        <f>交易记录!R18</f>
        <v>0.19500000000000001</v>
      </c>
      <c r="Z351" s="121">
        <f>交易记录!R49</f>
        <v>372</v>
      </c>
      <c r="AA351" s="30">
        <f t="shared" si="165"/>
        <v>0</v>
      </c>
      <c r="AB351" s="124">
        <f>交易记录!R82</f>
        <v>0</v>
      </c>
      <c r="AC351" s="124">
        <f>交易记录!R113</f>
        <v>0</v>
      </c>
      <c r="AD351" s="30">
        <f t="shared" si="183"/>
        <v>0</v>
      </c>
      <c r="AE351" s="121">
        <f>交易记录!R146</f>
        <v>0</v>
      </c>
      <c r="AF351" s="121">
        <f>交易记录!R177</f>
        <v>0</v>
      </c>
      <c r="AG351" s="30">
        <f t="shared" si="184"/>
        <v>0</v>
      </c>
      <c r="AH351" s="124">
        <f>交易记录!R210</f>
        <v>0</v>
      </c>
      <c r="AI351" s="124">
        <f>交易记录!R241</f>
        <v>0</v>
      </c>
      <c r="AJ351" s="30">
        <f t="shared" si="185"/>
        <v>0</v>
      </c>
      <c r="AK351" s="121">
        <f>交易记录!R274</f>
        <v>0</v>
      </c>
      <c r="AL351" s="121">
        <f>交易记录!R305</f>
        <v>0</v>
      </c>
      <c r="AM351" s="30">
        <f t="shared" si="186"/>
        <v>0</v>
      </c>
      <c r="AN351" s="124">
        <f>交易记录!R338</f>
        <v>0</v>
      </c>
      <c r="AO351" s="124">
        <f>交易记录!R369</f>
        <v>0</v>
      </c>
      <c r="AP351" s="30">
        <f t="shared" si="187"/>
        <v>0</v>
      </c>
      <c r="AQ351" s="121">
        <f>交易记录!R402</f>
        <v>0</v>
      </c>
      <c r="AR351" s="121">
        <f>交易记录!R433</f>
        <v>0</v>
      </c>
      <c r="AS351" s="30">
        <f t="shared" si="188"/>
        <v>0</v>
      </c>
      <c r="AT351" s="124">
        <f>交易记录!R466</f>
        <v>0</v>
      </c>
      <c r="AU351" s="124">
        <f>交易记录!R497</f>
        <v>0</v>
      </c>
      <c r="AV351" s="30">
        <f t="shared" si="166"/>
        <v>0</v>
      </c>
      <c r="AW351" s="121">
        <f>交易记录!R530</f>
        <v>0</v>
      </c>
      <c r="AX351" s="121">
        <f>交易记录!R561</f>
        <v>0</v>
      </c>
      <c r="AY351" s="30">
        <f t="shared" si="167"/>
        <v>0</v>
      </c>
      <c r="AZ351" s="124">
        <f>交易记录!R594</f>
        <v>0</v>
      </c>
      <c r="BA351" s="124">
        <f>交易记录!R625</f>
        <v>0</v>
      </c>
      <c r="BB351" s="30">
        <f t="shared" si="168"/>
        <v>0</v>
      </c>
      <c r="BC351" s="121">
        <f>交易记录!R658</f>
        <v>0</v>
      </c>
      <c r="BD351" s="121">
        <f>交易记录!R689</f>
        <v>0</v>
      </c>
      <c r="BE351" s="30">
        <f t="shared" si="169"/>
        <v>0</v>
      </c>
      <c r="BF351" s="124">
        <f>交易记录!R722</f>
        <v>0</v>
      </c>
      <c r="BG351" s="124">
        <f>交易记录!R753</f>
        <v>0</v>
      </c>
      <c r="BH351" s="30">
        <f t="shared" si="170"/>
        <v>0</v>
      </c>
      <c r="BI351" s="121">
        <f>交易记录!R786</f>
        <v>0</v>
      </c>
      <c r="BJ351" s="121">
        <f>交易记录!R817</f>
        <v>0</v>
      </c>
      <c r="BK351" s="30">
        <f t="shared" si="171"/>
        <v>0</v>
      </c>
      <c r="BL351" s="124">
        <f>交易记录!R850</f>
        <v>0</v>
      </c>
      <c r="BM351" s="124">
        <f>交易记录!R881</f>
        <v>0</v>
      </c>
      <c r="BN351" s="30">
        <f t="shared" si="172"/>
        <v>0</v>
      </c>
      <c r="BO351" s="121">
        <f>交易记录!R914</f>
        <v>0</v>
      </c>
      <c r="BP351" s="121">
        <f>交易记录!R945</f>
        <v>0</v>
      </c>
      <c r="BQ351" s="30">
        <f t="shared" si="173"/>
        <v>0</v>
      </c>
    </row>
    <row r="352" spans="1:69" ht="15">
      <c r="A352" s="125">
        <f>'维护-日期'!A$17</f>
        <v>46280</v>
      </c>
      <c r="B352" s="7" t="s">
        <v>20</v>
      </c>
      <c r="C352" s="144">
        <f t="shared" si="174"/>
        <v>22.071000000000002</v>
      </c>
      <c r="D352" s="144">
        <f>ROUND(INDEX(持仓数据!$C$3:$AG$26,MATCH('计算过程-数据汇总'!B352,持仓数据!$B$3:$B$26,0),MATCH('计算过程-数据汇总'!A352,'维护-日期'!$B$2:$AF$2,0)),3)</f>
        <v>22.071000000000002</v>
      </c>
      <c r="E352" s="98">
        <f t="shared" si="175"/>
        <v>22.071000000000002</v>
      </c>
      <c r="F352" s="22">
        <f>持仓数据!Q86</f>
        <v>0.34599999999999997</v>
      </c>
      <c r="G352" s="97">
        <v>372</v>
      </c>
      <c r="H352" s="97">
        <v>372</v>
      </c>
      <c r="I352" s="64">
        <v>0</v>
      </c>
      <c r="J352" s="64">
        <v>0</v>
      </c>
      <c r="K352" s="21">
        <f>IF(持仓数据!Q119="",0,持仓数据!Q119)</f>
        <v>372</v>
      </c>
      <c r="L352" s="21">
        <f t="shared" si="176"/>
        <v>0</v>
      </c>
      <c r="M352" s="28">
        <f t="shared" si="160"/>
        <v>8210.4120000000003</v>
      </c>
      <c r="N352" s="28">
        <f t="shared" si="161"/>
        <v>0</v>
      </c>
      <c r="O352" s="28">
        <f t="shared" si="162"/>
        <v>0</v>
      </c>
      <c r="P352" s="28">
        <f t="shared" si="163"/>
        <v>0</v>
      </c>
      <c r="Q352" s="28">
        <f t="shared" si="177"/>
        <v>0</v>
      </c>
      <c r="R352" s="28">
        <f t="shared" si="164"/>
        <v>8210.4120000000003</v>
      </c>
      <c r="S352" s="28">
        <f t="shared" si="178"/>
        <v>0</v>
      </c>
      <c r="T352" s="28">
        <f t="shared" si="179"/>
        <v>0</v>
      </c>
      <c r="U352" s="28">
        <f t="shared" si="182"/>
        <v>0</v>
      </c>
      <c r="V352" s="28">
        <f t="shared" si="180"/>
        <v>0</v>
      </c>
      <c r="W352" s="118"/>
      <c r="X352" s="143">
        <f t="shared" si="181"/>
        <v>26.138999999999999</v>
      </c>
      <c r="Y352" s="121">
        <f>交易记录!R19</f>
        <v>0.34599999999999997</v>
      </c>
      <c r="Z352" s="121">
        <f>交易记录!R50</f>
        <v>372</v>
      </c>
      <c r="AA352" s="30">
        <f t="shared" si="165"/>
        <v>0</v>
      </c>
      <c r="AB352" s="124">
        <f>交易记录!R83</f>
        <v>0</v>
      </c>
      <c r="AC352" s="124">
        <f>交易记录!R114</f>
        <v>0</v>
      </c>
      <c r="AD352" s="30">
        <f t="shared" si="183"/>
        <v>0</v>
      </c>
      <c r="AE352" s="121">
        <f>交易记录!R147</f>
        <v>0</v>
      </c>
      <c r="AF352" s="121">
        <f>交易记录!R178</f>
        <v>0</v>
      </c>
      <c r="AG352" s="30">
        <f t="shared" si="184"/>
        <v>0</v>
      </c>
      <c r="AH352" s="124">
        <f>交易记录!R211</f>
        <v>0</v>
      </c>
      <c r="AI352" s="124">
        <f>交易记录!R242</f>
        <v>0</v>
      </c>
      <c r="AJ352" s="30">
        <f t="shared" si="185"/>
        <v>0</v>
      </c>
      <c r="AK352" s="121">
        <f>交易记录!R275</f>
        <v>0</v>
      </c>
      <c r="AL352" s="121">
        <f>交易记录!R306</f>
        <v>0</v>
      </c>
      <c r="AM352" s="30">
        <f t="shared" si="186"/>
        <v>0</v>
      </c>
      <c r="AN352" s="124">
        <f>交易记录!R339</f>
        <v>0</v>
      </c>
      <c r="AO352" s="124">
        <f>交易记录!R370</f>
        <v>0</v>
      </c>
      <c r="AP352" s="30">
        <f t="shared" si="187"/>
        <v>0</v>
      </c>
      <c r="AQ352" s="121">
        <f>交易记录!R403</f>
        <v>0</v>
      </c>
      <c r="AR352" s="121">
        <f>交易记录!R434</f>
        <v>0</v>
      </c>
      <c r="AS352" s="30">
        <f t="shared" si="188"/>
        <v>0</v>
      </c>
      <c r="AT352" s="124">
        <f>交易记录!R467</f>
        <v>0</v>
      </c>
      <c r="AU352" s="124">
        <f>交易记录!R498</f>
        <v>0</v>
      </c>
      <c r="AV352" s="30">
        <f t="shared" si="166"/>
        <v>0</v>
      </c>
      <c r="AW352" s="121">
        <f>交易记录!R531</f>
        <v>0</v>
      </c>
      <c r="AX352" s="121">
        <f>交易记录!R562</f>
        <v>0</v>
      </c>
      <c r="AY352" s="30">
        <f t="shared" si="167"/>
        <v>0</v>
      </c>
      <c r="AZ352" s="124">
        <f>交易记录!R595</f>
        <v>0</v>
      </c>
      <c r="BA352" s="124">
        <f>交易记录!R626</f>
        <v>0</v>
      </c>
      <c r="BB352" s="30">
        <f t="shared" si="168"/>
        <v>0</v>
      </c>
      <c r="BC352" s="121">
        <f>交易记录!R659</f>
        <v>0</v>
      </c>
      <c r="BD352" s="121">
        <f>交易记录!R690</f>
        <v>0</v>
      </c>
      <c r="BE352" s="30">
        <f t="shared" si="169"/>
        <v>0</v>
      </c>
      <c r="BF352" s="124">
        <f>交易记录!R723</f>
        <v>0</v>
      </c>
      <c r="BG352" s="124">
        <f>交易记录!R754</f>
        <v>0</v>
      </c>
      <c r="BH352" s="30">
        <f t="shared" si="170"/>
        <v>0</v>
      </c>
      <c r="BI352" s="121">
        <f>交易记录!R787</f>
        <v>0</v>
      </c>
      <c r="BJ352" s="121">
        <f>交易记录!R818</f>
        <v>0</v>
      </c>
      <c r="BK352" s="30">
        <f t="shared" si="171"/>
        <v>0</v>
      </c>
      <c r="BL352" s="124">
        <f>交易记录!R851</f>
        <v>0</v>
      </c>
      <c r="BM352" s="124">
        <f>交易记录!R882</f>
        <v>0</v>
      </c>
      <c r="BN352" s="30">
        <f t="shared" si="172"/>
        <v>0</v>
      </c>
      <c r="BO352" s="121">
        <f>交易记录!R915</f>
        <v>0</v>
      </c>
      <c r="BP352" s="121">
        <f>交易记录!R946</f>
        <v>0</v>
      </c>
      <c r="BQ352" s="30">
        <f t="shared" si="173"/>
        <v>0</v>
      </c>
    </row>
    <row r="353" spans="1:69" ht="15">
      <c r="A353" s="125">
        <f>'维护-日期'!A$17</f>
        <v>46280</v>
      </c>
      <c r="B353" s="7" t="s">
        <v>21</v>
      </c>
      <c r="C353" s="144">
        <f t="shared" si="174"/>
        <v>22.087</v>
      </c>
      <c r="D353" s="144">
        <f>ROUND(INDEX(持仓数据!$C$3:$AG$26,MATCH('计算过程-数据汇总'!B353,持仓数据!$B$3:$B$26,0),MATCH('计算过程-数据汇总'!A353,'维护-日期'!$B$2:$AF$2,0)),3)</f>
        <v>22.087</v>
      </c>
      <c r="E353" s="98">
        <f t="shared" si="175"/>
        <v>22.087</v>
      </c>
      <c r="F353" s="22">
        <f>持仓数据!Q87</f>
        <v>0.38</v>
      </c>
      <c r="G353" s="97">
        <v>372</v>
      </c>
      <c r="H353" s="97">
        <v>372</v>
      </c>
      <c r="I353" s="64">
        <v>0</v>
      </c>
      <c r="J353" s="64">
        <v>0</v>
      </c>
      <c r="K353" s="21">
        <f>IF(持仓数据!Q120="",0,持仓数据!Q120)</f>
        <v>372.00000000000006</v>
      </c>
      <c r="L353" s="21">
        <f t="shared" si="176"/>
        <v>0</v>
      </c>
      <c r="M353" s="28">
        <f t="shared" si="160"/>
        <v>8216.3639999999996</v>
      </c>
      <c r="N353" s="28">
        <f t="shared" si="161"/>
        <v>0</v>
      </c>
      <c r="O353" s="28">
        <f t="shared" si="162"/>
        <v>0</v>
      </c>
      <c r="P353" s="28">
        <f t="shared" si="163"/>
        <v>2.1600499167107046E-14</v>
      </c>
      <c r="Q353" s="28">
        <f t="shared" si="177"/>
        <v>0</v>
      </c>
      <c r="R353" s="28">
        <f t="shared" si="164"/>
        <v>8216.3640000000014</v>
      </c>
      <c r="S353" s="28">
        <f t="shared" si="178"/>
        <v>0</v>
      </c>
      <c r="T353" s="28">
        <f t="shared" si="179"/>
        <v>-1.2339000932115596E-12</v>
      </c>
      <c r="U353" s="28">
        <f t="shared" si="182"/>
        <v>0</v>
      </c>
      <c r="V353" s="28">
        <f t="shared" si="180"/>
        <v>0</v>
      </c>
      <c r="W353" s="118"/>
      <c r="X353" s="143">
        <f t="shared" si="181"/>
        <v>26.123999999999999</v>
      </c>
      <c r="Y353" s="121">
        <f>交易记录!R20</f>
        <v>0.38</v>
      </c>
      <c r="Z353" s="121">
        <f>交易记录!R51</f>
        <v>372</v>
      </c>
      <c r="AA353" s="30">
        <f t="shared" si="165"/>
        <v>0</v>
      </c>
      <c r="AB353" s="124">
        <f>交易记录!R84</f>
        <v>0</v>
      </c>
      <c r="AC353" s="124">
        <f>交易记录!R115</f>
        <v>0</v>
      </c>
      <c r="AD353" s="30">
        <f t="shared" si="183"/>
        <v>0</v>
      </c>
      <c r="AE353" s="121">
        <f>交易记录!R148</f>
        <v>0</v>
      </c>
      <c r="AF353" s="121">
        <f>交易记录!R179</f>
        <v>0</v>
      </c>
      <c r="AG353" s="30">
        <f t="shared" si="184"/>
        <v>0</v>
      </c>
      <c r="AH353" s="124">
        <f>交易记录!R212</f>
        <v>0</v>
      </c>
      <c r="AI353" s="124">
        <f>交易记录!R243</f>
        <v>0</v>
      </c>
      <c r="AJ353" s="30">
        <f t="shared" si="185"/>
        <v>0</v>
      </c>
      <c r="AK353" s="121">
        <f>交易记录!R276</f>
        <v>0</v>
      </c>
      <c r="AL353" s="121">
        <f>交易记录!R307</f>
        <v>0</v>
      </c>
      <c r="AM353" s="30">
        <f t="shared" si="186"/>
        <v>0</v>
      </c>
      <c r="AN353" s="124">
        <f>交易记录!R340</f>
        <v>0</v>
      </c>
      <c r="AO353" s="124">
        <f>交易记录!R371</f>
        <v>0</v>
      </c>
      <c r="AP353" s="30">
        <f t="shared" si="187"/>
        <v>0</v>
      </c>
      <c r="AQ353" s="121">
        <f>交易记录!R404</f>
        <v>0</v>
      </c>
      <c r="AR353" s="121">
        <f>交易记录!R435</f>
        <v>0</v>
      </c>
      <c r="AS353" s="30">
        <f t="shared" si="188"/>
        <v>0</v>
      </c>
      <c r="AT353" s="124">
        <f>交易记录!R468</f>
        <v>0</v>
      </c>
      <c r="AU353" s="124">
        <f>交易记录!R499</f>
        <v>0</v>
      </c>
      <c r="AV353" s="30">
        <f t="shared" si="166"/>
        <v>0</v>
      </c>
      <c r="AW353" s="121">
        <f>交易记录!R532</f>
        <v>0</v>
      </c>
      <c r="AX353" s="121">
        <f>交易记录!R563</f>
        <v>0</v>
      </c>
      <c r="AY353" s="30">
        <f t="shared" si="167"/>
        <v>0</v>
      </c>
      <c r="AZ353" s="124">
        <f>交易记录!R596</f>
        <v>0</v>
      </c>
      <c r="BA353" s="124">
        <f>交易记录!R627</f>
        <v>0</v>
      </c>
      <c r="BB353" s="30">
        <f t="shared" si="168"/>
        <v>0</v>
      </c>
      <c r="BC353" s="121">
        <f>交易记录!R660</f>
        <v>0</v>
      </c>
      <c r="BD353" s="121">
        <f>交易记录!R691</f>
        <v>0</v>
      </c>
      <c r="BE353" s="30">
        <f t="shared" si="169"/>
        <v>0</v>
      </c>
      <c r="BF353" s="124">
        <f>交易记录!R724</f>
        <v>0</v>
      </c>
      <c r="BG353" s="124">
        <f>交易记录!R755</f>
        <v>0</v>
      </c>
      <c r="BH353" s="30">
        <f t="shared" si="170"/>
        <v>0</v>
      </c>
      <c r="BI353" s="121">
        <f>交易记录!R788</f>
        <v>0</v>
      </c>
      <c r="BJ353" s="121">
        <f>交易记录!R819</f>
        <v>0</v>
      </c>
      <c r="BK353" s="30">
        <f t="shared" si="171"/>
        <v>0</v>
      </c>
      <c r="BL353" s="124">
        <f>交易记录!R852</f>
        <v>0</v>
      </c>
      <c r="BM353" s="124">
        <f>交易记录!R883</f>
        <v>0</v>
      </c>
      <c r="BN353" s="30">
        <f t="shared" si="172"/>
        <v>0</v>
      </c>
      <c r="BO353" s="121">
        <f>交易记录!R916</f>
        <v>0</v>
      </c>
      <c r="BP353" s="121">
        <f>交易记录!R947</f>
        <v>0</v>
      </c>
      <c r="BQ353" s="30">
        <f t="shared" si="173"/>
        <v>0</v>
      </c>
    </row>
    <row r="354" spans="1:69" ht="15">
      <c r="A354" s="125">
        <f>'维护-日期'!A$17</f>
        <v>46280</v>
      </c>
      <c r="B354" s="7" t="s">
        <v>22</v>
      </c>
      <c r="C354" s="144">
        <f t="shared" si="174"/>
        <v>23.077999999999999</v>
      </c>
      <c r="D354" s="144">
        <f>ROUND(INDEX(持仓数据!$C$3:$AG$26,MATCH('计算过程-数据汇总'!B354,持仓数据!$B$3:$B$26,0),MATCH('计算过程-数据汇总'!A354,'维护-日期'!$B$2:$AF$2,0)),3)</f>
        <v>23.077999999999999</v>
      </c>
      <c r="E354" s="98">
        <f t="shared" si="175"/>
        <v>23.077999999999999</v>
      </c>
      <c r="F354" s="22">
        <f>持仓数据!Q88</f>
        <v>0.58600000000000008</v>
      </c>
      <c r="G354" s="97">
        <v>372</v>
      </c>
      <c r="H354" s="97">
        <v>372</v>
      </c>
      <c r="I354" s="64">
        <v>0</v>
      </c>
      <c r="J354" s="64">
        <v>0</v>
      </c>
      <c r="K354" s="21">
        <f>IF(持仓数据!Q121="",0,持仓数据!Q121)</f>
        <v>372</v>
      </c>
      <c r="L354" s="21">
        <f t="shared" si="176"/>
        <v>0</v>
      </c>
      <c r="M354" s="28">
        <f t="shared" si="160"/>
        <v>8585.0159999999996</v>
      </c>
      <c r="N354" s="28">
        <f t="shared" si="161"/>
        <v>0</v>
      </c>
      <c r="O354" s="28">
        <f t="shared" si="162"/>
        <v>0</v>
      </c>
      <c r="P354" s="28">
        <f t="shared" si="163"/>
        <v>0</v>
      </c>
      <c r="Q354" s="28">
        <f t="shared" si="177"/>
        <v>0</v>
      </c>
      <c r="R354" s="28">
        <f t="shared" si="164"/>
        <v>8585.0159999999996</v>
      </c>
      <c r="S354" s="28">
        <f t="shared" si="178"/>
        <v>0</v>
      </c>
      <c r="T354" s="28">
        <f t="shared" si="179"/>
        <v>0</v>
      </c>
      <c r="U354" s="28">
        <f t="shared" si="182"/>
        <v>0</v>
      </c>
      <c r="V354" s="28">
        <f t="shared" si="180"/>
        <v>0</v>
      </c>
      <c r="W354" s="118"/>
      <c r="X354" s="143">
        <f t="shared" si="181"/>
        <v>27.108000000000001</v>
      </c>
      <c r="Y354" s="121">
        <f>交易记录!R21</f>
        <v>0.58600000000000008</v>
      </c>
      <c r="Z354" s="121">
        <f>交易记录!R52</f>
        <v>372</v>
      </c>
      <c r="AA354" s="30">
        <f t="shared" si="165"/>
        <v>0</v>
      </c>
      <c r="AB354" s="124">
        <f>交易记录!R85</f>
        <v>0</v>
      </c>
      <c r="AC354" s="124">
        <f>交易记录!R116</f>
        <v>0</v>
      </c>
      <c r="AD354" s="30">
        <f t="shared" si="183"/>
        <v>0</v>
      </c>
      <c r="AE354" s="121">
        <f>交易记录!R149</f>
        <v>0</v>
      </c>
      <c r="AF354" s="121">
        <f>交易记录!R180</f>
        <v>0</v>
      </c>
      <c r="AG354" s="30">
        <f t="shared" si="184"/>
        <v>0</v>
      </c>
      <c r="AH354" s="124">
        <f>交易记录!R213</f>
        <v>0</v>
      </c>
      <c r="AI354" s="124">
        <f>交易记录!R244</f>
        <v>0</v>
      </c>
      <c r="AJ354" s="30">
        <f t="shared" si="185"/>
        <v>0</v>
      </c>
      <c r="AK354" s="121">
        <f>交易记录!R277</f>
        <v>0</v>
      </c>
      <c r="AL354" s="121">
        <f>交易记录!R308</f>
        <v>0</v>
      </c>
      <c r="AM354" s="30">
        <f t="shared" si="186"/>
        <v>0</v>
      </c>
      <c r="AN354" s="124">
        <f>交易记录!R341</f>
        <v>0</v>
      </c>
      <c r="AO354" s="124">
        <f>交易记录!R372</f>
        <v>0</v>
      </c>
      <c r="AP354" s="30">
        <f t="shared" si="187"/>
        <v>0</v>
      </c>
      <c r="AQ354" s="121">
        <f>交易记录!R405</f>
        <v>0</v>
      </c>
      <c r="AR354" s="121">
        <f>交易记录!R436</f>
        <v>0</v>
      </c>
      <c r="AS354" s="30">
        <f t="shared" si="188"/>
        <v>0</v>
      </c>
      <c r="AT354" s="124">
        <f>交易记录!R469</f>
        <v>0</v>
      </c>
      <c r="AU354" s="124">
        <f>交易记录!R500</f>
        <v>0</v>
      </c>
      <c r="AV354" s="30">
        <f t="shared" si="166"/>
        <v>0</v>
      </c>
      <c r="AW354" s="121">
        <f>交易记录!R533</f>
        <v>0</v>
      </c>
      <c r="AX354" s="121">
        <f>交易记录!R564</f>
        <v>0</v>
      </c>
      <c r="AY354" s="30">
        <f t="shared" si="167"/>
        <v>0</v>
      </c>
      <c r="AZ354" s="124">
        <f>交易记录!R597</f>
        <v>0</v>
      </c>
      <c r="BA354" s="124">
        <f>交易记录!R628</f>
        <v>0</v>
      </c>
      <c r="BB354" s="30">
        <f t="shared" si="168"/>
        <v>0</v>
      </c>
      <c r="BC354" s="121">
        <f>交易记录!R661</f>
        <v>0</v>
      </c>
      <c r="BD354" s="121">
        <f>交易记录!R692</f>
        <v>0</v>
      </c>
      <c r="BE354" s="30">
        <f t="shared" si="169"/>
        <v>0</v>
      </c>
      <c r="BF354" s="124">
        <f>交易记录!R725</f>
        <v>0</v>
      </c>
      <c r="BG354" s="124">
        <f>交易记录!R756</f>
        <v>0</v>
      </c>
      <c r="BH354" s="30">
        <f t="shared" si="170"/>
        <v>0</v>
      </c>
      <c r="BI354" s="121">
        <f>交易记录!R789</f>
        <v>0</v>
      </c>
      <c r="BJ354" s="121">
        <f>交易记录!R820</f>
        <v>0</v>
      </c>
      <c r="BK354" s="30">
        <f t="shared" si="171"/>
        <v>0</v>
      </c>
      <c r="BL354" s="124">
        <f>交易记录!R853</f>
        <v>0</v>
      </c>
      <c r="BM354" s="124">
        <f>交易记录!R884</f>
        <v>0</v>
      </c>
      <c r="BN354" s="30">
        <f t="shared" si="172"/>
        <v>0</v>
      </c>
      <c r="BO354" s="121">
        <f>交易记录!R917</f>
        <v>0</v>
      </c>
      <c r="BP354" s="121">
        <f>交易记录!R948</f>
        <v>0</v>
      </c>
      <c r="BQ354" s="30">
        <f t="shared" si="173"/>
        <v>0</v>
      </c>
    </row>
    <row r="355" spans="1:69" ht="15">
      <c r="A355" s="125">
        <f>'维护-日期'!A$17</f>
        <v>46280</v>
      </c>
      <c r="B355" s="7" t="s">
        <v>23</v>
      </c>
      <c r="C355" s="144">
        <f t="shared" si="174"/>
        <v>23.443000000000001</v>
      </c>
      <c r="D355" s="144">
        <f>ROUND(INDEX(持仓数据!$C$3:$AG$26,MATCH('计算过程-数据汇总'!B355,持仓数据!$B$3:$B$26,0),MATCH('计算过程-数据汇总'!A355,'维护-日期'!$B$2:$AF$2,0)),3)</f>
        <v>23.443000000000001</v>
      </c>
      <c r="E355" s="98">
        <f t="shared" si="175"/>
        <v>23.443000000000001</v>
      </c>
      <c r="F355" s="22">
        <f>持仓数据!Q89</f>
        <v>0.63300000000000001</v>
      </c>
      <c r="G355" s="97">
        <v>372</v>
      </c>
      <c r="H355" s="97">
        <v>372</v>
      </c>
      <c r="I355" s="64">
        <v>0</v>
      </c>
      <c r="J355" s="64">
        <v>0</v>
      </c>
      <c r="K355" s="21">
        <f>IF(持仓数据!Q122="",0,持仓数据!Q122)</f>
        <v>372</v>
      </c>
      <c r="L355" s="21">
        <f t="shared" si="176"/>
        <v>0</v>
      </c>
      <c r="M355" s="28">
        <f t="shared" si="160"/>
        <v>8720.7960000000003</v>
      </c>
      <c r="N355" s="28">
        <f t="shared" si="161"/>
        <v>0</v>
      </c>
      <c r="O355" s="28">
        <f t="shared" si="162"/>
        <v>0</v>
      </c>
      <c r="P355" s="28">
        <f t="shared" si="163"/>
        <v>0</v>
      </c>
      <c r="Q355" s="28">
        <f t="shared" si="177"/>
        <v>0</v>
      </c>
      <c r="R355" s="28">
        <f t="shared" si="164"/>
        <v>8720.7960000000003</v>
      </c>
      <c r="S355" s="28">
        <f t="shared" si="178"/>
        <v>0</v>
      </c>
      <c r="T355" s="28">
        <f t="shared" si="179"/>
        <v>0</v>
      </c>
      <c r="U355" s="28">
        <f t="shared" si="182"/>
        <v>0</v>
      </c>
      <c r="V355" s="28">
        <f t="shared" si="180"/>
        <v>0</v>
      </c>
      <c r="W355" s="118"/>
      <c r="X355" s="143">
        <f t="shared" si="181"/>
        <v>27.498999999999999</v>
      </c>
      <c r="Y355" s="121">
        <f>交易记录!R22</f>
        <v>0.63300000000000001</v>
      </c>
      <c r="Z355" s="121">
        <f>交易记录!R53</f>
        <v>372</v>
      </c>
      <c r="AA355" s="30">
        <f t="shared" si="165"/>
        <v>0</v>
      </c>
      <c r="AB355" s="124">
        <f>交易记录!R86</f>
        <v>0</v>
      </c>
      <c r="AC355" s="124">
        <f>交易记录!R117</f>
        <v>0</v>
      </c>
      <c r="AD355" s="30">
        <f t="shared" si="183"/>
        <v>0</v>
      </c>
      <c r="AE355" s="121">
        <f>交易记录!R150</f>
        <v>0</v>
      </c>
      <c r="AF355" s="121">
        <f>交易记录!R181</f>
        <v>0</v>
      </c>
      <c r="AG355" s="30">
        <f t="shared" si="184"/>
        <v>0</v>
      </c>
      <c r="AH355" s="124">
        <f>交易记录!R214</f>
        <v>0</v>
      </c>
      <c r="AI355" s="124">
        <f>交易记录!R245</f>
        <v>0</v>
      </c>
      <c r="AJ355" s="30">
        <f t="shared" si="185"/>
        <v>0</v>
      </c>
      <c r="AK355" s="121">
        <f>交易记录!R278</f>
        <v>0</v>
      </c>
      <c r="AL355" s="121">
        <f>交易记录!R309</f>
        <v>0</v>
      </c>
      <c r="AM355" s="30">
        <f t="shared" si="186"/>
        <v>0</v>
      </c>
      <c r="AN355" s="124">
        <f>交易记录!R342</f>
        <v>0</v>
      </c>
      <c r="AO355" s="124">
        <f>交易记录!R373</f>
        <v>0</v>
      </c>
      <c r="AP355" s="30">
        <f t="shared" si="187"/>
        <v>0</v>
      </c>
      <c r="AQ355" s="121">
        <f>交易记录!R406</f>
        <v>0</v>
      </c>
      <c r="AR355" s="121">
        <f>交易记录!R437</f>
        <v>0</v>
      </c>
      <c r="AS355" s="30">
        <f t="shared" si="188"/>
        <v>0</v>
      </c>
      <c r="AT355" s="124">
        <f>交易记录!R470</f>
        <v>0</v>
      </c>
      <c r="AU355" s="124">
        <f>交易记录!R501</f>
        <v>0</v>
      </c>
      <c r="AV355" s="30">
        <f t="shared" si="166"/>
        <v>0</v>
      </c>
      <c r="AW355" s="121">
        <f>交易记录!R534</f>
        <v>0</v>
      </c>
      <c r="AX355" s="121">
        <f>交易记录!R565</f>
        <v>0</v>
      </c>
      <c r="AY355" s="30">
        <f t="shared" si="167"/>
        <v>0</v>
      </c>
      <c r="AZ355" s="124">
        <f>交易记录!R598</f>
        <v>0</v>
      </c>
      <c r="BA355" s="124">
        <f>交易记录!R629</f>
        <v>0</v>
      </c>
      <c r="BB355" s="30">
        <f t="shared" si="168"/>
        <v>0</v>
      </c>
      <c r="BC355" s="121">
        <f>交易记录!R662</f>
        <v>0</v>
      </c>
      <c r="BD355" s="121">
        <f>交易记录!R693</f>
        <v>0</v>
      </c>
      <c r="BE355" s="30">
        <f t="shared" si="169"/>
        <v>0</v>
      </c>
      <c r="BF355" s="124">
        <f>交易记录!R726</f>
        <v>0</v>
      </c>
      <c r="BG355" s="124">
        <f>交易记录!R757</f>
        <v>0</v>
      </c>
      <c r="BH355" s="30">
        <f t="shared" si="170"/>
        <v>0</v>
      </c>
      <c r="BI355" s="121">
        <f>交易记录!R790</f>
        <v>0</v>
      </c>
      <c r="BJ355" s="121">
        <f>交易记录!R821</f>
        <v>0</v>
      </c>
      <c r="BK355" s="30">
        <f t="shared" si="171"/>
        <v>0</v>
      </c>
      <c r="BL355" s="124">
        <f>交易记录!R854</f>
        <v>0</v>
      </c>
      <c r="BM355" s="124">
        <f>交易记录!R885</f>
        <v>0</v>
      </c>
      <c r="BN355" s="30">
        <f t="shared" si="172"/>
        <v>0</v>
      </c>
      <c r="BO355" s="121">
        <f>交易记录!R918</f>
        <v>0</v>
      </c>
      <c r="BP355" s="121">
        <f>交易记录!R949</f>
        <v>0</v>
      </c>
      <c r="BQ355" s="30">
        <f t="shared" si="173"/>
        <v>0</v>
      </c>
    </row>
    <row r="356" spans="1:69" ht="15">
      <c r="A356" s="125">
        <f>'维护-日期'!A$17</f>
        <v>46280</v>
      </c>
      <c r="B356" s="7" t="s">
        <v>24</v>
      </c>
      <c r="C356" s="144">
        <f t="shared" si="174"/>
        <v>23.85</v>
      </c>
      <c r="D356" s="144">
        <f>ROUND(INDEX(持仓数据!$C$3:$AG$26,MATCH('计算过程-数据汇总'!B356,持仓数据!$B$3:$B$26,0),MATCH('计算过程-数据汇总'!A356,'维护-日期'!$B$2:$AF$2,0)),3)</f>
        <v>23.85</v>
      </c>
      <c r="E356" s="98">
        <f t="shared" si="175"/>
        <v>23.85</v>
      </c>
      <c r="F356" s="22">
        <f>持仓数据!Q90</f>
        <v>0.45400000000000001</v>
      </c>
      <c r="G356" s="97">
        <v>372</v>
      </c>
      <c r="H356" s="97">
        <v>372</v>
      </c>
      <c r="I356" s="64">
        <v>0</v>
      </c>
      <c r="J356" s="64">
        <v>0</v>
      </c>
      <c r="K356" s="21">
        <f>IF(持仓数据!Q123="",0,持仓数据!Q123)</f>
        <v>372</v>
      </c>
      <c r="L356" s="21">
        <f t="shared" si="176"/>
        <v>0</v>
      </c>
      <c r="M356" s="28">
        <f t="shared" si="160"/>
        <v>8872.2000000000007</v>
      </c>
      <c r="N356" s="28">
        <f t="shared" si="161"/>
        <v>0</v>
      </c>
      <c r="O356" s="28">
        <f t="shared" si="162"/>
        <v>0</v>
      </c>
      <c r="P356" s="28">
        <f t="shared" si="163"/>
        <v>0</v>
      </c>
      <c r="Q356" s="28">
        <f t="shared" si="177"/>
        <v>0</v>
      </c>
      <c r="R356" s="28">
        <f t="shared" si="164"/>
        <v>8872.2000000000007</v>
      </c>
      <c r="S356" s="28">
        <f t="shared" si="178"/>
        <v>0</v>
      </c>
      <c r="T356" s="28">
        <f t="shared" si="179"/>
        <v>0</v>
      </c>
      <c r="U356" s="28">
        <f t="shared" si="182"/>
        <v>0</v>
      </c>
      <c r="V356" s="28">
        <f t="shared" si="180"/>
        <v>0</v>
      </c>
      <c r="W356" s="118"/>
      <c r="X356" s="143">
        <f t="shared" si="181"/>
        <v>28.166</v>
      </c>
      <c r="Y356" s="121">
        <f>交易记录!R23</f>
        <v>0.45400000000000001</v>
      </c>
      <c r="Z356" s="121">
        <f>交易记录!R54</f>
        <v>372</v>
      </c>
      <c r="AA356" s="30">
        <f t="shared" si="165"/>
        <v>0</v>
      </c>
      <c r="AB356" s="124">
        <f>交易记录!R87</f>
        <v>0</v>
      </c>
      <c r="AC356" s="124">
        <f>交易记录!R118</f>
        <v>0</v>
      </c>
      <c r="AD356" s="30">
        <f t="shared" si="183"/>
        <v>0</v>
      </c>
      <c r="AE356" s="121">
        <f>交易记录!R151</f>
        <v>0</v>
      </c>
      <c r="AF356" s="121">
        <f>交易记录!R182</f>
        <v>0</v>
      </c>
      <c r="AG356" s="30">
        <f t="shared" si="184"/>
        <v>0</v>
      </c>
      <c r="AH356" s="124">
        <f>交易记录!R215</f>
        <v>0</v>
      </c>
      <c r="AI356" s="124">
        <f>交易记录!R246</f>
        <v>0</v>
      </c>
      <c r="AJ356" s="30">
        <f t="shared" si="185"/>
        <v>0</v>
      </c>
      <c r="AK356" s="121">
        <f>交易记录!R279</f>
        <v>0</v>
      </c>
      <c r="AL356" s="121">
        <f>交易记录!R310</f>
        <v>0</v>
      </c>
      <c r="AM356" s="30">
        <f t="shared" si="186"/>
        <v>0</v>
      </c>
      <c r="AN356" s="124">
        <f>交易记录!R343</f>
        <v>0</v>
      </c>
      <c r="AO356" s="124">
        <f>交易记录!R374</f>
        <v>0</v>
      </c>
      <c r="AP356" s="30">
        <f t="shared" si="187"/>
        <v>0</v>
      </c>
      <c r="AQ356" s="121">
        <f>交易记录!R407</f>
        <v>0</v>
      </c>
      <c r="AR356" s="121">
        <f>交易记录!R438</f>
        <v>0</v>
      </c>
      <c r="AS356" s="30">
        <f t="shared" si="188"/>
        <v>0</v>
      </c>
      <c r="AT356" s="124">
        <f>交易记录!R471</f>
        <v>0</v>
      </c>
      <c r="AU356" s="124">
        <f>交易记录!R502</f>
        <v>0</v>
      </c>
      <c r="AV356" s="30">
        <f t="shared" si="166"/>
        <v>0</v>
      </c>
      <c r="AW356" s="121">
        <f>交易记录!R535</f>
        <v>0</v>
      </c>
      <c r="AX356" s="121">
        <f>交易记录!R566</f>
        <v>0</v>
      </c>
      <c r="AY356" s="30">
        <f t="shared" si="167"/>
        <v>0</v>
      </c>
      <c r="AZ356" s="124">
        <f>交易记录!R599</f>
        <v>0</v>
      </c>
      <c r="BA356" s="124">
        <f>交易记录!R630</f>
        <v>0</v>
      </c>
      <c r="BB356" s="30">
        <f t="shared" si="168"/>
        <v>0</v>
      </c>
      <c r="BC356" s="121">
        <f>交易记录!R663</f>
        <v>0</v>
      </c>
      <c r="BD356" s="121">
        <f>交易记录!R694</f>
        <v>0</v>
      </c>
      <c r="BE356" s="30">
        <f t="shared" si="169"/>
        <v>0</v>
      </c>
      <c r="BF356" s="124">
        <f>交易记录!R727</f>
        <v>0</v>
      </c>
      <c r="BG356" s="124">
        <f>交易记录!R758</f>
        <v>0</v>
      </c>
      <c r="BH356" s="30">
        <f t="shared" si="170"/>
        <v>0</v>
      </c>
      <c r="BI356" s="121">
        <f>交易记录!R791</f>
        <v>0</v>
      </c>
      <c r="BJ356" s="121">
        <f>交易记录!R822</f>
        <v>0</v>
      </c>
      <c r="BK356" s="30">
        <f t="shared" si="171"/>
        <v>0</v>
      </c>
      <c r="BL356" s="124">
        <f>交易记录!R855</f>
        <v>0</v>
      </c>
      <c r="BM356" s="124">
        <f>交易记录!R886</f>
        <v>0</v>
      </c>
      <c r="BN356" s="30">
        <f t="shared" si="172"/>
        <v>0</v>
      </c>
      <c r="BO356" s="121">
        <f>交易记录!R919</f>
        <v>0</v>
      </c>
      <c r="BP356" s="121">
        <f>交易记录!R950</f>
        <v>0</v>
      </c>
      <c r="BQ356" s="30">
        <f t="shared" si="173"/>
        <v>0</v>
      </c>
    </row>
    <row r="357" spans="1:69" ht="15">
      <c r="A357" s="125">
        <f>'维护-日期'!A$17</f>
        <v>46280</v>
      </c>
      <c r="B357" s="7" t="s">
        <v>25</v>
      </c>
      <c r="C357" s="144">
        <f t="shared" si="174"/>
        <v>24.105</v>
      </c>
      <c r="D357" s="144">
        <f>ROUND(INDEX(持仓数据!$C$3:$AG$26,MATCH('计算过程-数据汇总'!B357,持仓数据!$B$3:$B$26,0),MATCH('计算过程-数据汇总'!A357,'维护-日期'!$B$2:$AF$2,0)),3)</f>
        <v>24.105</v>
      </c>
      <c r="E357" s="98">
        <f t="shared" si="175"/>
        <v>24.105</v>
      </c>
      <c r="F357" s="22">
        <f>持仓数据!Q91</f>
        <v>1.1160000000000001</v>
      </c>
      <c r="G357" s="97">
        <v>372</v>
      </c>
      <c r="H357" s="97">
        <v>372</v>
      </c>
      <c r="I357" s="64">
        <v>0</v>
      </c>
      <c r="J357" s="64">
        <v>0</v>
      </c>
      <c r="K357" s="21">
        <f>IF(持仓数据!Q124="",0,持仓数据!Q124)</f>
        <v>372</v>
      </c>
      <c r="L357" s="21">
        <f t="shared" si="176"/>
        <v>0</v>
      </c>
      <c r="M357" s="28">
        <f t="shared" si="160"/>
        <v>8967.06</v>
      </c>
      <c r="N357" s="28">
        <f t="shared" si="161"/>
        <v>0</v>
      </c>
      <c r="O357" s="28">
        <f t="shared" si="162"/>
        <v>0</v>
      </c>
      <c r="P357" s="28">
        <f t="shared" si="163"/>
        <v>0</v>
      </c>
      <c r="Q357" s="28">
        <f t="shared" si="177"/>
        <v>0</v>
      </c>
      <c r="R357" s="28">
        <f t="shared" si="164"/>
        <v>8967.06</v>
      </c>
      <c r="S357" s="28">
        <f t="shared" si="178"/>
        <v>0</v>
      </c>
      <c r="T357" s="28">
        <f t="shared" si="179"/>
        <v>0</v>
      </c>
      <c r="U357" s="28">
        <f t="shared" si="182"/>
        <v>0</v>
      </c>
      <c r="V357" s="28">
        <f t="shared" si="180"/>
        <v>0</v>
      </c>
      <c r="W357" s="118"/>
      <c r="X357" s="143">
        <f t="shared" si="181"/>
        <v>27.81</v>
      </c>
      <c r="Y357" s="121">
        <f>交易记录!R24</f>
        <v>1.1160000000000001</v>
      </c>
      <c r="Z357" s="121">
        <f>交易记录!R55</f>
        <v>372</v>
      </c>
      <c r="AA357" s="30">
        <f t="shared" si="165"/>
        <v>0</v>
      </c>
      <c r="AB357" s="124">
        <f>交易记录!R88</f>
        <v>0</v>
      </c>
      <c r="AC357" s="124">
        <f>交易记录!R119</f>
        <v>0</v>
      </c>
      <c r="AD357" s="30">
        <f t="shared" si="183"/>
        <v>0</v>
      </c>
      <c r="AE357" s="121">
        <f>交易记录!R152</f>
        <v>0</v>
      </c>
      <c r="AF357" s="121">
        <f>交易记录!R183</f>
        <v>0</v>
      </c>
      <c r="AG357" s="30">
        <f t="shared" si="184"/>
        <v>0</v>
      </c>
      <c r="AH357" s="124">
        <f>交易记录!R216</f>
        <v>0</v>
      </c>
      <c r="AI357" s="124">
        <f>交易记录!R247</f>
        <v>0</v>
      </c>
      <c r="AJ357" s="30">
        <f t="shared" si="185"/>
        <v>0</v>
      </c>
      <c r="AK357" s="121">
        <f>交易记录!R280</f>
        <v>0</v>
      </c>
      <c r="AL357" s="121">
        <f>交易记录!R311</f>
        <v>0</v>
      </c>
      <c r="AM357" s="30">
        <f t="shared" si="186"/>
        <v>0</v>
      </c>
      <c r="AN357" s="124">
        <f>交易记录!R344</f>
        <v>0</v>
      </c>
      <c r="AO357" s="124">
        <f>交易记录!R375</f>
        <v>0</v>
      </c>
      <c r="AP357" s="30">
        <f t="shared" si="187"/>
        <v>0</v>
      </c>
      <c r="AQ357" s="121">
        <f>交易记录!R408</f>
        <v>0</v>
      </c>
      <c r="AR357" s="121">
        <f>交易记录!R439</f>
        <v>0</v>
      </c>
      <c r="AS357" s="30">
        <f t="shared" si="188"/>
        <v>0</v>
      </c>
      <c r="AT357" s="124">
        <f>交易记录!R472</f>
        <v>0</v>
      </c>
      <c r="AU357" s="124">
        <f>交易记录!R503</f>
        <v>0</v>
      </c>
      <c r="AV357" s="30">
        <f t="shared" si="166"/>
        <v>0</v>
      </c>
      <c r="AW357" s="121">
        <f>交易记录!R536</f>
        <v>0</v>
      </c>
      <c r="AX357" s="121">
        <f>交易记录!R567</f>
        <v>0</v>
      </c>
      <c r="AY357" s="30">
        <f t="shared" si="167"/>
        <v>0</v>
      </c>
      <c r="AZ357" s="124">
        <f>交易记录!R600</f>
        <v>0</v>
      </c>
      <c r="BA357" s="124">
        <f>交易记录!R631</f>
        <v>0</v>
      </c>
      <c r="BB357" s="30">
        <f t="shared" si="168"/>
        <v>0</v>
      </c>
      <c r="BC357" s="121">
        <f>交易记录!R664</f>
        <v>0</v>
      </c>
      <c r="BD357" s="121">
        <f>交易记录!R695</f>
        <v>0</v>
      </c>
      <c r="BE357" s="30">
        <f t="shared" si="169"/>
        <v>0</v>
      </c>
      <c r="BF357" s="124">
        <f>交易记录!R728</f>
        <v>0</v>
      </c>
      <c r="BG357" s="124">
        <f>交易记录!R759</f>
        <v>0</v>
      </c>
      <c r="BH357" s="30">
        <f t="shared" si="170"/>
        <v>0</v>
      </c>
      <c r="BI357" s="121">
        <f>交易记录!R792</f>
        <v>0</v>
      </c>
      <c r="BJ357" s="121">
        <f>交易记录!R823</f>
        <v>0</v>
      </c>
      <c r="BK357" s="30">
        <f t="shared" si="171"/>
        <v>0</v>
      </c>
      <c r="BL357" s="124">
        <f>交易记录!R856</f>
        <v>0</v>
      </c>
      <c r="BM357" s="124">
        <f>交易记录!R887</f>
        <v>0</v>
      </c>
      <c r="BN357" s="30">
        <f t="shared" si="172"/>
        <v>0</v>
      </c>
      <c r="BO357" s="121">
        <f>交易记录!R920</f>
        <v>0</v>
      </c>
      <c r="BP357" s="121">
        <f>交易记录!R951</f>
        <v>0</v>
      </c>
      <c r="BQ357" s="30">
        <f t="shared" si="173"/>
        <v>0</v>
      </c>
    </row>
    <row r="358" spans="1:69" ht="15">
      <c r="A358" s="125">
        <f>'维护-日期'!A$17</f>
        <v>46280</v>
      </c>
      <c r="B358" s="7" t="s">
        <v>26</v>
      </c>
      <c r="C358" s="144">
        <f t="shared" si="174"/>
        <v>24.047999999999998</v>
      </c>
      <c r="D358" s="144">
        <f>ROUND(INDEX(持仓数据!$C$3:$AG$26,MATCH('计算过程-数据汇总'!B358,持仓数据!$B$3:$B$26,0),MATCH('计算过程-数据汇总'!A358,'维护-日期'!$B$2:$AF$2,0)),3)</f>
        <v>24.047999999999998</v>
      </c>
      <c r="E358" s="98">
        <f t="shared" si="175"/>
        <v>24.047999999999998</v>
      </c>
      <c r="F358" s="22">
        <f>持仓数据!Q92</f>
        <v>1</v>
      </c>
      <c r="G358" s="97">
        <v>372</v>
      </c>
      <c r="H358" s="97">
        <v>372</v>
      </c>
      <c r="I358" s="64">
        <v>0</v>
      </c>
      <c r="J358" s="64">
        <v>0</v>
      </c>
      <c r="K358" s="21">
        <f>IF(持仓数据!Q125="",0,持仓数据!Q125)</f>
        <v>372</v>
      </c>
      <c r="L358" s="21">
        <f t="shared" si="176"/>
        <v>0</v>
      </c>
      <c r="M358" s="28">
        <f t="shared" si="160"/>
        <v>8945.8559999999998</v>
      </c>
      <c r="N358" s="28">
        <f t="shared" si="161"/>
        <v>0</v>
      </c>
      <c r="O358" s="28">
        <f t="shared" si="162"/>
        <v>0</v>
      </c>
      <c r="P358" s="28">
        <f t="shared" si="163"/>
        <v>0</v>
      </c>
      <c r="Q358" s="28">
        <f t="shared" si="177"/>
        <v>0</v>
      </c>
      <c r="R358" s="28">
        <f t="shared" si="164"/>
        <v>8945.8559999999998</v>
      </c>
      <c r="S358" s="28">
        <f t="shared" si="178"/>
        <v>0</v>
      </c>
      <c r="T358" s="28">
        <f t="shared" si="179"/>
        <v>0</v>
      </c>
      <c r="U358" s="28">
        <f t="shared" si="182"/>
        <v>0</v>
      </c>
      <c r="V358" s="28">
        <f t="shared" si="180"/>
        <v>0</v>
      </c>
      <c r="W358" s="118"/>
      <c r="X358" s="143">
        <f t="shared" si="181"/>
        <v>27.858000000000001</v>
      </c>
      <c r="Y358" s="121">
        <f>交易记录!R25</f>
        <v>1</v>
      </c>
      <c r="Z358" s="121">
        <f>交易记录!R56</f>
        <v>372</v>
      </c>
      <c r="AA358" s="30">
        <f t="shared" si="165"/>
        <v>0</v>
      </c>
      <c r="AB358" s="124">
        <f>交易记录!R89</f>
        <v>0</v>
      </c>
      <c r="AC358" s="124">
        <f>交易记录!R120</f>
        <v>0</v>
      </c>
      <c r="AD358" s="30">
        <f t="shared" si="183"/>
        <v>0</v>
      </c>
      <c r="AE358" s="121">
        <f>交易记录!R153</f>
        <v>0</v>
      </c>
      <c r="AF358" s="121">
        <f>交易记录!R184</f>
        <v>0</v>
      </c>
      <c r="AG358" s="30">
        <f t="shared" si="184"/>
        <v>0</v>
      </c>
      <c r="AH358" s="124">
        <f>交易记录!R217</f>
        <v>0</v>
      </c>
      <c r="AI358" s="124">
        <f>交易记录!R248</f>
        <v>0</v>
      </c>
      <c r="AJ358" s="30">
        <f t="shared" si="185"/>
        <v>0</v>
      </c>
      <c r="AK358" s="121">
        <f>交易记录!R281</f>
        <v>0</v>
      </c>
      <c r="AL358" s="121">
        <f>交易记录!R312</f>
        <v>0</v>
      </c>
      <c r="AM358" s="30">
        <f t="shared" si="186"/>
        <v>0</v>
      </c>
      <c r="AN358" s="124">
        <f>交易记录!R345</f>
        <v>0</v>
      </c>
      <c r="AO358" s="124">
        <f>交易记录!R376</f>
        <v>0</v>
      </c>
      <c r="AP358" s="30">
        <f t="shared" si="187"/>
        <v>0</v>
      </c>
      <c r="AQ358" s="121">
        <f>交易记录!R409</f>
        <v>0</v>
      </c>
      <c r="AR358" s="121">
        <f>交易记录!R440</f>
        <v>0</v>
      </c>
      <c r="AS358" s="30">
        <f t="shared" si="188"/>
        <v>0</v>
      </c>
      <c r="AT358" s="124">
        <f>交易记录!R473</f>
        <v>0</v>
      </c>
      <c r="AU358" s="124">
        <f>交易记录!R504</f>
        <v>0</v>
      </c>
      <c r="AV358" s="30">
        <f t="shared" si="166"/>
        <v>0</v>
      </c>
      <c r="AW358" s="121">
        <f>交易记录!R537</f>
        <v>0</v>
      </c>
      <c r="AX358" s="121">
        <f>交易记录!R568</f>
        <v>0</v>
      </c>
      <c r="AY358" s="30">
        <f t="shared" si="167"/>
        <v>0</v>
      </c>
      <c r="AZ358" s="124">
        <f>交易记录!R601</f>
        <v>0</v>
      </c>
      <c r="BA358" s="124">
        <f>交易记录!R632</f>
        <v>0</v>
      </c>
      <c r="BB358" s="30">
        <f t="shared" si="168"/>
        <v>0</v>
      </c>
      <c r="BC358" s="121">
        <f>交易记录!R665</f>
        <v>0</v>
      </c>
      <c r="BD358" s="121">
        <f>交易记录!R696</f>
        <v>0</v>
      </c>
      <c r="BE358" s="30">
        <f t="shared" si="169"/>
        <v>0</v>
      </c>
      <c r="BF358" s="124">
        <f>交易记录!R729</f>
        <v>0</v>
      </c>
      <c r="BG358" s="124">
        <f>交易记录!R760</f>
        <v>0</v>
      </c>
      <c r="BH358" s="30">
        <f t="shared" si="170"/>
        <v>0</v>
      </c>
      <c r="BI358" s="121">
        <f>交易记录!R793</f>
        <v>0</v>
      </c>
      <c r="BJ358" s="121">
        <f>交易记录!R824</f>
        <v>0</v>
      </c>
      <c r="BK358" s="30">
        <f t="shared" si="171"/>
        <v>0</v>
      </c>
      <c r="BL358" s="124">
        <f>交易记录!R857</f>
        <v>0</v>
      </c>
      <c r="BM358" s="124">
        <f>交易记录!R888</f>
        <v>0</v>
      </c>
      <c r="BN358" s="30">
        <f t="shared" si="172"/>
        <v>0</v>
      </c>
      <c r="BO358" s="121">
        <f>交易记录!R921</f>
        <v>0</v>
      </c>
      <c r="BP358" s="121">
        <f>交易记录!R952</f>
        <v>0</v>
      </c>
      <c r="BQ358" s="30">
        <f t="shared" si="173"/>
        <v>0</v>
      </c>
    </row>
    <row r="359" spans="1:69" ht="15">
      <c r="A359" s="125">
        <f>'维护-日期'!A$17</f>
        <v>46280</v>
      </c>
      <c r="B359" s="7" t="s">
        <v>27</v>
      </c>
      <c r="C359" s="144">
        <f t="shared" si="174"/>
        <v>22.594000000000001</v>
      </c>
      <c r="D359" s="144">
        <f>ROUND(INDEX(持仓数据!$C$3:$AG$26,MATCH('计算过程-数据汇总'!B359,持仓数据!$B$3:$B$26,0),MATCH('计算过程-数据汇总'!A359,'维护-日期'!$B$2:$AF$2,0)),3)</f>
        <v>22.594000000000001</v>
      </c>
      <c r="E359" s="98">
        <f t="shared" si="175"/>
        <v>22.594000000000001</v>
      </c>
      <c r="F359" s="22">
        <f>持仓数据!Q93</f>
        <v>0.95199999999999996</v>
      </c>
      <c r="G359" s="97">
        <v>372</v>
      </c>
      <c r="H359" s="97">
        <v>372</v>
      </c>
      <c r="I359" s="64">
        <v>0</v>
      </c>
      <c r="J359" s="64">
        <v>0</v>
      </c>
      <c r="K359" s="21">
        <f>IF(持仓数据!Q126="",0,持仓数据!Q126)</f>
        <v>372</v>
      </c>
      <c r="L359" s="21">
        <f t="shared" si="176"/>
        <v>0</v>
      </c>
      <c r="M359" s="28">
        <f t="shared" si="160"/>
        <v>8404.9680000000008</v>
      </c>
      <c r="N359" s="28">
        <f t="shared" si="161"/>
        <v>0</v>
      </c>
      <c r="O359" s="28">
        <f t="shared" si="162"/>
        <v>0</v>
      </c>
      <c r="P359" s="28">
        <f t="shared" si="163"/>
        <v>0</v>
      </c>
      <c r="Q359" s="28">
        <f t="shared" si="177"/>
        <v>0</v>
      </c>
      <c r="R359" s="28">
        <f t="shared" si="164"/>
        <v>8404.9680000000008</v>
      </c>
      <c r="S359" s="28">
        <f t="shared" si="178"/>
        <v>0</v>
      </c>
      <c r="T359" s="28">
        <f t="shared" si="179"/>
        <v>0</v>
      </c>
      <c r="U359" s="28">
        <f t="shared" si="182"/>
        <v>0</v>
      </c>
      <c r="V359" s="28">
        <f t="shared" si="180"/>
        <v>0</v>
      </c>
      <c r="W359" s="118"/>
      <c r="X359" s="143">
        <f t="shared" si="181"/>
        <v>26.161000000000001</v>
      </c>
      <c r="Y359" s="121">
        <f>交易记录!R26</f>
        <v>0.95199999999999996</v>
      </c>
      <c r="Z359" s="121">
        <f>交易记录!R57</f>
        <v>372</v>
      </c>
      <c r="AA359" s="30">
        <f t="shared" si="165"/>
        <v>0</v>
      </c>
      <c r="AB359" s="124">
        <f>交易记录!R90</f>
        <v>0</v>
      </c>
      <c r="AC359" s="124">
        <f>交易记录!R121</f>
        <v>0</v>
      </c>
      <c r="AD359" s="30">
        <f t="shared" si="183"/>
        <v>0</v>
      </c>
      <c r="AE359" s="121">
        <f>交易记录!R154</f>
        <v>0</v>
      </c>
      <c r="AF359" s="121">
        <f>交易记录!R185</f>
        <v>0</v>
      </c>
      <c r="AG359" s="30">
        <f t="shared" si="184"/>
        <v>0</v>
      </c>
      <c r="AH359" s="124">
        <f>交易记录!R218</f>
        <v>0</v>
      </c>
      <c r="AI359" s="124">
        <f>交易记录!R249</f>
        <v>0</v>
      </c>
      <c r="AJ359" s="30">
        <f t="shared" si="185"/>
        <v>0</v>
      </c>
      <c r="AK359" s="121">
        <f>交易记录!R282</f>
        <v>0</v>
      </c>
      <c r="AL359" s="121">
        <f>交易记录!R313</f>
        <v>0</v>
      </c>
      <c r="AM359" s="30">
        <f t="shared" si="186"/>
        <v>0</v>
      </c>
      <c r="AN359" s="124">
        <f>交易记录!R346</f>
        <v>0</v>
      </c>
      <c r="AO359" s="124">
        <f>交易记录!R377</f>
        <v>0</v>
      </c>
      <c r="AP359" s="30">
        <f t="shared" si="187"/>
        <v>0</v>
      </c>
      <c r="AQ359" s="121">
        <f>交易记录!R410</f>
        <v>0</v>
      </c>
      <c r="AR359" s="121">
        <f>交易记录!R441</f>
        <v>0</v>
      </c>
      <c r="AS359" s="30">
        <f t="shared" si="188"/>
        <v>0</v>
      </c>
      <c r="AT359" s="124">
        <f>交易记录!R474</f>
        <v>0</v>
      </c>
      <c r="AU359" s="124">
        <f>交易记录!R505</f>
        <v>0</v>
      </c>
      <c r="AV359" s="30">
        <f t="shared" si="166"/>
        <v>0</v>
      </c>
      <c r="AW359" s="121">
        <f>交易记录!R538</f>
        <v>0</v>
      </c>
      <c r="AX359" s="121">
        <f>交易记录!R569</f>
        <v>0</v>
      </c>
      <c r="AY359" s="30">
        <f t="shared" si="167"/>
        <v>0</v>
      </c>
      <c r="AZ359" s="124">
        <f>交易记录!R602</f>
        <v>0</v>
      </c>
      <c r="BA359" s="124">
        <f>交易记录!R633</f>
        <v>0</v>
      </c>
      <c r="BB359" s="30">
        <f t="shared" si="168"/>
        <v>0</v>
      </c>
      <c r="BC359" s="121">
        <f>交易记录!R666</f>
        <v>0</v>
      </c>
      <c r="BD359" s="121">
        <f>交易记录!R697</f>
        <v>0</v>
      </c>
      <c r="BE359" s="30">
        <f t="shared" si="169"/>
        <v>0</v>
      </c>
      <c r="BF359" s="124">
        <f>交易记录!R730</f>
        <v>0</v>
      </c>
      <c r="BG359" s="124">
        <f>交易记录!R761</f>
        <v>0</v>
      </c>
      <c r="BH359" s="30">
        <f t="shared" si="170"/>
        <v>0</v>
      </c>
      <c r="BI359" s="121">
        <f>交易记录!R794</f>
        <v>0</v>
      </c>
      <c r="BJ359" s="121">
        <f>交易记录!R825</f>
        <v>0</v>
      </c>
      <c r="BK359" s="30">
        <f t="shared" si="171"/>
        <v>0</v>
      </c>
      <c r="BL359" s="124">
        <f>交易记录!R858</f>
        <v>0</v>
      </c>
      <c r="BM359" s="124">
        <f>交易记录!R889</f>
        <v>0</v>
      </c>
      <c r="BN359" s="30">
        <f t="shared" si="172"/>
        <v>0</v>
      </c>
      <c r="BO359" s="121">
        <f>交易记录!R922</f>
        <v>0</v>
      </c>
      <c r="BP359" s="121">
        <f>交易记录!R953</f>
        <v>0</v>
      </c>
      <c r="BQ359" s="30">
        <f t="shared" si="173"/>
        <v>0</v>
      </c>
    </row>
    <row r="360" spans="1:69" ht="15">
      <c r="A360" s="125">
        <f>'维护-日期'!A$17</f>
        <v>46280</v>
      </c>
      <c r="B360" s="7" t="s">
        <v>28</v>
      </c>
      <c r="C360" s="144">
        <f t="shared" si="174"/>
        <v>19.387</v>
      </c>
      <c r="D360" s="144">
        <f>ROUND(INDEX(持仓数据!$C$3:$AG$26,MATCH('计算过程-数据汇总'!B360,持仓数据!$B$3:$B$26,0),MATCH('计算过程-数据汇总'!A360,'维护-日期'!$B$2:$AF$2,0)),3)</f>
        <v>19.387</v>
      </c>
      <c r="E360" s="98">
        <f t="shared" si="175"/>
        <v>19.387</v>
      </c>
      <c r="F360" s="22">
        <f>持仓数据!Q94</f>
        <v>0.84300000000000008</v>
      </c>
      <c r="G360" s="97">
        <v>372</v>
      </c>
      <c r="H360" s="97">
        <v>372</v>
      </c>
      <c r="I360" s="64">
        <v>0</v>
      </c>
      <c r="J360" s="64">
        <v>0</v>
      </c>
      <c r="K360" s="21">
        <f>IF(持仓数据!Q127="",0,持仓数据!Q127)</f>
        <v>371.99999999999994</v>
      </c>
      <c r="L360" s="21">
        <f t="shared" si="176"/>
        <v>0</v>
      </c>
      <c r="M360" s="28">
        <f t="shared" si="160"/>
        <v>7211.9639999999999</v>
      </c>
      <c r="N360" s="28">
        <f t="shared" si="161"/>
        <v>0</v>
      </c>
      <c r="O360" s="28">
        <f t="shared" si="162"/>
        <v>0</v>
      </c>
      <c r="P360" s="28">
        <f t="shared" si="163"/>
        <v>-4.7919002099661161E-14</v>
      </c>
      <c r="Q360" s="28">
        <f t="shared" si="177"/>
        <v>0</v>
      </c>
      <c r="R360" s="28">
        <f t="shared" si="164"/>
        <v>7211.963999999999</v>
      </c>
      <c r="S360" s="28">
        <f t="shared" si="178"/>
        <v>0</v>
      </c>
      <c r="T360" s="28">
        <f t="shared" si="179"/>
        <v>1.0541043593548239E-12</v>
      </c>
      <c r="U360" s="28">
        <f t="shared" si="182"/>
        <v>0</v>
      </c>
      <c r="V360" s="28">
        <f t="shared" si="180"/>
        <v>0</v>
      </c>
      <c r="W360" s="118"/>
      <c r="X360" s="143">
        <f t="shared" si="181"/>
        <v>22.420999999999999</v>
      </c>
      <c r="Y360" s="121">
        <f>交易记录!R27</f>
        <v>0.84300000000000008</v>
      </c>
      <c r="Z360" s="121">
        <f>交易记录!R58</f>
        <v>372</v>
      </c>
      <c r="AA360" s="30">
        <f t="shared" si="165"/>
        <v>0</v>
      </c>
      <c r="AB360" s="124">
        <f>交易记录!R91</f>
        <v>0</v>
      </c>
      <c r="AC360" s="124">
        <f>交易记录!R122</f>
        <v>0</v>
      </c>
      <c r="AD360" s="30">
        <f t="shared" si="183"/>
        <v>0</v>
      </c>
      <c r="AE360" s="121">
        <f>交易记录!R155</f>
        <v>0</v>
      </c>
      <c r="AF360" s="121">
        <f>交易记录!R186</f>
        <v>0</v>
      </c>
      <c r="AG360" s="30">
        <f t="shared" si="184"/>
        <v>0</v>
      </c>
      <c r="AH360" s="124">
        <f>交易记录!R219</f>
        <v>0</v>
      </c>
      <c r="AI360" s="124">
        <f>交易记录!R250</f>
        <v>0</v>
      </c>
      <c r="AJ360" s="30">
        <f t="shared" si="185"/>
        <v>0</v>
      </c>
      <c r="AK360" s="121">
        <f>交易记录!R283</f>
        <v>0</v>
      </c>
      <c r="AL360" s="121">
        <f>交易记录!R314</f>
        <v>0</v>
      </c>
      <c r="AM360" s="30">
        <f t="shared" si="186"/>
        <v>0</v>
      </c>
      <c r="AN360" s="124">
        <f>交易记录!R347</f>
        <v>0</v>
      </c>
      <c r="AO360" s="124">
        <f>交易记录!R378</f>
        <v>0</v>
      </c>
      <c r="AP360" s="30">
        <f t="shared" si="187"/>
        <v>0</v>
      </c>
      <c r="AQ360" s="121">
        <f>交易记录!R411</f>
        <v>0</v>
      </c>
      <c r="AR360" s="121">
        <f>交易记录!R442</f>
        <v>0</v>
      </c>
      <c r="AS360" s="30">
        <f t="shared" si="188"/>
        <v>0</v>
      </c>
      <c r="AT360" s="124">
        <f>交易记录!R475</f>
        <v>0</v>
      </c>
      <c r="AU360" s="124">
        <f>交易记录!R506</f>
        <v>0</v>
      </c>
      <c r="AV360" s="30">
        <f t="shared" si="166"/>
        <v>0</v>
      </c>
      <c r="AW360" s="121">
        <f>交易记录!R539</f>
        <v>0</v>
      </c>
      <c r="AX360" s="121">
        <f>交易记录!R570</f>
        <v>0</v>
      </c>
      <c r="AY360" s="30">
        <f t="shared" si="167"/>
        <v>0</v>
      </c>
      <c r="AZ360" s="124">
        <f>交易记录!R603</f>
        <v>0</v>
      </c>
      <c r="BA360" s="124">
        <f>交易记录!R634</f>
        <v>0</v>
      </c>
      <c r="BB360" s="30">
        <f t="shared" si="168"/>
        <v>0</v>
      </c>
      <c r="BC360" s="121">
        <f>交易记录!R667</f>
        <v>0</v>
      </c>
      <c r="BD360" s="121">
        <f>交易记录!R698</f>
        <v>0</v>
      </c>
      <c r="BE360" s="30">
        <f t="shared" si="169"/>
        <v>0</v>
      </c>
      <c r="BF360" s="124">
        <f>交易记录!R731</f>
        <v>0</v>
      </c>
      <c r="BG360" s="124">
        <f>交易记录!R762</f>
        <v>0</v>
      </c>
      <c r="BH360" s="30">
        <f t="shared" si="170"/>
        <v>0</v>
      </c>
      <c r="BI360" s="121">
        <f>交易记录!R795</f>
        <v>0</v>
      </c>
      <c r="BJ360" s="121">
        <f>交易记录!R826</f>
        <v>0</v>
      </c>
      <c r="BK360" s="30">
        <f t="shared" si="171"/>
        <v>0</v>
      </c>
      <c r="BL360" s="124">
        <f>交易记录!R859</f>
        <v>0</v>
      </c>
      <c r="BM360" s="124">
        <f>交易记录!R890</f>
        <v>0</v>
      </c>
      <c r="BN360" s="30">
        <f t="shared" si="172"/>
        <v>0</v>
      </c>
      <c r="BO360" s="121">
        <f>交易记录!R923</f>
        <v>0</v>
      </c>
      <c r="BP360" s="121">
        <f>交易记录!R954</f>
        <v>0</v>
      </c>
      <c r="BQ360" s="30">
        <f t="shared" si="173"/>
        <v>0</v>
      </c>
    </row>
    <row r="361" spans="1:69" ht="15">
      <c r="A361" s="125">
        <f>'维护-日期'!A$17</f>
        <v>46280</v>
      </c>
      <c r="B361" s="7" t="s">
        <v>29</v>
      </c>
      <c r="C361" s="144">
        <f t="shared" si="174"/>
        <v>16.963000000000001</v>
      </c>
      <c r="D361" s="144">
        <f>ROUND(INDEX(持仓数据!$C$3:$AG$26,MATCH('计算过程-数据汇总'!B361,持仓数据!$B$3:$B$26,0),MATCH('计算过程-数据汇总'!A361,'维护-日期'!$B$2:$AF$2,0)),3)</f>
        <v>16.963000000000001</v>
      </c>
      <c r="E361" s="98">
        <f t="shared" si="175"/>
        <v>16.963000000000001</v>
      </c>
      <c r="F361" s="22">
        <f>持仓数据!Q95</f>
        <v>0.33299999999999996</v>
      </c>
      <c r="G361" s="97">
        <v>372</v>
      </c>
      <c r="H361" s="97">
        <v>372</v>
      </c>
      <c r="I361" s="64">
        <v>0</v>
      </c>
      <c r="J361" s="64">
        <v>0</v>
      </c>
      <c r="K361" s="21">
        <f>IF(持仓数据!Q128="",0,持仓数据!Q128)</f>
        <v>372</v>
      </c>
      <c r="L361" s="21">
        <f t="shared" si="176"/>
        <v>0</v>
      </c>
      <c r="M361" s="28">
        <f t="shared" si="160"/>
        <v>6310.2360000000008</v>
      </c>
      <c r="N361" s="28">
        <f t="shared" si="161"/>
        <v>0</v>
      </c>
      <c r="O361" s="28">
        <f t="shared" si="162"/>
        <v>0</v>
      </c>
      <c r="P361" s="28">
        <f t="shared" si="163"/>
        <v>0</v>
      </c>
      <c r="Q361" s="28">
        <f t="shared" si="177"/>
        <v>0</v>
      </c>
      <c r="R361" s="28">
        <f t="shared" si="164"/>
        <v>6310.2360000000008</v>
      </c>
      <c r="S361" s="28">
        <f t="shared" si="178"/>
        <v>0</v>
      </c>
      <c r="T361" s="28">
        <f t="shared" si="179"/>
        <v>0</v>
      </c>
      <c r="U361" s="28">
        <f t="shared" si="182"/>
        <v>0</v>
      </c>
      <c r="V361" s="28">
        <f t="shared" si="180"/>
        <v>0</v>
      </c>
      <c r="W361" s="118"/>
      <c r="X361" s="143">
        <f t="shared" si="181"/>
        <v>20.023</v>
      </c>
      <c r="Y361" s="121">
        <f>交易记录!R28</f>
        <v>0.33299999999999996</v>
      </c>
      <c r="Z361" s="121">
        <f>交易记录!R59</f>
        <v>372</v>
      </c>
      <c r="AA361" s="30">
        <f t="shared" si="165"/>
        <v>0</v>
      </c>
      <c r="AB361" s="124">
        <f>交易记录!R92</f>
        <v>0</v>
      </c>
      <c r="AC361" s="124">
        <f>交易记录!R123</f>
        <v>0</v>
      </c>
      <c r="AD361" s="30">
        <f t="shared" si="183"/>
        <v>0</v>
      </c>
      <c r="AE361" s="121">
        <f>交易记录!R156</f>
        <v>0</v>
      </c>
      <c r="AF361" s="121">
        <f>交易记录!R187</f>
        <v>0</v>
      </c>
      <c r="AG361" s="30">
        <f t="shared" si="184"/>
        <v>0</v>
      </c>
      <c r="AH361" s="124">
        <f>交易记录!R220</f>
        <v>0</v>
      </c>
      <c r="AI361" s="124">
        <f>交易记录!R251</f>
        <v>0</v>
      </c>
      <c r="AJ361" s="30">
        <f t="shared" si="185"/>
        <v>0</v>
      </c>
      <c r="AK361" s="121">
        <f>交易记录!R284</f>
        <v>0</v>
      </c>
      <c r="AL361" s="121">
        <f>交易记录!R315</f>
        <v>0</v>
      </c>
      <c r="AM361" s="30">
        <f t="shared" si="186"/>
        <v>0</v>
      </c>
      <c r="AN361" s="124">
        <f>交易记录!R348</f>
        <v>0</v>
      </c>
      <c r="AO361" s="124">
        <f>交易记录!R379</f>
        <v>0</v>
      </c>
      <c r="AP361" s="30">
        <f t="shared" si="187"/>
        <v>0</v>
      </c>
      <c r="AQ361" s="121">
        <f>交易记录!R412</f>
        <v>0</v>
      </c>
      <c r="AR361" s="121">
        <f>交易记录!R443</f>
        <v>0</v>
      </c>
      <c r="AS361" s="30">
        <f t="shared" si="188"/>
        <v>0</v>
      </c>
      <c r="AT361" s="124">
        <f>交易记录!R476</f>
        <v>0</v>
      </c>
      <c r="AU361" s="124">
        <f>交易记录!R507</f>
        <v>0</v>
      </c>
      <c r="AV361" s="30">
        <f t="shared" si="166"/>
        <v>0</v>
      </c>
      <c r="AW361" s="121">
        <f>交易记录!R540</f>
        <v>0</v>
      </c>
      <c r="AX361" s="121">
        <f>交易记录!R571</f>
        <v>0</v>
      </c>
      <c r="AY361" s="30">
        <f t="shared" si="167"/>
        <v>0</v>
      </c>
      <c r="AZ361" s="124">
        <f>交易记录!R604</f>
        <v>0</v>
      </c>
      <c r="BA361" s="124">
        <f>交易记录!R635</f>
        <v>0</v>
      </c>
      <c r="BB361" s="30">
        <f t="shared" si="168"/>
        <v>0</v>
      </c>
      <c r="BC361" s="121">
        <f>交易记录!R668</f>
        <v>0</v>
      </c>
      <c r="BD361" s="121">
        <f>交易记录!R699</f>
        <v>0</v>
      </c>
      <c r="BE361" s="30">
        <f t="shared" si="169"/>
        <v>0</v>
      </c>
      <c r="BF361" s="124">
        <f>交易记录!R732</f>
        <v>0</v>
      </c>
      <c r="BG361" s="124">
        <f>交易记录!R763</f>
        <v>0</v>
      </c>
      <c r="BH361" s="30">
        <f t="shared" si="170"/>
        <v>0</v>
      </c>
      <c r="BI361" s="121">
        <f>交易记录!R796</f>
        <v>0</v>
      </c>
      <c r="BJ361" s="121">
        <f>交易记录!R827</f>
        <v>0</v>
      </c>
      <c r="BK361" s="30">
        <f t="shared" si="171"/>
        <v>0</v>
      </c>
      <c r="BL361" s="124">
        <f>交易记录!R860</f>
        <v>0</v>
      </c>
      <c r="BM361" s="124">
        <f>交易记录!R891</f>
        <v>0</v>
      </c>
      <c r="BN361" s="30">
        <f t="shared" si="172"/>
        <v>0</v>
      </c>
      <c r="BO361" s="121">
        <f>交易记录!R924</f>
        <v>0</v>
      </c>
      <c r="BP361" s="121">
        <f>交易记录!R955</f>
        <v>0</v>
      </c>
      <c r="BQ361" s="30">
        <f t="shared" si="173"/>
        <v>0</v>
      </c>
    </row>
    <row r="362" spans="1:69" ht="15">
      <c r="A362" s="125">
        <f>'维护-日期'!A$18</f>
        <v>46281</v>
      </c>
      <c r="B362" s="7" t="s">
        <v>6</v>
      </c>
      <c r="C362" s="144">
        <f t="shared" si="174"/>
        <v>16.655999999999999</v>
      </c>
      <c r="D362" s="144">
        <f>ROUND(INDEX(持仓数据!$C$3:$AG$26,MATCH('计算过程-数据汇总'!B362,持仓数据!$B$3:$B$26,0),MATCH('计算过程-数据汇总'!A362,'维护-日期'!$B$2:$AF$2,0)),3)</f>
        <v>16.655999999999999</v>
      </c>
      <c r="E362" s="98">
        <f t="shared" si="175"/>
        <v>16.655999999999999</v>
      </c>
      <c r="F362" s="22">
        <f>持仓数据!R72</f>
        <v>0.39700000000000002</v>
      </c>
      <c r="G362" s="97">
        <v>372</v>
      </c>
      <c r="H362" s="97">
        <v>372</v>
      </c>
      <c r="I362" s="64">
        <v>0</v>
      </c>
      <c r="J362" s="64">
        <v>0</v>
      </c>
      <c r="K362" s="21">
        <f>IF(持仓数据!R105="",0,持仓数据!R105)</f>
        <v>372</v>
      </c>
      <c r="L362" s="21">
        <f t="shared" si="176"/>
        <v>0</v>
      </c>
      <c r="M362" s="28">
        <f t="shared" si="160"/>
        <v>6196.0319999999992</v>
      </c>
      <c r="N362" s="28">
        <f t="shared" si="161"/>
        <v>0</v>
      </c>
      <c r="O362" s="28">
        <f t="shared" si="162"/>
        <v>0</v>
      </c>
      <c r="P362" s="28">
        <f t="shared" si="163"/>
        <v>0</v>
      </c>
      <c r="Q362" s="28">
        <f t="shared" si="177"/>
        <v>0</v>
      </c>
      <c r="R362" s="28">
        <f t="shared" si="164"/>
        <v>6196.0319999999992</v>
      </c>
      <c r="S362" s="28">
        <f t="shared" si="178"/>
        <v>0</v>
      </c>
      <c r="T362" s="28">
        <f t="shared" si="179"/>
        <v>0</v>
      </c>
      <c r="U362" s="28">
        <f t="shared" si="182"/>
        <v>0</v>
      </c>
      <c r="V362" s="28">
        <f t="shared" si="180"/>
        <v>0</v>
      </c>
      <c r="W362" s="118"/>
      <c r="X362" s="143">
        <f t="shared" si="181"/>
        <v>19.59</v>
      </c>
      <c r="Y362" s="121">
        <f>交易记录!S5</f>
        <v>0.39700000000000002</v>
      </c>
      <c r="Z362" s="121">
        <f>交易记录!S36</f>
        <v>372</v>
      </c>
      <c r="AA362" s="30">
        <f t="shared" si="165"/>
        <v>0</v>
      </c>
      <c r="AB362" s="124">
        <f>交易记录!S69</f>
        <v>0</v>
      </c>
      <c r="AC362" s="124">
        <f>交易记录!S100</f>
        <v>0</v>
      </c>
      <c r="AD362" s="30">
        <f t="shared" si="183"/>
        <v>0</v>
      </c>
      <c r="AE362" s="121">
        <f>交易记录!S133</f>
        <v>0</v>
      </c>
      <c r="AF362" s="121">
        <f>交易记录!S164</f>
        <v>0</v>
      </c>
      <c r="AG362" s="30">
        <f t="shared" si="184"/>
        <v>0</v>
      </c>
      <c r="AH362" s="124">
        <f>交易记录!S197</f>
        <v>0</v>
      </c>
      <c r="AI362" s="124">
        <f>交易记录!S228</f>
        <v>0</v>
      </c>
      <c r="AJ362" s="30">
        <f t="shared" si="185"/>
        <v>0</v>
      </c>
      <c r="AK362" s="121">
        <f>交易记录!S261</f>
        <v>0</v>
      </c>
      <c r="AL362" s="121">
        <f>交易记录!S292</f>
        <v>0</v>
      </c>
      <c r="AM362" s="30">
        <f t="shared" si="186"/>
        <v>0</v>
      </c>
      <c r="AN362" s="124">
        <f>交易记录!S325</f>
        <v>0</v>
      </c>
      <c r="AO362" s="124">
        <f>交易记录!S356</f>
        <v>0</v>
      </c>
      <c r="AP362" s="30">
        <f t="shared" si="187"/>
        <v>0</v>
      </c>
      <c r="AQ362" s="121">
        <f>交易记录!S389</f>
        <v>0</v>
      </c>
      <c r="AR362" s="121">
        <f>交易记录!S420</f>
        <v>0</v>
      </c>
      <c r="AS362" s="30">
        <f t="shared" si="188"/>
        <v>0</v>
      </c>
      <c r="AT362" s="124">
        <f>交易记录!S453</f>
        <v>0</v>
      </c>
      <c r="AU362" s="124">
        <f>交易记录!S484</f>
        <v>0</v>
      </c>
      <c r="AV362" s="30">
        <f t="shared" si="166"/>
        <v>0</v>
      </c>
      <c r="AW362" s="121">
        <f>交易记录!S517</f>
        <v>0</v>
      </c>
      <c r="AX362" s="121">
        <f>交易记录!S548</f>
        <v>0</v>
      </c>
      <c r="AY362" s="30">
        <f t="shared" si="167"/>
        <v>0</v>
      </c>
      <c r="AZ362" s="124">
        <f>交易记录!S581</f>
        <v>0</v>
      </c>
      <c r="BA362" s="124">
        <f>交易记录!S612</f>
        <v>0</v>
      </c>
      <c r="BB362" s="30">
        <f t="shared" si="168"/>
        <v>0</v>
      </c>
      <c r="BC362" s="121">
        <f>交易记录!S645</f>
        <v>0</v>
      </c>
      <c r="BD362" s="121">
        <f>交易记录!S676</f>
        <v>0</v>
      </c>
      <c r="BE362" s="30">
        <f t="shared" si="169"/>
        <v>0</v>
      </c>
      <c r="BF362" s="124">
        <f>交易记录!S709</f>
        <v>0</v>
      </c>
      <c r="BG362" s="124">
        <f>交易记录!S740</f>
        <v>0</v>
      </c>
      <c r="BH362" s="30">
        <f t="shared" si="170"/>
        <v>0</v>
      </c>
      <c r="BI362" s="121">
        <f>交易记录!S773</f>
        <v>0</v>
      </c>
      <c r="BJ362" s="121">
        <f>交易记录!S804</f>
        <v>0</v>
      </c>
      <c r="BK362" s="30">
        <f t="shared" si="171"/>
        <v>0</v>
      </c>
      <c r="BL362" s="124">
        <f>交易记录!S837</f>
        <v>0</v>
      </c>
      <c r="BM362" s="124">
        <f>交易记录!S868</f>
        <v>0</v>
      </c>
      <c r="BN362" s="30">
        <f t="shared" si="172"/>
        <v>0</v>
      </c>
      <c r="BO362" s="121">
        <f>交易记录!S901</f>
        <v>0</v>
      </c>
      <c r="BP362" s="121">
        <f>交易记录!S932</f>
        <v>0</v>
      </c>
      <c r="BQ362" s="30">
        <f t="shared" si="173"/>
        <v>0</v>
      </c>
    </row>
    <row r="363" spans="1:69" ht="15">
      <c r="A363" s="125">
        <f>'维护-日期'!A$18</f>
        <v>46281</v>
      </c>
      <c r="B363" s="7" t="s">
        <v>7</v>
      </c>
      <c r="C363" s="144">
        <f t="shared" si="174"/>
        <v>15.792</v>
      </c>
      <c r="D363" s="144">
        <f>ROUND(INDEX(持仓数据!$C$3:$AG$26,MATCH('计算过程-数据汇总'!B363,持仓数据!$B$3:$B$26,0),MATCH('计算过程-数据汇总'!A363,'维护-日期'!$B$2:$AF$2,0)),3)</f>
        <v>15.792</v>
      </c>
      <c r="E363" s="98">
        <f t="shared" si="175"/>
        <v>15.792</v>
      </c>
      <c r="F363" s="22">
        <f>持仓数据!R73</f>
        <v>0.26500000000000001</v>
      </c>
      <c r="G363" s="97">
        <v>372</v>
      </c>
      <c r="H363" s="97">
        <v>372</v>
      </c>
      <c r="I363" s="64">
        <v>0</v>
      </c>
      <c r="J363" s="64">
        <v>0</v>
      </c>
      <c r="K363" s="21">
        <f>IF(持仓数据!R106="",0,持仓数据!R106)</f>
        <v>372</v>
      </c>
      <c r="L363" s="21">
        <f t="shared" si="176"/>
        <v>0</v>
      </c>
      <c r="M363" s="28">
        <f t="shared" si="160"/>
        <v>5874.6239999999998</v>
      </c>
      <c r="N363" s="28">
        <f t="shared" si="161"/>
        <v>0</v>
      </c>
      <c r="O363" s="28">
        <f t="shared" si="162"/>
        <v>0</v>
      </c>
      <c r="P363" s="28">
        <f t="shared" si="163"/>
        <v>0</v>
      </c>
      <c r="Q363" s="28">
        <f t="shared" si="177"/>
        <v>0</v>
      </c>
      <c r="R363" s="28">
        <f t="shared" si="164"/>
        <v>5874.6239999999998</v>
      </c>
      <c r="S363" s="28">
        <f t="shared" si="178"/>
        <v>0</v>
      </c>
      <c r="T363" s="28">
        <f t="shared" si="179"/>
        <v>0</v>
      </c>
      <c r="U363" s="28">
        <f t="shared" si="182"/>
        <v>0</v>
      </c>
      <c r="V363" s="28">
        <f t="shared" si="180"/>
        <v>0</v>
      </c>
      <c r="W363" s="118"/>
      <c r="X363" s="143">
        <f t="shared" si="181"/>
        <v>18.684999999999999</v>
      </c>
      <c r="Y363" s="121">
        <f>交易记录!S6</f>
        <v>0.26500000000000001</v>
      </c>
      <c r="Z363" s="121">
        <f>交易记录!S37</f>
        <v>372</v>
      </c>
      <c r="AA363" s="30">
        <f t="shared" si="165"/>
        <v>0</v>
      </c>
      <c r="AB363" s="124">
        <f>交易记录!S70</f>
        <v>0</v>
      </c>
      <c r="AC363" s="124">
        <f>交易记录!S101</f>
        <v>0</v>
      </c>
      <c r="AD363" s="30">
        <f t="shared" si="183"/>
        <v>0</v>
      </c>
      <c r="AE363" s="121">
        <f>交易记录!S134</f>
        <v>0</v>
      </c>
      <c r="AF363" s="121">
        <f>交易记录!S165</f>
        <v>0</v>
      </c>
      <c r="AG363" s="30">
        <f t="shared" si="184"/>
        <v>0</v>
      </c>
      <c r="AH363" s="124">
        <f>交易记录!S198</f>
        <v>0</v>
      </c>
      <c r="AI363" s="124">
        <f>交易记录!S229</f>
        <v>0</v>
      </c>
      <c r="AJ363" s="30">
        <f t="shared" si="185"/>
        <v>0</v>
      </c>
      <c r="AK363" s="121">
        <f>交易记录!S262</f>
        <v>0</v>
      </c>
      <c r="AL363" s="121">
        <f>交易记录!S293</f>
        <v>0</v>
      </c>
      <c r="AM363" s="30">
        <f t="shared" si="186"/>
        <v>0</v>
      </c>
      <c r="AN363" s="124">
        <f>交易记录!S326</f>
        <v>0</v>
      </c>
      <c r="AO363" s="124">
        <f>交易记录!S357</f>
        <v>0</v>
      </c>
      <c r="AP363" s="30">
        <f t="shared" si="187"/>
        <v>0</v>
      </c>
      <c r="AQ363" s="121">
        <f>交易记录!S390</f>
        <v>0</v>
      </c>
      <c r="AR363" s="121">
        <f>交易记录!S421</f>
        <v>0</v>
      </c>
      <c r="AS363" s="30">
        <f t="shared" si="188"/>
        <v>0</v>
      </c>
      <c r="AT363" s="124">
        <f>交易记录!S454</f>
        <v>0</v>
      </c>
      <c r="AU363" s="124">
        <f>交易记录!S485</f>
        <v>0</v>
      </c>
      <c r="AV363" s="30">
        <f t="shared" si="166"/>
        <v>0</v>
      </c>
      <c r="AW363" s="121">
        <f>交易记录!S518</f>
        <v>0</v>
      </c>
      <c r="AX363" s="121">
        <f>交易记录!S549</f>
        <v>0</v>
      </c>
      <c r="AY363" s="30">
        <f t="shared" si="167"/>
        <v>0</v>
      </c>
      <c r="AZ363" s="124">
        <f>交易记录!S582</f>
        <v>0</v>
      </c>
      <c r="BA363" s="124">
        <f>交易记录!S613</f>
        <v>0</v>
      </c>
      <c r="BB363" s="30">
        <f t="shared" si="168"/>
        <v>0</v>
      </c>
      <c r="BC363" s="121">
        <f>交易记录!S646</f>
        <v>0</v>
      </c>
      <c r="BD363" s="121">
        <f>交易记录!S677</f>
        <v>0</v>
      </c>
      <c r="BE363" s="30">
        <f t="shared" si="169"/>
        <v>0</v>
      </c>
      <c r="BF363" s="124">
        <f>交易记录!S710</f>
        <v>0</v>
      </c>
      <c r="BG363" s="124">
        <f>交易记录!S741</f>
        <v>0</v>
      </c>
      <c r="BH363" s="30">
        <f t="shared" si="170"/>
        <v>0</v>
      </c>
      <c r="BI363" s="121">
        <f>交易记录!S774</f>
        <v>0</v>
      </c>
      <c r="BJ363" s="121">
        <f>交易记录!S805</f>
        <v>0</v>
      </c>
      <c r="BK363" s="30">
        <f t="shared" si="171"/>
        <v>0</v>
      </c>
      <c r="BL363" s="124">
        <f>交易记录!S838</f>
        <v>0</v>
      </c>
      <c r="BM363" s="124">
        <f>交易记录!S869</f>
        <v>0</v>
      </c>
      <c r="BN363" s="30">
        <f t="shared" si="172"/>
        <v>0</v>
      </c>
      <c r="BO363" s="121">
        <f>交易记录!S902</f>
        <v>0</v>
      </c>
      <c r="BP363" s="121">
        <f>交易记录!S933</f>
        <v>0</v>
      </c>
      <c r="BQ363" s="30">
        <f t="shared" si="173"/>
        <v>0</v>
      </c>
    </row>
    <row r="364" spans="1:69" ht="15">
      <c r="A364" s="125">
        <f>'维护-日期'!A$18</f>
        <v>46281</v>
      </c>
      <c r="B364" s="7" t="s">
        <v>8</v>
      </c>
      <c r="C364" s="144">
        <f t="shared" si="174"/>
        <v>14.821999999999999</v>
      </c>
      <c r="D364" s="144">
        <f>ROUND(INDEX(持仓数据!$C$3:$AG$26,MATCH('计算过程-数据汇总'!B364,持仓数据!$B$3:$B$26,0),MATCH('计算过程-数据汇总'!A364,'维护-日期'!$B$2:$AF$2,0)),3)</f>
        <v>14.821999999999999</v>
      </c>
      <c r="E364" s="98">
        <f t="shared" si="175"/>
        <v>14.821999999999999</v>
      </c>
      <c r="F364" s="22">
        <f>持仓数据!R74</f>
        <v>0.24199999999999999</v>
      </c>
      <c r="G364" s="97">
        <v>372</v>
      </c>
      <c r="H364" s="97">
        <v>372</v>
      </c>
      <c r="I364" s="64">
        <v>0</v>
      </c>
      <c r="J364" s="64">
        <v>0</v>
      </c>
      <c r="K364" s="21">
        <f>IF(持仓数据!R107="",0,持仓数据!R107)</f>
        <v>372</v>
      </c>
      <c r="L364" s="21">
        <f t="shared" si="176"/>
        <v>0</v>
      </c>
      <c r="M364" s="28">
        <f t="shared" si="160"/>
        <v>5513.7839999999997</v>
      </c>
      <c r="N364" s="28">
        <f t="shared" si="161"/>
        <v>0</v>
      </c>
      <c r="O364" s="28">
        <f t="shared" si="162"/>
        <v>0</v>
      </c>
      <c r="P364" s="28">
        <f t="shared" si="163"/>
        <v>0</v>
      </c>
      <c r="Q364" s="28">
        <f t="shared" si="177"/>
        <v>0</v>
      </c>
      <c r="R364" s="28">
        <f t="shared" si="164"/>
        <v>5513.7839999999997</v>
      </c>
      <c r="S364" s="28">
        <f t="shared" si="178"/>
        <v>0</v>
      </c>
      <c r="T364" s="28">
        <f t="shared" si="179"/>
        <v>0</v>
      </c>
      <c r="U364" s="28">
        <f t="shared" si="182"/>
        <v>0</v>
      </c>
      <c r="V364" s="28">
        <f t="shared" si="180"/>
        <v>0</v>
      </c>
      <c r="W364" s="118"/>
      <c r="X364" s="143">
        <f t="shared" si="181"/>
        <v>17.544</v>
      </c>
      <c r="Y364" s="121">
        <f>交易记录!S7</f>
        <v>0.24199999999999999</v>
      </c>
      <c r="Z364" s="121">
        <f>交易记录!S38</f>
        <v>372</v>
      </c>
      <c r="AA364" s="30">
        <f t="shared" si="165"/>
        <v>0</v>
      </c>
      <c r="AB364" s="124">
        <f>交易记录!S71</f>
        <v>0</v>
      </c>
      <c r="AC364" s="124">
        <f>交易记录!S102</f>
        <v>0</v>
      </c>
      <c r="AD364" s="30">
        <f t="shared" si="183"/>
        <v>0</v>
      </c>
      <c r="AE364" s="121">
        <f>交易记录!S135</f>
        <v>0</v>
      </c>
      <c r="AF364" s="121">
        <f>交易记录!S166</f>
        <v>0</v>
      </c>
      <c r="AG364" s="30">
        <f t="shared" si="184"/>
        <v>0</v>
      </c>
      <c r="AH364" s="124">
        <f>交易记录!S199</f>
        <v>0</v>
      </c>
      <c r="AI364" s="124">
        <f>交易记录!S230</f>
        <v>0</v>
      </c>
      <c r="AJ364" s="30">
        <f t="shared" si="185"/>
        <v>0</v>
      </c>
      <c r="AK364" s="121">
        <f>交易记录!S263</f>
        <v>0</v>
      </c>
      <c r="AL364" s="121">
        <f>交易记录!S294</f>
        <v>0</v>
      </c>
      <c r="AM364" s="30">
        <f t="shared" si="186"/>
        <v>0</v>
      </c>
      <c r="AN364" s="124">
        <f>交易记录!S327</f>
        <v>0</v>
      </c>
      <c r="AO364" s="124">
        <f>交易记录!S358</f>
        <v>0</v>
      </c>
      <c r="AP364" s="30">
        <f t="shared" si="187"/>
        <v>0</v>
      </c>
      <c r="AQ364" s="121">
        <f>交易记录!S391</f>
        <v>0</v>
      </c>
      <c r="AR364" s="121">
        <f>交易记录!S422</f>
        <v>0</v>
      </c>
      <c r="AS364" s="30">
        <f t="shared" si="188"/>
        <v>0</v>
      </c>
      <c r="AT364" s="124">
        <f>交易记录!S455</f>
        <v>0</v>
      </c>
      <c r="AU364" s="124">
        <f>交易记录!S486</f>
        <v>0</v>
      </c>
      <c r="AV364" s="30">
        <f t="shared" si="166"/>
        <v>0</v>
      </c>
      <c r="AW364" s="121">
        <f>交易记录!S519</f>
        <v>0</v>
      </c>
      <c r="AX364" s="121">
        <f>交易记录!S550</f>
        <v>0</v>
      </c>
      <c r="AY364" s="30">
        <f t="shared" si="167"/>
        <v>0</v>
      </c>
      <c r="AZ364" s="124">
        <f>交易记录!S583</f>
        <v>0</v>
      </c>
      <c r="BA364" s="124">
        <f>交易记录!S614</f>
        <v>0</v>
      </c>
      <c r="BB364" s="30">
        <f t="shared" si="168"/>
        <v>0</v>
      </c>
      <c r="BC364" s="121">
        <f>交易记录!S647</f>
        <v>0</v>
      </c>
      <c r="BD364" s="121">
        <f>交易记录!S678</f>
        <v>0</v>
      </c>
      <c r="BE364" s="30">
        <f t="shared" si="169"/>
        <v>0</v>
      </c>
      <c r="BF364" s="124">
        <f>交易记录!S711</f>
        <v>0</v>
      </c>
      <c r="BG364" s="124">
        <f>交易记录!S742</f>
        <v>0</v>
      </c>
      <c r="BH364" s="30">
        <f t="shared" si="170"/>
        <v>0</v>
      </c>
      <c r="BI364" s="121">
        <f>交易记录!S775</f>
        <v>0</v>
      </c>
      <c r="BJ364" s="121">
        <f>交易记录!S806</f>
        <v>0</v>
      </c>
      <c r="BK364" s="30">
        <f t="shared" si="171"/>
        <v>0</v>
      </c>
      <c r="BL364" s="124">
        <f>交易记录!S839</f>
        <v>0</v>
      </c>
      <c r="BM364" s="124">
        <f>交易记录!S870</f>
        <v>0</v>
      </c>
      <c r="BN364" s="30">
        <f t="shared" si="172"/>
        <v>0</v>
      </c>
      <c r="BO364" s="121">
        <f>交易记录!S903</f>
        <v>0</v>
      </c>
      <c r="BP364" s="121">
        <f>交易记录!S934</f>
        <v>0</v>
      </c>
      <c r="BQ364" s="30">
        <f t="shared" si="173"/>
        <v>0</v>
      </c>
    </row>
    <row r="365" spans="1:69" ht="15">
      <c r="A365" s="125">
        <f>'维护-日期'!A$18</f>
        <v>46281</v>
      </c>
      <c r="B365" s="7" t="s">
        <v>9</v>
      </c>
      <c r="C365" s="144">
        <f t="shared" si="174"/>
        <v>13.817</v>
      </c>
      <c r="D365" s="144">
        <f>ROUND(INDEX(持仓数据!$C$3:$AG$26,MATCH('计算过程-数据汇总'!B365,持仓数据!$B$3:$B$26,0),MATCH('计算过程-数据汇总'!A365,'维护-日期'!$B$2:$AF$2,0)),3)</f>
        <v>13.817</v>
      </c>
      <c r="E365" s="98">
        <f t="shared" si="175"/>
        <v>13.817</v>
      </c>
      <c r="F365" s="22">
        <f>持仓数据!R75</f>
        <v>0.09</v>
      </c>
      <c r="G365" s="97">
        <v>372</v>
      </c>
      <c r="H365" s="97">
        <v>372</v>
      </c>
      <c r="I365" s="64">
        <v>0</v>
      </c>
      <c r="J365" s="64">
        <v>0</v>
      </c>
      <c r="K365" s="21">
        <f>IF(持仓数据!R108="",0,持仓数据!R108)</f>
        <v>372</v>
      </c>
      <c r="L365" s="21">
        <f t="shared" si="176"/>
        <v>0</v>
      </c>
      <c r="M365" s="28">
        <f t="shared" si="160"/>
        <v>5139.924</v>
      </c>
      <c r="N365" s="28">
        <f t="shared" si="161"/>
        <v>0</v>
      </c>
      <c r="O365" s="28">
        <f t="shared" si="162"/>
        <v>0</v>
      </c>
      <c r="P365" s="28">
        <f t="shared" si="163"/>
        <v>0</v>
      </c>
      <c r="Q365" s="28">
        <f t="shared" si="177"/>
        <v>0</v>
      </c>
      <c r="R365" s="28">
        <f t="shared" si="164"/>
        <v>5139.924</v>
      </c>
      <c r="S365" s="28">
        <f t="shared" si="178"/>
        <v>0</v>
      </c>
      <c r="T365" s="28">
        <f t="shared" si="179"/>
        <v>0</v>
      </c>
      <c r="U365" s="28">
        <f t="shared" si="182"/>
        <v>0</v>
      </c>
      <c r="V365" s="28">
        <f t="shared" si="180"/>
        <v>0</v>
      </c>
      <c r="W365" s="118"/>
      <c r="X365" s="143">
        <f t="shared" si="181"/>
        <v>16.489999999999998</v>
      </c>
      <c r="Y365" s="121">
        <f>交易记录!S8</f>
        <v>0.09</v>
      </c>
      <c r="Z365" s="121">
        <f>交易记录!S39</f>
        <v>372</v>
      </c>
      <c r="AA365" s="30">
        <f t="shared" si="165"/>
        <v>0</v>
      </c>
      <c r="AB365" s="124">
        <f>交易记录!S72</f>
        <v>0</v>
      </c>
      <c r="AC365" s="124">
        <f>交易记录!S103</f>
        <v>0</v>
      </c>
      <c r="AD365" s="30">
        <f t="shared" si="183"/>
        <v>0</v>
      </c>
      <c r="AE365" s="121">
        <f>交易记录!S136</f>
        <v>0</v>
      </c>
      <c r="AF365" s="121">
        <f>交易记录!S167</f>
        <v>0</v>
      </c>
      <c r="AG365" s="30">
        <f t="shared" si="184"/>
        <v>0</v>
      </c>
      <c r="AH365" s="124">
        <f>交易记录!S200</f>
        <v>0</v>
      </c>
      <c r="AI365" s="124">
        <f>交易记录!S231</f>
        <v>0</v>
      </c>
      <c r="AJ365" s="30">
        <f t="shared" si="185"/>
        <v>0</v>
      </c>
      <c r="AK365" s="121">
        <f>交易记录!S264</f>
        <v>0</v>
      </c>
      <c r="AL365" s="121">
        <f>交易记录!S295</f>
        <v>0</v>
      </c>
      <c r="AM365" s="30">
        <f t="shared" si="186"/>
        <v>0</v>
      </c>
      <c r="AN365" s="124">
        <f>交易记录!S328</f>
        <v>0</v>
      </c>
      <c r="AO365" s="124">
        <f>交易记录!S359</f>
        <v>0</v>
      </c>
      <c r="AP365" s="30">
        <f t="shared" si="187"/>
        <v>0</v>
      </c>
      <c r="AQ365" s="121">
        <f>交易记录!S392</f>
        <v>0</v>
      </c>
      <c r="AR365" s="121">
        <f>交易记录!S423</f>
        <v>0</v>
      </c>
      <c r="AS365" s="30">
        <f t="shared" si="188"/>
        <v>0</v>
      </c>
      <c r="AT365" s="124">
        <f>交易记录!S456</f>
        <v>0</v>
      </c>
      <c r="AU365" s="124">
        <f>交易记录!S487</f>
        <v>0</v>
      </c>
      <c r="AV365" s="30">
        <f t="shared" si="166"/>
        <v>0</v>
      </c>
      <c r="AW365" s="121">
        <f>交易记录!S520</f>
        <v>0</v>
      </c>
      <c r="AX365" s="121">
        <f>交易记录!S551</f>
        <v>0</v>
      </c>
      <c r="AY365" s="30">
        <f t="shared" si="167"/>
        <v>0</v>
      </c>
      <c r="AZ365" s="124">
        <f>交易记录!S584</f>
        <v>0</v>
      </c>
      <c r="BA365" s="124">
        <f>交易记录!S615</f>
        <v>0</v>
      </c>
      <c r="BB365" s="30">
        <f t="shared" si="168"/>
        <v>0</v>
      </c>
      <c r="BC365" s="121">
        <f>交易记录!S648</f>
        <v>0</v>
      </c>
      <c r="BD365" s="121">
        <f>交易记录!S679</f>
        <v>0</v>
      </c>
      <c r="BE365" s="30">
        <f t="shared" si="169"/>
        <v>0</v>
      </c>
      <c r="BF365" s="124">
        <f>交易记录!S712</f>
        <v>0</v>
      </c>
      <c r="BG365" s="124">
        <f>交易记录!S743</f>
        <v>0</v>
      </c>
      <c r="BH365" s="30">
        <f t="shared" si="170"/>
        <v>0</v>
      </c>
      <c r="BI365" s="121">
        <f>交易记录!S776</f>
        <v>0</v>
      </c>
      <c r="BJ365" s="121">
        <f>交易记录!S807</f>
        <v>0</v>
      </c>
      <c r="BK365" s="30">
        <f t="shared" si="171"/>
        <v>0</v>
      </c>
      <c r="BL365" s="124">
        <f>交易记录!S840</f>
        <v>0</v>
      </c>
      <c r="BM365" s="124">
        <f>交易记录!S871</f>
        <v>0</v>
      </c>
      <c r="BN365" s="30">
        <f t="shared" si="172"/>
        <v>0</v>
      </c>
      <c r="BO365" s="121">
        <f>交易记录!S904</f>
        <v>0</v>
      </c>
      <c r="BP365" s="121">
        <f>交易记录!S935</f>
        <v>0</v>
      </c>
      <c r="BQ365" s="30">
        <f t="shared" si="173"/>
        <v>0</v>
      </c>
    </row>
    <row r="366" spans="1:69" ht="15">
      <c r="A366" s="125">
        <f>'维护-日期'!A$18</f>
        <v>46281</v>
      </c>
      <c r="B366" s="7" t="s">
        <v>10</v>
      </c>
      <c r="C366" s="144">
        <f t="shared" si="174"/>
        <v>13.388</v>
      </c>
      <c r="D366" s="144">
        <f>ROUND(INDEX(持仓数据!$C$3:$AG$26,MATCH('计算过程-数据汇总'!B366,持仓数据!$B$3:$B$26,0),MATCH('计算过程-数据汇总'!A366,'维护-日期'!$B$2:$AF$2,0)),3)</f>
        <v>13.388</v>
      </c>
      <c r="E366" s="98">
        <f t="shared" si="175"/>
        <v>13.388</v>
      </c>
      <c r="F366" s="22">
        <f>持仓数据!R76</f>
        <v>8.6999999999999994E-2</v>
      </c>
      <c r="G366" s="97">
        <v>372</v>
      </c>
      <c r="H366" s="97">
        <v>372</v>
      </c>
      <c r="I366" s="64">
        <v>0</v>
      </c>
      <c r="J366" s="64">
        <v>0</v>
      </c>
      <c r="K366" s="21">
        <f>IF(持仓数据!R109="",0,持仓数据!R109)</f>
        <v>372</v>
      </c>
      <c r="L366" s="21">
        <f t="shared" si="176"/>
        <v>0</v>
      </c>
      <c r="M366" s="28">
        <f t="shared" si="160"/>
        <v>4980.3360000000002</v>
      </c>
      <c r="N366" s="28">
        <f t="shared" si="161"/>
        <v>0</v>
      </c>
      <c r="O366" s="28">
        <f t="shared" si="162"/>
        <v>0</v>
      </c>
      <c r="P366" s="28">
        <f t="shared" si="163"/>
        <v>0</v>
      </c>
      <c r="Q366" s="28">
        <f t="shared" si="177"/>
        <v>0</v>
      </c>
      <c r="R366" s="28">
        <f t="shared" si="164"/>
        <v>4980.3360000000002</v>
      </c>
      <c r="S366" s="28">
        <f t="shared" si="178"/>
        <v>0</v>
      </c>
      <c r="T366" s="28">
        <f t="shared" si="179"/>
        <v>0</v>
      </c>
      <c r="U366" s="28">
        <f t="shared" si="182"/>
        <v>0</v>
      </c>
      <c r="V366" s="28">
        <f t="shared" si="180"/>
        <v>0</v>
      </c>
      <c r="W366" s="118"/>
      <c r="X366" s="143">
        <f t="shared" si="181"/>
        <v>15.978999999999999</v>
      </c>
      <c r="Y366" s="121">
        <f>交易记录!S9</f>
        <v>8.6999999999999994E-2</v>
      </c>
      <c r="Z366" s="121">
        <f>交易记录!S40</f>
        <v>372</v>
      </c>
      <c r="AA366" s="30">
        <f t="shared" si="165"/>
        <v>0</v>
      </c>
      <c r="AB366" s="124">
        <f>交易记录!S73</f>
        <v>0</v>
      </c>
      <c r="AC366" s="124">
        <f>交易记录!S104</f>
        <v>0</v>
      </c>
      <c r="AD366" s="30">
        <f t="shared" si="183"/>
        <v>0</v>
      </c>
      <c r="AE366" s="121">
        <f>交易记录!S137</f>
        <v>0</v>
      </c>
      <c r="AF366" s="121">
        <f>交易记录!S168</f>
        <v>0</v>
      </c>
      <c r="AG366" s="30">
        <f t="shared" si="184"/>
        <v>0</v>
      </c>
      <c r="AH366" s="124">
        <f>交易记录!S201</f>
        <v>0</v>
      </c>
      <c r="AI366" s="124">
        <f>交易记录!S232</f>
        <v>0</v>
      </c>
      <c r="AJ366" s="30">
        <f t="shared" si="185"/>
        <v>0</v>
      </c>
      <c r="AK366" s="121">
        <f>交易记录!S265</f>
        <v>0</v>
      </c>
      <c r="AL366" s="121">
        <f>交易记录!S296</f>
        <v>0</v>
      </c>
      <c r="AM366" s="30">
        <f t="shared" si="186"/>
        <v>0</v>
      </c>
      <c r="AN366" s="124">
        <f>交易记录!S329</f>
        <v>0</v>
      </c>
      <c r="AO366" s="124">
        <f>交易记录!S360</f>
        <v>0</v>
      </c>
      <c r="AP366" s="30">
        <f t="shared" si="187"/>
        <v>0</v>
      </c>
      <c r="AQ366" s="121">
        <f>交易记录!S393</f>
        <v>0</v>
      </c>
      <c r="AR366" s="121">
        <f>交易记录!S424</f>
        <v>0</v>
      </c>
      <c r="AS366" s="30">
        <f t="shared" si="188"/>
        <v>0</v>
      </c>
      <c r="AT366" s="124">
        <f>交易记录!S457</f>
        <v>0</v>
      </c>
      <c r="AU366" s="124">
        <f>交易记录!S488</f>
        <v>0</v>
      </c>
      <c r="AV366" s="30">
        <f t="shared" si="166"/>
        <v>0</v>
      </c>
      <c r="AW366" s="121">
        <f>交易记录!S521</f>
        <v>0</v>
      </c>
      <c r="AX366" s="121">
        <f>交易记录!S552</f>
        <v>0</v>
      </c>
      <c r="AY366" s="30">
        <f t="shared" si="167"/>
        <v>0</v>
      </c>
      <c r="AZ366" s="124">
        <f>交易记录!S585</f>
        <v>0</v>
      </c>
      <c r="BA366" s="124">
        <f>交易记录!S616</f>
        <v>0</v>
      </c>
      <c r="BB366" s="30">
        <f t="shared" si="168"/>
        <v>0</v>
      </c>
      <c r="BC366" s="121">
        <f>交易记录!S649</f>
        <v>0</v>
      </c>
      <c r="BD366" s="121">
        <f>交易记录!S680</f>
        <v>0</v>
      </c>
      <c r="BE366" s="30">
        <f t="shared" si="169"/>
        <v>0</v>
      </c>
      <c r="BF366" s="124">
        <f>交易记录!S713</f>
        <v>0</v>
      </c>
      <c r="BG366" s="124">
        <f>交易记录!S744</f>
        <v>0</v>
      </c>
      <c r="BH366" s="30">
        <f t="shared" si="170"/>
        <v>0</v>
      </c>
      <c r="BI366" s="121">
        <f>交易记录!S777</f>
        <v>0</v>
      </c>
      <c r="BJ366" s="121">
        <f>交易记录!S808</f>
        <v>0</v>
      </c>
      <c r="BK366" s="30">
        <f t="shared" si="171"/>
        <v>0</v>
      </c>
      <c r="BL366" s="124">
        <f>交易记录!S841</f>
        <v>0</v>
      </c>
      <c r="BM366" s="124">
        <f>交易记录!S872</f>
        <v>0</v>
      </c>
      <c r="BN366" s="30">
        <f t="shared" si="172"/>
        <v>0</v>
      </c>
      <c r="BO366" s="121">
        <f>交易记录!S905</f>
        <v>0</v>
      </c>
      <c r="BP366" s="121">
        <f>交易记录!S936</f>
        <v>0</v>
      </c>
      <c r="BQ366" s="30">
        <f t="shared" si="173"/>
        <v>0</v>
      </c>
    </row>
    <row r="367" spans="1:69" ht="15">
      <c r="A367" s="125">
        <f>'维护-日期'!A$18</f>
        <v>46281</v>
      </c>
      <c r="B367" s="7" t="s">
        <v>11</v>
      </c>
      <c r="C367" s="144">
        <f t="shared" si="174"/>
        <v>13.087</v>
      </c>
      <c r="D367" s="144">
        <f>ROUND(INDEX(持仓数据!$C$3:$AG$26,MATCH('计算过程-数据汇总'!B367,持仓数据!$B$3:$B$26,0),MATCH('计算过程-数据汇总'!A367,'维护-日期'!$B$2:$AF$2,0)),3)</f>
        <v>13.087</v>
      </c>
      <c r="E367" s="98">
        <f t="shared" si="175"/>
        <v>13.087</v>
      </c>
      <c r="F367" s="22">
        <f>持仓数据!R77</f>
        <v>8.6999999999999994E-2</v>
      </c>
      <c r="G367" s="97">
        <v>372</v>
      </c>
      <c r="H367" s="97">
        <v>372</v>
      </c>
      <c r="I367" s="64">
        <v>0</v>
      </c>
      <c r="J367" s="64">
        <v>0</v>
      </c>
      <c r="K367" s="21">
        <f>IF(持仓数据!R110="",0,持仓数据!R110)</f>
        <v>372</v>
      </c>
      <c r="L367" s="21">
        <f t="shared" si="176"/>
        <v>0</v>
      </c>
      <c r="M367" s="28">
        <f t="shared" si="160"/>
        <v>4868.3639999999996</v>
      </c>
      <c r="N367" s="28">
        <f t="shared" si="161"/>
        <v>0</v>
      </c>
      <c r="O367" s="28">
        <f t="shared" si="162"/>
        <v>0</v>
      </c>
      <c r="P367" s="28">
        <f t="shared" si="163"/>
        <v>0</v>
      </c>
      <c r="Q367" s="28">
        <f t="shared" si="177"/>
        <v>0</v>
      </c>
      <c r="R367" s="28">
        <f t="shared" si="164"/>
        <v>4868.3639999999996</v>
      </c>
      <c r="S367" s="28">
        <f t="shared" si="178"/>
        <v>0</v>
      </c>
      <c r="T367" s="28">
        <f t="shared" si="179"/>
        <v>0</v>
      </c>
      <c r="U367" s="28">
        <f t="shared" si="182"/>
        <v>0</v>
      </c>
      <c r="V367" s="28">
        <f t="shared" si="180"/>
        <v>0</v>
      </c>
      <c r="W367" s="118"/>
      <c r="X367" s="143">
        <f t="shared" si="181"/>
        <v>15.617000000000001</v>
      </c>
      <c r="Y367" s="121">
        <f>交易记录!S10</f>
        <v>8.6999999999999994E-2</v>
      </c>
      <c r="Z367" s="121">
        <f>交易记录!S41</f>
        <v>372</v>
      </c>
      <c r="AA367" s="30">
        <f t="shared" si="165"/>
        <v>0</v>
      </c>
      <c r="AB367" s="124">
        <f>交易记录!S74</f>
        <v>0</v>
      </c>
      <c r="AC367" s="124">
        <f>交易记录!S105</f>
        <v>0</v>
      </c>
      <c r="AD367" s="30">
        <f t="shared" si="183"/>
        <v>0</v>
      </c>
      <c r="AE367" s="121">
        <f>交易记录!S138</f>
        <v>0</v>
      </c>
      <c r="AF367" s="121">
        <f>交易记录!S169</f>
        <v>0</v>
      </c>
      <c r="AG367" s="30">
        <f t="shared" si="184"/>
        <v>0</v>
      </c>
      <c r="AH367" s="124">
        <f>交易记录!S202</f>
        <v>0</v>
      </c>
      <c r="AI367" s="124">
        <f>交易记录!S233</f>
        <v>0</v>
      </c>
      <c r="AJ367" s="30">
        <f t="shared" si="185"/>
        <v>0</v>
      </c>
      <c r="AK367" s="121">
        <f>交易记录!S266</f>
        <v>0</v>
      </c>
      <c r="AL367" s="121">
        <f>交易记录!S297</f>
        <v>0</v>
      </c>
      <c r="AM367" s="30">
        <f t="shared" si="186"/>
        <v>0</v>
      </c>
      <c r="AN367" s="124">
        <f>交易记录!S330</f>
        <v>0</v>
      </c>
      <c r="AO367" s="124">
        <f>交易记录!S361</f>
        <v>0</v>
      </c>
      <c r="AP367" s="30">
        <f t="shared" si="187"/>
        <v>0</v>
      </c>
      <c r="AQ367" s="121">
        <f>交易记录!S394</f>
        <v>0</v>
      </c>
      <c r="AR367" s="121">
        <f>交易记录!S425</f>
        <v>0</v>
      </c>
      <c r="AS367" s="30">
        <f t="shared" si="188"/>
        <v>0</v>
      </c>
      <c r="AT367" s="124">
        <f>交易记录!S458</f>
        <v>0</v>
      </c>
      <c r="AU367" s="124">
        <f>交易记录!S489</f>
        <v>0</v>
      </c>
      <c r="AV367" s="30">
        <f t="shared" si="166"/>
        <v>0</v>
      </c>
      <c r="AW367" s="121">
        <f>交易记录!S522</f>
        <v>0</v>
      </c>
      <c r="AX367" s="121">
        <f>交易记录!S553</f>
        <v>0</v>
      </c>
      <c r="AY367" s="30">
        <f t="shared" si="167"/>
        <v>0</v>
      </c>
      <c r="AZ367" s="124">
        <f>交易记录!S586</f>
        <v>0</v>
      </c>
      <c r="BA367" s="124">
        <f>交易记录!S617</f>
        <v>0</v>
      </c>
      <c r="BB367" s="30">
        <f t="shared" si="168"/>
        <v>0</v>
      </c>
      <c r="BC367" s="121">
        <f>交易记录!S650</f>
        <v>0</v>
      </c>
      <c r="BD367" s="121">
        <f>交易记录!S681</f>
        <v>0</v>
      </c>
      <c r="BE367" s="30">
        <f t="shared" si="169"/>
        <v>0</v>
      </c>
      <c r="BF367" s="124">
        <f>交易记录!S714</f>
        <v>0</v>
      </c>
      <c r="BG367" s="124">
        <f>交易记录!S745</f>
        <v>0</v>
      </c>
      <c r="BH367" s="30">
        <f t="shared" si="170"/>
        <v>0</v>
      </c>
      <c r="BI367" s="121">
        <f>交易记录!S778</f>
        <v>0</v>
      </c>
      <c r="BJ367" s="121">
        <f>交易记录!S809</f>
        <v>0</v>
      </c>
      <c r="BK367" s="30">
        <f t="shared" si="171"/>
        <v>0</v>
      </c>
      <c r="BL367" s="124">
        <f>交易记录!S842</f>
        <v>0</v>
      </c>
      <c r="BM367" s="124">
        <f>交易记录!S873</f>
        <v>0</v>
      </c>
      <c r="BN367" s="30">
        <f t="shared" si="172"/>
        <v>0</v>
      </c>
      <c r="BO367" s="121">
        <f>交易记录!S906</f>
        <v>0</v>
      </c>
      <c r="BP367" s="121">
        <f>交易记录!S937</f>
        <v>0</v>
      </c>
      <c r="BQ367" s="30">
        <f t="shared" si="173"/>
        <v>0</v>
      </c>
    </row>
    <row r="368" spans="1:69" ht="15">
      <c r="A368" s="125">
        <f>'维护-日期'!A$18</f>
        <v>46281</v>
      </c>
      <c r="B368" s="7" t="s">
        <v>12</v>
      </c>
      <c r="C368" s="144">
        <f t="shared" si="174"/>
        <v>12.95</v>
      </c>
      <c r="D368" s="144">
        <f>ROUND(INDEX(持仓数据!$C$3:$AG$26,MATCH('计算过程-数据汇总'!B368,持仓数据!$B$3:$B$26,0),MATCH('计算过程-数据汇总'!A368,'维护-日期'!$B$2:$AF$2,0)),3)</f>
        <v>12.95</v>
      </c>
      <c r="E368" s="98">
        <f t="shared" si="175"/>
        <v>12.95</v>
      </c>
      <c r="F368" s="22">
        <f>持仓数据!R78</f>
        <v>0.14499999999999999</v>
      </c>
      <c r="G368" s="97">
        <v>372</v>
      </c>
      <c r="H368" s="97">
        <v>372</v>
      </c>
      <c r="I368" s="64">
        <v>0</v>
      </c>
      <c r="J368" s="64">
        <v>0</v>
      </c>
      <c r="K368" s="21">
        <f>IF(持仓数据!R111="",0,持仓数据!R111)</f>
        <v>372</v>
      </c>
      <c r="L368" s="21">
        <f t="shared" si="176"/>
        <v>0</v>
      </c>
      <c r="M368" s="28">
        <f t="shared" si="160"/>
        <v>4817.3999999999996</v>
      </c>
      <c r="N368" s="28">
        <f t="shared" si="161"/>
        <v>0</v>
      </c>
      <c r="O368" s="28">
        <f t="shared" si="162"/>
        <v>0</v>
      </c>
      <c r="P368" s="28">
        <f t="shared" si="163"/>
        <v>0</v>
      </c>
      <c r="Q368" s="28">
        <f t="shared" si="177"/>
        <v>0</v>
      </c>
      <c r="R368" s="28">
        <f t="shared" si="164"/>
        <v>4817.3999999999996</v>
      </c>
      <c r="S368" s="28">
        <f t="shared" si="178"/>
        <v>0</v>
      </c>
      <c r="T368" s="28">
        <f t="shared" si="179"/>
        <v>0</v>
      </c>
      <c r="U368" s="28">
        <f t="shared" si="182"/>
        <v>0</v>
      </c>
      <c r="V368" s="28">
        <f t="shared" si="180"/>
        <v>0</v>
      </c>
      <c r="W368" s="118"/>
      <c r="X368" s="143">
        <f t="shared" si="181"/>
        <v>15.395</v>
      </c>
      <c r="Y368" s="121">
        <f>交易记录!S11</f>
        <v>0.14499999999999999</v>
      </c>
      <c r="Z368" s="121">
        <f>交易记录!S42</f>
        <v>372</v>
      </c>
      <c r="AA368" s="30">
        <f t="shared" si="165"/>
        <v>0</v>
      </c>
      <c r="AB368" s="124">
        <f>交易记录!S75</f>
        <v>0</v>
      </c>
      <c r="AC368" s="124">
        <f>交易记录!S106</f>
        <v>0</v>
      </c>
      <c r="AD368" s="30">
        <f t="shared" si="183"/>
        <v>0</v>
      </c>
      <c r="AE368" s="121">
        <f>交易记录!S139</f>
        <v>0</v>
      </c>
      <c r="AF368" s="121">
        <f>交易记录!S170</f>
        <v>0</v>
      </c>
      <c r="AG368" s="30">
        <f t="shared" si="184"/>
        <v>0</v>
      </c>
      <c r="AH368" s="124">
        <f>交易记录!S203</f>
        <v>0</v>
      </c>
      <c r="AI368" s="124">
        <f>交易记录!S234</f>
        <v>0</v>
      </c>
      <c r="AJ368" s="30">
        <f t="shared" si="185"/>
        <v>0</v>
      </c>
      <c r="AK368" s="121">
        <f>交易记录!S267</f>
        <v>0</v>
      </c>
      <c r="AL368" s="121">
        <f>交易记录!S298</f>
        <v>0</v>
      </c>
      <c r="AM368" s="30">
        <f t="shared" si="186"/>
        <v>0</v>
      </c>
      <c r="AN368" s="124">
        <f>交易记录!S331</f>
        <v>0</v>
      </c>
      <c r="AO368" s="124">
        <f>交易记录!S362</f>
        <v>0</v>
      </c>
      <c r="AP368" s="30">
        <f t="shared" si="187"/>
        <v>0</v>
      </c>
      <c r="AQ368" s="121">
        <f>交易记录!S395</f>
        <v>0</v>
      </c>
      <c r="AR368" s="121">
        <f>交易记录!S426</f>
        <v>0</v>
      </c>
      <c r="AS368" s="30">
        <f t="shared" si="188"/>
        <v>0</v>
      </c>
      <c r="AT368" s="124">
        <f>交易记录!S459</f>
        <v>0</v>
      </c>
      <c r="AU368" s="124">
        <f>交易记录!S490</f>
        <v>0</v>
      </c>
      <c r="AV368" s="30">
        <f t="shared" si="166"/>
        <v>0</v>
      </c>
      <c r="AW368" s="121">
        <f>交易记录!S523</f>
        <v>0</v>
      </c>
      <c r="AX368" s="121">
        <f>交易记录!S554</f>
        <v>0</v>
      </c>
      <c r="AY368" s="30">
        <f t="shared" si="167"/>
        <v>0</v>
      </c>
      <c r="AZ368" s="124">
        <f>交易记录!S587</f>
        <v>0</v>
      </c>
      <c r="BA368" s="124">
        <f>交易记录!S618</f>
        <v>0</v>
      </c>
      <c r="BB368" s="30">
        <f t="shared" si="168"/>
        <v>0</v>
      </c>
      <c r="BC368" s="121">
        <f>交易记录!S651</f>
        <v>0</v>
      </c>
      <c r="BD368" s="121">
        <f>交易记录!S682</f>
        <v>0</v>
      </c>
      <c r="BE368" s="30">
        <f t="shared" si="169"/>
        <v>0</v>
      </c>
      <c r="BF368" s="124">
        <f>交易记录!S715</f>
        <v>0</v>
      </c>
      <c r="BG368" s="124">
        <f>交易记录!S746</f>
        <v>0</v>
      </c>
      <c r="BH368" s="30">
        <f t="shared" si="170"/>
        <v>0</v>
      </c>
      <c r="BI368" s="121">
        <f>交易记录!S779</f>
        <v>0</v>
      </c>
      <c r="BJ368" s="121">
        <f>交易记录!S810</f>
        <v>0</v>
      </c>
      <c r="BK368" s="30">
        <f t="shared" si="171"/>
        <v>0</v>
      </c>
      <c r="BL368" s="124">
        <f>交易记录!S843</f>
        <v>0</v>
      </c>
      <c r="BM368" s="124">
        <f>交易记录!S874</f>
        <v>0</v>
      </c>
      <c r="BN368" s="30">
        <f t="shared" si="172"/>
        <v>0</v>
      </c>
      <c r="BO368" s="121">
        <f>交易记录!S907</f>
        <v>0</v>
      </c>
      <c r="BP368" s="121">
        <f>交易记录!S938</f>
        <v>0</v>
      </c>
      <c r="BQ368" s="30">
        <f t="shared" si="173"/>
        <v>0</v>
      </c>
    </row>
    <row r="369" spans="1:69" ht="15">
      <c r="A369" s="125">
        <f>'维护-日期'!A$18</f>
        <v>46281</v>
      </c>
      <c r="B369" s="7" t="s">
        <v>13</v>
      </c>
      <c r="C369" s="144">
        <f t="shared" si="174"/>
        <v>13.266999999999999</v>
      </c>
      <c r="D369" s="144">
        <f>ROUND(INDEX(持仓数据!$C$3:$AG$26,MATCH('计算过程-数据汇总'!B369,持仓数据!$B$3:$B$26,0),MATCH('计算过程-数据汇总'!A369,'维护-日期'!$B$2:$AF$2,0)),3)</f>
        <v>13.266999999999999</v>
      </c>
      <c r="E369" s="98">
        <f t="shared" si="175"/>
        <v>13.266999999999999</v>
      </c>
      <c r="F369" s="22">
        <f>持仓数据!R79</f>
        <v>0.307</v>
      </c>
      <c r="G369" s="97">
        <v>372</v>
      </c>
      <c r="H369" s="97">
        <v>372</v>
      </c>
      <c r="I369" s="64">
        <v>0</v>
      </c>
      <c r="J369" s="64">
        <v>0</v>
      </c>
      <c r="K369" s="21">
        <f>IF(持仓数据!R112="",0,持仓数据!R112)</f>
        <v>372</v>
      </c>
      <c r="L369" s="21">
        <f t="shared" si="176"/>
        <v>0</v>
      </c>
      <c r="M369" s="28">
        <f t="shared" si="160"/>
        <v>4935.3239999999996</v>
      </c>
      <c r="N369" s="28">
        <f t="shared" si="161"/>
        <v>0</v>
      </c>
      <c r="O369" s="28">
        <f t="shared" si="162"/>
        <v>0</v>
      </c>
      <c r="P369" s="28">
        <f t="shared" si="163"/>
        <v>0</v>
      </c>
      <c r="Q369" s="28">
        <f t="shared" si="177"/>
        <v>0</v>
      </c>
      <c r="R369" s="28">
        <f t="shared" si="164"/>
        <v>4935.3239999999996</v>
      </c>
      <c r="S369" s="28">
        <f t="shared" si="178"/>
        <v>0</v>
      </c>
      <c r="T369" s="28">
        <f t="shared" si="179"/>
        <v>0</v>
      </c>
      <c r="U369" s="28">
        <f t="shared" si="182"/>
        <v>0</v>
      </c>
      <c r="V369" s="28">
        <f t="shared" si="180"/>
        <v>0</v>
      </c>
      <c r="W369" s="118"/>
      <c r="X369" s="143">
        <f t="shared" si="181"/>
        <v>15.613</v>
      </c>
      <c r="Y369" s="121">
        <f>交易记录!S12</f>
        <v>0.307</v>
      </c>
      <c r="Z369" s="121">
        <f>交易记录!S43</f>
        <v>372</v>
      </c>
      <c r="AA369" s="30">
        <f t="shared" si="165"/>
        <v>0</v>
      </c>
      <c r="AB369" s="124">
        <f>交易记录!S76</f>
        <v>0</v>
      </c>
      <c r="AC369" s="124">
        <f>交易记录!S107</f>
        <v>0</v>
      </c>
      <c r="AD369" s="30">
        <f t="shared" si="183"/>
        <v>0</v>
      </c>
      <c r="AE369" s="121">
        <f>交易记录!S140</f>
        <v>0</v>
      </c>
      <c r="AF369" s="121">
        <f>交易记录!S171</f>
        <v>0</v>
      </c>
      <c r="AG369" s="30">
        <f t="shared" si="184"/>
        <v>0</v>
      </c>
      <c r="AH369" s="124">
        <f>交易记录!S204</f>
        <v>0</v>
      </c>
      <c r="AI369" s="124">
        <f>交易记录!S235</f>
        <v>0</v>
      </c>
      <c r="AJ369" s="30">
        <f t="shared" si="185"/>
        <v>0</v>
      </c>
      <c r="AK369" s="121">
        <f>交易记录!S268</f>
        <v>0</v>
      </c>
      <c r="AL369" s="121">
        <f>交易记录!S299</f>
        <v>0</v>
      </c>
      <c r="AM369" s="30">
        <f t="shared" si="186"/>
        <v>0</v>
      </c>
      <c r="AN369" s="124">
        <f>交易记录!S332</f>
        <v>0</v>
      </c>
      <c r="AO369" s="124">
        <f>交易记录!S363</f>
        <v>0</v>
      </c>
      <c r="AP369" s="30">
        <f t="shared" si="187"/>
        <v>0</v>
      </c>
      <c r="AQ369" s="121">
        <f>交易记录!S396</f>
        <v>0</v>
      </c>
      <c r="AR369" s="121">
        <f>交易记录!S427</f>
        <v>0</v>
      </c>
      <c r="AS369" s="30">
        <f t="shared" si="188"/>
        <v>0</v>
      </c>
      <c r="AT369" s="124">
        <f>交易记录!S460</f>
        <v>0</v>
      </c>
      <c r="AU369" s="124">
        <f>交易记录!S491</f>
        <v>0</v>
      </c>
      <c r="AV369" s="30">
        <f t="shared" si="166"/>
        <v>0</v>
      </c>
      <c r="AW369" s="121">
        <f>交易记录!S524</f>
        <v>0</v>
      </c>
      <c r="AX369" s="121">
        <f>交易记录!S555</f>
        <v>0</v>
      </c>
      <c r="AY369" s="30">
        <f t="shared" si="167"/>
        <v>0</v>
      </c>
      <c r="AZ369" s="124">
        <f>交易记录!S588</f>
        <v>0</v>
      </c>
      <c r="BA369" s="124">
        <f>交易记录!S619</f>
        <v>0</v>
      </c>
      <c r="BB369" s="30">
        <f t="shared" si="168"/>
        <v>0</v>
      </c>
      <c r="BC369" s="121">
        <f>交易记录!S652</f>
        <v>0</v>
      </c>
      <c r="BD369" s="121">
        <f>交易记录!S683</f>
        <v>0</v>
      </c>
      <c r="BE369" s="30">
        <f t="shared" si="169"/>
        <v>0</v>
      </c>
      <c r="BF369" s="124">
        <f>交易记录!S716</f>
        <v>0</v>
      </c>
      <c r="BG369" s="124">
        <f>交易记录!S747</f>
        <v>0</v>
      </c>
      <c r="BH369" s="30">
        <f t="shared" si="170"/>
        <v>0</v>
      </c>
      <c r="BI369" s="121">
        <f>交易记录!S780</f>
        <v>0</v>
      </c>
      <c r="BJ369" s="121">
        <f>交易记录!S811</f>
        <v>0</v>
      </c>
      <c r="BK369" s="30">
        <f t="shared" si="171"/>
        <v>0</v>
      </c>
      <c r="BL369" s="124">
        <f>交易记录!S844</f>
        <v>0</v>
      </c>
      <c r="BM369" s="124">
        <f>交易记录!S875</f>
        <v>0</v>
      </c>
      <c r="BN369" s="30">
        <f t="shared" si="172"/>
        <v>0</v>
      </c>
      <c r="BO369" s="121">
        <f>交易记录!S908</f>
        <v>0</v>
      </c>
      <c r="BP369" s="121">
        <f>交易记录!S939</f>
        <v>0</v>
      </c>
      <c r="BQ369" s="30">
        <f t="shared" si="173"/>
        <v>0</v>
      </c>
    </row>
    <row r="370" spans="1:69" ht="15">
      <c r="A370" s="125">
        <f>'维护-日期'!A$18</f>
        <v>46281</v>
      </c>
      <c r="B370" s="7" t="s">
        <v>14</v>
      </c>
      <c r="C370" s="144">
        <f t="shared" si="174"/>
        <v>15.795999999999999</v>
      </c>
      <c r="D370" s="144">
        <f>ROUND(INDEX(持仓数据!$C$3:$AG$26,MATCH('计算过程-数据汇总'!B370,持仓数据!$B$3:$B$26,0),MATCH('计算过程-数据汇总'!A370,'维护-日期'!$B$2:$AF$2,0)),3)</f>
        <v>15.795999999999999</v>
      </c>
      <c r="E370" s="98">
        <f t="shared" si="175"/>
        <v>15.795999999999999</v>
      </c>
      <c r="F370" s="22">
        <f>持仓数据!R80</f>
        <v>0.42800000000000005</v>
      </c>
      <c r="G370" s="97">
        <v>372</v>
      </c>
      <c r="H370" s="97">
        <v>372</v>
      </c>
      <c r="I370" s="64">
        <v>0</v>
      </c>
      <c r="J370" s="64">
        <v>0</v>
      </c>
      <c r="K370" s="21">
        <f>IF(持仓数据!R113="",0,持仓数据!R113)</f>
        <v>372</v>
      </c>
      <c r="L370" s="21">
        <f t="shared" si="176"/>
        <v>0</v>
      </c>
      <c r="M370" s="28">
        <f t="shared" si="160"/>
        <v>5876.1120000000001</v>
      </c>
      <c r="N370" s="28">
        <f t="shared" si="161"/>
        <v>0</v>
      </c>
      <c r="O370" s="28">
        <f t="shared" si="162"/>
        <v>0</v>
      </c>
      <c r="P370" s="28">
        <f t="shared" si="163"/>
        <v>0</v>
      </c>
      <c r="Q370" s="28">
        <f t="shared" si="177"/>
        <v>0</v>
      </c>
      <c r="R370" s="28">
        <f t="shared" si="164"/>
        <v>5876.1120000000001</v>
      </c>
      <c r="S370" s="28">
        <f t="shared" si="178"/>
        <v>0</v>
      </c>
      <c r="T370" s="28">
        <f t="shared" si="179"/>
        <v>0</v>
      </c>
      <c r="U370" s="28">
        <f t="shared" si="182"/>
        <v>0</v>
      </c>
      <c r="V370" s="28">
        <f t="shared" si="180"/>
        <v>0</v>
      </c>
      <c r="W370" s="118"/>
      <c r="X370" s="143">
        <f t="shared" si="181"/>
        <v>18.527000000000001</v>
      </c>
      <c r="Y370" s="121">
        <f>交易记录!S13</f>
        <v>0.42800000000000005</v>
      </c>
      <c r="Z370" s="121">
        <f>交易记录!S44</f>
        <v>372</v>
      </c>
      <c r="AA370" s="30">
        <f t="shared" si="165"/>
        <v>0</v>
      </c>
      <c r="AB370" s="124">
        <f>交易记录!S77</f>
        <v>0</v>
      </c>
      <c r="AC370" s="124">
        <f>交易记录!S108</f>
        <v>0</v>
      </c>
      <c r="AD370" s="30">
        <f t="shared" si="183"/>
        <v>0</v>
      </c>
      <c r="AE370" s="121">
        <f>交易记录!S141</f>
        <v>0</v>
      </c>
      <c r="AF370" s="121">
        <f>交易记录!S172</f>
        <v>0</v>
      </c>
      <c r="AG370" s="30">
        <f t="shared" si="184"/>
        <v>0</v>
      </c>
      <c r="AH370" s="124">
        <f>交易记录!S205</f>
        <v>0</v>
      </c>
      <c r="AI370" s="124">
        <f>交易记录!S236</f>
        <v>0</v>
      </c>
      <c r="AJ370" s="30">
        <f t="shared" si="185"/>
        <v>0</v>
      </c>
      <c r="AK370" s="121">
        <f>交易记录!S269</f>
        <v>0</v>
      </c>
      <c r="AL370" s="121">
        <f>交易记录!S300</f>
        <v>0</v>
      </c>
      <c r="AM370" s="30">
        <f t="shared" si="186"/>
        <v>0</v>
      </c>
      <c r="AN370" s="124">
        <f>交易记录!S333</f>
        <v>0</v>
      </c>
      <c r="AO370" s="124">
        <f>交易记录!S364</f>
        <v>0</v>
      </c>
      <c r="AP370" s="30">
        <f t="shared" si="187"/>
        <v>0</v>
      </c>
      <c r="AQ370" s="121">
        <f>交易记录!S397</f>
        <v>0</v>
      </c>
      <c r="AR370" s="121">
        <f>交易记录!S428</f>
        <v>0</v>
      </c>
      <c r="AS370" s="30">
        <f t="shared" si="188"/>
        <v>0</v>
      </c>
      <c r="AT370" s="124">
        <f>交易记录!S461</f>
        <v>0</v>
      </c>
      <c r="AU370" s="124">
        <f>交易记录!S492</f>
        <v>0</v>
      </c>
      <c r="AV370" s="30">
        <f t="shared" si="166"/>
        <v>0</v>
      </c>
      <c r="AW370" s="121">
        <f>交易记录!S525</f>
        <v>0</v>
      </c>
      <c r="AX370" s="121">
        <f>交易记录!S556</f>
        <v>0</v>
      </c>
      <c r="AY370" s="30">
        <f t="shared" si="167"/>
        <v>0</v>
      </c>
      <c r="AZ370" s="124">
        <f>交易记录!S589</f>
        <v>0</v>
      </c>
      <c r="BA370" s="124">
        <f>交易记录!S620</f>
        <v>0</v>
      </c>
      <c r="BB370" s="30">
        <f t="shared" si="168"/>
        <v>0</v>
      </c>
      <c r="BC370" s="121">
        <f>交易记录!S653</f>
        <v>0</v>
      </c>
      <c r="BD370" s="121">
        <f>交易记录!S684</f>
        <v>0</v>
      </c>
      <c r="BE370" s="30">
        <f t="shared" si="169"/>
        <v>0</v>
      </c>
      <c r="BF370" s="124">
        <f>交易记录!S717</f>
        <v>0</v>
      </c>
      <c r="BG370" s="124">
        <f>交易记录!S748</f>
        <v>0</v>
      </c>
      <c r="BH370" s="30">
        <f t="shared" si="170"/>
        <v>0</v>
      </c>
      <c r="BI370" s="121">
        <f>交易记录!S781</f>
        <v>0</v>
      </c>
      <c r="BJ370" s="121">
        <f>交易记录!S812</f>
        <v>0</v>
      </c>
      <c r="BK370" s="30">
        <f t="shared" si="171"/>
        <v>0</v>
      </c>
      <c r="BL370" s="124">
        <f>交易记录!S845</f>
        <v>0</v>
      </c>
      <c r="BM370" s="124">
        <f>交易记录!S876</f>
        <v>0</v>
      </c>
      <c r="BN370" s="30">
        <f t="shared" si="172"/>
        <v>0</v>
      </c>
      <c r="BO370" s="121">
        <f>交易记录!S909</f>
        <v>0</v>
      </c>
      <c r="BP370" s="121">
        <f>交易记录!S940</f>
        <v>0</v>
      </c>
      <c r="BQ370" s="30">
        <f t="shared" si="173"/>
        <v>0</v>
      </c>
    </row>
    <row r="371" spans="1:69" ht="15">
      <c r="A371" s="125">
        <f>'维护-日期'!A$18</f>
        <v>46281</v>
      </c>
      <c r="B371" s="7" t="s">
        <v>15</v>
      </c>
      <c r="C371" s="144">
        <f t="shared" si="174"/>
        <v>19.308</v>
      </c>
      <c r="D371" s="144">
        <f>ROUND(INDEX(持仓数据!$C$3:$AG$26,MATCH('计算过程-数据汇总'!B371,持仓数据!$B$3:$B$26,0),MATCH('计算过程-数据汇总'!A371,'维护-日期'!$B$2:$AF$2,0)),3)</f>
        <v>19.308</v>
      </c>
      <c r="E371" s="98">
        <f t="shared" si="175"/>
        <v>19.308</v>
      </c>
      <c r="F371" s="22">
        <f>持仓数据!R81</f>
        <v>0.46100000000000002</v>
      </c>
      <c r="G371" s="97">
        <v>372</v>
      </c>
      <c r="H371" s="97">
        <v>372</v>
      </c>
      <c r="I371" s="64">
        <v>0</v>
      </c>
      <c r="J371" s="64">
        <v>0</v>
      </c>
      <c r="K371" s="21">
        <f>IF(持仓数据!R114="",0,持仓数据!R114)</f>
        <v>372</v>
      </c>
      <c r="L371" s="21">
        <f t="shared" si="176"/>
        <v>0</v>
      </c>
      <c r="M371" s="28">
        <f t="shared" si="160"/>
        <v>7182.576</v>
      </c>
      <c r="N371" s="28">
        <f t="shared" si="161"/>
        <v>0</v>
      </c>
      <c r="O371" s="28">
        <f t="shared" si="162"/>
        <v>0</v>
      </c>
      <c r="P371" s="28">
        <f t="shared" si="163"/>
        <v>0</v>
      </c>
      <c r="Q371" s="28">
        <f t="shared" si="177"/>
        <v>0</v>
      </c>
      <c r="R371" s="28">
        <f t="shared" si="164"/>
        <v>7182.576</v>
      </c>
      <c r="S371" s="28">
        <f t="shared" si="178"/>
        <v>0</v>
      </c>
      <c r="T371" s="28">
        <f t="shared" si="179"/>
        <v>0</v>
      </c>
      <c r="U371" s="28">
        <f t="shared" si="182"/>
        <v>0</v>
      </c>
      <c r="V371" s="28">
        <f t="shared" si="180"/>
        <v>0</v>
      </c>
      <c r="W371" s="118"/>
      <c r="X371" s="143">
        <f t="shared" si="181"/>
        <v>22.709</v>
      </c>
      <c r="Y371" s="121">
        <f>交易记录!S14</f>
        <v>0.46100000000000002</v>
      </c>
      <c r="Z371" s="121">
        <f>交易记录!S45</f>
        <v>372</v>
      </c>
      <c r="AA371" s="30">
        <f t="shared" si="165"/>
        <v>0</v>
      </c>
      <c r="AB371" s="124">
        <f>交易记录!S78</f>
        <v>0</v>
      </c>
      <c r="AC371" s="124">
        <f>交易记录!S109</f>
        <v>0</v>
      </c>
      <c r="AD371" s="30">
        <f t="shared" si="183"/>
        <v>0</v>
      </c>
      <c r="AE371" s="121">
        <f>交易记录!S142</f>
        <v>0</v>
      </c>
      <c r="AF371" s="121">
        <f>交易记录!S173</f>
        <v>0</v>
      </c>
      <c r="AG371" s="30">
        <f t="shared" si="184"/>
        <v>0</v>
      </c>
      <c r="AH371" s="124">
        <f>交易记录!S206</f>
        <v>0</v>
      </c>
      <c r="AI371" s="124">
        <f>交易记录!S237</f>
        <v>0</v>
      </c>
      <c r="AJ371" s="30">
        <f t="shared" si="185"/>
        <v>0</v>
      </c>
      <c r="AK371" s="121">
        <f>交易记录!S270</f>
        <v>0</v>
      </c>
      <c r="AL371" s="121">
        <f>交易记录!S301</f>
        <v>0</v>
      </c>
      <c r="AM371" s="30">
        <f t="shared" si="186"/>
        <v>0</v>
      </c>
      <c r="AN371" s="124">
        <f>交易记录!S334</f>
        <v>0</v>
      </c>
      <c r="AO371" s="124">
        <f>交易记录!S365</f>
        <v>0</v>
      </c>
      <c r="AP371" s="30">
        <f t="shared" si="187"/>
        <v>0</v>
      </c>
      <c r="AQ371" s="121">
        <f>交易记录!S398</f>
        <v>0</v>
      </c>
      <c r="AR371" s="121">
        <f>交易记录!S429</f>
        <v>0</v>
      </c>
      <c r="AS371" s="30">
        <f t="shared" si="188"/>
        <v>0</v>
      </c>
      <c r="AT371" s="124">
        <f>交易记录!S462</f>
        <v>0</v>
      </c>
      <c r="AU371" s="124">
        <f>交易记录!S493</f>
        <v>0</v>
      </c>
      <c r="AV371" s="30">
        <f t="shared" si="166"/>
        <v>0</v>
      </c>
      <c r="AW371" s="121">
        <f>交易记录!S526</f>
        <v>0</v>
      </c>
      <c r="AX371" s="121">
        <f>交易记录!S557</f>
        <v>0</v>
      </c>
      <c r="AY371" s="30">
        <f t="shared" si="167"/>
        <v>0</v>
      </c>
      <c r="AZ371" s="124">
        <f>交易记录!S590</f>
        <v>0</v>
      </c>
      <c r="BA371" s="124">
        <f>交易记录!S621</f>
        <v>0</v>
      </c>
      <c r="BB371" s="30">
        <f t="shared" si="168"/>
        <v>0</v>
      </c>
      <c r="BC371" s="121">
        <f>交易记录!S654</f>
        <v>0</v>
      </c>
      <c r="BD371" s="121">
        <f>交易记录!S685</f>
        <v>0</v>
      </c>
      <c r="BE371" s="30">
        <f t="shared" si="169"/>
        <v>0</v>
      </c>
      <c r="BF371" s="124">
        <f>交易记录!S718</f>
        <v>0</v>
      </c>
      <c r="BG371" s="124">
        <f>交易记录!S749</f>
        <v>0</v>
      </c>
      <c r="BH371" s="30">
        <f t="shared" si="170"/>
        <v>0</v>
      </c>
      <c r="BI371" s="121">
        <f>交易记录!S782</f>
        <v>0</v>
      </c>
      <c r="BJ371" s="121">
        <f>交易记录!S813</f>
        <v>0</v>
      </c>
      <c r="BK371" s="30">
        <f t="shared" si="171"/>
        <v>0</v>
      </c>
      <c r="BL371" s="124">
        <f>交易记录!S846</f>
        <v>0</v>
      </c>
      <c r="BM371" s="124">
        <f>交易记录!S877</f>
        <v>0</v>
      </c>
      <c r="BN371" s="30">
        <f t="shared" si="172"/>
        <v>0</v>
      </c>
      <c r="BO371" s="121">
        <f>交易记录!S910</f>
        <v>0</v>
      </c>
      <c r="BP371" s="121">
        <f>交易记录!S941</f>
        <v>0</v>
      </c>
      <c r="BQ371" s="30">
        <f t="shared" si="173"/>
        <v>0</v>
      </c>
    </row>
    <row r="372" spans="1:69" ht="15">
      <c r="A372" s="125">
        <f>'维护-日期'!A$18</f>
        <v>46281</v>
      </c>
      <c r="B372" s="7" t="s">
        <v>16</v>
      </c>
      <c r="C372" s="144">
        <f t="shared" si="174"/>
        <v>21.01</v>
      </c>
      <c r="D372" s="144">
        <f>ROUND(INDEX(持仓数据!$C$3:$AG$26,MATCH('计算过程-数据汇总'!B372,持仓数据!$B$3:$B$26,0),MATCH('计算过程-数据汇总'!A372,'维护-日期'!$B$2:$AF$2,0)),3)</f>
        <v>21.01</v>
      </c>
      <c r="E372" s="98">
        <f t="shared" si="175"/>
        <v>21.01</v>
      </c>
      <c r="F372" s="22">
        <f>持仓数据!R82</f>
        <v>0.46700000000000003</v>
      </c>
      <c r="G372" s="97">
        <v>372</v>
      </c>
      <c r="H372" s="97">
        <v>372</v>
      </c>
      <c r="I372" s="64">
        <v>0</v>
      </c>
      <c r="J372" s="64">
        <v>0</v>
      </c>
      <c r="K372" s="21">
        <f>IF(持仓数据!R115="",0,持仓数据!R115)</f>
        <v>372</v>
      </c>
      <c r="L372" s="21">
        <f t="shared" si="176"/>
        <v>0</v>
      </c>
      <c r="M372" s="28">
        <f t="shared" si="160"/>
        <v>7815.72</v>
      </c>
      <c r="N372" s="28">
        <f t="shared" si="161"/>
        <v>0</v>
      </c>
      <c r="O372" s="28">
        <f t="shared" si="162"/>
        <v>0</v>
      </c>
      <c r="P372" s="28">
        <f t="shared" si="163"/>
        <v>0</v>
      </c>
      <c r="Q372" s="28">
        <f t="shared" si="177"/>
        <v>0</v>
      </c>
      <c r="R372" s="28">
        <f t="shared" si="164"/>
        <v>7815.72</v>
      </c>
      <c r="S372" s="28">
        <f t="shared" si="178"/>
        <v>0</v>
      </c>
      <c r="T372" s="28">
        <f t="shared" si="179"/>
        <v>0</v>
      </c>
      <c r="U372" s="28">
        <f t="shared" si="182"/>
        <v>0</v>
      </c>
      <c r="V372" s="28">
        <f t="shared" si="180"/>
        <v>0</v>
      </c>
      <c r="W372" s="118"/>
      <c r="X372" s="143">
        <f t="shared" si="181"/>
        <v>24.745000000000001</v>
      </c>
      <c r="Y372" s="121">
        <f>交易记录!S15</f>
        <v>0.46700000000000003</v>
      </c>
      <c r="Z372" s="121">
        <f>交易记录!S46</f>
        <v>372</v>
      </c>
      <c r="AA372" s="30">
        <f t="shared" si="165"/>
        <v>0</v>
      </c>
      <c r="AB372" s="124">
        <f>交易记录!S79</f>
        <v>0</v>
      </c>
      <c r="AC372" s="124">
        <f>交易记录!S110</f>
        <v>0</v>
      </c>
      <c r="AD372" s="30">
        <f t="shared" si="183"/>
        <v>0</v>
      </c>
      <c r="AE372" s="121">
        <f>交易记录!S143</f>
        <v>0</v>
      </c>
      <c r="AF372" s="121">
        <f>交易记录!S174</f>
        <v>0</v>
      </c>
      <c r="AG372" s="30">
        <f t="shared" si="184"/>
        <v>0</v>
      </c>
      <c r="AH372" s="124">
        <f>交易记录!S207</f>
        <v>0</v>
      </c>
      <c r="AI372" s="124">
        <f>交易记录!S238</f>
        <v>0</v>
      </c>
      <c r="AJ372" s="30">
        <f t="shared" si="185"/>
        <v>0</v>
      </c>
      <c r="AK372" s="121">
        <f>交易记录!S271</f>
        <v>0</v>
      </c>
      <c r="AL372" s="121">
        <f>交易记录!S302</f>
        <v>0</v>
      </c>
      <c r="AM372" s="30">
        <f t="shared" si="186"/>
        <v>0</v>
      </c>
      <c r="AN372" s="124">
        <f>交易记录!S335</f>
        <v>0</v>
      </c>
      <c r="AO372" s="124">
        <f>交易记录!S366</f>
        <v>0</v>
      </c>
      <c r="AP372" s="30">
        <f t="shared" si="187"/>
        <v>0</v>
      </c>
      <c r="AQ372" s="121">
        <f>交易记录!S399</f>
        <v>0</v>
      </c>
      <c r="AR372" s="121">
        <f>交易记录!S430</f>
        <v>0</v>
      </c>
      <c r="AS372" s="30">
        <f t="shared" si="188"/>
        <v>0</v>
      </c>
      <c r="AT372" s="124">
        <f>交易记录!S463</f>
        <v>0</v>
      </c>
      <c r="AU372" s="124">
        <f>交易记录!S494</f>
        <v>0</v>
      </c>
      <c r="AV372" s="30">
        <f t="shared" si="166"/>
        <v>0</v>
      </c>
      <c r="AW372" s="121">
        <f>交易记录!S527</f>
        <v>0</v>
      </c>
      <c r="AX372" s="121">
        <f>交易记录!S558</f>
        <v>0</v>
      </c>
      <c r="AY372" s="30">
        <f t="shared" si="167"/>
        <v>0</v>
      </c>
      <c r="AZ372" s="124">
        <f>交易记录!S591</f>
        <v>0</v>
      </c>
      <c r="BA372" s="124">
        <f>交易记录!S622</f>
        <v>0</v>
      </c>
      <c r="BB372" s="30">
        <f t="shared" si="168"/>
        <v>0</v>
      </c>
      <c r="BC372" s="121">
        <f>交易记录!S655</f>
        <v>0</v>
      </c>
      <c r="BD372" s="121">
        <f>交易记录!S686</f>
        <v>0</v>
      </c>
      <c r="BE372" s="30">
        <f t="shared" si="169"/>
        <v>0</v>
      </c>
      <c r="BF372" s="124">
        <f>交易记录!S719</f>
        <v>0</v>
      </c>
      <c r="BG372" s="124">
        <f>交易记录!S750</f>
        <v>0</v>
      </c>
      <c r="BH372" s="30">
        <f t="shared" si="170"/>
        <v>0</v>
      </c>
      <c r="BI372" s="121">
        <f>交易记录!S783</f>
        <v>0</v>
      </c>
      <c r="BJ372" s="121">
        <f>交易记录!S814</f>
        <v>0</v>
      </c>
      <c r="BK372" s="30">
        <f t="shared" si="171"/>
        <v>0</v>
      </c>
      <c r="BL372" s="124">
        <f>交易记录!S847</f>
        <v>0</v>
      </c>
      <c r="BM372" s="124">
        <f>交易记录!S878</f>
        <v>0</v>
      </c>
      <c r="BN372" s="30">
        <f t="shared" si="172"/>
        <v>0</v>
      </c>
      <c r="BO372" s="121">
        <f>交易记录!S911</f>
        <v>0</v>
      </c>
      <c r="BP372" s="121">
        <f>交易记录!S942</f>
        <v>0</v>
      </c>
      <c r="BQ372" s="30">
        <f t="shared" si="173"/>
        <v>0</v>
      </c>
    </row>
    <row r="373" spans="1:69" ht="15">
      <c r="A373" s="125">
        <f>'维护-日期'!A$18</f>
        <v>46281</v>
      </c>
      <c r="B373" s="7" t="s">
        <v>17</v>
      </c>
      <c r="C373" s="144">
        <f t="shared" si="174"/>
        <v>21.329000000000001</v>
      </c>
      <c r="D373" s="144">
        <f>ROUND(INDEX(持仓数据!$C$3:$AG$26,MATCH('计算过程-数据汇总'!B373,持仓数据!$B$3:$B$26,0),MATCH('计算过程-数据汇总'!A373,'维护-日期'!$B$2:$AF$2,0)),3)</f>
        <v>21.329000000000001</v>
      </c>
      <c r="E373" s="98">
        <f t="shared" si="175"/>
        <v>21.329000000000001</v>
      </c>
      <c r="F373" s="22">
        <f>持仓数据!R83</f>
        <v>0.32100000000000001</v>
      </c>
      <c r="G373" s="97">
        <v>372</v>
      </c>
      <c r="H373" s="97">
        <v>372</v>
      </c>
      <c r="I373" s="64">
        <v>0</v>
      </c>
      <c r="J373" s="64">
        <v>0</v>
      </c>
      <c r="K373" s="21">
        <f>IF(持仓数据!R116="",0,持仓数据!R116)</f>
        <v>372</v>
      </c>
      <c r="L373" s="21">
        <f t="shared" si="176"/>
        <v>0</v>
      </c>
      <c r="M373" s="28">
        <f t="shared" si="160"/>
        <v>7934.3879999999999</v>
      </c>
      <c r="N373" s="28">
        <f t="shared" si="161"/>
        <v>0</v>
      </c>
      <c r="O373" s="28">
        <f t="shared" si="162"/>
        <v>0</v>
      </c>
      <c r="P373" s="28">
        <f t="shared" si="163"/>
        <v>0</v>
      </c>
      <c r="Q373" s="28">
        <f t="shared" si="177"/>
        <v>0</v>
      </c>
      <c r="R373" s="28">
        <f t="shared" si="164"/>
        <v>7934.3879999999999</v>
      </c>
      <c r="S373" s="28">
        <f t="shared" si="178"/>
        <v>0</v>
      </c>
      <c r="T373" s="28">
        <f t="shared" si="179"/>
        <v>0</v>
      </c>
      <c r="U373" s="28">
        <f t="shared" si="182"/>
        <v>0</v>
      </c>
      <c r="V373" s="28">
        <f t="shared" si="180"/>
        <v>0</v>
      </c>
      <c r="W373" s="118"/>
      <c r="X373" s="143">
        <f t="shared" si="181"/>
        <v>25.274000000000001</v>
      </c>
      <c r="Y373" s="121">
        <f>交易记录!S16</f>
        <v>0.32100000000000001</v>
      </c>
      <c r="Z373" s="121">
        <f>交易记录!S47</f>
        <v>372</v>
      </c>
      <c r="AA373" s="30">
        <f t="shared" si="165"/>
        <v>0</v>
      </c>
      <c r="AB373" s="124">
        <f>交易记录!S80</f>
        <v>0</v>
      </c>
      <c r="AC373" s="124">
        <f>交易记录!S111</f>
        <v>0</v>
      </c>
      <c r="AD373" s="30">
        <f t="shared" si="183"/>
        <v>0</v>
      </c>
      <c r="AE373" s="121">
        <f>交易记录!S144</f>
        <v>0</v>
      </c>
      <c r="AF373" s="121">
        <f>交易记录!S175</f>
        <v>0</v>
      </c>
      <c r="AG373" s="30">
        <f t="shared" si="184"/>
        <v>0</v>
      </c>
      <c r="AH373" s="124">
        <f>交易记录!S208</f>
        <v>0</v>
      </c>
      <c r="AI373" s="124">
        <f>交易记录!S239</f>
        <v>0</v>
      </c>
      <c r="AJ373" s="30">
        <f t="shared" si="185"/>
        <v>0</v>
      </c>
      <c r="AK373" s="121">
        <f>交易记录!S272</f>
        <v>0</v>
      </c>
      <c r="AL373" s="121">
        <f>交易记录!S303</f>
        <v>0</v>
      </c>
      <c r="AM373" s="30">
        <f t="shared" si="186"/>
        <v>0</v>
      </c>
      <c r="AN373" s="124">
        <f>交易记录!S336</f>
        <v>0</v>
      </c>
      <c r="AO373" s="124">
        <f>交易记录!S367</f>
        <v>0</v>
      </c>
      <c r="AP373" s="30">
        <f t="shared" si="187"/>
        <v>0</v>
      </c>
      <c r="AQ373" s="121">
        <f>交易记录!S400</f>
        <v>0</v>
      </c>
      <c r="AR373" s="121">
        <f>交易记录!S431</f>
        <v>0</v>
      </c>
      <c r="AS373" s="30">
        <f t="shared" si="188"/>
        <v>0</v>
      </c>
      <c r="AT373" s="124">
        <f>交易记录!S464</f>
        <v>0</v>
      </c>
      <c r="AU373" s="124">
        <f>交易记录!S495</f>
        <v>0</v>
      </c>
      <c r="AV373" s="30">
        <f t="shared" si="166"/>
        <v>0</v>
      </c>
      <c r="AW373" s="121">
        <f>交易记录!S528</f>
        <v>0</v>
      </c>
      <c r="AX373" s="121">
        <f>交易记录!S559</f>
        <v>0</v>
      </c>
      <c r="AY373" s="30">
        <f t="shared" si="167"/>
        <v>0</v>
      </c>
      <c r="AZ373" s="124">
        <f>交易记录!S592</f>
        <v>0</v>
      </c>
      <c r="BA373" s="124">
        <f>交易记录!S623</f>
        <v>0</v>
      </c>
      <c r="BB373" s="30">
        <f t="shared" si="168"/>
        <v>0</v>
      </c>
      <c r="BC373" s="121">
        <f>交易记录!S656</f>
        <v>0</v>
      </c>
      <c r="BD373" s="121">
        <f>交易记录!S687</f>
        <v>0</v>
      </c>
      <c r="BE373" s="30">
        <f t="shared" si="169"/>
        <v>0</v>
      </c>
      <c r="BF373" s="124">
        <f>交易记录!S720</f>
        <v>0</v>
      </c>
      <c r="BG373" s="124">
        <f>交易记录!S751</f>
        <v>0</v>
      </c>
      <c r="BH373" s="30">
        <f t="shared" si="170"/>
        <v>0</v>
      </c>
      <c r="BI373" s="121">
        <f>交易记录!S784</f>
        <v>0</v>
      </c>
      <c r="BJ373" s="121">
        <f>交易记录!S815</f>
        <v>0</v>
      </c>
      <c r="BK373" s="30">
        <f t="shared" si="171"/>
        <v>0</v>
      </c>
      <c r="BL373" s="124">
        <f>交易记录!S848</f>
        <v>0</v>
      </c>
      <c r="BM373" s="124">
        <f>交易记录!S879</f>
        <v>0</v>
      </c>
      <c r="BN373" s="30">
        <f t="shared" si="172"/>
        <v>0</v>
      </c>
      <c r="BO373" s="121">
        <f>交易记录!S912</f>
        <v>0</v>
      </c>
      <c r="BP373" s="121">
        <f>交易记录!S943</f>
        <v>0</v>
      </c>
      <c r="BQ373" s="30">
        <f t="shared" si="173"/>
        <v>0</v>
      </c>
    </row>
    <row r="374" spans="1:69" ht="15">
      <c r="A374" s="125">
        <f>'维护-日期'!A$18</f>
        <v>46281</v>
      </c>
      <c r="B374" s="7" t="s">
        <v>18</v>
      </c>
      <c r="C374" s="144">
        <f t="shared" si="174"/>
        <v>22.643999999999998</v>
      </c>
      <c r="D374" s="144">
        <f>ROUND(INDEX(持仓数据!$C$3:$AG$26,MATCH('计算过程-数据汇总'!B374,持仓数据!$B$3:$B$26,0),MATCH('计算过程-数据汇总'!A374,'维护-日期'!$B$2:$AF$2,0)),3)</f>
        <v>22.643999999999998</v>
      </c>
      <c r="E374" s="98">
        <f t="shared" si="175"/>
        <v>22.643999999999998</v>
      </c>
      <c r="F374" s="22">
        <f>持仓数据!R84</f>
        <v>7.8E-2</v>
      </c>
      <c r="G374" s="97">
        <v>372</v>
      </c>
      <c r="H374" s="97">
        <v>372</v>
      </c>
      <c r="I374" s="64">
        <v>0</v>
      </c>
      <c r="J374" s="64">
        <v>0</v>
      </c>
      <c r="K374" s="21">
        <f>IF(持仓数据!R117="",0,持仓数据!R117)</f>
        <v>372</v>
      </c>
      <c r="L374" s="21">
        <f t="shared" si="176"/>
        <v>0</v>
      </c>
      <c r="M374" s="28">
        <f t="shared" si="160"/>
        <v>8423.5679999999993</v>
      </c>
      <c r="N374" s="28">
        <f t="shared" si="161"/>
        <v>0</v>
      </c>
      <c r="O374" s="28">
        <f t="shared" si="162"/>
        <v>0</v>
      </c>
      <c r="P374" s="28">
        <f t="shared" si="163"/>
        <v>0</v>
      </c>
      <c r="Q374" s="28">
        <f t="shared" si="177"/>
        <v>0</v>
      </c>
      <c r="R374" s="28">
        <f t="shared" si="164"/>
        <v>8423.5679999999993</v>
      </c>
      <c r="S374" s="28">
        <f t="shared" si="178"/>
        <v>0</v>
      </c>
      <c r="T374" s="28">
        <f t="shared" si="179"/>
        <v>0</v>
      </c>
      <c r="U374" s="28">
        <f t="shared" si="182"/>
        <v>0</v>
      </c>
      <c r="V374" s="28">
        <f t="shared" si="180"/>
        <v>0</v>
      </c>
      <c r="W374" s="118"/>
      <c r="X374" s="143">
        <f t="shared" si="181"/>
        <v>27.094999999999999</v>
      </c>
      <c r="Y374" s="121">
        <f>交易记录!S17</f>
        <v>7.8E-2</v>
      </c>
      <c r="Z374" s="121">
        <f>交易记录!S48</f>
        <v>372</v>
      </c>
      <c r="AA374" s="30">
        <f t="shared" si="165"/>
        <v>0</v>
      </c>
      <c r="AB374" s="124">
        <f>交易记录!S81</f>
        <v>0</v>
      </c>
      <c r="AC374" s="124">
        <f>交易记录!S112</f>
        <v>0</v>
      </c>
      <c r="AD374" s="30">
        <f t="shared" si="183"/>
        <v>0</v>
      </c>
      <c r="AE374" s="121">
        <f>交易记录!S145</f>
        <v>0</v>
      </c>
      <c r="AF374" s="121">
        <f>交易记录!S176</f>
        <v>0</v>
      </c>
      <c r="AG374" s="30">
        <f t="shared" si="184"/>
        <v>0</v>
      </c>
      <c r="AH374" s="124">
        <f>交易记录!S209</f>
        <v>0</v>
      </c>
      <c r="AI374" s="124">
        <f>交易记录!S240</f>
        <v>0</v>
      </c>
      <c r="AJ374" s="30">
        <f t="shared" si="185"/>
        <v>0</v>
      </c>
      <c r="AK374" s="121">
        <f>交易记录!S273</f>
        <v>0</v>
      </c>
      <c r="AL374" s="121">
        <f>交易记录!S304</f>
        <v>0</v>
      </c>
      <c r="AM374" s="30">
        <f t="shared" si="186"/>
        <v>0</v>
      </c>
      <c r="AN374" s="124">
        <f>交易记录!S337</f>
        <v>0</v>
      </c>
      <c r="AO374" s="124">
        <f>交易记录!S368</f>
        <v>0</v>
      </c>
      <c r="AP374" s="30">
        <f t="shared" si="187"/>
        <v>0</v>
      </c>
      <c r="AQ374" s="121">
        <f>交易记录!S401</f>
        <v>0</v>
      </c>
      <c r="AR374" s="121">
        <f>交易记录!S432</f>
        <v>0</v>
      </c>
      <c r="AS374" s="30">
        <f t="shared" si="188"/>
        <v>0</v>
      </c>
      <c r="AT374" s="124">
        <f>交易记录!S465</f>
        <v>0</v>
      </c>
      <c r="AU374" s="124">
        <f>交易记录!S496</f>
        <v>0</v>
      </c>
      <c r="AV374" s="30">
        <f t="shared" si="166"/>
        <v>0</v>
      </c>
      <c r="AW374" s="121">
        <f>交易记录!S529</f>
        <v>0</v>
      </c>
      <c r="AX374" s="121">
        <f>交易记录!S560</f>
        <v>0</v>
      </c>
      <c r="AY374" s="30">
        <f t="shared" si="167"/>
        <v>0</v>
      </c>
      <c r="AZ374" s="124">
        <f>交易记录!S593</f>
        <v>0</v>
      </c>
      <c r="BA374" s="124">
        <f>交易记录!S624</f>
        <v>0</v>
      </c>
      <c r="BB374" s="30">
        <f t="shared" si="168"/>
        <v>0</v>
      </c>
      <c r="BC374" s="121">
        <f>交易记录!S657</f>
        <v>0</v>
      </c>
      <c r="BD374" s="121">
        <f>交易记录!S688</f>
        <v>0</v>
      </c>
      <c r="BE374" s="30">
        <f t="shared" si="169"/>
        <v>0</v>
      </c>
      <c r="BF374" s="124">
        <f>交易记录!S721</f>
        <v>0</v>
      </c>
      <c r="BG374" s="124">
        <f>交易记录!S752</f>
        <v>0</v>
      </c>
      <c r="BH374" s="30">
        <f t="shared" si="170"/>
        <v>0</v>
      </c>
      <c r="BI374" s="121">
        <f>交易记录!S785</f>
        <v>0</v>
      </c>
      <c r="BJ374" s="121">
        <f>交易记录!S816</f>
        <v>0</v>
      </c>
      <c r="BK374" s="30">
        <f t="shared" si="171"/>
        <v>0</v>
      </c>
      <c r="BL374" s="124">
        <f>交易记录!S849</f>
        <v>0</v>
      </c>
      <c r="BM374" s="124">
        <f>交易记录!S880</f>
        <v>0</v>
      </c>
      <c r="BN374" s="30">
        <f t="shared" si="172"/>
        <v>0</v>
      </c>
      <c r="BO374" s="121">
        <f>交易记录!S913</f>
        <v>0</v>
      </c>
      <c r="BP374" s="121">
        <f>交易记录!S944</f>
        <v>0</v>
      </c>
      <c r="BQ374" s="30">
        <f t="shared" si="173"/>
        <v>0</v>
      </c>
    </row>
    <row r="375" spans="1:69" ht="15">
      <c r="A375" s="125">
        <f>'维护-日期'!A$18</f>
        <v>46281</v>
      </c>
      <c r="B375" s="7" t="s">
        <v>19</v>
      </c>
      <c r="C375" s="144">
        <f t="shared" si="174"/>
        <v>22.904</v>
      </c>
      <c r="D375" s="144">
        <f>ROUND(INDEX(持仓数据!$C$3:$AG$26,MATCH('计算过程-数据汇总'!B375,持仓数据!$B$3:$B$26,0),MATCH('计算过程-数据汇总'!A375,'维护-日期'!$B$2:$AF$2,0)),3)</f>
        <v>22.904</v>
      </c>
      <c r="E375" s="98">
        <f t="shared" si="175"/>
        <v>22.904</v>
      </c>
      <c r="F375" s="22">
        <f>持仓数据!R85</f>
        <v>0.19500000000000001</v>
      </c>
      <c r="G375" s="97">
        <v>372</v>
      </c>
      <c r="H375" s="97">
        <v>372</v>
      </c>
      <c r="I375" s="64">
        <v>0</v>
      </c>
      <c r="J375" s="64">
        <v>0</v>
      </c>
      <c r="K375" s="21">
        <f>IF(持仓数据!R118="",0,持仓数据!R118)</f>
        <v>372</v>
      </c>
      <c r="L375" s="21">
        <f t="shared" si="176"/>
        <v>0</v>
      </c>
      <c r="M375" s="28">
        <f t="shared" si="160"/>
        <v>8520.2880000000005</v>
      </c>
      <c r="N375" s="28">
        <f t="shared" si="161"/>
        <v>0</v>
      </c>
      <c r="O375" s="28">
        <f t="shared" si="162"/>
        <v>0</v>
      </c>
      <c r="P375" s="28">
        <f t="shared" si="163"/>
        <v>0</v>
      </c>
      <c r="Q375" s="28">
        <f t="shared" si="177"/>
        <v>0</v>
      </c>
      <c r="R375" s="28">
        <f t="shared" si="164"/>
        <v>8520.2880000000005</v>
      </c>
      <c r="S375" s="28">
        <f t="shared" si="178"/>
        <v>0</v>
      </c>
      <c r="T375" s="28">
        <f t="shared" si="179"/>
        <v>0</v>
      </c>
      <c r="U375" s="28">
        <f t="shared" si="182"/>
        <v>0</v>
      </c>
      <c r="V375" s="28">
        <f t="shared" si="180"/>
        <v>0</v>
      </c>
      <c r="W375" s="118"/>
      <c r="X375" s="143">
        <f t="shared" si="181"/>
        <v>27.29</v>
      </c>
      <c r="Y375" s="121">
        <f>交易记录!S18</f>
        <v>0.19500000000000001</v>
      </c>
      <c r="Z375" s="121">
        <f>交易记录!S49</f>
        <v>372</v>
      </c>
      <c r="AA375" s="30">
        <f t="shared" si="165"/>
        <v>0</v>
      </c>
      <c r="AB375" s="124">
        <f>交易记录!S82</f>
        <v>0</v>
      </c>
      <c r="AC375" s="124">
        <f>交易记录!S113</f>
        <v>0</v>
      </c>
      <c r="AD375" s="30">
        <f t="shared" si="183"/>
        <v>0</v>
      </c>
      <c r="AE375" s="121">
        <f>交易记录!S146</f>
        <v>0</v>
      </c>
      <c r="AF375" s="121">
        <f>交易记录!S177</f>
        <v>0</v>
      </c>
      <c r="AG375" s="30">
        <f t="shared" si="184"/>
        <v>0</v>
      </c>
      <c r="AH375" s="124">
        <f>交易记录!S210</f>
        <v>0</v>
      </c>
      <c r="AI375" s="124">
        <f>交易记录!S241</f>
        <v>0</v>
      </c>
      <c r="AJ375" s="30">
        <f t="shared" si="185"/>
        <v>0</v>
      </c>
      <c r="AK375" s="121">
        <f>交易记录!S274</f>
        <v>0</v>
      </c>
      <c r="AL375" s="121">
        <f>交易记录!S305</f>
        <v>0</v>
      </c>
      <c r="AM375" s="30">
        <f t="shared" si="186"/>
        <v>0</v>
      </c>
      <c r="AN375" s="124">
        <f>交易记录!S338</f>
        <v>0</v>
      </c>
      <c r="AO375" s="124">
        <f>交易记录!S369</f>
        <v>0</v>
      </c>
      <c r="AP375" s="30">
        <f t="shared" si="187"/>
        <v>0</v>
      </c>
      <c r="AQ375" s="121">
        <f>交易记录!S402</f>
        <v>0</v>
      </c>
      <c r="AR375" s="121">
        <f>交易记录!S433</f>
        <v>0</v>
      </c>
      <c r="AS375" s="30">
        <f t="shared" si="188"/>
        <v>0</v>
      </c>
      <c r="AT375" s="124">
        <f>交易记录!S466</f>
        <v>0</v>
      </c>
      <c r="AU375" s="124">
        <f>交易记录!S497</f>
        <v>0</v>
      </c>
      <c r="AV375" s="30">
        <f t="shared" si="166"/>
        <v>0</v>
      </c>
      <c r="AW375" s="121">
        <f>交易记录!S530</f>
        <v>0</v>
      </c>
      <c r="AX375" s="121">
        <f>交易记录!S561</f>
        <v>0</v>
      </c>
      <c r="AY375" s="30">
        <f t="shared" si="167"/>
        <v>0</v>
      </c>
      <c r="AZ375" s="124">
        <f>交易记录!S594</f>
        <v>0</v>
      </c>
      <c r="BA375" s="124">
        <f>交易记录!S625</f>
        <v>0</v>
      </c>
      <c r="BB375" s="30">
        <f t="shared" si="168"/>
        <v>0</v>
      </c>
      <c r="BC375" s="121">
        <f>交易记录!S658</f>
        <v>0</v>
      </c>
      <c r="BD375" s="121">
        <f>交易记录!S689</f>
        <v>0</v>
      </c>
      <c r="BE375" s="30">
        <f t="shared" si="169"/>
        <v>0</v>
      </c>
      <c r="BF375" s="124">
        <f>交易记录!S722</f>
        <v>0</v>
      </c>
      <c r="BG375" s="124">
        <f>交易记录!S753</f>
        <v>0</v>
      </c>
      <c r="BH375" s="30">
        <f t="shared" si="170"/>
        <v>0</v>
      </c>
      <c r="BI375" s="121">
        <f>交易记录!S786</f>
        <v>0</v>
      </c>
      <c r="BJ375" s="121">
        <f>交易记录!S817</f>
        <v>0</v>
      </c>
      <c r="BK375" s="30">
        <f t="shared" si="171"/>
        <v>0</v>
      </c>
      <c r="BL375" s="124">
        <f>交易记录!S850</f>
        <v>0</v>
      </c>
      <c r="BM375" s="124">
        <f>交易记录!S881</f>
        <v>0</v>
      </c>
      <c r="BN375" s="30">
        <f t="shared" si="172"/>
        <v>0</v>
      </c>
      <c r="BO375" s="121">
        <f>交易记录!S914</f>
        <v>0</v>
      </c>
      <c r="BP375" s="121">
        <f>交易记录!S945</f>
        <v>0</v>
      </c>
      <c r="BQ375" s="30">
        <f t="shared" si="173"/>
        <v>0</v>
      </c>
    </row>
    <row r="376" spans="1:69" ht="15">
      <c r="A376" s="125">
        <f>'维护-日期'!A$18</f>
        <v>46281</v>
      </c>
      <c r="B376" s="7" t="s">
        <v>20</v>
      </c>
      <c r="C376" s="144">
        <f t="shared" si="174"/>
        <v>22.071000000000002</v>
      </c>
      <c r="D376" s="144">
        <f>ROUND(INDEX(持仓数据!$C$3:$AG$26,MATCH('计算过程-数据汇总'!B376,持仓数据!$B$3:$B$26,0),MATCH('计算过程-数据汇总'!A376,'维护-日期'!$B$2:$AF$2,0)),3)</f>
        <v>22.071000000000002</v>
      </c>
      <c r="E376" s="98">
        <f t="shared" si="175"/>
        <v>22.071000000000002</v>
      </c>
      <c r="F376" s="22">
        <f>持仓数据!R86</f>
        <v>0.34599999999999997</v>
      </c>
      <c r="G376" s="97">
        <v>372</v>
      </c>
      <c r="H376" s="97">
        <v>372</v>
      </c>
      <c r="I376" s="64">
        <v>0</v>
      </c>
      <c r="J376" s="64">
        <v>0</v>
      </c>
      <c r="K376" s="21">
        <f>IF(持仓数据!R119="",0,持仓数据!R119)</f>
        <v>372</v>
      </c>
      <c r="L376" s="21">
        <f t="shared" si="176"/>
        <v>0</v>
      </c>
      <c r="M376" s="28">
        <f t="shared" si="160"/>
        <v>8210.4120000000003</v>
      </c>
      <c r="N376" s="28">
        <f t="shared" si="161"/>
        <v>0</v>
      </c>
      <c r="O376" s="28">
        <f t="shared" si="162"/>
        <v>0</v>
      </c>
      <c r="P376" s="28">
        <f t="shared" si="163"/>
        <v>0</v>
      </c>
      <c r="Q376" s="28">
        <f t="shared" si="177"/>
        <v>0</v>
      </c>
      <c r="R376" s="28">
        <f t="shared" si="164"/>
        <v>8210.4120000000003</v>
      </c>
      <c r="S376" s="28">
        <f t="shared" si="178"/>
        <v>0</v>
      </c>
      <c r="T376" s="28">
        <f t="shared" si="179"/>
        <v>0</v>
      </c>
      <c r="U376" s="28">
        <f t="shared" si="182"/>
        <v>0</v>
      </c>
      <c r="V376" s="28">
        <f t="shared" si="180"/>
        <v>0</v>
      </c>
      <c r="W376" s="118"/>
      <c r="X376" s="143">
        <f t="shared" si="181"/>
        <v>26.138999999999999</v>
      </c>
      <c r="Y376" s="121">
        <f>交易记录!S19</f>
        <v>0.34599999999999997</v>
      </c>
      <c r="Z376" s="121">
        <f>交易记录!S50</f>
        <v>372</v>
      </c>
      <c r="AA376" s="30">
        <f t="shared" si="165"/>
        <v>0</v>
      </c>
      <c r="AB376" s="124">
        <f>交易记录!S83</f>
        <v>0</v>
      </c>
      <c r="AC376" s="124">
        <f>交易记录!S114</f>
        <v>0</v>
      </c>
      <c r="AD376" s="30">
        <f t="shared" si="183"/>
        <v>0</v>
      </c>
      <c r="AE376" s="121">
        <f>交易记录!S147</f>
        <v>0</v>
      </c>
      <c r="AF376" s="121">
        <f>交易记录!S178</f>
        <v>0</v>
      </c>
      <c r="AG376" s="30">
        <f t="shared" si="184"/>
        <v>0</v>
      </c>
      <c r="AH376" s="124">
        <f>交易记录!S211</f>
        <v>0</v>
      </c>
      <c r="AI376" s="124">
        <f>交易记录!S242</f>
        <v>0</v>
      </c>
      <c r="AJ376" s="30">
        <f t="shared" si="185"/>
        <v>0</v>
      </c>
      <c r="AK376" s="121">
        <f>交易记录!S275</f>
        <v>0</v>
      </c>
      <c r="AL376" s="121">
        <f>交易记录!S306</f>
        <v>0</v>
      </c>
      <c r="AM376" s="30">
        <f t="shared" si="186"/>
        <v>0</v>
      </c>
      <c r="AN376" s="124">
        <f>交易记录!S339</f>
        <v>0</v>
      </c>
      <c r="AO376" s="124">
        <f>交易记录!S370</f>
        <v>0</v>
      </c>
      <c r="AP376" s="30">
        <f t="shared" si="187"/>
        <v>0</v>
      </c>
      <c r="AQ376" s="121">
        <f>交易记录!S403</f>
        <v>0</v>
      </c>
      <c r="AR376" s="121">
        <f>交易记录!S434</f>
        <v>0</v>
      </c>
      <c r="AS376" s="30">
        <f t="shared" si="188"/>
        <v>0</v>
      </c>
      <c r="AT376" s="124">
        <f>交易记录!S467</f>
        <v>0</v>
      </c>
      <c r="AU376" s="124">
        <f>交易记录!S498</f>
        <v>0</v>
      </c>
      <c r="AV376" s="30">
        <f t="shared" si="166"/>
        <v>0</v>
      </c>
      <c r="AW376" s="121">
        <f>交易记录!S531</f>
        <v>0</v>
      </c>
      <c r="AX376" s="121">
        <f>交易记录!S562</f>
        <v>0</v>
      </c>
      <c r="AY376" s="30">
        <f t="shared" si="167"/>
        <v>0</v>
      </c>
      <c r="AZ376" s="124">
        <f>交易记录!S595</f>
        <v>0</v>
      </c>
      <c r="BA376" s="124">
        <f>交易记录!S626</f>
        <v>0</v>
      </c>
      <c r="BB376" s="30">
        <f t="shared" si="168"/>
        <v>0</v>
      </c>
      <c r="BC376" s="121">
        <f>交易记录!S659</f>
        <v>0</v>
      </c>
      <c r="BD376" s="121">
        <f>交易记录!S690</f>
        <v>0</v>
      </c>
      <c r="BE376" s="30">
        <f t="shared" si="169"/>
        <v>0</v>
      </c>
      <c r="BF376" s="124">
        <f>交易记录!S723</f>
        <v>0</v>
      </c>
      <c r="BG376" s="124">
        <f>交易记录!S754</f>
        <v>0</v>
      </c>
      <c r="BH376" s="30">
        <f t="shared" si="170"/>
        <v>0</v>
      </c>
      <c r="BI376" s="121">
        <f>交易记录!S787</f>
        <v>0</v>
      </c>
      <c r="BJ376" s="121">
        <f>交易记录!S818</f>
        <v>0</v>
      </c>
      <c r="BK376" s="30">
        <f t="shared" si="171"/>
        <v>0</v>
      </c>
      <c r="BL376" s="124">
        <f>交易记录!S851</f>
        <v>0</v>
      </c>
      <c r="BM376" s="124">
        <f>交易记录!S882</f>
        <v>0</v>
      </c>
      <c r="BN376" s="30">
        <f t="shared" si="172"/>
        <v>0</v>
      </c>
      <c r="BO376" s="121">
        <f>交易记录!S915</f>
        <v>0</v>
      </c>
      <c r="BP376" s="121">
        <f>交易记录!S946</f>
        <v>0</v>
      </c>
      <c r="BQ376" s="30">
        <f t="shared" si="173"/>
        <v>0</v>
      </c>
    </row>
    <row r="377" spans="1:69" ht="15">
      <c r="A377" s="125">
        <f>'维护-日期'!A$18</f>
        <v>46281</v>
      </c>
      <c r="B377" s="7" t="s">
        <v>21</v>
      </c>
      <c r="C377" s="144">
        <f t="shared" si="174"/>
        <v>22.087</v>
      </c>
      <c r="D377" s="144">
        <f>ROUND(INDEX(持仓数据!$C$3:$AG$26,MATCH('计算过程-数据汇总'!B377,持仓数据!$B$3:$B$26,0),MATCH('计算过程-数据汇总'!A377,'维护-日期'!$B$2:$AF$2,0)),3)</f>
        <v>22.087</v>
      </c>
      <c r="E377" s="98">
        <f t="shared" si="175"/>
        <v>22.087</v>
      </c>
      <c r="F377" s="22">
        <f>持仓数据!R87</f>
        <v>0.38</v>
      </c>
      <c r="G377" s="97">
        <v>372</v>
      </c>
      <c r="H377" s="97">
        <v>372</v>
      </c>
      <c r="I377" s="64">
        <v>0</v>
      </c>
      <c r="J377" s="64">
        <v>0</v>
      </c>
      <c r="K377" s="21">
        <f>IF(持仓数据!R120="",0,持仓数据!R120)</f>
        <v>372.00000000000006</v>
      </c>
      <c r="L377" s="21">
        <f t="shared" si="176"/>
        <v>0</v>
      </c>
      <c r="M377" s="28">
        <f t="shared" si="160"/>
        <v>8216.3639999999996</v>
      </c>
      <c r="N377" s="28">
        <f t="shared" si="161"/>
        <v>0</v>
      </c>
      <c r="O377" s="28">
        <f t="shared" si="162"/>
        <v>0</v>
      </c>
      <c r="P377" s="28">
        <f t="shared" si="163"/>
        <v>2.1600499167107046E-14</v>
      </c>
      <c r="Q377" s="28">
        <f t="shared" si="177"/>
        <v>0</v>
      </c>
      <c r="R377" s="28">
        <f t="shared" si="164"/>
        <v>8216.3640000000014</v>
      </c>
      <c r="S377" s="28">
        <f t="shared" si="178"/>
        <v>0</v>
      </c>
      <c r="T377" s="28">
        <f t="shared" si="179"/>
        <v>-1.2339000932115596E-12</v>
      </c>
      <c r="U377" s="28">
        <f t="shared" si="182"/>
        <v>0</v>
      </c>
      <c r="V377" s="28">
        <f t="shared" si="180"/>
        <v>0</v>
      </c>
      <c r="W377" s="118"/>
      <c r="X377" s="143">
        <f t="shared" si="181"/>
        <v>26.123999999999999</v>
      </c>
      <c r="Y377" s="121">
        <f>交易记录!S20</f>
        <v>0.38</v>
      </c>
      <c r="Z377" s="121">
        <f>交易记录!S51</f>
        <v>372</v>
      </c>
      <c r="AA377" s="30">
        <f t="shared" si="165"/>
        <v>0</v>
      </c>
      <c r="AB377" s="124">
        <f>交易记录!S84</f>
        <v>0</v>
      </c>
      <c r="AC377" s="124">
        <f>交易记录!S115</f>
        <v>0</v>
      </c>
      <c r="AD377" s="30">
        <f t="shared" si="183"/>
        <v>0</v>
      </c>
      <c r="AE377" s="121">
        <f>交易记录!S148</f>
        <v>0</v>
      </c>
      <c r="AF377" s="121">
        <f>交易记录!S179</f>
        <v>0</v>
      </c>
      <c r="AG377" s="30">
        <f t="shared" si="184"/>
        <v>0</v>
      </c>
      <c r="AH377" s="124">
        <f>交易记录!S212</f>
        <v>0</v>
      </c>
      <c r="AI377" s="124">
        <f>交易记录!S243</f>
        <v>0</v>
      </c>
      <c r="AJ377" s="30">
        <f t="shared" si="185"/>
        <v>0</v>
      </c>
      <c r="AK377" s="121">
        <f>交易记录!S276</f>
        <v>0</v>
      </c>
      <c r="AL377" s="121">
        <f>交易记录!S307</f>
        <v>0</v>
      </c>
      <c r="AM377" s="30">
        <f t="shared" si="186"/>
        <v>0</v>
      </c>
      <c r="AN377" s="124">
        <f>交易记录!S340</f>
        <v>0</v>
      </c>
      <c r="AO377" s="124">
        <f>交易记录!S371</f>
        <v>0</v>
      </c>
      <c r="AP377" s="30">
        <f t="shared" si="187"/>
        <v>0</v>
      </c>
      <c r="AQ377" s="121">
        <f>交易记录!S404</f>
        <v>0</v>
      </c>
      <c r="AR377" s="121">
        <f>交易记录!S435</f>
        <v>0</v>
      </c>
      <c r="AS377" s="30">
        <f t="shared" si="188"/>
        <v>0</v>
      </c>
      <c r="AT377" s="124">
        <f>交易记录!S468</f>
        <v>0</v>
      </c>
      <c r="AU377" s="124">
        <f>交易记录!S499</f>
        <v>0</v>
      </c>
      <c r="AV377" s="30">
        <f t="shared" si="166"/>
        <v>0</v>
      </c>
      <c r="AW377" s="121">
        <f>交易记录!S532</f>
        <v>0</v>
      </c>
      <c r="AX377" s="121">
        <f>交易记录!S563</f>
        <v>0</v>
      </c>
      <c r="AY377" s="30">
        <f t="shared" si="167"/>
        <v>0</v>
      </c>
      <c r="AZ377" s="124">
        <f>交易记录!S596</f>
        <v>0</v>
      </c>
      <c r="BA377" s="124">
        <f>交易记录!S627</f>
        <v>0</v>
      </c>
      <c r="BB377" s="30">
        <f t="shared" si="168"/>
        <v>0</v>
      </c>
      <c r="BC377" s="121">
        <f>交易记录!S660</f>
        <v>0</v>
      </c>
      <c r="BD377" s="121">
        <f>交易记录!S691</f>
        <v>0</v>
      </c>
      <c r="BE377" s="30">
        <f t="shared" si="169"/>
        <v>0</v>
      </c>
      <c r="BF377" s="124">
        <f>交易记录!S724</f>
        <v>0</v>
      </c>
      <c r="BG377" s="124">
        <f>交易记录!S755</f>
        <v>0</v>
      </c>
      <c r="BH377" s="30">
        <f t="shared" si="170"/>
        <v>0</v>
      </c>
      <c r="BI377" s="121">
        <f>交易记录!S788</f>
        <v>0</v>
      </c>
      <c r="BJ377" s="121">
        <f>交易记录!S819</f>
        <v>0</v>
      </c>
      <c r="BK377" s="30">
        <f t="shared" si="171"/>
        <v>0</v>
      </c>
      <c r="BL377" s="124">
        <f>交易记录!S852</f>
        <v>0</v>
      </c>
      <c r="BM377" s="124">
        <f>交易记录!S883</f>
        <v>0</v>
      </c>
      <c r="BN377" s="30">
        <f t="shared" si="172"/>
        <v>0</v>
      </c>
      <c r="BO377" s="121">
        <f>交易记录!S916</f>
        <v>0</v>
      </c>
      <c r="BP377" s="121">
        <f>交易记录!S947</f>
        <v>0</v>
      </c>
      <c r="BQ377" s="30">
        <f t="shared" si="173"/>
        <v>0</v>
      </c>
    </row>
    <row r="378" spans="1:69" ht="15">
      <c r="A378" s="125">
        <f>'维护-日期'!A$18</f>
        <v>46281</v>
      </c>
      <c r="B378" s="7" t="s">
        <v>22</v>
      </c>
      <c r="C378" s="144">
        <f t="shared" si="174"/>
        <v>23.077999999999999</v>
      </c>
      <c r="D378" s="144">
        <f>ROUND(INDEX(持仓数据!$C$3:$AG$26,MATCH('计算过程-数据汇总'!B378,持仓数据!$B$3:$B$26,0),MATCH('计算过程-数据汇总'!A378,'维护-日期'!$B$2:$AF$2,0)),3)</f>
        <v>23.077999999999999</v>
      </c>
      <c r="E378" s="98">
        <f t="shared" si="175"/>
        <v>23.077999999999999</v>
      </c>
      <c r="F378" s="22">
        <f>持仓数据!R88</f>
        <v>0.58600000000000008</v>
      </c>
      <c r="G378" s="97">
        <v>372</v>
      </c>
      <c r="H378" s="97">
        <v>372</v>
      </c>
      <c r="I378" s="64">
        <v>0</v>
      </c>
      <c r="J378" s="64">
        <v>0</v>
      </c>
      <c r="K378" s="21">
        <f>IF(持仓数据!R121="",0,持仓数据!R121)</f>
        <v>372</v>
      </c>
      <c r="L378" s="21">
        <f t="shared" si="176"/>
        <v>0</v>
      </c>
      <c r="M378" s="28">
        <f t="shared" si="160"/>
        <v>8585.0159999999996</v>
      </c>
      <c r="N378" s="28">
        <f t="shared" si="161"/>
        <v>0</v>
      </c>
      <c r="O378" s="28">
        <f t="shared" si="162"/>
        <v>0</v>
      </c>
      <c r="P378" s="28">
        <f t="shared" si="163"/>
        <v>0</v>
      </c>
      <c r="Q378" s="28">
        <f t="shared" si="177"/>
        <v>0</v>
      </c>
      <c r="R378" s="28">
        <f t="shared" si="164"/>
        <v>8585.0159999999996</v>
      </c>
      <c r="S378" s="28">
        <f t="shared" si="178"/>
        <v>0</v>
      </c>
      <c r="T378" s="28">
        <f t="shared" si="179"/>
        <v>0</v>
      </c>
      <c r="U378" s="28">
        <f t="shared" si="182"/>
        <v>0</v>
      </c>
      <c r="V378" s="28">
        <f t="shared" si="180"/>
        <v>0</v>
      </c>
      <c r="W378" s="118"/>
      <c r="X378" s="143">
        <f t="shared" si="181"/>
        <v>27.108000000000001</v>
      </c>
      <c r="Y378" s="121">
        <f>交易记录!S21</f>
        <v>0.58600000000000008</v>
      </c>
      <c r="Z378" s="121">
        <f>交易记录!S52</f>
        <v>372</v>
      </c>
      <c r="AA378" s="30">
        <f t="shared" si="165"/>
        <v>0</v>
      </c>
      <c r="AB378" s="124">
        <f>交易记录!S85</f>
        <v>0</v>
      </c>
      <c r="AC378" s="124">
        <f>交易记录!S116</f>
        <v>0</v>
      </c>
      <c r="AD378" s="30">
        <f t="shared" si="183"/>
        <v>0</v>
      </c>
      <c r="AE378" s="121">
        <f>交易记录!S149</f>
        <v>0</v>
      </c>
      <c r="AF378" s="121">
        <f>交易记录!S180</f>
        <v>0</v>
      </c>
      <c r="AG378" s="30">
        <f t="shared" si="184"/>
        <v>0</v>
      </c>
      <c r="AH378" s="124">
        <f>交易记录!S213</f>
        <v>0</v>
      </c>
      <c r="AI378" s="124">
        <f>交易记录!S244</f>
        <v>0</v>
      </c>
      <c r="AJ378" s="30">
        <f t="shared" si="185"/>
        <v>0</v>
      </c>
      <c r="AK378" s="121">
        <f>交易记录!S277</f>
        <v>0</v>
      </c>
      <c r="AL378" s="121">
        <f>交易记录!S308</f>
        <v>0</v>
      </c>
      <c r="AM378" s="30">
        <f t="shared" si="186"/>
        <v>0</v>
      </c>
      <c r="AN378" s="124">
        <f>交易记录!S341</f>
        <v>0</v>
      </c>
      <c r="AO378" s="124">
        <f>交易记录!S372</f>
        <v>0</v>
      </c>
      <c r="AP378" s="30">
        <f t="shared" si="187"/>
        <v>0</v>
      </c>
      <c r="AQ378" s="121">
        <f>交易记录!S405</f>
        <v>0</v>
      </c>
      <c r="AR378" s="121">
        <f>交易记录!S436</f>
        <v>0</v>
      </c>
      <c r="AS378" s="30">
        <f t="shared" si="188"/>
        <v>0</v>
      </c>
      <c r="AT378" s="124">
        <f>交易记录!S469</f>
        <v>0</v>
      </c>
      <c r="AU378" s="124">
        <f>交易记录!S500</f>
        <v>0</v>
      </c>
      <c r="AV378" s="30">
        <f t="shared" si="166"/>
        <v>0</v>
      </c>
      <c r="AW378" s="121">
        <f>交易记录!S533</f>
        <v>0</v>
      </c>
      <c r="AX378" s="121">
        <f>交易记录!S564</f>
        <v>0</v>
      </c>
      <c r="AY378" s="30">
        <f t="shared" si="167"/>
        <v>0</v>
      </c>
      <c r="AZ378" s="124">
        <f>交易记录!S597</f>
        <v>0</v>
      </c>
      <c r="BA378" s="124">
        <f>交易记录!S628</f>
        <v>0</v>
      </c>
      <c r="BB378" s="30">
        <f t="shared" si="168"/>
        <v>0</v>
      </c>
      <c r="BC378" s="121">
        <f>交易记录!S661</f>
        <v>0</v>
      </c>
      <c r="BD378" s="121">
        <f>交易记录!S692</f>
        <v>0</v>
      </c>
      <c r="BE378" s="30">
        <f t="shared" si="169"/>
        <v>0</v>
      </c>
      <c r="BF378" s="124">
        <f>交易记录!S725</f>
        <v>0</v>
      </c>
      <c r="BG378" s="124">
        <f>交易记录!S756</f>
        <v>0</v>
      </c>
      <c r="BH378" s="30">
        <f t="shared" si="170"/>
        <v>0</v>
      </c>
      <c r="BI378" s="121">
        <f>交易记录!S789</f>
        <v>0</v>
      </c>
      <c r="BJ378" s="121">
        <f>交易记录!S820</f>
        <v>0</v>
      </c>
      <c r="BK378" s="30">
        <f t="shared" si="171"/>
        <v>0</v>
      </c>
      <c r="BL378" s="124">
        <f>交易记录!S853</f>
        <v>0</v>
      </c>
      <c r="BM378" s="124">
        <f>交易记录!S884</f>
        <v>0</v>
      </c>
      <c r="BN378" s="30">
        <f t="shared" si="172"/>
        <v>0</v>
      </c>
      <c r="BO378" s="121">
        <f>交易记录!S917</f>
        <v>0</v>
      </c>
      <c r="BP378" s="121">
        <f>交易记录!S948</f>
        <v>0</v>
      </c>
      <c r="BQ378" s="30">
        <f t="shared" si="173"/>
        <v>0</v>
      </c>
    </row>
    <row r="379" spans="1:69" ht="15">
      <c r="A379" s="125">
        <f>'维护-日期'!A$18</f>
        <v>46281</v>
      </c>
      <c r="B379" s="7" t="s">
        <v>23</v>
      </c>
      <c r="C379" s="144">
        <f t="shared" si="174"/>
        <v>23.443000000000001</v>
      </c>
      <c r="D379" s="144">
        <f>ROUND(INDEX(持仓数据!$C$3:$AG$26,MATCH('计算过程-数据汇总'!B379,持仓数据!$B$3:$B$26,0),MATCH('计算过程-数据汇总'!A379,'维护-日期'!$B$2:$AF$2,0)),3)</f>
        <v>23.443000000000001</v>
      </c>
      <c r="E379" s="98">
        <f t="shared" si="175"/>
        <v>23.443000000000001</v>
      </c>
      <c r="F379" s="22">
        <f>持仓数据!R89</f>
        <v>0.63300000000000001</v>
      </c>
      <c r="G379" s="97">
        <v>372</v>
      </c>
      <c r="H379" s="97">
        <v>372</v>
      </c>
      <c r="I379" s="64">
        <v>0</v>
      </c>
      <c r="J379" s="64">
        <v>0</v>
      </c>
      <c r="K379" s="21">
        <f>IF(持仓数据!R122="",0,持仓数据!R122)</f>
        <v>372</v>
      </c>
      <c r="L379" s="21">
        <f t="shared" si="176"/>
        <v>0</v>
      </c>
      <c r="M379" s="28">
        <f t="shared" si="160"/>
        <v>8720.7960000000003</v>
      </c>
      <c r="N379" s="28">
        <f t="shared" si="161"/>
        <v>0</v>
      </c>
      <c r="O379" s="28">
        <f t="shared" si="162"/>
        <v>0</v>
      </c>
      <c r="P379" s="28">
        <f t="shared" si="163"/>
        <v>0</v>
      </c>
      <c r="Q379" s="28">
        <f t="shared" si="177"/>
        <v>0</v>
      </c>
      <c r="R379" s="28">
        <f t="shared" si="164"/>
        <v>8720.7960000000003</v>
      </c>
      <c r="S379" s="28">
        <f t="shared" si="178"/>
        <v>0</v>
      </c>
      <c r="T379" s="28">
        <f t="shared" si="179"/>
        <v>0</v>
      </c>
      <c r="U379" s="28">
        <f t="shared" si="182"/>
        <v>0</v>
      </c>
      <c r="V379" s="28">
        <f t="shared" si="180"/>
        <v>0</v>
      </c>
      <c r="W379" s="118"/>
      <c r="X379" s="143">
        <f t="shared" si="181"/>
        <v>27.498999999999999</v>
      </c>
      <c r="Y379" s="121">
        <f>交易记录!S22</f>
        <v>0.63300000000000001</v>
      </c>
      <c r="Z379" s="121">
        <f>交易记录!S53</f>
        <v>372</v>
      </c>
      <c r="AA379" s="30">
        <f t="shared" si="165"/>
        <v>0</v>
      </c>
      <c r="AB379" s="124">
        <f>交易记录!S86</f>
        <v>0</v>
      </c>
      <c r="AC379" s="124">
        <f>交易记录!S117</f>
        <v>0</v>
      </c>
      <c r="AD379" s="30">
        <f t="shared" si="183"/>
        <v>0</v>
      </c>
      <c r="AE379" s="121">
        <f>交易记录!S150</f>
        <v>0</v>
      </c>
      <c r="AF379" s="121">
        <f>交易记录!S181</f>
        <v>0</v>
      </c>
      <c r="AG379" s="30">
        <f t="shared" si="184"/>
        <v>0</v>
      </c>
      <c r="AH379" s="124">
        <f>交易记录!S214</f>
        <v>0</v>
      </c>
      <c r="AI379" s="124">
        <f>交易记录!S245</f>
        <v>0</v>
      </c>
      <c r="AJ379" s="30">
        <f t="shared" si="185"/>
        <v>0</v>
      </c>
      <c r="AK379" s="121">
        <f>交易记录!S278</f>
        <v>0</v>
      </c>
      <c r="AL379" s="121">
        <f>交易记录!S309</f>
        <v>0</v>
      </c>
      <c r="AM379" s="30">
        <f t="shared" si="186"/>
        <v>0</v>
      </c>
      <c r="AN379" s="124">
        <f>交易记录!S342</f>
        <v>0</v>
      </c>
      <c r="AO379" s="124">
        <f>交易记录!S373</f>
        <v>0</v>
      </c>
      <c r="AP379" s="30">
        <f t="shared" si="187"/>
        <v>0</v>
      </c>
      <c r="AQ379" s="121">
        <f>交易记录!S406</f>
        <v>0</v>
      </c>
      <c r="AR379" s="121">
        <f>交易记录!S437</f>
        <v>0</v>
      </c>
      <c r="AS379" s="30">
        <f t="shared" si="188"/>
        <v>0</v>
      </c>
      <c r="AT379" s="124">
        <f>交易记录!S470</f>
        <v>0</v>
      </c>
      <c r="AU379" s="124">
        <f>交易记录!S501</f>
        <v>0</v>
      </c>
      <c r="AV379" s="30">
        <f t="shared" si="166"/>
        <v>0</v>
      </c>
      <c r="AW379" s="121">
        <f>交易记录!S534</f>
        <v>0</v>
      </c>
      <c r="AX379" s="121">
        <f>交易记录!S565</f>
        <v>0</v>
      </c>
      <c r="AY379" s="30">
        <f t="shared" si="167"/>
        <v>0</v>
      </c>
      <c r="AZ379" s="124">
        <f>交易记录!S598</f>
        <v>0</v>
      </c>
      <c r="BA379" s="124">
        <f>交易记录!S629</f>
        <v>0</v>
      </c>
      <c r="BB379" s="30">
        <f t="shared" si="168"/>
        <v>0</v>
      </c>
      <c r="BC379" s="121">
        <f>交易记录!S662</f>
        <v>0</v>
      </c>
      <c r="BD379" s="121">
        <f>交易记录!S693</f>
        <v>0</v>
      </c>
      <c r="BE379" s="30">
        <f t="shared" si="169"/>
        <v>0</v>
      </c>
      <c r="BF379" s="124">
        <f>交易记录!S726</f>
        <v>0</v>
      </c>
      <c r="BG379" s="124">
        <f>交易记录!S757</f>
        <v>0</v>
      </c>
      <c r="BH379" s="30">
        <f t="shared" si="170"/>
        <v>0</v>
      </c>
      <c r="BI379" s="121">
        <f>交易记录!S790</f>
        <v>0</v>
      </c>
      <c r="BJ379" s="121">
        <f>交易记录!S821</f>
        <v>0</v>
      </c>
      <c r="BK379" s="30">
        <f t="shared" si="171"/>
        <v>0</v>
      </c>
      <c r="BL379" s="124">
        <f>交易记录!S854</f>
        <v>0</v>
      </c>
      <c r="BM379" s="124">
        <f>交易记录!S885</f>
        <v>0</v>
      </c>
      <c r="BN379" s="30">
        <f t="shared" si="172"/>
        <v>0</v>
      </c>
      <c r="BO379" s="121">
        <f>交易记录!S918</f>
        <v>0</v>
      </c>
      <c r="BP379" s="121">
        <f>交易记录!S949</f>
        <v>0</v>
      </c>
      <c r="BQ379" s="30">
        <f t="shared" si="173"/>
        <v>0</v>
      </c>
    </row>
    <row r="380" spans="1:69" ht="15">
      <c r="A380" s="125">
        <f>'维护-日期'!A$18</f>
        <v>46281</v>
      </c>
      <c r="B380" s="7" t="s">
        <v>24</v>
      </c>
      <c r="C380" s="144">
        <f t="shared" si="174"/>
        <v>23.85</v>
      </c>
      <c r="D380" s="144">
        <f>ROUND(INDEX(持仓数据!$C$3:$AG$26,MATCH('计算过程-数据汇总'!B380,持仓数据!$B$3:$B$26,0),MATCH('计算过程-数据汇总'!A380,'维护-日期'!$B$2:$AF$2,0)),3)</f>
        <v>23.85</v>
      </c>
      <c r="E380" s="98">
        <f t="shared" si="175"/>
        <v>23.85</v>
      </c>
      <c r="F380" s="22">
        <f>持仓数据!R90</f>
        <v>0.45400000000000001</v>
      </c>
      <c r="G380" s="97">
        <v>372</v>
      </c>
      <c r="H380" s="97">
        <v>372</v>
      </c>
      <c r="I380" s="64">
        <v>0</v>
      </c>
      <c r="J380" s="64">
        <v>0</v>
      </c>
      <c r="K380" s="21">
        <f>IF(持仓数据!R123="",0,持仓数据!R123)</f>
        <v>372</v>
      </c>
      <c r="L380" s="21">
        <f t="shared" si="176"/>
        <v>0</v>
      </c>
      <c r="M380" s="28">
        <f t="shared" si="160"/>
        <v>8872.2000000000007</v>
      </c>
      <c r="N380" s="28">
        <f t="shared" si="161"/>
        <v>0</v>
      </c>
      <c r="O380" s="28">
        <f t="shared" si="162"/>
        <v>0</v>
      </c>
      <c r="P380" s="28">
        <f t="shared" si="163"/>
        <v>0</v>
      </c>
      <c r="Q380" s="28">
        <f t="shared" si="177"/>
        <v>0</v>
      </c>
      <c r="R380" s="28">
        <f t="shared" si="164"/>
        <v>8872.2000000000007</v>
      </c>
      <c r="S380" s="28">
        <f t="shared" si="178"/>
        <v>0</v>
      </c>
      <c r="T380" s="28">
        <f t="shared" si="179"/>
        <v>0</v>
      </c>
      <c r="U380" s="28">
        <f t="shared" si="182"/>
        <v>0</v>
      </c>
      <c r="V380" s="28">
        <f t="shared" si="180"/>
        <v>0</v>
      </c>
      <c r="W380" s="118"/>
      <c r="X380" s="143">
        <f t="shared" si="181"/>
        <v>28.166</v>
      </c>
      <c r="Y380" s="121">
        <f>交易记录!S23</f>
        <v>0.45400000000000001</v>
      </c>
      <c r="Z380" s="121">
        <f>交易记录!S54</f>
        <v>372</v>
      </c>
      <c r="AA380" s="30">
        <f t="shared" si="165"/>
        <v>0</v>
      </c>
      <c r="AB380" s="124">
        <f>交易记录!S87</f>
        <v>0</v>
      </c>
      <c r="AC380" s="124">
        <f>交易记录!S118</f>
        <v>0</v>
      </c>
      <c r="AD380" s="30">
        <f t="shared" si="183"/>
        <v>0</v>
      </c>
      <c r="AE380" s="121">
        <f>交易记录!S151</f>
        <v>0</v>
      </c>
      <c r="AF380" s="121">
        <f>交易记录!S182</f>
        <v>0</v>
      </c>
      <c r="AG380" s="30">
        <f t="shared" si="184"/>
        <v>0</v>
      </c>
      <c r="AH380" s="124">
        <f>交易记录!S215</f>
        <v>0</v>
      </c>
      <c r="AI380" s="124">
        <f>交易记录!S246</f>
        <v>0</v>
      </c>
      <c r="AJ380" s="30">
        <f t="shared" si="185"/>
        <v>0</v>
      </c>
      <c r="AK380" s="121">
        <f>交易记录!S279</f>
        <v>0</v>
      </c>
      <c r="AL380" s="121">
        <f>交易记录!S310</f>
        <v>0</v>
      </c>
      <c r="AM380" s="30">
        <f t="shared" si="186"/>
        <v>0</v>
      </c>
      <c r="AN380" s="124">
        <f>交易记录!S343</f>
        <v>0</v>
      </c>
      <c r="AO380" s="124">
        <f>交易记录!S374</f>
        <v>0</v>
      </c>
      <c r="AP380" s="30">
        <f t="shared" si="187"/>
        <v>0</v>
      </c>
      <c r="AQ380" s="121">
        <f>交易记录!S407</f>
        <v>0</v>
      </c>
      <c r="AR380" s="121">
        <f>交易记录!S438</f>
        <v>0</v>
      </c>
      <c r="AS380" s="30">
        <f t="shared" si="188"/>
        <v>0</v>
      </c>
      <c r="AT380" s="124">
        <f>交易记录!S471</f>
        <v>0</v>
      </c>
      <c r="AU380" s="124">
        <f>交易记录!S502</f>
        <v>0</v>
      </c>
      <c r="AV380" s="30">
        <f t="shared" si="166"/>
        <v>0</v>
      </c>
      <c r="AW380" s="121">
        <f>交易记录!S535</f>
        <v>0</v>
      </c>
      <c r="AX380" s="121">
        <f>交易记录!S566</f>
        <v>0</v>
      </c>
      <c r="AY380" s="30">
        <f t="shared" si="167"/>
        <v>0</v>
      </c>
      <c r="AZ380" s="124">
        <f>交易记录!S599</f>
        <v>0</v>
      </c>
      <c r="BA380" s="124">
        <f>交易记录!S630</f>
        <v>0</v>
      </c>
      <c r="BB380" s="30">
        <f t="shared" si="168"/>
        <v>0</v>
      </c>
      <c r="BC380" s="121">
        <f>交易记录!S663</f>
        <v>0</v>
      </c>
      <c r="BD380" s="121">
        <f>交易记录!S694</f>
        <v>0</v>
      </c>
      <c r="BE380" s="30">
        <f t="shared" si="169"/>
        <v>0</v>
      </c>
      <c r="BF380" s="124">
        <f>交易记录!S727</f>
        <v>0</v>
      </c>
      <c r="BG380" s="124">
        <f>交易记录!S758</f>
        <v>0</v>
      </c>
      <c r="BH380" s="30">
        <f t="shared" si="170"/>
        <v>0</v>
      </c>
      <c r="BI380" s="121">
        <f>交易记录!S791</f>
        <v>0</v>
      </c>
      <c r="BJ380" s="121">
        <f>交易记录!S822</f>
        <v>0</v>
      </c>
      <c r="BK380" s="30">
        <f t="shared" si="171"/>
        <v>0</v>
      </c>
      <c r="BL380" s="124">
        <f>交易记录!S855</f>
        <v>0</v>
      </c>
      <c r="BM380" s="124">
        <f>交易记录!S886</f>
        <v>0</v>
      </c>
      <c r="BN380" s="30">
        <f t="shared" si="172"/>
        <v>0</v>
      </c>
      <c r="BO380" s="121">
        <f>交易记录!S919</f>
        <v>0</v>
      </c>
      <c r="BP380" s="121">
        <f>交易记录!S950</f>
        <v>0</v>
      </c>
      <c r="BQ380" s="30">
        <f t="shared" si="173"/>
        <v>0</v>
      </c>
    </row>
    <row r="381" spans="1:69" ht="15">
      <c r="A381" s="125">
        <f>'维护-日期'!A$18</f>
        <v>46281</v>
      </c>
      <c r="B381" s="7" t="s">
        <v>25</v>
      </c>
      <c r="C381" s="144">
        <f t="shared" si="174"/>
        <v>24.105</v>
      </c>
      <c r="D381" s="144">
        <f>ROUND(INDEX(持仓数据!$C$3:$AG$26,MATCH('计算过程-数据汇总'!B381,持仓数据!$B$3:$B$26,0),MATCH('计算过程-数据汇总'!A381,'维护-日期'!$B$2:$AF$2,0)),3)</f>
        <v>24.105</v>
      </c>
      <c r="E381" s="98">
        <f t="shared" si="175"/>
        <v>24.105</v>
      </c>
      <c r="F381" s="22">
        <f>持仓数据!R91</f>
        <v>1.1160000000000001</v>
      </c>
      <c r="G381" s="97">
        <v>372</v>
      </c>
      <c r="H381" s="97">
        <v>372</v>
      </c>
      <c r="I381" s="64">
        <v>0</v>
      </c>
      <c r="J381" s="64">
        <v>0</v>
      </c>
      <c r="K381" s="21">
        <f>IF(持仓数据!R124="",0,持仓数据!R124)</f>
        <v>372</v>
      </c>
      <c r="L381" s="21">
        <f t="shared" si="176"/>
        <v>0</v>
      </c>
      <c r="M381" s="28">
        <f t="shared" si="160"/>
        <v>8967.06</v>
      </c>
      <c r="N381" s="28">
        <f t="shared" si="161"/>
        <v>0</v>
      </c>
      <c r="O381" s="28">
        <f t="shared" si="162"/>
        <v>0</v>
      </c>
      <c r="P381" s="28">
        <f t="shared" si="163"/>
        <v>0</v>
      </c>
      <c r="Q381" s="28">
        <f t="shared" si="177"/>
        <v>0</v>
      </c>
      <c r="R381" s="28">
        <f t="shared" si="164"/>
        <v>8967.06</v>
      </c>
      <c r="S381" s="28">
        <f t="shared" si="178"/>
        <v>0</v>
      </c>
      <c r="T381" s="28">
        <f t="shared" si="179"/>
        <v>0</v>
      </c>
      <c r="U381" s="28">
        <f t="shared" si="182"/>
        <v>0</v>
      </c>
      <c r="V381" s="28">
        <f t="shared" si="180"/>
        <v>0</v>
      </c>
      <c r="W381" s="118"/>
      <c r="X381" s="143">
        <f t="shared" si="181"/>
        <v>27.81</v>
      </c>
      <c r="Y381" s="121">
        <f>交易记录!S24</f>
        <v>1.1160000000000001</v>
      </c>
      <c r="Z381" s="121">
        <f>交易记录!S55</f>
        <v>372</v>
      </c>
      <c r="AA381" s="30">
        <f t="shared" si="165"/>
        <v>0</v>
      </c>
      <c r="AB381" s="124">
        <f>交易记录!S88</f>
        <v>0</v>
      </c>
      <c r="AC381" s="124">
        <f>交易记录!S119</f>
        <v>0</v>
      </c>
      <c r="AD381" s="30">
        <f t="shared" si="183"/>
        <v>0</v>
      </c>
      <c r="AE381" s="121">
        <f>交易记录!S152</f>
        <v>0</v>
      </c>
      <c r="AF381" s="121">
        <f>交易记录!S183</f>
        <v>0</v>
      </c>
      <c r="AG381" s="30">
        <f t="shared" si="184"/>
        <v>0</v>
      </c>
      <c r="AH381" s="124">
        <f>交易记录!S216</f>
        <v>0</v>
      </c>
      <c r="AI381" s="124">
        <f>交易记录!S247</f>
        <v>0</v>
      </c>
      <c r="AJ381" s="30">
        <f t="shared" si="185"/>
        <v>0</v>
      </c>
      <c r="AK381" s="121">
        <f>交易记录!S280</f>
        <v>0</v>
      </c>
      <c r="AL381" s="121">
        <f>交易记录!S311</f>
        <v>0</v>
      </c>
      <c r="AM381" s="30">
        <f t="shared" si="186"/>
        <v>0</v>
      </c>
      <c r="AN381" s="124">
        <f>交易记录!S344</f>
        <v>0</v>
      </c>
      <c r="AO381" s="124">
        <f>交易记录!S375</f>
        <v>0</v>
      </c>
      <c r="AP381" s="30">
        <f t="shared" si="187"/>
        <v>0</v>
      </c>
      <c r="AQ381" s="121">
        <f>交易记录!S408</f>
        <v>0</v>
      </c>
      <c r="AR381" s="121">
        <f>交易记录!S439</f>
        <v>0</v>
      </c>
      <c r="AS381" s="30">
        <f t="shared" si="188"/>
        <v>0</v>
      </c>
      <c r="AT381" s="124">
        <f>交易记录!S472</f>
        <v>0</v>
      </c>
      <c r="AU381" s="124">
        <f>交易记录!S503</f>
        <v>0</v>
      </c>
      <c r="AV381" s="30">
        <f t="shared" si="166"/>
        <v>0</v>
      </c>
      <c r="AW381" s="121">
        <f>交易记录!S536</f>
        <v>0</v>
      </c>
      <c r="AX381" s="121">
        <f>交易记录!S567</f>
        <v>0</v>
      </c>
      <c r="AY381" s="30">
        <f t="shared" si="167"/>
        <v>0</v>
      </c>
      <c r="AZ381" s="124">
        <f>交易记录!S600</f>
        <v>0</v>
      </c>
      <c r="BA381" s="124">
        <f>交易记录!S631</f>
        <v>0</v>
      </c>
      <c r="BB381" s="30">
        <f t="shared" si="168"/>
        <v>0</v>
      </c>
      <c r="BC381" s="121">
        <f>交易记录!S664</f>
        <v>0</v>
      </c>
      <c r="BD381" s="121">
        <f>交易记录!S695</f>
        <v>0</v>
      </c>
      <c r="BE381" s="30">
        <f t="shared" si="169"/>
        <v>0</v>
      </c>
      <c r="BF381" s="124">
        <f>交易记录!S728</f>
        <v>0</v>
      </c>
      <c r="BG381" s="124">
        <f>交易记录!S759</f>
        <v>0</v>
      </c>
      <c r="BH381" s="30">
        <f t="shared" si="170"/>
        <v>0</v>
      </c>
      <c r="BI381" s="121">
        <f>交易记录!S792</f>
        <v>0</v>
      </c>
      <c r="BJ381" s="121">
        <f>交易记录!S823</f>
        <v>0</v>
      </c>
      <c r="BK381" s="30">
        <f t="shared" si="171"/>
        <v>0</v>
      </c>
      <c r="BL381" s="124">
        <f>交易记录!S856</f>
        <v>0</v>
      </c>
      <c r="BM381" s="124">
        <f>交易记录!S887</f>
        <v>0</v>
      </c>
      <c r="BN381" s="30">
        <f t="shared" si="172"/>
        <v>0</v>
      </c>
      <c r="BO381" s="121">
        <f>交易记录!S920</f>
        <v>0</v>
      </c>
      <c r="BP381" s="121">
        <f>交易记录!S951</f>
        <v>0</v>
      </c>
      <c r="BQ381" s="30">
        <f t="shared" si="173"/>
        <v>0</v>
      </c>
    </row>
    <row r="382" spans="1:69" ht="15">
      <c r="A382" s="125">
        <f>'维护-日期'!A$18</f>
        <v>46281</v>
      </c>
      <c r="B382" s="7" t="s">
        <v>26</v>
      </c>
      <c r="C382" s="144">
        <f t="shared" si="174"/>
        <v>24.047999999999998</v>
      </c>
      <c r="D382" s="144">
        <f>ROUND(INDEX(持仓数据!$C$3:$AG$26,MATCH('计算过程-数据汇总'!B382,持仓数据!$B$3:$B$26,0),MATCH('计算过程-数据汇总'!A382,'维护-日期'!$B$2:$AF$2,0)),3)</f>
        <v>24.047999999999998</v>
      </c>
      <c r="E382" s="98">
        <f t="shared" si="175"/>
        <v>24.047999999999998</v>
      </c>
      <c r="F382" s="22">
        <f>持仓数据!R92</f>
        <v>1</v>
      </c>
      <c r="G382" s="97">
        <v>372</v>
      </c>
      <c r="H382" s="97">
        <v>372</v>
      </c>
      <c r="I382" s="64">
        <v>0</v>
      </c>
      <c r="J382" s="64">
        <v>0</v>
      </c>
      <c r="K382" s="21">
        <f>IF(持仓数据!R125="",0,持仓数据!R125)</f>
        <v>372</v>
      </c>
      <c r="L382" s="21">
        <f t="shared" si="176"/>
        <v>0</v>
      </c>
      <c r="M382" s="28">
        <f t="shared" si="160"/>
        <v>8945.8559999999998</v>
      </c>
      <c r="N382" s="28">
        <f t="shared" si="161"/>
        <v>0</v>
      </c>
      <c r="O382" s="28">
        <f t="shared" si="162"/>
        <v>0</v>
      </c>
      <c r="P382" s="28">
        <f t="shared" si="163"/>
        <v>0</v>
      </c>
      <c r="Q382" s="28">
        <f t="shared" si="177"/>
        <v>0</v>
      </c>
      <c r="R382" s="28">
        <f t="shared" si="164"/>
        <v>8945.8559999999998</v>
      </c>
      <c r="S382" s="28">
        <f t="shared" si="178"/>
        <v>0</v>
      </c>
      <c r="T382" s="28">
        <f t="shared" si="179"/>
        <v>0</v>
      </c>
      <c r="U382" s="28">
        <f t="shared" si="182"/>
        <v>0</v>
      </c>
      <c r="V382" s="28">
        <f t="shared" si="180"/>
        <v>0</v>
      </c>
      <c r="W382" s="118"/>
      <c r="X382" s="143">
        <f t="shared" si="181"/>
        <v>27.858000000000001</v>
      </c>
      <c r="Y382" s="121">
        <f>交易记录!S25</f>
        <v>1</v>
      </c>
      <c r="Z382" s="121">
        <f>交易记录!S56</f>
        <v>372</v>
      </c>
      <c r="AA382" s="30">
        <f t="shared" si="165"/>
        <v>0</v>
      </c>
      <c r="AB382" s="124">
        <f>交易记录!S89</f>
        <v>0</v>
      </c>
      <c r="AC382" s="124">
        <f>交易记录!S120</f>
        <v>0</v>
      </c>
      <c r="AD382" s="30">
        <f t="shared" si="183"/>
        <v>0</v>
      </c>
      <c r="AE382" s="121">
        <f>交易记录!S153</f>
        <v>0</v>
      </c>
      <c r="AF382" s="121">
        <f>交易记录!S184</f>
        <v>0</v>
      </c>
      <c r="AG382" s="30">
        <f t="shared" si="184"/>
        <v>0</v>
      </c>
      <c r="AH382" s="124">
        <f>交易记录!S217</f>
        <v>0</v>
      </c>
      <c r="AI382" s="124">
        <f>交易记录!S248</f>
        <v>0</v>
      </c>
      <c r="AJ382" s="30">
        <f t="shared" si="185"/>
        <v>0</v>
      </c>
      <c r="AK382" s="121">
        <f>交易记录!S281</f>
        <v>0</v>
      </c>
      <c r="AL382" s="121">
        <f>交易记录!S312</f>
        <v>0</v>
      </c>
      <c r="AM382" s="30">
        <f t="shared" si="186"/>
        <v>0</v>
      </c>
      <c r="AN382" s="124">
        <f>交易记录!S345</f>
        <v>0</v>
      </c>
      <c r="AO382" s="124">
        <f>交易记录!S376</f>
        <v>0</v>
      </c>
      <c r="AP382" s="30">
        <f t="shared" si="187"/>
        <v>0</v>
      </c>
      <c r="AQ382" s="121">
        <f>交易记录!S409</f>
        <v>0</v>
      </c>
      <c r="AR382" s="121">
        <f>交易记录!S440</f>
        <v>0</v>
      </c>
      <c r="AS382" s="30">
        <f t="shared" si="188"/>
        <v>0</v>
      </c>
      <c r="AT382" s="124">
        <f>交易记录!S473</f>
        <v>0</v>
      </c>
      <c r="AU382" s="124">
        <f>交易记录!S504</f>
        <v>0</v>
      </c>
      <c r="AV382" s="30">
        <f t="shared" si="166"/>
        <v>0</v>
      </c>
      <c r="AW382" s="121">
        <f>交易记录!S537</f>
        <v>0</v>
      </c>
      <c r="AX382" s="121">
        <f>交易记录!S568</f>
        <v>0</v>
      </c>
      <c r="AY382" s="30">
        <f t="shared" si="167"/>
        <v>0</v>
      </c>
      <c r="AZ382" s="124">
        <f>交易记录!S601</f>
        <v>0</v>
      </c>
      <c r="BA382" s="124">
        <f>交易记录!S632</f>
        <v>0</v>
      </c>
      <c r="BB382" s="30">
        <f t="shared" si="168"/>
        <v>0</v>
      </c>
      <c r="BC382" s="121">
        <f>交易记录!S665</f>
        <v>0</v>
      </c>
      <c r="BD382" s="121">
        <f>交易记录!S696</f>
        <v>0</v>
      </c>
      <c r="BE382" s="30">
        <f t="shared" si="169"/>
        <v>0</v>
      </c>
      <c r="BF382" s="124">
        <f>交易记录!S729</f>
        <v>0</v>
      </c>
      <c r="BG382" s="124">
        <f>交易记录!S760</f>
        <v>0</v>
      </c>
      <c r="BH382" s="30">
        <f t="shared" si="170"/>
        <v>0</v>
      </c>
      <c r="BI382" s="121">
        <f>交易记录!S793</f>
        <v>0</v>
      </c>
      <c r="BJ382" s="121">
        <f>交易记录!S824</f>
        <v>0</v>
      </c>
      <c r="BK382" s="30">
        <f t="shared" si="171"/>
        <v>0</v>
      </c>
      <c r="BL382" s="124">
        <f>交易记录!S857</f>
        <v>0</v>
      </c>
      <c r="BM382" s="124">
        <f>交易记录!S888</f>
        <v>0</v>
      </c>
      <c r="BN382" s="30">
        <f t="shared" si="172"/>
        <v>0</v>
      </c>
      <c r="BO382" s="121">
        <f>交易记录!S921</f>
        <v>0</v>
      </c>
      <c r="BP382" s="121">
        <f>交易记录!S952</f>
        <v>0</v>
      </c>
      <c r="BQ382" s="30">
        <f t="shared" si="173"/>
        <v>0</v>
      </c>
    </row>
    <row r="383" spans="1:69" ht="15">
      <c r="A383" s="125">
        <f>'维护-日期'!A$18</f>
        <v>46281</v>
      </c>
      <c r="B383" s="7" t="s">
        <v>27</v>
      </c>
      <c r="C383" s="144">
        <f t="shared" si="174"/>
        <v>22.594000000000001</v>
      </c>
      <c r="D383" s="144">
        <f>ROUND(INDEX(持仓数据!$C$3:$AG$26,MATCH('计算过程-数据汇总'!B383,持仓数据!$B$3:$B$26,0),MATCH('计算过程-数据汇总'!A383,'维护-日期'!$B$2:$AF$2,0)),3)</f>
        <v>22.594000000000001</v>
      </c>
      <c r="E383" s="98">
        <f t="shared" si="175"/>
        <v>22.594000000000001</v>
      </c>
      <c r="F383" s="22">
        <f>持仓数据!R93</f>
        <v>0.95199999999999996</v>
      </c>
      <c r="G383" s="97">
        <v>372</v>
      </c>
      <c r="H383" s="97">
        <v>372</v>
      </c>
      <c r="I383" s="64">
        <v>0</v>
      </c>
      <c r="J383" s="64">
        <v>0</v>
      </c>
      <c r="K383" s="21">
        <f>IF(持仓数据!R126="",0,持仓数据!R126)</f>
        <v>372</v>
      </c>
      <c r="L383" s="21">
        <f t="shared" si="176"/>
        <v>0</v>
      </c>
      <c r="M383" s="28">
        <f t="shared" si="160"/>
        <v>8404.9680000000008</v>
      </c>
      <c r="N383" s="28">
        <f t="shared" si="161"/>
        <v>0</v>
      </c>
      <c r="O383" s="28">
        <f t="shared" si="162"/>
        <v>0</v>
      </c>
      <c r="P383" s="28">
        <f t="shared" si="163"/>
        <v>0</v>
      </c>
      <c r="Q383" s="28">
        <f t="shared" si="177"/>
        <v>0</v>
      </c>
      <c r="R383" s="28">
        <f t="shared" si="164"/>
        <v>8404.9680000000008</v>
      </c>
      <c r="S383" s="28">
        <f t="shared" si="178"/>
        <v>0</v>
      </c>
      <c r="T383" s="28">
        <f t="shared" si="179"/>
        <v>0</v>
      </c>
      <c r="U383" s="28">
        <f t="shared" si="182"/>
        <v>0</v>
      </c>
      <c r="V383" s="28">
        <f t="shared" si="180"/>
        <v>0</v>
      </c>
      <c r="W383" s="118"/>
      <c r="X383" s="143">
        <f t="shared" si="181"/>
        <v>26.161000000000001</v>
      </c>
      <c r="Y383" s="121">
        <f>交易记录!S26</f>
        <v>0.95199999999999996</v>
      </c>
      <c r="Z383" s="121">
        <f>交易记录!S57</f>
        <v>372</v>
      </c>
      <c r="AA383" s="30">
        <f t="shared" si="165"/>
        <v>0</v>
      </c>
      <c r="AB383" s="124">
        <f>交易记录!S90</f>
        <v>0</v>
      </c>
      <c r="AC383" s="124">
        <f>交易记录!S121</f>
        <v>0</v>
      </c>
      <c r="AD383" s="30">
        <f t="shared" si="183"/>
        <v>0</v>
      </c>
      <c r="AE383" s="121">
        <f>交易记录!S154</f>
        <v>0</v>
      </c>
      <c r="AF383" s="121">
        <f>交易记录!S185</f>
        <v>0</v>
      </c>
      <c r="AG383" s="30">
        <f t="shared" si="184"/>
        <v>0</v>
      </c>
      <c r="AH383" s="124">
        <f>交易记录!S218</f>
        <v>0</v>
      </c>
      <c r="AI383" s="124">
        <f>交易记录!S249</f>
        <v>0</v>
      </c>
      <c r="AJ383" s="30">
        <f t="shared" si="185"/>
        <v>0</v>
      </c>
      <c r="AK383" s="121">
        <f>交易记录!S282</f>
        <v>0</v>
      </c>
      <c r="AL383" s="121">
        <f>交易记录!S313</f>
        <v>0</v>
      </c>
      <c r="AM383" s="30">
        <f t="shared" si="186"/>
        <v>0</v>
      </c>
      <c r="AN383" s="124">
        <f>交易记录!S346</f>
        <v>0</v>
      </c>
      <c r="AO383" s="124">
        <f>交易记录!S377</f>
        <v>0</v>
      </c>
      <c r="AP383" s="30">
        <f t="shared" si="187"/>
        <v>0</v>
      </c>
      <c r="AQ383" s="121">
        <f>交易记录!S410</f>
        <v>0</v>
      </c>
      <c r="AR383" s="121">
        <f>交易记录!S441</f>
        <v>0</v>
      </c>
      <c r="AS383" s="30">
        <f t="shared" si="188"/>
        <v>0</v>
      </c>
      <c r="AT383" s="124">
        <f>交易记录!S474</f>
        <v>0</v>
      </c>
      <c r="AU383" s="124">
        <f>交易记录!S505</f>
        <v>0</v>
      </c>
      <c r="AV383" s="30">
        <f t="shared" si="166"/>
        <v>0</v>
      </c>
      <c r="AW383" s="121">
        <f>交易记录!S538</f>
        <v>0</v>
      </c>
      <c r="AX383" s="121">
        <f>交易记录!S569</f>
        <v>0</v>
      </c>
      <c r="AY383" s="30">
        <f t="shared" si="167"/>
        <v>0</v>
      </c>
      <c r="AZ383" s="124">
        <f>交易记录!S602</f>
        <v>0</v>
      </c>
      <c r="BA383" s="124">
        <f>交易记录!S633</f>
        <v>0</v>
      </c>
      <c r="BB383" s="30">
        <f t="shared" si="168"/>
        <v>0</v>
      </c>
      <c r="BC383" s="121">
        <f>交易记录!S666</f>
        <v>0</v>
      </c>
      <c r="BD383" s="121">
        <f>交易记录!S697</f>
        <v>0</v>
      </c>
      <c r="BE383" s="30">
        <f t="shared" si="169"/>
        <v>0</v>
      </c>
      <c r="BF383" s="124">
        <f>交易记录!S730</f>
        <v>0</v>
      </c>
      <c r="BG383" s="124">
        <f>交易记录!S761</f>
        <v>0</v>
      </c>
      <c r="BH383" s="30">
        <f t="shared" si="170"/>
        <v>0</v>
      </c>
      <c r="BI383" s="121">
        <f>交易记录!S794</f>
        <v>0</v>
      </c>
      <c r="BJ383" s="121">
        <f>交易记录!S825</f>
        <v>0</v>
      </c>
      <c r="BK383" s="30">
        <f t="shared" si="171"/>
        <v>0</v>
      </c>
      <c r="BL383" s="124">
        <f>交易记录!S858</f>
        <v>0</v>
      </c>
      <c r="BM383" s="124">
        <f>交易记录!S889</f>
        <v>0</v>
      </c>
      <c r="BN383" s="30">
        <f t="shared" si="172"/>
        <v>0</v>
      </c>
      <c r="BO383" s="121">
        <f>交易记录!S922</f>
        <v>0</v>
      </c>
      <c r="BP383" s="121">
        <f>交易记录!S953</f>
        <v>0</v>
      </c>
      <c r="BQ383" s="30">
        <f t="shared" si="173"/>
        <v>0</v>
      </c>
    </row>
    <row r="384" spans="1:69" ht="15">
      <c r="A384" s="125">
        <f>'维护-日期'!A$18</f>
        <v>46281</v>
      </c>
      <c r="B384" s="7" t="s">
        <v>28</v>
      </c>
      <c r="C384" s="144">
        <f t="shared" si="174"/>
        <v>19.387</v>
      </c>
      <c r="D384" s="144">
        <f>ROUND(INDEX(持仓数据!$C$3:$AG$26,MATCH('计算过程-数据汇总'!B384,持仓数据!$B$3:$B$26,0),MATCH('计算过程-数据汇总'!A384,'维护-日期'!$B$2:$AF$2,0)),3)</f>
        <v>19.387</v>
      </c>
      <c r="E384" s="98">
        <f t="shared" si="175"/>
        <v>19.387</v>
      </c>
      <c r="F384" s="22">
        <f>持仓数据!R94</f>
        <v>0.84300000000000008</v>
      </c>
      <c r="G384" s="97">
        <v>372</v>
      </c>
      <c r="H384" s="97">
        <v>372</v>
      </c>
      <c r="I384" s="64">
        <v>0</v>
      </c>
      <c r="J384" s="64">
        <v>0</v>
      </c>
      <c r="K384" s="21">
        <f>IF(持仓数据!R127="",0,持仓数据!R127)</f>
        <v>371.99999999999994</v>
      </c>
      <c r="L384" s="21">
        <f t="shared" si="176"/>
        <v>0</v>
      </c>
      <c r="M384" s="28">
        <f t="shared" si="160"/>
        <v>7211.9639999999999</v>
      </c>
      <c r="N384" s="28">
        <f t="shared" si="161"/>
        <v>0</v>
      </c>
      <c r="O384" s="28">
        <f t="shared" si="162"/>
        <v>0</v>
      </c>
      <c r="P384" s="28">
        <f t="shared" si="163"/>
        <v>-4.7919002099661161E-14</v>
      </c>
      <c r="Q384" s="28">
        <f t="shared" si="177"/>
        <v>0</v>
      </c>
      <c r="R384" s="28">
        <f t="shared" si="164"/>
        <v>7211.963999999999</v>
      </c>
      <c r="S384" s="28">
        <f t="shared" si="178"/>
        <v>0</v>
      </c>
      <c r="T384" s="28">
        <f t="shared" si="179"/>
        <v>1.0541043593548239E-12</v>
      </c>
      <c r="U384" s="28">
        <f t="shared" si="182"/>
        <v>0</v>
      </c>
      <c r="V384" s="28">
        <f t="shared" si="180"/>
        <v>0</v>
      </c>
      <c r="W384" s="118"/>
      <c r="X384" s="143">
        <f t="shared" si="181"/>
        <v>22.420999999999999</v>
      </c>
      <c r="Y384" s="121">
        <f>交易记录!S27</f>
        <v>0.84300000000000008</v>
      </c>
      <c r="Z384" s="121">
        <f>交易记录!S58</f>
        <v>372</v>
      </c>
      <c r="AA384" s="30">
        <f t="shared" si="165"/>
        <v>0</v>
      </c>
      <c r="AB384" s="124">
        <f>交易记录!S91</f>
        <v>0</v>
      </c>
      <c r="AC384" s="124">
        <f>交易记录!S122</f>
        <v>0</v>
      </c>
      <c r="AD384" s="30">
        <f t="shared" si="183"/>
        <v>0</v>
      </c>
      <c r="AE384" s="121">
        <f>交易记录!S155</f>
        <v>0</v>
      </c>
      <c r="AF384" s="121">
        <f>交易记录!S186</f>
        <v>0</v>
      </c>
      <c r="AG384" s="30">
        <f t="shared" si="184"/>
        <v>0</v>
      </c>
      <c r="AH384" s="124">
        <f>交易记录!S219</f>
        <v>0</v>
      </c>
      <c r="AI384" s="124">
        <f>交易记录!S250</f>
        <v>0</v>
      </c>
      <c r="AJ384" s="30">
        <f t="shared" si="185"/>
        <v>0</v>
      </c>
      <c r="AK384" s="121">
        <f>交易记录!S283</f>
        <v>0</v>
      </c>
      <c r="AL384" s="121">
        <f>交易记录!S314</f>
        <v>0</v>
      </c>
      <c r="AM384" s="30">
        <f t="shared" si="186"/>
        <v>0</v>
      </c>
      <c r="AN384" s="124">
        <f>交易记录!S347</f>
        <v>0</v>
      </c>
      <c r="AO384" s="124">
        <f>交易记录!S378</f>
        <v>0</v>
      </c>
      <c r="AP384" s="30">
        <f t="shared" si="187"/>
        <v>0</v>
      </c>
      <c r="AQ384" s="121">
        <f>交易记录!S411</f>
        <v>0</v>
      </c>
      <c r="AR384" s="121">
        <f>交易记录!S442</f>
        <v>0</v>
      </c>
      <c r="AS384" s="30">
        <f t="shared" si="188"/>
        <v>0</v>
      </c>
      <c r="AT384" s="124">
        <f>交易记录!S475</f>
        <v>0</v>
      </c>
      <c r="AU384" s="124">
        <f>交易记录!S506</f>
        <v>0</v>
      </c>
      <c r="AV384" s="30">
        <f t="shared" si="166"/>
        <v>0</v>
      </c>
      <c r="AW384" s="121">
        <f>交易记录!S539</f>
        <v>0</v>
      </c>
      <c r="AX384" s="121">
        <f>交易记录!S570</f>
        <v>0</v>
      </c>
      <c r="AY384" s="30">
        <f t="shared" si="167"/>
        <v>0</v>
      </c>
      <c r="AZ384" s="124">
        <f>交易记录!S603</f>
        <v>0</v>
      </c>
      <c r="BA384" s="124">
        <f>交易记录!S634</f>
        <v>0</v>
      </c>
      <c r="BB384" s="30">
        <f t="shared" si="168"/>
        <v>0</v>
      </c>
      <c r="BC384" s="121">
        <f>交易记录!S667</f>
        <v>0</v>
      </c>
      <c r="BD384" s="121">
        <f>交易记录!S698</f>
        <v>0</v>
      </c>
      <c r="BE384" s="30">
        <f t="shared" si="169"/>
        <v>0</v>
      </c>
      <c r="BF384" s="124">
        <f>交易记录!S731</f>
        <v>0</v>
      </c>
      <c r="BG384" s="124">
        <f>交易记录!S762</f>
        <v>0</v>
      </c>
      <c r="BH384" s="30">
        <f t="shared" si="170"/>
        <v>0</v>
      </c>
      <c r="BI384" s="121">
        <f>交易记录!S795</f>
        <v>0</v>
      </c>
      <c r="BJ384" s="121">
        <f>交易记录!S826</f>
        <v>0</v>
      </c>
      <c r="BK384" s="30">
        <f t="shared" si="171"/>
        <v>0</v>
      </c>
      <c r="BL384" s="124">
        <f>交易记录!S859</f>
        <v>0</v>
      </c>
      <c r="BM384" s="124">
        <f>交易记录!S890</f>
        <v>0</v>
      </c>
      <c r="BN384" s="30">
        <f t="shared" si="172"/>
        <v>0</v>
      </c>
      <c r="BO384" s="121">
        <f>交易记录!S923</f>
        <v>0</v>
      </c>
      <c r="BP384" s="121">
        <f>交易记录!S954</f>
        <v>0</v>
      </c>
      <c r="BQ384" s="30">
        <f t="shared" si="173"/>
        <v>0</v>
      </c>
    </row>
    <row r="385" spans="1:69" ht="15">
      <c r="A385" s="125">
        <f>'维护-日期'!A$18</f>
        <v>46281</v>
      </c>
      <c r="B385" s="7" t="s">
        <v>29</v>
      </c>
      <c r="C385" s="144">
        <f t="shared" si="174"/>
        <v>16.963000000000001</v>
      </c>
      <c r="D385" s="144">
        <f>ROUND(INDEX(持仓数据!$C$3:$AG$26,MATCH('计算过程-数据汇总'!B385,持仓数据!$B$3:$B$26,0),MATCH('计算过程-数据汇总'!A385,'维护-日期'!$B$2:$AF$2,0)),3)</f>
        <v>16.963000000000001</v>
      </c>
      <c r="E385" s="98">
        <f t="shared" si="175"/>
        <v>16.963000000000001</v>
      </c>
      <c r="F385" s="22">
        <f>持仓数据!R95</f>
        <v>0.33299999999999996</v>
      </c>
      <c r="G385" s="97">
        <v>372</v>
      </c>
      <c r="H385" s="97">
        <v>372</v>
      </c>
      <c r="I385" s="64">
        <v>0</v>
      </c>
      <c r="J385" s="64">
        <v>0</v>
      </c>
      <c r="K385" s="21">
        <f>IF(持仓数据!R128="",0,持仓数据!R128)</f>
        <v>372</v>
      </c>
      <c r="L385" s="21">
        <f t="shared" si="176"/>
        <v>0</v>
      </c>
      <c r="M385" s="28">
        <f t="shared" si="160"/>
        <v>6310.2360000000008</v>
      </c>
      <c r="N385" s="28">
        <f t="shared" si="161"/>
        <v>0</v>
      </c>
      <c r="O385" s="28">
        <f t="shared" si="162"/>
        <v>0</v>
      </c>
      <c r="P385" s="28">
        <f t="shared" si="163"/>
        <v>0</v>
      </c>
      <c r="Q385" s="28">
        <f t="shared" si="177"/>
        <v>0</v>
      </c>
      <c r="R385" s="28">
        <f t="shared" si="164"/>
        <v>6310.2360000000008</v>
      </c>
      <c r="S385" s="28">
        <f t="shared" si="178"/>
        <v>0</v>
      </c>
      <c r="T385" s="28">
        <f t="shared" si="179"/>
        <v>0</v>
      </c>
      <c r="U385" s="28">
        <f t="shared" si="182"/>
        <v>0</v>
      </c>
      <c r="V385" s="28">
        <f t="shared" si="180"/>
        <v>0</v>
      </c>
      <c r="W385" s="118"/>
      <c r="X385" s="143">
        <f t="shared" si="181"/>
        <v>20.023</v>
      </c>
      <c r="Y385" s="121">
        <f>交易记录!S28</f>
        <v>0.33299999999999996</v>
      </c>
      <c r="Z385" s="121">
        <f>交易记录!S59</f>
        <v>372</v>
      </c>
      <c r="AA385" s="30">
        <f t="shared" si="165"/>
        <v>0</v>
      </c>
      <c r="AB385" s="124">
        <f>交易记录!S92</f>
        <v>0</v>
      </c>
      <c r="AC385" s="124">
        <f>交易记录!S123</f>
        <v>0</v>
      </c>
      <c r="AD385" s="30">
        <f t="shared" si="183"/>
        <v>0</v>
      </c>
      <c r="AE385" s="121">
        <f>交易记录!S156</f>
        <v>0</v>
      </c>
      <c r="AF385" s="121">
        <f>交易记录!S187</f>
        <v>0</v>
      </c>
      <c r="AG385" s="30">
        <f t="shared" si="184"/>
        <v>0</v>
      </c>
      <c r="AH385" s="124">
        <f>交易记录!S220</f>
        <v>0</v>
      </c>
      <c r="AI385" s="124">
        <f>交易记录!S251</f>
        <v>0</v>
      </c>
      <c r="AJ385" s="30">
        <f t="shared" si="185"/>
        <v>0</v>
      </c>
      <c r="AK385" s="121">
        <f>交易记录!S284</f>
        <v>0</v>
      </c>
      <c r="AL385" s="121">
        <f>交易记录!S315</f>
        <v>0</v>
      </c>
      <c r="AM385" s="30">
        <f t="shared" si="186"/>
        <v>0</v>
      </c>
      <c r="AN385" s="124">
        <f>交易记录!S348</f>
        <v>0</v>
      </c>
      <c r="AO385" s="124">
        <f>交易记录!S379</f>
        <v>0</v>
      </c>
      <c r="AP385" s="30">
        <f t="shared" si="187"/>
        <v>0</v>
      </c>
      <c r="AQ385" s="121">
        <f>交易记录!S412</f>
        <v>0</v>
      </c>
      <c r="AR385" s="121">
        <f>交易记录!S443</f>
        <v>0</v>
      </c>
      <c r="AS385" s="30">
        <f t="shared" si="188"/>
        <v>0</v>
      </c>
      <c r="AT385" s="124">
        <f>交易记录!S476</f>
        <v>0</v>
      </c>
      <c r="AU385" s="124">
        <f>交易记录!S507</f>
        <v>0</v>
      </c>
      <c r="AV385" s="30">
        <f t="shared" si="166"/>
        <v>0</v>
      </c>
      <c r="AW385" s="121">
        <f>交易记录!S540</f>
        <v>0</v>
      </c>
      <c r="AX385" s="121">
        <f>交易记录!S571</f>
        <v>0</v>
      </c>
      <c r="AY385" s="30">
        <f t="shared" si="167"/>
        <v>0</v>
      </c>
      <c r="AZ385" s="124">
        <f>交易记录!S604</f>
        <v>0</v>
      </c>
      <c r="BA385" s="124">
        <f>交易记录!S635</f>
        <v>0</v>
      </c>
      <c r="BB385" s="30">
        <f t="shared" si="168"/>
        <v>0</v>
      </c>
      <c r="BC385" s="121">
        <f>交易记录!S668</f>
        <v>0</v>
      </c>
      <c r="BD385" s="121">
        <f>交易记录!S699</f>
        <v>0</v>
      </c>
      <c r="BE385" s="30">
        <f t="shared" si="169"/>
        <v>0</v>
      </c>
      <c r="BF385" s="124">
        <f>交易记录!S732</f>
        <v>0</v>
      </c>
      <c r="BG385" s="124">
        <f>交易记录!S763</f>
        <v>0</v>
      </c>
      <c r="BH385" s="30">
        <f t="shared" si="170"/>
        <v>0</v>
      </c>
      <c r="BI385" s="121">
        <f>交易记录!S796</f>
        <v>0</v>
      </c>
      <c r="BJ385" s="121">
        <f>交易记录!S827</f>
        <v>0</v>
      </c>
      <c r="BK385" s="30">
        <f t="shared" si="171"/>
        <v>0</v>
      </c>
      <c r="BL385" s="124">
        <f>交易记录!S860</f>
        <v>0</v>
      </c>
      <c r="BM385" s="124">
        <f>交易记录!S891</f>
        <v>0</v>
      </c>
      <c r="BN385" s="30">
        <f t="shared" si="172"/>
        <v>0</v>
      </c>
      <c r="BO385" s="121">
        <f>交易记录!S924</f>
        <v>0</v>
      </c>
      <c r="BP385" s="121">
        <f>交易记录!S955</f>
        <v>0</v>
      </c>
      <c r="BQ385" s="30">
        <f t="shared" si="173"/>
        <v>0</v>
      </c>
    </row>
    <row r="386" spans="1:69" ht="15">
      <c r="A386" s="125">
        <f>'维护-日期'!A$19</f>
        <v>46282</v>
      </c>
      <c r="B386" s="7" t="s">
        <v>6</v>
      </c>
      <c r="C386" s="144">
        <f t="shared" si="174"/>
        <v>16.655999999999999</v>
      </c>
      <c r="D386" s="144">
        <f>ROUND(INDEX(持仓数据!$C$3:$AG$26,MATCH('计算过程-数据汇总'!B386,持仓数据!$B$3:$B$26,0),MATCH('计算过程-数据汇总'!A386,'维护-日期'!$B$2:$AF$2,0)),3)</f>
        <v>16.655999999999999</v>
      </c>
      <c r="E386" s="98">
        <f t="shared" si="175"/>
        <v>16.655999999999999</v>
      </c>
      <c r="F386" s="22">
        <f>持仓数据!S72</f>
        <v>0.39700000000000002</v>
      </c>
      <c r="G386" s="97">
        <v>372</v>
      </c>
      <c r="H386" s="97">
        <v>372</v>
      </c>
      <c r="I386" s="64">
        <v>0</v>
      </c>
      <c r="J386" s="64">
        <v>0</v>
      </c>
      <c r="K386" s="21">
        <f>IF(持仓数据!S105="",0,持仓数据!S105)</f>
        <v>372</v>
      </c>
      <c r="L386" s="21">
        <f t="shared" si="176"/>
        <v>0</v>
      </c>
      <c r="M386" s="28">
        <f t="shared" ref="M386:M449" si="189">IFERROR(C386*G386,0)</f>
        <v>6196.0319999999992</v>
      </c>
      <c r="N386" s="28">
        <f t="shared" ref="N386:N449" si="190">IFERROR((D386-C386)*(G386-H386),0)</f>
        <v>0</v>
      </c>
      <c r="O386" s="28">
        <f t="shared" ref="O386:O449" si="191">IFERROR((E386-D386)*(G386-H386),0)</f>
        <v>0</v>
      </c>
      <c r="P386" s="28">
        <f t="shared" ref="P386:P449" si="192">IFERROR(F386*(K386-G386),0)</f>
        <v>0</v>
      </c>
      <c r="Q386" s="28">
        <f t="shared" si="177"/>
        <v>0</v>
      </c>
      <c r="R386" s="28">
        <f t="shared" ref="R386:R449" si="193">IFERROR(K386*C386,0)</f>
        <v>6196.0319999999992</v>
      </c>
      <c r="S386" s="28">
        <f t="shared" si="178"/>
        <v>0</v>
      </c>
      <c r="T386" s="28">
        <f t="shared" si="179"/>
        <v>0</v>
      </c>
      <c r="U386" s="28">
        <f t="shared" si="182"/>
        <v>0</v>
      </c>
      <c r="V386" s="28">
        <f t="shared" si="180"/>
        <v>0</v>
      </c>
      <c r="W386" s="118"/>
      <c r="X386" s="143">
        <f t="shared" si="181"/>
        <v>19.59</v>
      </c>
      <c r="Y386" s="121">
        <f>交易记录!T5</f>
        <v>0.39700000000000002</v>
      </c>
      <c r="Z386" s="121">
        <f>交易记录!T36</f>
        <v>372</v>
      </c>
      <c r="AA386" s="30">
        <f t="shared" ref="AA386:AA449" si="194">IFERROR((Z386-G386)*Y386,0)</f>
        <v>0</v>
      </c>
      <c r="AB386" s="124">
        <f>交易记录!T69</f>
        <v>0</v>
      </c>
      <c r="AC386" s="124">
        <f>交易记录!T100</f>
        <v>0</v>
      </c>
      <c r="AD386" s="30">
        <f t="shared" si="183"/>
        <v>0</v>
      </c>
      <c r="AE386" s="121">
        <f>交易记录!T133</f>
        <v>0</v>
      </c>
      <c r="AF386" s="121">
        <f>交易记录!T164</f>
        <v>0</v>
      </c>
      <c r="AG386" s="30">
        <f t="shared" si="184"/>
        <v>0</v>
      </c>
      <c r="AH386" s="124">
        <f>交易记录!T197</f>
        <v>0</v>
      </c>
      <c r="AI386" s="124">
        <f>交易记录!T228</f>
        <v>0</v>
      </c>
      <c r="AJ386" s="30">
        <f t="shared" si="185"/>
        <v>0</v>
      </c>
      <c r="AK386" s="121">
        <f>交易记录!T261</f>
        <v>0</v>
      </c>
      <c r="AL386" s="121">
        <f>交易记录!T292</f>
        <v>0</v>
      </c>
      <c r="AM386" s="30">
        <f t="shared" si="186"/>
        <v>0</v>
      </c>
      <c r="AN386" s="124">
        <f>交易记录!T325</f>
        <v>0</v>
      </c>
      <c r="AO386" s="124">
        <f>交易记录!T356</f>
        <v>0</v>
      </c>
      <c r="AP386" s="30">
        <f t="shared" si="187"/>
        <v>0</v>
      </c>
      <c r="AQ386" s="121">
        <f>交易记录!T389</f>
        <v>0</v>
      </c>
      <c r="AR386" s="121">
        <f>交易记录!T420</f>
        <v>0</v>
      </c>
      <c r="AS386" s="30">
        <f t="shared" si="188"/>
        <v>0</v>
      </c>
      <c r="AT386" s="124">
        <f>交易记录!T453</f>
        <v>0</v>
      </c>
      <c r="AU386" s="124">
        <f>交易记录!T484</f>
        <v>0</v>
      </c>
      <c r="AV386" s="30">
        <f t="shared" ref="AV386:AV449" si="195">IFERROR((AU386-$G386)*AT386,0)</f>
        <v>0</v>
      </c>
      <c r="AW386" s="121">
        <f>交易记录!T517</f>
        <v>0</v>
      </c>
      <c r="AX386" s="121">
        <f>交易记录!T548</f>
        <v>0</v>
      </c>
      <c r="AY386" s="30">
        <f t="shared" ref="AY386:AY449" si="196">IFERROR((AX386-$G386)*AW386,0)</f>
        <v>0</v>
      </c>
      <c r="AZ386" s="124">
        <f>交易记录!T581</f>
        <v>0</v>
      </c>
      <c r="BA386" s="124">
        <f>交易记录!T612</f>
        <v>0</v>
      </c>
      <c r="BB386" s="30">
        <f t="shared" ref="BB386:BB449" si="197">IFERROR((BA386-$G386)*AZ386,0)</f>
        <v>0</v>
      </c>
      <c r="BC386" s="121">
        <f>交易记录!T645</f>
        <v>0</v>
      </c>
      <c r="BD386" s="121">
        <f>交易记录!T676</f>
        <v>0</v>
      </c>
      <c r="BE386" s="30">
        <f t="shared" ref="BE386:BE449" si="198">IFERROR((BD386-$G386)*BC386,0)</f>
        <v>0</v>
      </c>
      <c r="BF386" s="124">
        <f>交易记录!T709</f>
        <v>0</v>
      </c>
      <c r="BG386" s="124">
        <f>交易记录!T740</f>
        <v>0</v>
      </c>
      <c r="BH386" s="30">
        <f t="shared" ref="BH386:BH449" si="199">IFERROR((BG386-$G386)*BF386,0)</f>
        <v>0</v>
      </c>
      <c r="BI386" s="121">
        <f>交易记录!T773</f>
        <v>0</v>
      </c>
      <c r="BJ386" s="121">
        <f>交易记录!T804</f>
        <v>0</v>
      </c>
      <c r="BK386" s="30">
        <f t="shared" ref="BK386:BK449" si="200">IFERROR((BJ386-$G386)*BI386,0)</f>
        <v>0</v>
      </c>
      <c r="BL386" s="124">
        <f>交易记录!T837</f>
        <v>0</v>
      </c>
      <c r="BM386" s="124">
        <f>交易记录!T868</f>
        <v>0</v>
      </c>
      <c r="BN386" s="30">
        <f t="shared" ref="BN386:BN449" si="201">IFERROR((BM386-$G386)*BL386,0)</f>
        <v>0</v>
      </c>
      <c r="BO386" s="121">
        <f>交易记录!T901</f>
        <v>0</v>
      </c>
      <c r="BP386" s="121">
        <f>交易记录!T932</f>
        <v>0</v>
      </c>
      <c r="BQ386" s="30">
        <f t="shared" ref="BQ386:BQ449" si="202">IFERROR((BP386-$G386)*BO386,0)</f>
        <v>0</v>
      </c>
    </row>
    <row r="387" spans="1:69" ht="15">
      <c r="A387" s="125">
        <f>'维护-日期'!A$19</f>
        <v>46282</v>
      </c>
      <c r="B387" s="7" t="s">
        <v>7</v>
      </c>
      <c r="C387" s="144">
        <f t="shared" ref="C387:C450" si="203">D387</f>
        <v>15.792</v>
      </c>
      <c r="D387" s="144">
        <f>ROUND(INDEX(持仓数据!$C$3:$AG$26,MATCH('计算过程-数据汇总'!B387,持仓数据!$B$3:$B$26,0),MATCH('计算过程-数据汇总'!A387,'维护-日期'!$B$2:$AF$2,0)),3)</f>
        <v>15.792</v>
      </c>
      <c r="E387" s="98">
        <f t="shared" ref="E387:E450" si="204">D387*1</f>
        <v>15.792</v>
      </c>
      <c r="F387" s="22">
        <f>持仓数据!S73</f>
        <v>0.26500000000000001</v>
      </c>
      <c r="G387" s="97">
        <v>372</v>
      </c>
      <c r="H387" s="97">
        <v>372</v>
      </c>
      <c r="I387" s="64">
        <v>0</v>
      </c>
      <c r="J387" s="64">
        <v>0</v>
      </c>
      <c r="K387" s="21">
        <f>IF(持仓数据!S106="",0,持仓数据!S106)</f>
        <v>372</v>
      </c>
      <c r="L387" s="21">
        <f t="shared" ref="L387:L450" si="205">I387*J387</f>
        <v>0</v>
      </c>
      <c r="M387" s="28">
        <f t="shared" si="189"/>
        <v>5874.6239999999998</v>
      </c>
      <c r="N387" s="28">
        <f t="shared" si="190"/>
        <v>0</v>
      </c>
      <c r="O387" s="28">
        <f t="shared" si="191"/>
        <v>0</v>
      </c>
      <c r="P387" s="28">
        <f t="shared" si="192"/>
        <v>0</v>
      </c>
      <c r="Q387" s="28">
        <f t="shared" ref="Q387:Q450" si="206">IFERROR(IF(ABS((E387-C387)/C387)&gt;0.2,IF(SUM(N387:O387)&lt;0,ABS(G387-H387)*(ABS(C387-E387)-C387*0.2),0),0),IF(SUM(N387:O387)&lt;0,ABS(G387-H387)*(ABS(C387-E387)-C387*0.2),0))</f>
        <v>0</v>
      </c>
      <c r="R387" s="28">
        <f t="shared" si="193"/>
        <v>5874.6239999999998</v>
      </c>
      <c r="S387" s="28">
        <f t="shared" ref="S387:S450" si="207">IFERROR((D387-E387)*(K387-G387),0)</f>
        <v>0</v>
      </c>
      <c r="T387" s="28">
        <f t="shared" ref="T387:T450" si="208">IFERROR((F387-D387)*(K387-G387),0)</f>
        <v>0</v>
      </c>
      <c r="U387" s="28">
        <f t="shared" si="182"/>
        <v>0</v>
      </c>
      <c r="V387" s="28">
        <f t="shared" ref="V387:V450" si="209">IFERROR((E387-D387)*(K387-H387),0)</f>
        <v>0</v>
      </c>
      <c r="W387" s="118"/>
      <c r="X387" s="143">
        <f t="shared" ref="X387:X450" si="210">ROUND(D387*1.2-SUM(Y387,AB387,AE387,AH387,AK387,AN387,AQ387,AT387,AW387,AZ387,BC387,BF387,BI387,BL387,BO387),3)</f>
        <v>18.684999999999999</v>
      </c>
      <c r="Y387" s="121">
        <f>交易记录!T6</f>
        <v>0.26500000000000001</v>
      </c>
      <c r="Z387" s="121">
        <f>交易记录!T37</f>
        <v>372</v>
      </c>
      <c r="AA387" s="30">
        <f t="shared" si="194"/>
        <v>0</v>
      </c>
      <c r="AB387" s="124">
        <f>交易记录!T70</f>
        <v>0</v>
      </c>
      <c r="AC387" s="124">
        <f>交易记录!T101</f>
        <v>0</v>
      </c>
      <c r="AD387" s="30">
        <f t="shared" si="183"/>
        <v>0</v>
      </c>
      <c r="AE387" s="121">
        <f>交易记录!T134</f>
        <v>0</v>
      </c>
      <c r="AF387" s="121">
        <f>交易记录!T165</f>
        <v>0</v>
      </c>
      <c r="AG387" s="30">
        <f t="shared" si="184"/>
        <v>0</v>
      </c>
      <c r="AH387" s="124">
        <f>交易记录!T198</f>
        <v>0</v>
      </c>
      <c r="AI387" s="124">
        <f>交易记录!T229</f>
        <v>0</v>
      </c>
      <c r="AJ387" s="30">
        <f t="shared" si="185"/>
        <v>0</v>
      </c>
      <c r="AK387" s="121">
        <f>交易记录!T262</f>
        <v>0</v>
      </c>
      <c r="AL387" s="121">
        <f>交易记录!T293</f>
        <v>0</v>
      </c>
      <c r="AM387" s="30">
        <f t="shared" si="186"/>
        <v>0</v>
      </c>
      <c r="AN387" s="124">
        <f>交易记录!T326</f>
        <v>0</v>
      </c>
      <c r="AO387" s="124">
        <f>交易记录!T357</f>
        <v>0</v>
      </c>
      <c r="AP387" s="30">
        <f t="shared" si="187"/>
        <v>0</v>
      </c>
      <c r="AQ387" s="121">
        <f>交易记录!T390</f>
        <v>0</v>
      </c>
      <c r="AR387" s="121">
        <f>交易记录!T421</f>
        <v>0</v>
      </c>
      <c r="AS387" s="30">
        <f t="shared" si="188"/>
        <v>0</v>
      </c>
      <c r="AT387" s="124">
        <f>交易记录!T454</f>
        <v>0</v>
      </c>
      <c r="AU387" s="124">
        <f>交易记录!T485</f>
        <v>0</v>
      </c>
      <c r="AV387" s="30">
        <f t="shared" si="195"/>
        <v>0</v>
      </c>
      <c r="AW387" s="121">
        <f>交易记录!T518</f>
        <v>0</v>
      </c>
      <c r="AX387" s="121">
        <f>交易记录!T549</f>
        <v>0</v>
      </c>
      <c r="AY387" s="30">
        <f t="shared" si="196"/>
        <v>0</v>
      </c>
      <c r="AZ387" s="124">
        <f>交易记录!T582</f>
        <v>0</v>
      </c>
      <c r="BA387" s="124">
        <f>交易记录!T613</f>
        <v>0</v>
      </c>
      <c r="BB387" s="30">
        <f t="shared" si="197"/>
        <v>0</v>
      </c>
      <c r="BC387" s="121">
        <f>交易记录!T646</f>
        <v>0</v>
      </c>
      <c r="BD387" s="121">
        <f>交易记录!T677</f>
        <v>0</v>
      </c>
      <c r="BE387" s="30">
        <f t="shared" si="198"/>
        <v>0</v>
      </c>
      <c r="BF387" s="124">
        <f>交易记录!T710</f>
        <v>0</v>
      </c>
      <c r="BG387" s="124">
        <f>交易记录!T741</f>
        <v>0</v>
      </c>
      <c r="BH387" s="30">
        <f t="shared" si="199"/>
        <v>0</v>
      </c>
      <c r="BI387" s="121">
        <f>交易记录!T774</f>
        <v>0</v>
      </c>
      <c r="BJ387" s="121">
        <f>交易记录!T805</f>
        <v>0</v>
      </c>
      <c r="BK387" s="30">
        <f t="shared" si="200"/>
        <v>0</v>
      </c>
      <c r="BL387" s="124">
        <f>交易记录!T838</f>
        <v>0</v>
      </c>
      <c r="BM387" s="124">
        <f>交易记录!T869</f>
        <v>0</v>
      </c>
      <c r="BN387" s="30">
        <f t="shared" si="201"/>
        <v>0</v>
      </c>
      <c r="BO387" s="121">
        <f>交易记录!T902</f>
        <v>0</v>
      </c>
      <c r="BP387" s="121">
        <f>交易记录!T933</f>
        <v>0</v>
      </c>
      <c r="BQ387" s="30">
        <f t="shared" si="202"/>
        <v>0</v>
      </c>
    </row>
    <row r="388" spans="1:69" ht="15">
      <c r="A388" s="125">
        <f>'维护-日期'!A$19</f>
        <v>46282</v>
      </c>
      <c r="B388" s="7" t="s">
        <v>8</v>
      </c>
      <c r="C388" s="144">
        <f t="shared" si="203"/>
        <v>14.821999999999999</v>
      </c>
      <c r="D388" s="144">
        <f>ROUND(INDEX(持仓数据!$C$3:$AG$26,MATCH('计算过程-数据汇总'!B388,持仓数据!$B$3:$B$26,0),MATCH('计算过程-数据汇总'!A388,'维护-日期'!$B$2:$AF$2,0)),3)</f>
        <v>14.821999999999999</v>
      </c>
      <c r="E388" s="98">
        <f t="shared" si="204"/>
        <v>14.821999999999999</v>
      </c>
      <c r="F388" s="22">
        <f>持仓数据!S74</f>
        <v>0.24199999999999999</v>
      </c>
      <c r="G388" s="97">
        <v>372</v>
      </c>
      <c r="H388" s="97">
        <v>372</v>
      </c>
      <c r="I388" s="64">
        <v>0</v>
      </c>
      <c r="J388" s="64">
        <v>0</v>
      </c>
      <c r="K388" s="21">
        <f>IF(持仓数据!S107="",0,持仓数据!S107)</f>
        <v>372</v>
      </c>
      <c r="L388" s="21">
        <f t="shared" si="205"/>
        <v>0</v>
      </c>
      <c r="M388" s="28">
        <f t="shared" si="189"/>
        <v>5513.7839999999997</v>
      </c>
      <c r="N388" s="28">
        <f t="shared" si="190"/>
        <v>0</v>
      </c>
      <c r="O388" s="28">
        <f t="shared" si="191"/>
        <v>0</v>
      </c>
      <c r="P388" s="28">
        <f t="shared" si="192"/>
        <v>0</v>
      </c>
      <c r="Q388" s="28">
        <f t="shared" si="206"/>
        <v>0</v>
      </c>
      <c r="R388" s="28">
        <f t="shared" si="193"/>
        <v>5513.7839999999997</v>
      </c>
      <c r="S388" s="28">
        <f t="shared" si="207"/>
        <v>0</v>
      </c>
      <c r="T388" s="28">
        <f t="shared" si="208"/>
        <v>0</v>
      </c>
      <c r="U388" s="28">
        <f t="shared" ref="U388:U451" si="211">IFERROR((D388-C388)*(K388-H388),0)</f>
        <v>0</v>
      </c>
      <c r="V388" s="28">
        <f t="shared" si="209"/>
        <v>0</v>
      </c>
      <c r="W388" s="118"/>
      <c r="X388" s="143">
        <f t="shared" si="210"/>
        <v>17.544</v>
      </c>
      <c r="Y388" s="121">
        <f>交易记录!T7</f>
        <v>0.24199999999999999</v>
      </c>
      <c r="Z388" s="121">
        <f>交易记录!T38</f>
        <v>372</v>
      </c>
      <c r="AA388" s="30">
        <f t="shared" si="194"/>
        <v>0</v>
      </c>
      <c r="AB388" s="124">
        <f>交易记录!T71</f>
        <v>0</v>
      </c>
      <c r="AC388" s="124">
        <f>交易记录!T102</f>
        <v>0</v>
      </c>
      <c r="AD388" s="30">
        <f t="shared" si="183"/>
        <v>0</v>
      </c>
      <c r="AE388" s="121">
        <f>交易记录!T135</f>
        <v>0</v>
      </c>
      <c r="AF388" s="121">
        <f>交易记录!T166</f>
        <v>0</v>
      </c>
      <c r="AG388" s="30">
        <f t="shared" si="184"/>
        <v>0</v>
      </c>
      <c r="AH388" s="124">
        <f>交易记录!T199</f>
        <v>0</v>
      </c>
      <c r="AI388" s="124">
        <f>交易记录!T230</f>
        <v>0</v>
      </c>
      <c r="AJ388" s="30">
        <f t="shared" si="185"/>
        <v>0</v>
      </c>
      <c r="AK388" s="121">
        <f>交易记录!T263</f>
        <v>0</v>
      </c>
      <c r="AL388" s="121">
        <f>交易记录!T294</f>
        <v>0</v>
      </c>
      <c r="AM388" s="30">
        <f t="shared" si="186"/>
        <v>0</v>
      </c>
      <c r="AN388" s="124">
        <f>交易记录!T327</f>
        <v>0</v>
      </c>
      <c r="AO388" s="124">
        <f>交易记录!T358</f>
        <v>0</v>
      </c>
      <c r="AP388" s="30">
        <f t="shared" si="187"/>
        <v>0</v>
      </c>
      <c r="AQ388" s="121">
        <f>交易记录!T391</f>
        <v>0</v>
      </c>
      <c r="AR388" s="121">
        <f>交易记录!T422</f>
        <v>0</v>
      </c>
      <c r="AS388" s="30">
        <f t="shared" si="188"/>
        <v>0</v>
      </c>
      <c r="AT388" s="124">
        <f>交易记录!T455</f>
        <v>0</v>
      </c>
      <c r="AU388" s="124">
        <f>交易记录!T486</f>
        <v>0</v>
      </c>
      <c r="AV388" s="30">
        <f t="shared" si="195"/>
        <v>0</v>
      </c>
      <c r="AW388" s="121">
        <f>交易记录!T519</f>
        <v>0</v>
      </c>
      <c r="AX388" s="121">
        <f>交易记录!T550</f>
        <v>0</v>
      </c>
      <c r="AY388" s="30">
        <f t="shared" si="196"/>
        <v>0</v>
      </c>
      <c r="AZ388" s="124">
        <f>交易记录!T583</f>
        <v>0</v>
      </c>
      <c r="BA388" s="124">
        <f>交易记录!T614</f>
        <v>0</v>
      </c>
      <c r="BB388" s="30">
        <f t="shared" si="197"/>
        <v>0</v>
      </c>
      <c r="BC388" s="121">
        <f>交易记录!T647</f>
        <v>0</v>
      </c>
      <c r="BD388" s="121">
        <f>交易记录!T678</f>
        <v>0</v>
      </c>
      <c r="BE388" s="30">
        <f t="shared" si="198"/>
        <v>0</v>
      </c>
      <c r="BF388" s="124">
        <f>交易记录!T711</f>
        <v>0</v>
      </c>
      <c r="BG388" s="124">
        <f>交易记录!T742</f>
        <v>0</v>
      </c>
      <c r="BH388" s="30">
        <f t="shared" si="199"/>
        <v>0</v>
      </c>
      <c r="BI388" s="121">
        <f>交易记录!T775</f>
        <v>0</v>
      </c>
      <c r="BJ388" s="121">
        <f>交易记录!T806</f>
        <v>0</v>
      </c>
      <c r="BK388" s="30">
        <f t="shared" si="200"/>
        <v>0</v>
      </c>
      <c r="BL388" s="124">
        <f>交易记录!T839</f>
        <v>0</v>
      </c>
      <c r="BM388" s="124">
        <f>交易记录!T870</f>
        <v>0</v>
      </c>
      <c r="BN388" s="30">
        <f t="shared" si="201"/>
        <v>0</v>
      </c>
      <c r="BO388" s="121">
        <f>交易记录!T903</f>
        <v>0</v>
      </c>
      <c r="BP388" s="121">
        <f>交易记录!T934</f>
        <v>0</v>
      </c>
      <c r="BQ388" s="30">
        <f t="shared" si="202"/>
        <v>0</v>
      </c>
    </row>
    <row r="389" spans="1:69" ht="15">
      <c r="A389" s="125">
        <f>'维护-日期'!A$19</f>
        <v>46282</v>
      </c>
      <c r="B389" s="7" t="s">
        <v>9</v>
      </c>
      <c r="C389" s="144">
        <f t="shared" si="203"/>
        <v>13.817</v>
      </c>
      <c r="D389" s="144">
        <f>ROUND(INDEX(持仓数据!$C$3:$AG$26,MATCH('计算过程-数据汇总'!B389,持仓数据!$B$3:$B$26,0),MATCH('计算过程-数据汇总'!A389,'维护-日期'!$B$2:$AF$2,0)),3)</f>
        <v>13.817</v>
      </c>
      <c r="E389" s="98">
        <f t="shared" si="204"/>
        <v>13.817</v>
      </c>
      <c r="F389" s="22">
        <f>持仓数据!S75</f>
        <v>0.09</v>
      </c>
      <c r="G389" s="97">
        <v>372</v>
      </c>
      <c r="H389" s="97">
        <v>372</v>
      </c>
      <c r="I389" s="64">
        <v>0</v>
      </c>
      <c r="J389" s="64">
        <v>0</v>
      </c>
      <c r="K389" s="21">
        <f>IF(持仓数据!S108="",0,持仓数据!S108)</f>
        <v>372</v>
      </c>
      <c r="L389" s="21">
        <f t="shared" si="205"/>
        <v>0</v>
      </c>
      <c r="M389" s="28">
        <f t="shared" si="189"/>
        <v>5139.924</v>
      </c>
      <c r="N389" s="28">
        <f t="shared" si="190"/>
        <v>0</v>
      </c>
      <c r="O389" s="28">
        <f t="shared" si="191"/>
        <v>0</v>
      </c>
      <c r="P389" s="28">
        <f t="shared" si="192"/>
        <v>0</v>
      </c>
      <c r="Q389" s="28">
        <f t="shared" si="206"/>
        <v>0</v>
      </c>
      <c r="R389" s="28">
        <f t="shared" si="193"/>
        <v>5139.924</v>
      </c>
      <c r="S389" s="28">
        <f t="shared" si="207"/>
        <v>0</v>
      </c>
      <c r="T389" s="28">
        <f t="shared" si="208"/>
        <v>0</v>
      </c>
      <c r="U389" s="28">
        <f t="shared" si="211"/>
        <v>0</v>
      </c>
      <c r="V389" s="28">
        <f t="shared" si="209"/>
        <v>0</v>
      </c>
      <c r="W389" s="118"/>
      <c r="X389" s="143">
        <f t="shared" si="210"/>
        <v>16.489999999999998</v>
      </c>
      <c r="Y389" s="121">
        <f>交易记录!T8</f>
        <v>0.09</v>
      </c>
      <c r="Z389" s="121">
        <f>交易记录!T39</f>
        <v>372</v>
      </c>
      <c r="AA389" s="30">
        <f t="shared" si="194"/>
        <v>0</v>
      </c>
      <c r="AB389" s="124">
        <f>交易记录!T72</f>
        <v>0</v>
      </c>
      <c r="AC389" s="124">
        <f>交易记录!T103</f>
        <v>0</v>
      </c>
      <c r="AD389" s="30">
        <f t="shared" si="183"/>
        <v>0</v>
      </c>
      <c r="AE389" s="121">
        <f>交易记录!T136</f>
        <v>0</v>
      </c>
      <c r="AF389" s="121">
        <f>交易记录!T167</f>
        <v>0</v>
      </c>
      <c r="AG389" s="30">
        <f t="shared" si="184"/>
        <v>0</v>
      </c>
      <c r="AH389" s="124">
        <f>交易记录!T200</f>
        <v>0</v>
      </c>
      <c r="AI389" s="124">
        <f>交易记录!T231</f>
        <v>0</v>
      </c>
      <c r="AJ389" s="30">
        <f t="shared" si="185"/>
        <v>0</v>
      </c>
      <c r="AK389" s="121">
        <f>交易记录!T264</f>
        <v>0</v>
      </c>
      <c r="AL389" s="121">
        <f>交易记录!T295</f>
        <v>0</v>
      </c>
      <c r="AM389" s="30">
        <f t="shared" si="186"/>
        <v>0</v>
      </c>
      <c r="AN389" s="124">
        <f>交易记录!T328</f>
        <v>0</v>
      </c>
      <c r="AO389" s="124">
        <f>交易记录!T359</f>
        <v>0</v>
      </c>
      <c r="AP389" s="30">
        <f t="shared" si="187"/>
        <v>0</v>
      </c>
      <c r="AQ389" s="121">
        <f>交易记录!T392</f>
        <v>0</v>
      </c>
      <c r="AR389" s="121">
        <f>交易记录!T423</f>
        <v>0</v>
      </c>
      <c r="AS389" s="30">
        <f t="shared" si="188"/>
        <v>0</v>
      </c>
      <c r="AT389" s="124">
        <f>交易记录!T456</f>
        <v>0</v>
      </c>
      <c r="AU389" s="124">
        <f>交易记录!T487</f>
        <v>0</v>
      </c>
      <c r="AV389" s="30">
        <f t="shared" si="195"/>
        <v>0</v>
      </c>
      <c r="AW389" s="121">
        <f>交易记录!T520</f>
        <v>0</v>
      </c>
      <c r="AX389" s="121">
        <f>交易记录!T551</f>
        <v>0</v>
      </c>
      <c r="AY389" s="30">
        <f t="shared" si="196"/>
        <v>0</v>
      </c>
      <c r="AZ389" s="124">
        <f>交易记录!T584</f>
        <v>0</v>
      </c>
      <c r="BA389" s="124">
        <f>交易记录!T615</f>
        <v>0</v>
      </c>
      <c r="BB389" s="30">
        <f t="shared" si="197"/>
        <v>0</v>
      </c>
      <c r="BC389" s="121">
        <f>交易记录!T648</f>
        <v>0</v>
      </c>
      <c r="BD389" s="121">
        <f>交易记录!T679</f>
        <v>0</v>
      </c>
      <c r="BE389" s="30">
        <f t="shared" si="198"/>
        <v>0</v>
      </c>
      <c r="BF389" s="124">
        <f>交易记录!T712</f>
        <v>0</v>
      </c>
      <c r="BG389" s="124">
        <f>交易记录!T743</f>
        <v>0</v>
      </c>
      <c r="BH389" s="30">
        <f t="shared" si="199"/>
        <v>0</v>
      </c>
      <c r="BI389" s="121">
        <f>交易记录!T776</f>
        <v>0</v>
      </c>
      <c r="BJ389" s="121">
        <f>交易记录!T807</f>
        <v>0</v>
      </c>
      <c r="BK389" s="30">
        <f t="shared" si="200"/>
        <v>0</v>
      </c>
      <c r="BL389" s="124">
        <f>交易记录!T840</f>
        <v>0</v>
      </c>
      <c r="BM389" s="124">
        <f>交易记录!T871</f>
        <v>0</v>
      </c>
      <c r="BN389" s="30">
        <f t="shared" si="201"/>
        <v>0</v>
      </c>
      <c r="BO389" s="121">
        <f>交易记录!T904</f>
        <v>0</v>
      </c>
      <c r="BP389" s="121">
        <f>交易记录!T935</f>
        <v>0</v>
      </c>
      <c r="BQ389" s="30">
        <f t="shared" si="202"/>
        <v>0</v>
      </c>
    </row>
    <row r="390" spans="1:69" ht="15">
      <c r="A390" s="125">
        <f>'维护-日期'!A$19</f>
        <v>46282</v>
      </c>
      <c r="B390" s="7" t="s">
        <v>10</v>
      </c>
      <c r="C390" s="144">
        <f t="shared" si="203"/>
        <v>13.388</v>
      </c>
      <c r="D390" s="144">
        <f>ROUND(INDEX(持仓数据!$C$3:$AG$26,MATCH('计算过程-数据汇总'!B390,持仓数据!$B$3:$B$26,0),MATCH('计算过程-数据汇总'!A390,'维护-日期'!$B$2:$AF$2,0)),3)</f>
        <v>13.388</v>
      </c>
      <c r="E390" s="98">
        <f t="shared" si="204"/>
        <v>13.388</v>
      </c>
      <c r="F390" s="22">
        <f>持仓数据!S76</f>
        <v>8.6999999999999994E-2</v>
      </c>
      <c r="G390" s="97">
        <v>372</v>
      </c>
      <c r="H390" s="97">
        <v>372</v>
      </c>
      <c r="I390" s="64">
        <v>0</v>
      </c>
      <c r="J390" s="64">
        <v>0</v>
      </c>
      <c r="K390" s="21">
        <f>IF(持仓数据!S109="",0,持仓数据!S109)</f>
        <v>372</v>
      </c>
      <c r="L390" s="21">
        <f t="shared" si="205"/>
        <v>0</v>
      </c>
      <c r="M390" s="28">
        <f t="shared" si="189"/>
        <v>4980.3360000000002</v>
      </c>
      <c r="N390" s="28">
        <f t="shared" si="190"/>
        <v>0</v>
      </c>
      <c r="O390" s="28">
        <f t="shared" si="191"/>
        <v>0</v>
      </c>
      <c r="P390" s="28">
        <f t="shared" si="192"/>
        <v>0</v>
      </c>
      <c r="Q390" s="28">
        <f t="shared" si="206"/>
        <v>0</v>
      </c>
      <c r="R390" s="28">
        <f t="shared" si="193"/>
        <v>4980.3360000000002</v>
      </c>
      <c r="S390" s="28">
        <f t="shared" si="207"/>
        <v>0</v>
      </c>
      <c r="T390" s="28">
        <f t="shared" si="208"/>
        <v>0</v>
      </c>
      <c r="U390" s="28">
        <f t="shared" si="211"/>
        <v>0</v>
      </c>
      <c r="V390" s="28">
        <f t="shared" si="209"/>
        <v>0</v>
      </c>
      <c r="W390" s="118"/>
      <c r="X390" s="143">
        <f t="shared" si="210"/>
        <v>15.978999999999999</v>
      </c>
      <c r="Y390" s="121">
        <f>交易记录!T9</f>
        <v>8.6999999999999994E-2</v>
      </c>
      <c r="Z390" s="121">
        <f>交易记录!T40</f>
        <v>372</v>
      </c>
      <c r="AA390" s="30">
        <f t="shared" si="194"/>
        <v>0</v>
      </c>
      <c r="AB390" s="124">
        <f>交易记录!T73</f>
        <v>0</v>
      </c>
      <c r="AC390" s="124">
        <f>交易记录!T104</f>
        <v>0</v>
      </c>
      <c r="AD390" s="30">
        <f t="shared" si="183"/>
        <v>0</v>
      </c>
      <c r="AE390" s="121">
        <f>交易记录!T137</f>
        <v>0</v>
      </c>
      <c r="AF390" s="121">
        <f>交易记录!T168</f>
        <v>0</v>
      </c>
      <c r="AG390" s="30">
        <f t="shared" si="184"/>
        <v>0</v>
      </c>
      <c r="AH390" s="124">
        <f>交易记录!T201</f>
        <v>0</v>
      </c>
      <c r="AI390" s="124">
        <f>交易记录!T232</f>
        <v>0</v>
      </c>
      <c r="AJ390" s="30">
        <f t="shared" si="185"/>
        <v>0</v>
      </c>
      <c r="AK390" s="121">
        <f>交易记录!T265</f>
        <v>0</v>
      </c>
      <c r="AL390" s="121">
        <f>交易记录!T296</f>
        <v>0</v>
      </c>
      <c r="AM390" s="30">
        <f t="shared" si="186"/>
        <v>0</v>
      </c>
      <c r="AN390" s="124">
        <f>交易记录!T329</f>
        <v>0</v>
      </c>
      <c r="AO390" s="124">
        <f>交易记录!T360</f>
        <v>0</v>
      </c>
      <c r="AP390" s="30">
        <f t="shared" si="187"/>
        <v>0</v>
      </c>
      <c r="AQ390" s="121">
        <f>交易记录!T393</f>
        <v>0</v>
      </c>
      <c r="AR390" s="121">
        <f>交易记录!T424</f>
        <v>0</v>
      </c>
      <c r="AS390" s="30">
        <f t="shared" si="188"/>
        <v>0</v>
      </c>
      <c r="AT390" s="124">
        <f>交易记录!T457</f>
        <v>0</v>
      </c>
      <c r="AU390" s="124">
        <f>交易记录!T488</f>
        <v>0</v>
      </c>
      <c r="AV390" s="30">
        <f t="shared" si="195"/>
        <v>0</v>
      </c>
      <c r="AW390" s="121">
        <f>交易记录!T521</f>
        <v>0</v>
      </c>
      <c r="AX390" s="121">
        <f>交易记录!T552</f>
        <v>0</v>
      </c>
      <c r="AY390" s="30">
        <f t="shared" si="196"/>
        <v>0</v>
      </c>
      <c r="AZ390" s="124">
        <f>交易记录!T585</f>
        <v>0</v>
      </c>
      <c r="BA390" s="124">
        <f>交易记录!T616</f>
        <v>0</v>
      </c>
      <c r="BB390" s="30">
        <f t="shared" si="197"/>
        <v>0</v>
      </c>
      <c r="BC390" s="121">
        <f>交易记录!T649</f>
        <v>0</v>
      </c>
      <c r="BD390" s="121">
        <f>交易记录!T680</f>
        <v>0</v>
      </c>
      <c r="BE390" s="30">
        <f t="shared" si="198"/>
        <v>0</v>
      </c>
      <c r="BF390" s="124">
        <f>交易记录!T713</f>
        <v>0</v>
      </c>
      <c r="BG390" s="124">
        <f>交易记录!T744</f>
        <v>0</v>
      </c>
      <c r="BH390" s="30">
        <f t="shared" si="199"/>
        <v>0</v>
      </c>
      <c r="BI390" s="121">
        <f>交易记录!T777</f>
        <v>0</v>
      </c>
      <c r="BJ390" s="121">
        <f>交易记录!T808</f>
        <v>0</v>
      </c>
      <c r="BK390" s="30">
        <f t="shared" si="200"/>
        <v>0</v>
      </c>
      <c r="BL390" s="124">
        <f>交易记录!T841</f>
        <v>0</v>
      </c>
      <c r="BM390" s="124">
        <f>交易记录!T872</f>
        <v>0</v>
      </c>
      <c r="BN390" s="30">
        <f t="shared" si="201"/>
        <v>0</v>
      </c>
      <c r="BO390" s="121">
        <f>交易记录!T905</f>
        <v>0</v>
      </c>
      <c r="BP390" s="121">
        <f>交易记录!T936</f>
        <v>0</v>
      </c>
      <c r="BQ390" s="30">
        <f t="shared" si="202"/>
        <v>0</v>
      </c>
    </row>
    <row r="391" spans="1:69" ht="15">
      <c r="A391" s="125">
        <f>'维护-日期'!A$19</f>
        <v>46282</v>
      </c>
      <c r="B391" s="7" t="s">
        <v>11</v>
      </c>
      <c r="C391" s="144">
        <f t="shared" si="203"/>
        <v>13.087</v>
      </c>
      <c r="D391" s="144">
        <f>ROUND(INDEX(持仓数据!$C$3:$AG$26,MATCH('计算过程-数据汇总'!B391,持仓数据!$B$3:$B$26,0),MATCH('计算过程-数据汇总'!A391,'维护-日期'!$B$2:$AF$2,0)),3)</f>
        <v>13.087</v>
      </c>
      <c r="E391" s="98">
        <f t="shared" si="204"/>
        <v>13.087</v>
      </c>
      <c r="F391" s="22">
        <f>持仓数据!S77</f>
        <v>8.6999999999999994E-2</v>
      </c>
      <c r="G391" s="97">
        <v>372</v>
      </c>
      <c r="H391" s="97">
        <v>372</v>
      </c>
      <c r="I391" s="64">
        <v>0</v>
      </c>
      <c r="J391" s="64">
        <v>0</v>
      </c>
      <c r="K391" s="21">
        <f>IF(持仓数据!S110="",0,持仓数据!S110)</f>
        <v>372</v>
      </c>
      <c r="L391" s="21">
        <f t="shared" si="205"/>
        <v>0</v>
      </c>
      <c r="M391" s="28">
        <f t="shared" si="189"/>
        <v>4868.3639999999996</v>
      </c>
      <c r="N391" s="28">
        <f t="shared" si="190"/>
        <v>0</v>
      </c>
      <c r="O391" s="28">
        <f t="shared" si="191"/>
        <v>0</v>
      </c>
      <c r="P391" s="28">
        <f t="shared" si="192"/>
        <v>0</v>
      </c>
      <c r="Q391" s="28">
        <f t="shared" si="206"/>
        <v>0</v>
      </c>
      <c r="R391" s="28">
        <f t="shared" si="193"/>
        <v>4868.3639999999996</v>
      </c>
      <c r="S391" s="28">
        <f t="shared" si="207"/>
        <v>0</v>
      </c>
      <c r="T391" s="28">
        <f t="shared" si="208"/>
        <v>0</v>
      </c>
      <c r="U391" s="28">
        <f t="shared" si="211"/>
        <v>0</v>
      </c>
      <c r="V391" s="28">
        <f t="shared" si="209"/>
        <v>0</v>
      </c>
      <c r="W391" s="118"/>
      <c r="X391" s="143">
        <f t="shared" si="210"/>
        <v>15.617000000000001</v>
      </c>
      <c r="Y391" s="121">
        <f>交易记录!T10</f>
        <v>8.6999999999999994E-2</v>
      </c>
      <c r="Z391" s="121">
        <f>交易记录!T41</f>
        <v>372</v>
      </c>
      <c r="AA391" s="30">
        <f t="shared" si="194"/>
        <v>0</v>
      </c>
      <c r="AB391" s="124">
        <f>交易记录!T74</f>
        <v>0</v>
      </c>
      <c r="AC391" s="124">
        <f>交易记录!T105</f>
        <v>0</v>
      </c>
      <c r="AD391" s="30">
        <f t="shared" si="183"/>
        <v>0</v>
      </c>
      <c r="AE391" s="121">
        <f>交易记录!T138</f>
        <v>0</v>
      </c>
      <c r="AF391" s="121">
        <f>交易记录!T169</f>
        <v>0</v>
      </c>
      <c r="AG391" s="30">
        <f t="shared" si="184"/>
        <v>0</v>
      </c>
      <c r="AH391" s="124">
        <f>交易记录!T202</f>
        <v>0</v>
      </c>
      <c r="AI391" s="124">
        <f>交易记录!T233</f>
        <v>0</v>
      </c>
      <c r="AJ391" s="30">
        <f t="shared" si="185"/>
        <v>0</v>
      </c>
      <c r="AK391" s="121">
        <f>交易记录!T266</f>
        <v>0</v>
      </c>
      <c r="AL391" s="121">
        <f>交易记录!T297</f>
        <v>0</v>
      </c>
      <c r="AM391" s="30">
        <f t="shared" si="186"/>
        <v>0</v>
      </c>
      <c r="AN391" s="124">
        <f>交易记录!T330</f>
        <v>0</v>
      </c>
      <c r="AO391" s="124">
        <f>交易记录!T361</f>
        <v>0</v>
      </c>
      <c r="AP391" s="30">
        <f t="shared" si="187"/>
        <v>0</v>
      </c>
      <c r="AQ391" s="121">
        <f>交易记录!T394</f>
        <v>0</v>
      </c>
      <c r="AR391" s="121">
        <f>交易记录!T425</f>
        <v>0</v>
      </c>
      <c r="AS391" s="30">
        <f t="shared" si="188"/>
        <v>0</v>
      </c>
      <c r="AT391" s="124">
        <f>交易记录!T458</f>
        <v>0</v>
      </c>
      <c r="AU391" s="124">
        <f>交易记录!T489</f>
        <v>0</v>
      </c>
      <c r="AV391" s="30">
        <f t="shared" si="195"/>
        <v>0</v>
      </c>
      <c r="AW391" s="121">
        <f>交易记录!T522</f>
        <v>0</v>
      </c>
      <c r="AX391" s="121">
        <f>交易记录!T553</f>
        <v>0</v>
      </c>
      <c r="AY391" s="30">
        <f t="shared" si="196"/>
        <v>0</v>
      </c>
      <c r="AZ391" s="124">
        <f>交易记录!T586</f>
        <v>0</v>
      </c>
      <c r="BA391" s="124">
        <f>交易记录!T617</f>
        <v>0</v>
      </c>
      <c r="BB391" s="30">
        <f t="shared" si="197"/>
        <v>0</v>
      </c>
      <c r="BC391" s="121">
        <f>交易记录!T650</f>
        <v>0</v>
      </c>
      <c r="BD391" s="121">
        <f>交易记录!T681</f>
        <v>0</v>
      </c>
      <c r="BE391" s="30">
        <f t="shared" si="198"/>
        <v>0</v>
      </c>
      <c r="BF391" s="124">
        <f>交易记录!T714</f>
        <v>0</v>
      </c>
      <c r="BG391" s="124">
        <f>交易记录!T745</f>
        <v>0</v>
      </c>
      <c r="BH391" s="30">
        <f t="shared" si="199"/>
        <v>0</v>
      </c>
      <c r="BI391" s="121">
        <f>交易记录!T778</f>
        <v>0</v>
      </c>
      <c r="BJ391" s="121">
        <f>交易记录!T809</f>
        <v>0</v>
      </c>
      <c r="BK391" s="30">
        <f t="shared" si="200"/>
        <v>0</v>
      </c>
      <c r="BL391" s="124">
        <f>交易记录!T842</f>
        <v>0</v>
      </c>
      <c r="BM391" s="124">
        <f>交易记录!T873</f>
        <v>0</v>
      </c>
      <c r="BN391" s="30">
        <f t="shared" si="201"/>
        <v>0</v>
      </c>
      <c r="BO391" s="121">
        <f>交易记录!T906</f>
        <v>0</v>
      </c>
      <c r="BP391" s="121">
        <f>交易记录!T937</f>
        <v>0</v>
      </c>
      <c r="BQ391" s="30">
        <f t="shared" si="202"/>
        <v>0</v>
      </c>
    </row>
    <row r="392" spans="1:69" ht="15">
      <c r="A392" s="125">
        <f>'维护-日期'!A$19</f>
        <v>46282</v>
      </c>
      <c r="B392" s="7" t="s">
        <v>12</v>
      </c>
      <c r="C392" s="144">
        <f t="shared" si="203"/>
        <v>12.95</v>
      </c>
      <c r="D392" s="144">
        <f>ROUND(INDEX(持仓数据!$C$3:$AG$26,MATCH('计算过程-数据汇总'!B392,持仓数据!$B$3:$B$26,0),MATCH('计算过程-数据汇总'!A392,'维护-日期'!$B$2:$AF$2,0)),3)</f>
        <v>12.95</v>
      </c>
      <c r="E392" s="98">
        <f t="shared" si="204"/>
        <v>12.95</v>
      </c>
      <c r="F392" s="22">
        <f>持仓数据!S78</f>
        <v>0.14499999999999999</v>
      </c>
      <c r="G392" s="97">
        <v>372</v>
      </c>
      <c r="H392" s="97">
        <v>372</v>
      </c>
      <c r="I392" s="64">
        <v>0</v>
      </c>
      <c r="J392" s="64">
        <v>0</v>
      </c>
      <c r="K392" s="21">
        <f>IF(持仓数据!S111="",0,持仓数据!S111)</f>
        <v>372</v>
      </c>
      <c r="L392" s="21">
        <f t="shared" si="205"/>
        <v>0</v>
      </c>
      <c r="M392" s="28">
        <f t="shared" si="189"/>
        <v>4817.3999999999996</v>
      </c>
      <c r="N392" s="28">
        <f t="shared" si="190"/>
        <v>0</v>
      </c>
      <c r="O392" s="28">
        <f t="shared" si="191"/>
        <v>0</v>
      </c>
      <c r="P392" s="28">
        <f t="shared" si="192"/>
        <v>0</v>
      </c>
      <c r="Q392" s="28">
        <f t="shared" si="206"/>
        <v>0</v>
      </c>
      <c r="R392" s="28">
        <f t="shared" si="193"/>
        <v>4817.3999999999996</v>
      </c>
      <c r="S392" s="28">
        <f t="shared" si="207"/>
        <v>0</v>
      </c>
      <c r="T392" s="28">
        <f t="shared" si="208"/>
        <v>0</v>
      </c>
      <c r="U392" s="28">
        <f t="shared" si="211"/>
        <v>0</v>
      </c>
      <c r="V392" s="28">
        <f t="shared" si="209"/>
        <v>0</v>
      </c>
      <c r="W392" s="118"/>
      <c r="X392" s="143">
        <f t="shared" si="210"/>
        <v>15.395</v>
      </c>
      <c r="Y392" s="121">
        <f>交易记录!T11</f>
        <v>0.14499999999999999</v>
      </c>
      <c r="Z392" s="121">
        <f>交易记录!T42</f>
        <v>372</v>
      </c>
      <c r="AA392" s="30">
        <f t="shared" si="194"/>
        <v>0</v>
      </c>
      <c r="AB392" s="124">
        <f>交易记录!T75</f>
        <v>0</v>
      </c>
      <c r="AC392" s="124">
        <f>交易记录!T106</f>
        <v>0</v>
      </c>
      <c r="AD392" s="30">
        <f t="shared" si="183"/>
        <v>0</v>
      </c>
      <c r="AE392" s="121">
        <f>交易记录!T139</f>
        <v>0</v>
      </c>
      <c r="AF392" s="121">
        <f>交易记录!T170</f>
        <v>0</v>
      </c>
      <c r="AG392" s="30">
        <f t="shared" si="184"/>
        <v>0</v>
      </c>
      <c r="AH392" s="124">
        <f>交易记录!T203</f>
        <v>0</v>
      </c>
      <c r="AI392" s="124">
        <f>交易记录!T234</f>
        <v>0</v>
      </c>
      <c r="AJ392" s="30">
        <f t="shared" si="185"/>
        <v>0</v>
      </c>
      <c r="AK392" s="121">
        <f>交易记录!T267</f>
        <v>0</v>
      </c>
      <c r="AL392" s="121">
        <f>交易记录!T298</f>
        <v>0</v>
      </c>
      <c r="AM392" s="30">
        <f t="shared" si="186"/>
        <v>0</v>
      </c>
      <c r="AN392" s="124">
        <f>交易记录!T331</f>
        <v>0</v>
      </c>
      <c r="AO392" s="124">
        <f>交易记录!T362</f>
        <v>0</v>
      </c>
      <c r="AP392" s="30">
        <f t="shared" si="187"/>
        <v>0</v>
      </c>
      <c r="AQ392" s="121">
        <f>交易记录!T395</f>
        <v>0</v>
      </c>
      <c r="AR392" s="121">
        <f>交易记录!T426</f>
        <v>0</v>
      </c>
      <c r="AS392" s="30">
        <f t="shared" si="188"/>
        <v>0</v>
      </c>
      <c r="AT392" s="124">
        <f>交易记录!T459</f>
        <v>0</v>
      </c>
      <c r="AU392" s="124">
        <f>交易记录!T490</f>
        <v>0</v>
      </c>
      <c r="AV392" s="30">
        <f t="shared" si="195"/>
        <v>0</v>
      </c>
      <c r="AW392" s="121">
        <f>交易记录!T523</f>
        <v>0</v>
      </c>
      <c r="AX392" s="121">
        <f>交易记录!T554</f>
        <v>0</v>
      </c>
      <c r="AY392" s="30">
        <f t="shared" si="196"/>
        <v>0</v>
      </c>
      <c r="AZ392" s="124">
        <f>交易记录!T587</f>
        <v>0</v>
      </c>
      <c r="BA392" s="124">
        <f>交易记录!T618</f>
        <v>0</v>
      </c>
      <c r="BB392" s="30">
        <f t="shared" si="197"/>
        <v>0</v>
      </c>
      <c r="BC392" s="121">
        <f>交易记录!T651</f>
        <v>0</v>
      </c>
      <c r="BD392" s="121">
        <f>交易记录!T682</f>
        <v>0</v>
      </c>
      <c r="BE392" s="30">
        <f t="shared" si="198"/>
        <v>0</v>
      </c>
      <c r="BF392" s="124">
        <f>交易记录!T715</f>
        <v>0</v>
      </c>
      <c r="BG392" s="124">
        <f>交易记录!T746</f>
        <v>0</v>
      </c>
      <c r="BH392" s="30">
        <f t="shared" si="199"/>
        <v>0</v>
      </c>
      <c r="BI392" s="121">
        <f>交易记录!T779</f>
        <v>0</v>
      </c>
      <c r="BJ392" s="121">
        <f>交易记录!T810</f>
        <v>0</v>
      </c>
      <c r="BK392" s="30">
        <f t="shared" si="200"/>
        <v>0</v>
      </c>
      <c r="BL392" s="124">
        <f>交易记录!T843</f>
        <v>0</v>
      </c>
      <c r="BM392" s="124">
        <f>交易记录!T874</f>
        <v>0</v>
      </c>
      <c r="BN392" s="30">
        <f t="shared" si="201"/>
        <v>0</v>
      </c>
      <c r="BO392" s="121">
        <f>交易记录!T907</f>
        <v>0</v>
      </c>
      <c r="BP392" s="121">
        <f>交易记录!T938</f>
        <v>0</v>
      </c>
      <c r="BQ392" s="30">
        <f t="shared" si="202"/>
        <v>0</v>
      </c>
    </row>
    <row r="393" spans="1:69" ht="15">
      <c r="A393" s="125">
        <f>'维护-日期'!A$19</f>
        <v>46282</v>
      </c>
      <c r="B393" s="7" t="s">
        <v>13</v>
      </c>
      <c r="C393" s="144">
        <f t="shared" si="203"/>
        <v>13.266999999999999</v>
      </c>
      <c r="D393" s="144">
        <f>ROUND(INDEX(持仓数据!$C$3:$AG$26,MATCH('计算过程-数据汇总'!B393,持仓数据!$B$3:$B$26,0),MATCH('计算过程-数据汇总'!A393,'维护-日期'!$B$2:$AF$2,0)),3)</f>
        <v>13.266999999999999</v>
      </c>
      <c r="E393" s="98">
        <f t="shared" si="204"/>
        <v>13.266999999999999</v>
      </c>
      <c r="F393" s="22">
        <f>持仓数据!S79</f>
        <v>0.307</v>
      </c>
      <c r="G393" s="97">
        <v>372</v>
      </c>
      <c r="H393" s="97">
        <v>372</v>
      </c>
      <c r="I393" s="64">
        <v>0</v>
      </c>
      <c r="J393" s="64">
        <v>0</v>
      </c>
      <c r="K393" s="21">
        <f>IF(持仓数据!S112="",0,持仓数据!S112)</f>
        <v>372</v>
      </c>
      <c r="L393" s="21">
        <f t="shared" si="205"/>
        <v>0</v>
      </c>
      <c r="M393" s="28">
        <f t="shared" si="189"/>
        <v>4935.3239999999996</v>
      </c>
      <c r="N393" s="28">
        <f t="shared" si="190"/>
        <v>0</v>
      </c>
      <c r="O393" s="28">
        <f t="shared" si="191"/>
        <v>0</v>
      </c>
      <c r="P393" s="28">
        <f t="shared" si="192"/>
        <v>0</v>
      </c>
      <c r="Q393" s="28">
        <f t="shared" si="206"/>
        <v>0</v>
      </c>
      <c r="R393" s="28">
        <f t="shared" si="193"/>
        <v>4935.3239999999996</v>
      </c>
      <c r="S393" s="28">
        <f t="shared" si="207"/>
        <v>0</v>
      </c>
      <c r="T393" s="28">
        <f t="shared" si="208"/>
        <v>0</v>
      </c>
      <c r="U393" s="28">
        <f t="shared" si="211"/>
        <v>0</v>
      </c>
      <c r="V393" s="28">
        <f t="shared" si="209"/>
        <v>0</v>
      </c>
      <c r="W393" s="118"/>
      <c r="X393" s="143">
        <f t="shared" si="210"/>
        <v>15.613</v>
      </c>
      <c r="Y393" s="121">
        <f>交易记录!T12</f>
        <v>0.307</v>
      </c>
      <c r="Z393" s="121">
        <f>交易记录!T43</f>
        <v>372</v>
      </c>
      <c r="AA393" s="30">
        <f t="shared" si="194"/>
        <v>0</v>
      </c>
      <c r="AB393" s="124">
        <f>交易记录!T76</f>
        <v>0</v>
      </c>
      <c r="AC393" s="124">
        <f>交易记录!T107</f>
        <v>0</v>
      </c>
      <c r="AD393" s="30">
        <f t="shared" si="183"/>
        <v>0</v>
      </c>
      <c r="AE393" s="121">
        <f>交易记录!T140</f>
        <v>0</v>
      </c>
      <c r="AF393" s="121">
        <f>交易记录!T171</f>
        <v>0</v>
      </c>
      <c r="AG393" s="30">
        <f t="shared" si="184"/>
        <v>0</v>
      </c>
      <c r="AH393" s="124">
        <f>交易记录!T204</f>
        <v>0</v>
      </c>
      <c r="AI393" s="124">
        <f>交易记录!T235</f>
        <v>0</v>
      </c>
      <c r="AJ393" s="30">
        <f t="shared" si="185"/>
        <v>0</v>
      </c>
      <c r="AK393" s="121">
        <f>交易记录!T268</f>
        <v>0</v>
      </c>
      <c r="AL393" s="121">
        <f>交易记录!T299</f>
        <v>0</v>
      </c>
      <c r="AM393" s="30">
        <f t="shared" si="186"/>
        <v>0</v>
      </c>
      <c r="AN393" s="124">
        <f>交易记录!T332</f>
        <v>0</v>
      </c>
      <c r="AO393" s="124">
        <f>交易记录!T363</f>
        <v>0</v>
      </c>
      <c r="AP393" s="30">
        <f t="shared" si="187"/>
        <v>0</v>
      </c>
      <c r="AQ393" s="121">
        <f>交易记录!T396</f>
        <v>0</v>
      </c>
      <c r="AR393" s="121">
        <f>交易记录!T427</f>
        <v>0</v>
      </c>
      <c r="AS393" s="30">
        <f t="shared" si="188"/>
        <v>0</v>
      </c>
      <c r="AT393" s="124">
        <f>交易记录!T460</f>
        <v>0</v>
      </c>
      <c r="AU393" s="124">
        <f>交易记录!T491</f>
        <v>0</v>
      </c>
      <c r="AV393" s="30">
        <f t="shared" si="195"/>
        <v>0</v>
      </c>
      <c r="AW393" s="121">
        <f>交易记录!T524</f>
        <v>0</v>
      </c>
      <c r="AX393" s="121">
        <f>交易记录!T555</f>
        <v>0</v>
      </c>
      <c r="AY393" s="30">
        <f t="shared" si="196"/>
        <v>0</v>
      </c>
      <c r="AZ393" s="124">
        <f>交易记录!T588</f>
        <v>0</v>
      </c>
      <c r="BA393" s="124">
        <f>交易记录!T619</f>
        <v>0</v>
      </c>
      <c r="BB393" s="30">
        <f t="shared" si="197"/>
        <v>0</v>
      </c>
      <c r="BC393" s="121">
        <f>交易记录!T652</f>
        <v>0</v>
      </c>
      <c r="BD393" s="121">
        <f>交易记录!T683</f>
        <v>0</v>
      </c>
      <c r="BE393" s="30">
        <f t="shared" si="198"/>
        <v>0</v>
      </c>
      <c r="BF393" s="124">
        <f>交易记录!T716</f>
        <v>0</v>
      </c>
      <c r="BG393" s="124">
        <f>交易记录!T747</f>
        <v>0</v>
      </c>
      <c r="BH393" s="30">
        <f t="shared" si="199"/>
        <v>0</v>
      </c>
      <c r="BI393" s="121">
        <f>交易记录!T780</f>
        <v>0</v>
      </c>
      <c r="BJ393" s="121">
        <f>交易记录!T811</f>
        <v>0</v>
      </c>
      <c r="BK393" s="30">
        <f t="shared" si="200"/>
        <v>0</v>
      </c>
      <c r="BL393" s="124">
        <f>交易记录!T844</f>
        <v>0</v>
      </c>
      <c r="BM393" s="124">
        <f>交易记录!T875</f>
        <v>0</v>
      </c>
      <c r="BN393" s="30">
        <f t="shared" si="201"/>
        <v>0</v>
      </c>
      <c r="BO393" s="121">
        <f>交易记录!T908</f>
        <v>0</v>
      </c>
      <c r="BP393" s="121">
        <f>交易记录!T939</f>
        <v>0</v>
      </c>
      <c r="BQ393" s="30">
        <f t="shared" si="202"/>
        <v>0</v>
      </c>
    </row>
    <row r="394" spans="1:69" ht="15">
      <c r="A394" s="125">
        <f>'维护-日期'!A$19</f>
        <v>46282</v>
      </c>
      <c r="B394" s="7" t="s">
        <v>14</v>
      </c>
      <c r="C394" s="144">
        <f t="shared" si="203"/>
        <v>15.795999999999999</v>
      </c>
      <c r="D394" s="144">
        <f>ROUND(INDEX(持仓数据!$C$3:$AG$26,MATCH('计算过程-数据汇总'!B394,持仓数据!$B$3:$B$26,0),MATCH('计算过程-数据汇总'!A394,'维护-日期'!$B$2:$AF$2,0)),3)</f>
        <v>15.795999999999999</v>
      </c>
      <c r="E394" s="98">
        <f t="shared" si="204"/>
        <v>15.795999999999999</v>
      </c>
      <c r="F394" s="22">
        <f>持仓数据!S80</f>
        <v>0.42800000000000005</v>
      </c>
      <c r="G394" s="97">
        <v>372</v>
      </c>
      <c r="H394" s="97">
        <v>372</v>
      </c>
      <c r="I394" s="64">
        <v>0</v>
      </c>
      <c r="J394" s="64">
        <v>0</v>
      </c>
      <c r="K394" s="21">
        <f>IF(持仓数据!S113="",0,持仓数据!S113)</f>
        <v>372</v>
      </c>
      <c r="L394" s="21">
        <f t="shared" si="205"/>
        <v>0</v>
      </c>
      <c r="M394" s="28">
        <f t="shared" si="189"/>
        <v>5876.1120000000001</v>
      </c>
      <c r="N394" s="28">
        <f t="shared" si="190"/>
        <v>0</v>
      </c>
      <c r="O394" s="28">
        <f t="shared" si="191"/>
        <v>0</v>
      </c>
      <c r="P394" s="28">
        <f t="shared" si="192"/>
        <v>0</v>
      </c>
      <c r="Q394" s="28">
        <f t="shared" si="206"/>
        <v>0</v>
      </c>
      <c r="R394" s="28">
        <f t="shared" si="193"/>
        <v>5876.1120000000001</v>
      </c>
      <c r="S394" s="28">
        <f t="shared" si="207"/>
        <v>0</v>
      </c>
      <c r="T394" s="28">
        <f t="shared" si="208"/>
        <v>0</v>
      </c>
      <c r="U394" s="28">
        <f t="shared" si="211"/>
        <v>0</v>
      </c>
      <c r="V394" s="28">
        <f t="shared" si="209"/>
        <v>0</v>
      </c>
      <c r="W394" s="118"/>
      <c r="X394" s="143">
        <f t="shared" si="210"/>
        <v>18.527000000000001</v>
      </c>
      <c r="Y394" s="121">
        <f>交易记录!T13</f>
        <v>0.42800000000000005</v>
      </c>
      <c r="Z394" s="121">
        <f>交易记录!T44</f>
        <v>372</v>
      </c>
      <c r="AA394" s="30">
        <f t="shared" si="194"/>
        <v>0</v>
      </c>
      <c r="AB394" s="124">
        <f>交易记录!T77</f>
        <v>0</v>
      </c>
      <c r="AC394" s="124">
        <f>交易记录!T108</f>
        <v>0</v>
      </c>
      <c r="AD394" s="30">
        <f t="shared" si="183"/>
        <v>0</v>
      </c>
      <c r="AE394" s="121">
        <f>交易记录!T141</f>
        <v>0</v>
      </c>
      <c r="AF394" s="121">
        <f>交易记录!T172</f>
        <v>0</v>
      </c>
      <c r="AG394" s="30">
        <f t="shared" si="184"/>
        <v>0</v>
      </c>
      <c r="AH394" s="124">
        <f>交易记录!T205</f>
        <v>0</v>
      </c>
      <c r="AI394" s="124">
        <f>交易记录!T236</f>
        <v>0</v>
      </c>
      <c r="AJ394" s="30">
        <f t="shared" si="185"/>
        <v>0</v>
      </c>
      <c r="AK394" s="121">
        <f>交易记录!T269</f>
        <v>0</v>
      </c>
      <c r="AL394" s="121">
        <f>交易记录!T300</f>
        <v>0</v>
      </c>
      <c r="AM394" s="30">
        <f t="shared" si="186"/>
        <v>0</v>
      </c>
      <c r="AN394" s="124">
        <f>交易记录!T333</f>
        <v>0</v>
      </c>
      <c r="AO394" s="124">
        <f>交易记录!T364</f>
        <v>0</v>
      </c>
      <c r="AP394" s="30">
        <f t="shared" si="187"/>
        <v>0</v>
      </c>
      <c r="AQ394" s="121">
        <f>交易记录!T397</f>
        <v>0</v>
      </c>
      <c r="AR394" s="121">
        <f>交易记录!T428</f>
        <v>0</v>
      </c>
      <c r="AS394" s="30">
        <f t="shared" si="188"/>
        <v>0</v>
      </c>
      <c r="AT394" s="124">
        <f>交易记录!T461</f>
        <v>0</v>
      </c>
      <c r="AU394" s="124">
        <f>交易记录!T492</f>
        <v>0</v>
      </c>
      <c r="AV394" s="30">
        <f t="shared" si="195"/>
        <v>0</v>
      </c>
      <c r="AW394" s="121">
        <f>交易记录!T525</f>
        <v>0</v>
      </c>
      <c r="AX394" s="121">
        <f>交易记录!T556</f>
        <v>0</v>
      </c>
      <c r="AY394" s="30">
        <f t="shared" si="196"/>
        <v>0</v>
      </c>
      <c r="AZ394" s="124">
        <f>交易记录!T589</f>
        <v>0</v>
      </c>
      <c r="BA394" s="124">
        <f>交易记录!T620</f>
        <v>0</v>
      </c>
      <c r="BB394" s="30">
        <f t="shared" si="197"/>
        <v>0</v>
      </c>
      <c r="BC394" s="121">
        <f>交易记录!T653</f>
        <v>0</v>
      </c>
      <c r="BD394" s="121">
        <f>交易记录!T684</f>
        <v>0</v>
      </c>
      <c r="BE394" s="30">
        <f t="shared" si="198"/>
        <v>0</v>
      </c>
      <c r="BF394" s="124">
        <f>交易记录!T717</f>
        <v>0</v>
      </c>
      <c r="BG394" s="124">
        <f>交易记录!T748</f>
        <v>0</v>
      </c>
      <c r="BH394" s="30">
        <f t="shared" si="199"/>
        <v>0</v>
      </c>
      <c r="BI394" s="121">
        <f>交易记录!T781</f>
        <v>0</v>
      </c>
      <c r="BJ394" s="121">
        <f>交易记录!T812</f>
        <v>0</v>
      </c>
      <c r="BK394" s="30">
        <f t="shared" si="200"/>
        <v>0</v>
      </c>
      <c r="BL394" s="124">
        <f>交易记录!T845</f>
        <v>0</v>
      </c>
      <c r="BM394" s="124">
        <f>交易记录!T876</f>
        <v>0</v>
      </c>
      <c r="BN394" s="30">
        <f t="shared" si="201"/>
        <v>0</v>
      </c>
      <c r="BO394" s="121">
        <f>交易记录!T909</f>
        <v>0</v>
      </c>
      <c r="BP394" s="121">
        <f>交易记录!T940</f>
        <v>0</v>
      </c>
      <c r="BQ394" s="30">
        <f t="shared" si="202"/>
        <v>0</v>
      </c>
    </row>
    <row r="395" spans="1:69" ht="15">
      <c r="A395" s="125">
        <f>'维护-日期'!A$19</f>
        <v>46282</v>
      </c>
      <c r="B395" s="7" t="s">
        <v>15</v>
      </c>
      <c r="C395" s="144">
        <f t="shared" si="203"/>
        <v>19.308</v>
      </c>
      <c r="D395" s="144">
        <f>ROUND(INDEX(持仓数据!$C$3:$AG$26,MATCH('计算过程-数据汇总'!B395,持仓数据!$B$3:$B$26,0),MATCH('计算过程-数据汇总'!A395,'维护-日期'!$B$2:$AF$2,0)),3)</f>
        <v>19.308</v>
      </c>
      <c r="E395" s="98">
        <f t="shared" si="204"/>
        <v>19.308</v>
      </c>
      <c r="F395" s="22">
        <f>持仓数据!S81</f>
        <v>0.46100000000000002</v>
      </c>
      <c r="G395" s="97">
        <v>372</v>
      </c>
      <c r="H395" s="97">
        <v>372</v>
      </c>
      <c r="I395" s="64">
        <v>0</v>
      </c>
      <c r="J395" s="64">
        <v>0</v>
      </c>
      <c r="K395" s="21">
        <f>IF(持仓数据!S114="",0,持仓数据!S114)</f>
        <v>372</v>
      </c>
      <c r="L395" s="21">
        <f t="shared" si="205"/>
        <v>0</v>
      </c>
      <c r="M395" s="28">
        <f t="shared" si="189"/>
        <v>7182.576</v>
      </c>
      <c r="N395" s="28">
        <f t="shared" si="190"/>
        <v>0</v>
      </c>
      <c r="O395" s="28">
        <f t="shared" si="191"/>
        <v>0</v>
      </c>
      <c r="P395" s="28">
        <f t="shared" si="192"/>
        <v>0</v>
      </c>
      <c r="Q395" s="28">
        <f t="shared" si="206"/>
        <v>0</v>
      </c>
      <c r="R395" s="28">
        <f t="shared" si="193"/>
        <v>7182.576</v>
      </c>
      <c r="S395" s="28">
        <f t="shared" si="207"/>
        <v>0</v>
      </c>
      <c r="T395" s="28">
        <f t="shared" si="208"/>
        <v>0</v>
      </c>
      <c r="U395" s="28">
        <f t="shared" si="211"/>
        <v>0</v>
      </c>
      <c r="V395" s="28">
        <f t="shared" si="209"/>
        <v>0</v>
      </c>
      <c r="W395" s="118"/>
      <c r="X395" s="143">
        <f t="shared" si="210"/>
        <v>22.709</v>
      </c>
      <c r="Y395" s="121">
        <f>交易记录!T14</f>
        <v>0.46100000000000002</v>
      </c>
      <c r="Z395" s="121">
        <f>交易记录!T45</f>
        <v>372</v>
      </c>
      <c r="AA395" s="30">
        <f t="shared" si="194"/>
        <v>0</v>
      </c>
      <c r="AB395" s="124">
        <f>交易记录!T78</f>
        <v>0</v>
      </c>
      <c r="AC395" s="124">
        <f>交易记录!T109</f>
        <v>0</v>
      </c>
      <c r="AD395" s="30">
        <f t="shared" si="183"/>
        <v>0</v>
      </c>
      <c r="AE395" s="121">
        <f>交易记录!T142</f>
        <v>0</v>
      </c>
      <c r="AF395" s="121">
        <f>交易记录!T173</f>
        <v>0</v>
      </c>
      <c r="AG395" s="30">
        <f t="shared" si="184"/>
        <v>0</v>
      </c>
      <c r="AH395" s="124">
        <f>交易记录!T206</f>
        <v>0</v>
      </c>
      <c r="AI395" s="124">
        <f>交易记录!T237</f>
        <v>0</v>
      </c>
      <c r="AJ395" s="30">
        <f t="shared" si="185"/>
        <v>0</v>
      </c>
      <c r="AK395" s="121">
        <f>交易记录!T270</f>
        <v>0</v>
      </c>
      <c r="AL395" s="121">
        <f>交易记录!T301</f>
        <v>0</v>
      </c>
      <c r="AM395" s="30">
        <f t="shared" si="186"/>
        <v>0</v>
      </c>
      <c r="AN395" s="124">
        <f>交易记录!T334</f>
        <v>0</v>
      </c>
      <c r="AO395" s="124">
        <f>交易记录!T365</f>
        <v>0</v>
      </c>
      <c r="AP395" s="30">
        <f t="shared" si="187"/>
        <v>0</v>
      </c>
      <c r="AQ395" s="121">
        <f>交易记录!T398</f>
        <v>0</v>
      </c>
      <c r="AR395" s="121">
        <f>交易记录!T429</f>
        <v>0</v>
      </c>
      <c r="AS395" s="30">
        <f t="shared" si="188"/>
        <v>0</v>
      </c>
      <c r="AT395" s="124">
        <f>交易记录!T462</f>
        <v>0</v>
      </c>
      <c r="AU395" s="124">
        <f>交易记录!T493</f>
        <v>0</v>
      </c>
      <c r="AV395" s="30">
        <f t="shared" si="195"/>
        <v>0</v>
      </c>
      <c r="AW395" s="121">
        <f>交易记录!T526</f>
        <v>0</v>
      </c>
      <c r="AX395" s="121">
        <f>交易记录!T557</f>
        <v>0</v>
      </c>
      <c r="AY395" s="30">
        <f t="shared" si="196"/>
        <v>0</v>
      </c>
      <c r="AZ395" s="124">
        <f>交易记录!T590</f>
        <v>0</v>
      </c>
      <c r="BA395" s="124">
        <f>交易记录!T621</f>
        <v>0</v>
      </c>
      <c r="BB395" s="30">
        <f t="shared" si="197"/>
        <v>0</v>
      </c>
      <c r="BC395" s="121">
        <f>交易记录!T654</f>
        <v>0</v>
      </c>
      <c r="BD395" s="121">
        <f>交易记录!T685</f>
        <v>0</v>
      </c>
      <c r="BE395" s="30">
        <f t="shared" si="198"/>
        <v>0</v>
      </c>
      <c r="BF395" s="124">
        <f>交易记录!T718</f>
        <v>0</v>
      </c>
      <c r="BG395" s="124">
        <f>交易记录!T749</f>
        <v>0</v>
      </c>
      <c r="BH395" s="30">
        <f t="shared" si="199"/>
        <v>0</v>
      </c>
      <c r="BI395" s="121">
        <f>交易记录!T782</f>
        <v>0</v>
      </c>
      <c r="BJ395" s="121">
        <f>交易记录!T813</f>
        <v>0</v>
      </c>
      <c r="BK395" s="30">
        <f t="shared" si="200"/>
        <v>0</v>
      </c>
      <c r="BL395" s="124">
        <f>交易记录!T846</f>
        <v>0</v>
      </c>
      <c r="BM395" s="124">
        <f>交易记录!T877</f>
        <v>0</v>
      </c>
      <c r="BN395" s="30">
        <f t="shared" si="201"/>
        <v>0</v>
      </c>
      <c r="BO395" s="121">
        <f>交易记录!T910</f>
        <v>0</v>
      </c>
      <c r="BP395" s="121">
        <f>交易记录!T941</f>
        <v>0</v>
      </c>
      <c r="BQ395" s="30">
        <f t="shared" si="202"/>
        <v>0</v>
      </c>
    </row>
    <row r="396" spans="1:69" ht="15">
      <c r="A396" s="125">
        <f>'维护-日期'!A$19</f>
        <v>46282</v>
      </c>
      <c r="B396" s="7" t="s">
        <v>16</v>
      </c>
      <c r="C396" s="144">
        <f t="shared" si="203"/>
        <v>21.01</v>
      </c>
      <c r="D396" s="144">
        <f>ROUND(INDEX(持仓数据!$C$3:$AG$26,MATCH('计算过程-数据汇总'!B396,持仓数据!$B$3:$B$26,0),MATCH('计算过程-数据汇总'!A396,'维护-日期'!$B$2:$AF$2,0)),3)</f>
        <v>21.01</v>
      </c>
      <c r="E396" s="98">
        <f t="shared" si="204"/>
        <v>21.01</v>
      </c>
      <c r="F396" s="22">
        <f>持仓数据!S82</f>
        <v>0.46700000000000003</v>
      </c>
      <c r="G396" s="97">
        <v>372</v>
      </c>
      <c r="H396" s="97">
        <v>372</v>
      </c>
      <c r="I396" s="64">
        <v>0</v>
      </c>
      <c r="J396" s="64">
        <v>0</v>
      </c>
      <c r="K396" s="21">
        <f>IF(持仓数据!S115="",0,持仓数据!S115)</f>
        <v>372</v>
      </c>
      <c r="L396" s="21">
        <f t="shared" si="205"/>
        <v>0</v>
      </c>
      <c r="M396" s="28">
        <f t="shared" si="189"/>
        <v>7815.72</v>
      </c>
      <c r="N396" s="28">
        <f t="shared" si="190"/>
        <v>0</v>
      </c>
      <c r="O396" s="28">
        <f t="shared" si="191"/>
        <v>0</v>
      </c>
      <c r="P396" s="28">
        <f t="shared" si="192"/>
        <v>0</v>
      </c>
      <c r="Q396" s="28">
        <f t="shared" si="206"/>
        <v>0</v>
      </c>
      <c r="R396" s="28">
        <f t="shared" si="193"/>
        <v>7815.72</v>
      </c>
      <c r="S396" s="28">
        <f t="shared" si="207"/>
        <v>0</v>
      </c>
      <c r="T396" s="28">
        <f t="shared" si="208"/>
        <v>0</v>
      </c>
      <c r="U396" s="28">
        <f t="shared" si="211"/>
        <v>0</v>
      </c>
      <c r="V396" s="28">
        <f t="shared" si="209"/>
        <v>0</v>
      </c>
      <c r="W396" s="118"/>
      <c r="X396" s="143">
        <f t="shared" si="210"/>
        <v>24.745000000000001</v>
      </c>
      <c r="Y396" s="121">
        <f>交易记录!T15</f>
        <v>0.46700000000000003</v>
      </c>
      <c r="Z396" s="121">
        <f>交易记录!T46</f>
        <v>372</v>
      </c>
      <c r="AA396" s="30">
        <f t="shared" si="194"/>
        <v>0</v>
      </c>
      <c r="AB396" s="124">
        <f>交易记录!T79</f>
        <v>0</v>
      </c>
      <c r="AC396" s="124">
        <f>交易记录!T110</f>
        <v>0</v>
      </c>
      <c r="AD396" s="30">
        <f t="shared" si="183"/>
        <v>0</v>
      </c>
      <c r="AE396" s="121">
        <f>交易记录!T143</f>
        <v>0</v>
      </c>
      <c r="AF396" s="121">
        <f>交易记录!T174</f>
        <v>0</v>
      </c>
      <c r="AG396" s="30">
        <f t="shared" si="184"/>
        <v>0</v>
      </c>
      <c r="AH396" s="124">
        <f>交易记录!T207</f>
        <v>0</v>
      </c>
      <c r="AI396" s="124">
        <f>交易记录!T238</f>
        <v>0</v>
      </c>
      <c r="AJ396" s="30">
        <f t="shared" si="185"/>
        <v>0</v>
      </c>
      <c r="AK396" s="121">
        <f>交易记录!T271</f>
        <v>0</v>
      </c>
      <c r="AL396" s="121">
        <f>交易记录!T302</f>
        <v>0</v>
      </c>
      <c r="AM396" s="30">
        <f t="shared" si="186"/>
        <v>0</v>
      </c>
      <c r="AN396" s="124">
        <f>交易记录!T335</f>
        <v>0</v>
      </c>
      <c r="AO396" s="124">
        <f>交易记录!T366</f>
        <v>0</v>
      </c>
      <c r="AP396" s="30">
        <f t="shared" si="187"/>
        <v>0</v>
      </c>
      <c r="AQ396" s="121">
        <f>交易记录!T399</f>
        <v>0</v>
      </c>
      <c r="AR396" s="121">
        <f>交易记录!T430</f>
        <v>0</v>
      </c>
      <c r="AS396" s="30">
        <f t="shared" si="188"/>
        <v>0</v>
      </c>
      <c r="AT396" s="124">
        <f>交易记录!T463</f>
        <v>0</v>
      </c>
      <c r="AU396" s="124">
        <f>交易记录!T494</f>
        <v>0</v>
      </c>
      <c r="AV396" s="30">
        <f t="shared" si="195"/>
        <v>0</v>
      </c>
      <c r="AW396" s="121">
        <f>交易记录!T527</f>
        <v>0</v>
      </c>
      <c r="AX396" s="121">
        <f>交易记录!T558</f>
        <v>0</v>
      </c>
      <c r="AY396" s="30">
        <f t="shared" si="196"/>
        <v>0</v>
      </c>
      <c r="AZ396" s="124">
        <f>交易记录!T591</f>
        <v>0</v>
      </c>
      <c r="BA396" s="124">
        <f>交易记录!T622</f>
        <v>0</v>
      </c>
      <c r="BB396" s="30">
        <f t="shared" si="197"/>
        <v>0</v>
      </c>
      <c r="BC396" s="121">
        <f>交易记录!T655</f>
        <v>0</v>
      </c>
      <c r="BD396" s="121">
        <f>交易记录!T686</f>
        <v>0</v>
      </c>
      <c r="BE396" s="30">
        <f t="shared" si="198"/>
        <v>0</v>
      </c>
      <c r="BF396" s="124">
        <f>交易记录!T719</f>
        <v>0</v>
      </c>
      <c r="BG396" s="124">
        <f>交易记录!T750</f>
        <v>0</v>
      </c>
      <c r="BH396" s="30">
        <f t="shared" si="199"/>
        <v>0</v>
      </c>
      <c r="BI396" s="121">
        <f>交易记录!T783</f>
        <v>0</v>
      </c>
      <c r="BJ396" s="121">
        <f>交易记录!T814</f>
        <v>0</v>
      </c>
      <c r="BK396" s="30">
        <f t="shared" si="200"/>
        <v>0</v>
      </c>
      <c r="BL396" s="124">
        <f>交易记录!T847</f>
        <v>0</v>
      </c>
      <c r="BM396" s="124">
        <f>交易记录!T878</f>
        <v>0</v>
      </c>
      <c r="BN396" s="30">
        <f t="shared" si="201"/>
        <v>0</v>
      </c>
      <c r="BO396" s="121">
        <f>交易记录!T911</f>
        <v>0</v>
      </c>
      <c r="BP396" s="121">
        <f>交易记录!T942</f>
        <v>0</v>
      </c>
      <c r="BQ396" s="30">
        <f t="shared" si="202"/>
        <v>0</v>
      </c>
    </row>
    <row r="397" spans="1:69" ht="15">
      <c r="A397" s="125">
        <f>'维护-日期'!A$19</f>
        <v>46282</v>
      </c>
      <c r="B397" s="7" t="s">
        <v>17</v>
      </c>
      <c r="C397" s="144">
        <f t="shared" si="203"/>
        <v>21.329000000000001</v>
      </c>
      <c r="D397" s="144">
        <f>ROUND(INDEX(持仓数据!$C$3:$AG$26,MATCH('计算过程-数据汇总'!B397,持仓数据!$B$3:$B$26,0),MATCH('计算过程-数据汇总'!A397,'维护-日期'!$B$2:$AF$2,0)),3)</f>
        <v>21.329000000000001</v>
      </c>
      <c r="E397" s="98">
        <f t="shared" si="204"/>
        <v>21.329000000000001</v>
      </c>
      <c r="F397" s="22">
        <f>持仓数据!S83</f>
        <v>0.32100000000000001</v>
      </c>
      <c r="G397" s="97">
        <v>372</v>
      </c>
      <c r="H397" s="97">
        <v>372</v>
      </c>
      <c r="I397" s="64">
        <v>0</v>
      </c>
      <c r="J397" s="64">
        <v>0</v>
      </c>
      <c r="K397" s="21">
        <f>IF(持仓数据!S116="",0,持仓数据!S116)</f>
        <v>372</v>
      </c>
      <c r="L397" s="21">
        <f t="shared" si="205"/>
        <v>0</v>
      </c>
      <c r="M397" s="28">
        <f t="shared" si="189"/>
        <v>7934.3879999999999</v>
      </c>
      <c r="N397" s="28">
        <f t="shared" si="190"/>
        <v>0</v>
      </c>
      <c r="O397" s="28">
        <f t="shared" si="191"/>
        <v>0</v>
      </c>
      <c r="P397" s="28">
        <f t="shared" si="192"/>
        <v>0</v>
      </c>
      <c r="Q397" s="28">
        <f t="shared" si="206"/>
        <v>0</v>
      </c>
      <c r="R397" s="28">
        <f t="shared" si="193"/>
        <v>7934.3879999999999</v>
      </c>
      <c r="S397" s="28">
        <f t="shared" si="207"/>
        <v>0</v>
      </c>
      <c r="T397" s="28">
        <f t="shared" si="208"/>
        <v>0</v>
      </c>
      <c r="U397" s="28">
        <f t="shared" si="211"/>
        <v>0</v>
      </c>
      <c r="V397" s="28">
        <f t="shared" si="209"/>
        <v>0</v>
      </c>
      <c r="W397" s="118"/>
      <c r="X397" s="143">
        <f t="shared" si="210"/>
        <v>25.274000000000001</v>
      </c>
      <c r="Y397" s="121">
        <f>交易记录!T16</f>
        <v>0.32100000000000001</v>
      </c>
      <c r="Z397" s="121">
        <f>交易记录!T47</f>
        <v>372</v>
      </c>
      <c r="AA397" s="30">
        <f t="shared" si="194"/>
        <v>0</v>
      </c>
      <c r="AB397" s="124">
        <f>交易记录!T80</f>
        <v>0</v>
      </c>
      <c r="AC397" s="124">
        <f>交易记录!T111</f>
        <v>0</v>
      </c>
      <c r="AD397" s="30">
        <f t="shared" si="183"/>
        <v>0</v>
      </c>
      <c r="AE397" s="121">
        <f>交易记录!T144</f>
        <v>0</v>
      </c>
      <c r="AF397" s="121">
        <f>交易记录!T175</f>
        <v>0</v>
      </c>
      <c r="AG397" s="30">
        <f t="shared" si="184"/>
        <v>0</v>
      </c>
      <c r="AH397" s="124">
        <f>交易记录!T208</f>
        <v>0</v>
      </c>
      <c r="AI397" s="124">
        <f>交易记录!T239</f>
        <v>0</v>
      </c>
      <c r="AJ397" s="30">
        <f t="shared" si="185"/>
        <v>0</v>
      </c>
      <c r="AK397" s="121">
        <f>交易记录!T272</f>
        <v>0</v>
      </c>
      <c r="AL397" s="121">
        <f>交易记录!T303</f>
        <v>0</v>
      </c>
      <c r="AM397" s="30">
        <f t="shared" si="186"/>
        <v>0</v>
      </c>
      <c r="AN397" s="124">
        <f>交易记录!T336</f>
        <v>0</v>
      </c>
      <c r="AO397" s="124">
        <f>交易记录!T367</f>
        <v>0</v>
      </c>
      <c r="AP397" s="30">
        <f t="shared" si="187"/>
        <v>0</v>
      </c>
      <c r="AQ397" s="121">
        <f>交易记录!T400</f>
        <v>0</v>
      </c>
      <c r="AR397" s="121">
        <f>交易记录!T431</f>
        <v>0</v>
      </c>
      <c r="AS397" s="30">
        <f t="shared" si="188"/>
        <v>0</v>
      </c>
      <c r="AT397" s="124">
        <f>交易记录!T464</f>
        <v>0</v>
      </c>
      <c r="AU397" s="124">
        <f>交易记录!T495</f>
        <v>0</v>
      </c>
      <c r="AV397" s="30">
        <f t="shared" si="195"/>
        <v>0</v>
      </c>
      <c r="AW397" s="121">
        <f>交易记录!T528</f>
        <v>0</v>
      </c>
      <c r="AX397" s="121">
        <f>交易记录!T559</f>
        <v>0</v>
      </c>
      <c r="AY397" s="30">
        <f t="shared" si="196"/>
        <v>0</v>
      </c>
      <c r="AZ397" s="124">
        <f>交易记录!T592</f>
        <v>0</v>
      </c>
      <c r="BA397" s="124">
        <f>交易记录!T623</f>
        <v>0</v>
      </c>
      <c r="BB397" s="30">
        <f t="shared" si="197"/>
        <v>0</v>
      </c>
      <c r="BC397" s="121">
        <f>交易记录!T656</f>
        <v>0</v>
      </c>
      <c r="BD397" s="121">
        <f>交易记录!T687</f>
        <v>0</v>
      </c>
      <c r="BE397" s="30">
        <f t="shared" si="198"/>
        <v>0</v>
      </c>
      <c r="BF397" s="124">
        <f>交易记录!T720</f>
        <v>0</v>
      </c>
      <c r="BG397" s="124">
        <f>交易记录!T751</f>
        <v>0</v>
      </c>
      <c r="BH397" s="30">
        <f t="shared" si="199"/>
        <v>0</v>
      </c>
      <c r="BI397" s="121">
        <f>交易记录!T784</f>
        <v>0</v>
      </c>
      <c r="BJ397" s="121">
        <f>交易记录!T815</f>
        <v>0</v>
      </c>
      <c r="BK397" s="30">
        <f t="shared" si="200"/>
        <v>0</v>
      </c>
      <c r="BL397" s="124">
        <f>交易记录!T848</f>
        <v>0</v>
      </c>
      <c r="BM397" s="124">
        <f>交易记录!T879</f>
        <v>0</v>
      </c>
      <c r="BN397" s="30">
        <f t="shared" si="201"/>
        <v>0</v>
      </c>
      <c r="BO397" s="121">
        <f>交易记录!T912</f>
        <v>0</v>
      </c>
      <c r="BP397" s="121">
        <f>交易记录!T943</f>
        <v>0</v>
      </c>
      <c r="BQ397" s="30">
        <f t="shared" si="202"/>
        <v>0</v>
      </c>
    </row>
    <row r="398" spans="1:69" ht="15">
      <c r="A398" s="125">
        <f>'维护-日期'!A$19</f>
        <v>46282</v>
      </c>
      <c r="B398" s="7" t="s">
        <v>18</v>
      </c>
      <c r="C398" s="144">
        <f t="shared" si="203"/>
        <v>22.643999999999998</v>
      </c>
      <c r="D398" s="144">
        <f>ROUND(INDEX(持仓数据!$C$3:$AG$26,MATCH('计算过程-数据汇总'!B398,持仓数据!$B$3:$B$26,0),MATCH('计算过程-数据汇总'!A398,'维护-日期'!$B$2:$AF$2,0)),3)</f>
        <v>22.643999999999998</v>
      </c>
      <c r="E398" s="98">
        <f t="shared" si="204"/>
        <v>22.643999999999998</v>
      </c>
      <c r="F398" s="22">
        <f>持仓数据!S84</f>
        <v>7.8E-2</v>
      </c>
      <c r="G398" s="97">
        <v>372</v>
      </c>
      <c r="H398" s="97">
        <v>372</v>
      </c>
      <c r="I398" s="64">
        <v>0</v>
      </c>
      <c r="J398" s="64">
        <v>0</v>
      </c>
      <c r="K398" s="21">
        <f>IF(持仓数据!S117="",0,持仓数据!S117)</f>
        <v>372</v>
      </c>
      <c r="L398" s="21">
        <f t="shared" si="205"/>
        <v>0</v>
      </c>
      <c r="M398" s="28">
        <f t="shared" si="189"/>
        <v>8423.5679999999993</v>
      </c>
      <c r="N398" s="28">
        <f t="shared" si="190"/>
        <v>0</v>
      </c>
      <c r="O398" s="28">
        <f t="shared" si="191"/>
        <v>0</v>
      </c>
      <c r="P398" s="28">
        <f t="shared" si="192"/>
        <v>0</v>
      </c>
      <c r="Q398" s="28">
        <f t="shared" si="206"/>
        <v>0</v>
      </c>
      <c r="R398" s="28">
        <f t="shared" si="193"/>
        <v>8423.5679999999993</v>
      </c>
      <c r="S398" s="28">
        <f t="shared" si="207"/>
        <v>0</v>
      </c>
      <c r="T398" s="28">
        <f t="shared" si="208"/>
        <v>0</v>
      </c>
      <c r="U398" s="28">
        <f t="shared" si="211"/>
        <v>0</v>
      </c>
      <c r="V398" s="28">
        <f t="shared" si="209"/>
        <v>0</v>
      </c>
      <c r="W398" s="118"/>
      <c r="X398" s="143">
        <f t="shared" si="210"/>
        <v>27.094999999999999</v>
      </c>
      <c r="Y398" s="121">
        <f>交易记录!T17</f>
        <v>7.8E-2</v>
      </c>
      <c r="Z398" s="121">
        <f>交易记录!T48</f>
        <v>372</v>
      </c>
      <c r="AA398" s="30">
        <f t="shared" si="194"/>
        <v>0</v>
      </c>
      <c r="AB398" s="124">
        <f>交易记录!T81</f>
        <v>0</v>
      </c>
      <c r="AC398" s="124">
        <f>交易记录!T112</f>
        <v>0</v>
      </c>
      <c r="AD398" s="30">
        <f t="shared" si="183"/>
        <v>0</v>
      </c>
      <c r="AE398" s="121">
        <f>交易记录!T145</f>
        <v>0</v>
      </c>
      <c r="AF398" s="121">
        <f>交易记录!T176</f>
        <v>0</v>
      </c>
      <c r="AG398" s="30">
        <f t="shared" si="184"/>
        <v>0</v>
      </c>
      <c r="AH398" s="124">
        <f>交易记录!T209</f>
        <v>0</v>
      </c>
      <c r="AI398" s="124">
        <f>交易记录!T240</f>
        <v>0</v>
      </c>
      <c r="AJ398" s="30">
        <f t="shared" si="185"/>
        <v>0</v>
      </c>
      <c r="AK398" s="121">
        <f>交易记录!T273</f>
        <v>0</v>
      </c>
      <c r="AL398" s="121">
        <f>交易记录!T304</f>
        <v>0</v>
      </c>
      <c r="AM398" s="30">
        <f t="shared" si="186"/>
        <v>0</v>
      </c>
      <c r="AN398" s="124">
        <f>交易记录!T337</f>
        <v>0</v>
      </c>
      <c r="AO398" s="124">
        <f>交易记录!T368</f>
        <v>0</v>
      </c>
      <c r="AP398" s="30">
        <f t="shared" si="187"/>
        <v>0</v>
      </c>
      <c r="AQ398" s="121">
        <f>交易记录!T401</f>
        <v>0</v>
      </c>
      <c r="AR398" s="121">
        <f>交易记录!T432</f>
        <v>0</v>
      </c>
      <c r="AS398" s="30">
        <f t="shared" si="188"/>
        <v>0</v>
      </c>
      <c r="AT398" s="124">
        <f>交易记录!T465</f>
        <v>0</v>
      </c>
      <c r="AU398" s="124">
        <f>交易记录!T496</f>
        <v>0</v>
      </c>
      <c r="AV398" s="30">
        <f t="shared" si="195"/>
        <v>0</v>
      </c>
      <c r="AW398" s="121">
        <f>交易记录!T529</f>
        <v>0</v>
      </c>
      <c r="AX398" s="121">
        <f>交易记录!T560</f>
        <v>0</v>
      </c>
      <c r="AY398" s="30">
        <f t="shared" si="196"/>
        <v>0</v>
      </c>
      <c r="AZ398" s="124">
        <f>交易记录!T593</f>
        <v>0</v>
      </c>
      <c r="BA398" s="124">
        <f>交易记录!T624</f>
        <v>0</v>
      </c>
      <c r="BB398" s="30">
        <f t="shared" si="197"/>
        <v>0</v>
      </c>
      <c r="BC398" s="121">
        <f>交易记录!T657</f>
        <v>0</v>
      </c>
      <c r="BD398" s="121">
        <f>交易记录!T688</f>
        <v>0</v>
      </c>
      <c r="BE398" s="30">
        <f t="shared" si="198"/>
        <v>0</v>
      </c>
      <c r="BF398" s="124">
        <f>交易记录!T721</f>
        <v>0</v>
      </c>
      <c r="BG398" s="124">
        <f>交易记录!T752</f>
        <v>0</v>
      </c>
      <c r="BH398" s="30">
        <f t="shared" si="199"/>
        <v>0</v>
      </c>
      <c r="BI398" s="121">
        <f>交易记录!T785</f>
        <v>0</v>
      </c>
      <c r="BJ398" s="121">
        <f>交易记录!T816</f>
        <v>0</v>
      </c>
      <c r="BK398" s="30">
        <f t="shared" si="200"/>
        <v>0</v>
      </c>
      <c r="BL398" s="124">
        <f>交易记录!T849</f>
        <v>0</v>
      </c>
      <c r="BM398" s="124">
        <f>交易记录!T880</f>
        <v>0</v>
      </c>
      <c r="BN398" s="30">
        <f t="shared" si="201"/>
        <v>0</v>
      </c>
      <c r="BO398" s="121">
        <f>交易记录!T913</f>
        <v>0</v>
      </c>
      <c r="BP398" s="121">
        <f>交易记录!T944</f>
        <v>0</v>
      </c>
      <c r="BQ398" s="30">
        <f t="shared" si="202"/>
        <v>0</v>
      </c>
    </row>
    <row r="399" spans="1:69" ht="15">
      <c r="A399" s="125">
        <f>'维护-日期'!A$19</f>
        <v>46282</v>
      </c>
      <c r="B399" s="7" t="s">
        <v>19</v>
      </c>
      <c r="C399" s="144">
        <f t="shared" si="203"/>
        <v>22.904</v>
      </c>
      <c r="D399" s="144">
        <f>ROUND(INDEX(持仓数据!$C$3:$AG$26,MATCH('计算过程-数据汇总'!B399,持仓数据!$B$3:$B$26,0),MATCH('计算过程-数据汇总'!A399,'维护-日期'!$B$2:$AF$2,0)),3)</f>
        <v>22.904</v>
      </c>
      <c r="E399" s="98">
        <f t="shared" si="204"/>
        <v>22.904</v>
      </c>
      <c r="F399" s="22">
        <f>持仓数据!S85</f>
        <v>0.19500000000000001</v>
      </c>
      <c r="G399" s="97">
        <v>372</v>
      </c>
      <c r="H399" s="97">
        <v>372</v>
      </c>
      <c r="I399" s="64">
        <v>0</v>
      </c>
      <c r="J399" s="64">
        <v>0</v>
      </c>
      <c r="K399" s="21">
        <f>IF(持仓数据!S118="",0,持仓数据!S118)</f>
        <v>372</v>
      </c>
      <c r="L399" s="21">
        <f t="shared" si="205"/>
        <v>0</v>
      </c>
      <c r="M399" s="28">
        <f t="shared" si="189"/>
        <v>8520.2880000000005</v>
      </c>
      <c r="N399" s="28">
        <f t="shared" si="190"/>
        <v>0</v>
      </c>
      <c r="O399" s="28">
        <f t="shared" si="191"/>
        <v>0</v>
      </c>
      <c r="P399" s="28">
        <f t="shared" si="192"/>
        <v>0</v>
      </c>
      <c r="Q399" s="28">
        <f t="shared" si="206"/>
        <v>0</v>
      </c>
      <c r="R399" s="28">
        <f t="shared" si="193"/>
        <v>8520.2880000000005</v>
      </c>
      <c r="S399" s="28">
        <f t="shared" si="207"/>
        <v>0</v>
      </c>
      <c r="T399" s="28">
        <f t="shared" si="208"/>
        <v>0</v>
      </c>
      <c r="U399" s="28">
        <f t="shared" si="211"/>
        <v>0</v>
      </c>
      <c r="V399" s="28">
        <f t="shared" si="209"/>
        <v>0</v>
      </c>
      <c r="W399" s="118"/>
      <c r="X399" s="143">
        <f t="shared" si="210"/>
        <v>27.29</v>
      </c>
      <c r="Y399" s="121">
        <f>交易记录!T18</f>
        <v>0.19500000000000001</v>
      </c>
      <c r="Z399" s="121">
        <f>交易记录!T49</f>
        <v>372</v>
      </c>
      <c r="AA399" s="30">
        <f t="shared" si="194"/>
        <v>0</v>
      </c>
      <c r="AB399" s="124">
        <f>交易记录!T82</f>
        <v>0</v>
      </c>
      <c r="AC399" s="124">
        <f>交易记录!T113</f>
        <v>0</v>
      </c>
      <c r="AD399" s="30">
        <f t="shared" si="183"/>
        <v>0</v>
      </c>
      <c r="AE399" s="121">
        <f>交易记录!T146</f>
        <v>0</v>
      </c>
      <c r="AF399" s="121">
        <f>交易记录!T177</f>
        <v>0</v>
      </c>
      <c r="AG399" s="30">
        <f t="shared" si="184"/>
        <v>0</v>
      </c>
      <c r="AH399" s="124">
        <f>交易记录!T210</f>
        <v>0</v>
      </c>
      <c r="AI399" s="124">
        <f>交易记录!T241</f>
        <v>0</v>
      </c>
      <c r="AJ399" s="30">
        <f t="shared" si="185"/>
        <v>0</v>
      </c>
      <c r="AK399" s="121">
        <f>交易记录!T274</f>
        <v>0</v>
      </c>
      <c r="AL399" s="121">
        <f>交易记录!T305</f>
        <v>0</v>
      </c>
      <c r="AM399" s="30">
        <f t="shared" si="186"/>
        <v>0</v>
      </c>
      <c r="AN399" s="124">
        <f>交易记录!T338</f>
        <v>0</v>
      </c>
      <c r="AO399" s="124">
        <f>交易记录!T369</f>
        <v>0</v>
      </c>
      <c r="AP399" s="30">
        <f t="shared" si="187"/>
        <v>0</v>
      </c>
      <c r="AQ399" s="121">
        <f>交易记录!T402</f>
        <v>0</v>
      </c>
      <c r="AR399" s="121">
        <f>交易记录!T433</f>
        <v>0</v>
      </c>
      <c r="AS399" s="30">
        <f t="shared" si="188"/>
        <v>0</v>
      </c>
      <c r="AT399" s="124">
        <f>交易记录!T466</f>
        <v>0</v>
      </c>
      <c r="AU399" s="124">
        <f>交易记录!T497</f>
        <v>0</v>
      </c>
      <c r="AV399" s="30">
        <f t="shared" si="195"/>
        <v>0</v>
      </c>
      <c r="AW399" s="121">
        <f>交易记录!T530</f>
        <v>0</v>
      </c>
      <c r="AX399" s="121">
        <f>交易记录!T561</f>
        <v>0</v>
      </c>
      <c r="AY399" s="30">
        <f t="shared" si="196"/>
        <v>0</v>
      </c>
      <c r="AZ399" s="124">
        <f>交易记录!T594</f>
        <v>0</v>
      </c>
      <c r="BA399" s="124">
        <f>交易记录!T625</f>
        <v>0</v>
      </c>
      <c r="BB399" s="30">
        <f t="shared" si="197"/>
        <v>0</v>
      </c>
      <c r="BC399" s="121">
        <f>交易记录!T658</f>
        <v>0</v>
      </c>
      <c r="BD399" s="121">
        <f>交易记录!T689</f>
        <v>0</v>
      </c>
      <c r="BE399" s="30">
        <f t="shared" si="198"/>
        <v>0</v>
      </c>
      <c r="BF399" s="124">
        <f>交易记录!T722</f>
        <v>0</v>
      </c>
      <c r="BG399" s="124">
        <f>交易记录!T753</f>
        <v>0</v>
      </c>
      <c r="BH399" s="30">
        <f t="shared" si="199"/>
        <v>0</v>
      </c>
      <c r="BI399" s="121">
        <f>交易记录!T786</f>
        <v>0</v>
      </c>
      <c r="BJ399" s="121">
        <f>交易记录!T817</f>
        <v>0</v>
      </c>
      <c r="BK399" s="30">
        <f t="shared" si="200"/>
        <v>0</v>
      </c>
      <c r="BL399" s="124">
        <f>交易记录!T850</f>
        <v>0</v>
      </c>
      <c r="BM399" s="124">
        <f>交易记录!T881</f>
        <v>0</v>
      </c>
      <c r="BN399" s="30">
        <f t="shared" si="201"/>
        <v>0</v>
      </c>
      <c r="BO399" s="121">
        <f>交易记录!T914</f>
        <v>0</v>
      </c>
      <c r="BP399" s="121">
        <f>交易记录!T945</f>
        <v>0</v>
      </c>
      <c r="BQ399" s="30">
        <f t="shared" si="202"/>
        <v>0</v>
      </c>
    </row>
    <row r="400" spans="1:69" ht="15">
      <c r="A400" s="125">
        <f>'维护-日期'!A$19</f>
        <v>46282</v>
      </c>
      <c r="B400" s="7" t="s">
        <v>20</v>
      </c>
      <c r="C400" s="144">
        <f t="shared" si="203"/>
        <v>22.071000000000002</v>
      </c>
      <c r="D400" s="144">
        <f>ROUND(INDEX(持仓数据!$C$3:$AG$26,MATCH('计算过程-数据汇总'!B400,持仓数据!$B$3:$B$26,0),MATCH('计算过程-数据汇总'!A400,'维护-日期'!$B$2:$AF$2,0)),3)</f>
        <v>22.071000000000002</v>
      </c>
      <c r="E400" s="98">
        <f t="shared" si="204"/>
        <v>22.071000000000002</v>
      </c>
      <c r="F400" s="22">
        <f>持仓数据!S86</f>
        <v>0.34599999999999997</v>
      </c>
      <c r="G400" s="97">
        <v>372</v>
      </c>
      <c r="H400" s="97">
        <v>372</v>
      </c>
      <c r="I400" s="64">
        <v>0</v>
      </c>
      <c r="J400" s="64">
        <v>0</v>
      </c>
      <c r="K400" s="21">
        <f>IF(持仓数据!S119="",0,持仓数据!S119)</f>
        <v>372</v>
      </c>
      <c r="L400" s="21">
        <f t="shared" si="205"/>
        <v>0</v>
      </c>
      <c r="M400" s="28">
        <f t="shared" si="189"/>
        <v>8210.4120000000003</v>
      </c>
      <c r="N400" s="28">
        <f t="shared" si="190"/>
        <v>0</v>
      </c>
      <c r="O400" s="28">
        <f t="shared" si="191"/>
        <v>0</v>
      </c>
      <c r="P400" s="28">
        <f t="shared" si="192"/>
        <v>0</v>
      </c>
      <c r="Q400" s="28">
        <f t="shared" si="206"/>
        <v>0</v>
      </c>
      <c r="R400" s="28">
        <f t="shared" si="193"/>
        <v>8210.4120000000003</v>
      </c>
      <c r="S400" s="28">
        <f t="shared" si="207"/>
        <v>0</v>
      </c>
      <c r="T400" s="28">
        <f t="shared" si="208"/>
        <v>0</v>
      </c>
      <c r="U400" s="28">
        <f t="shared" si="211"/>
        <v>0</v>
      </c>
      <c r="V400" s="28">
        <f t="shared" si="209"/>
        <v>0</v>
      </c>
      <c r="W400" s="118"/>
      <c r="X400" s="143">
        <f t="shared" si="210"/>
        <v>26.138999999999999</v>
      </c>
      <c r="Y400" s="121">
        <f>交易记录!T19</f>
        <v>0.34599999999999997</v>
      </c>
      <c r="Z400" s="121">
        <f>交易记录!T50</f>
        <v>372</v>
      </c>
      <c r="AA400" s="30">
        <f t="shared" si="194"/>
        <v>0</v>
      </c>
      <c r="AB400" s="124">
        <f>交易记录!T83</f>
        <v>0</v>
      </c>
      <c r="AC400" s="124">
        <f>交易记录!T114</f>
        <v>0</v>
      </c>
      <c r="AD400" s="30">
        <f t="shared" si="183"/>
        <v>0</v>
      </c>
      <c r="AE400" s="121">
        <f>交易记录!T147</f>
        <v>0</v>
      </c>
      <c r="AF400" s="121">
        <f>交易记录!T178</f>
        <v>0</v>
      </c>
      <c r="AG400" s="30">
        <f t="shared" si="184"/>
        <v>0</v>
      </c>
      <c r="AH400" s="124">
        <f>交易记录!T211</f>
        <v>0</v>
      </c>
      <c r="AI400" s="124">
        <f>交易记录!T242</f>
        <v>0</v>
      </c>
      <c r="AJ400" s="30">
        <f t="shared" si="185"/>
        <v>0</v>
      </c>
      <c r="AK400" s="121">
        <f>交易记录!T275</f>
        <v>0</v>
      </c>
      <c r="AL400" s="121">
        <f>交易记录!T306</f>
        <v>0</v>
      </c>
      <c r="AM400" s="30">
        <f t="shared" si="186"/>
        <v>0</v>
      </c>
      <c r="AN400" s="124">
        <f>交易记录!T339</f>
        <v>0</v>
      </c>
      <c r="AO400" s="124">
        <f>交易记录!T370</f>
        <v>0</v>
      </c>
      <c r="AP400" s="30">
        <f t="shared" si="187"/>
        <v>0</v>
      </c>
      <c r="AQ400" s="121">
        <f>交易记录!T403</f>
        <v>0</v>
      </c>
      <c r="AR400" s="121">
        <f>交易记录!T434</f>
        <v>0</v>
      </c>
      <c r="AS400" s="30">
        <f t="shared" si="188"/>
        <v>0</v>
      </c>
      <c r="AT400" s="124">
        <f>交易记录!T467</f>
        <v>0</v>
      </c>
      <c r="AU400" s="124">
        <f>交易记录!T498</f>
        <v>0</v>
      </c>
      <c r="AV400" s="30">
        <f t="shared" si="195"/>
        <v>0</v>
      </c>
      <c r="AW400" s="121">
        <f>交易记录!T531</f>
        <v>0</v>
      </c>
      <c r="AX400" s="121">
        <f>交易记录!T562</f>
        <v>0</v>
      </c>
      <c r="AY400" s="30">
        <f t="shared" si="196"/>
        <v>0</v>
      </c>
      <c r="AZ400" s="124">
        <f>交易记录!T595</f>
        <v>0</v>
      </c>
      <c r="BA400" s="124">
        <f>交易记录!T626</f>
        <v>0</v>
      </c>
      <c r="BB400" s="30">
        <f t="shared" si="197"/>
        <v>0</v>
      </c>
      <c r="BC400" s="121">
        <f>交易记录!T659</f>
        <v>0</v>
      </c>
      <c r="BD400" s="121">
        <f>交易记录!T690</f>
        <v>0</v>
      </c>
      <c r="BE400" s="30">
        <f t="shared" si="198"/>
        <v>0</v>
      </c>
      <c r="BF400" s="124">
        <f>交易记录!T723</f>
        <v>0</v>
      </c>
      <c r="BG400" s="124">
        <f>交易记录!T754</f>
        <v>0</v>
      </c>
      <c r="BH400" s="30">
        <f t="shared" si="199"/>
        <v>0</v>
      </c>
      <c r="BI400" s="121">
        <f>交易记录!T787</f>
        <v>0</v>
      </c>
      <c r="BJ400" s="121">
        <f>交易记录!T818</f>
        <v>0</v>
      </c>
      <c r="BK400" s="30">
        <f t="shared" si="200"/>
        <v>0</v>
      </c>
      <c r="BL400" s="124">
        <f>交易记录!T851</f>
        <v>0</v>
      </c>
      <c r="BM400" s="124">
        <f>交易记录!T882</f>
        <v>0</v>
      </c>
      <c r="BN400" s="30">
        <f t="shared" si="201"/>
        <v>0</v>
      </c>
      <c r="BO400" s="121">
        <f>交易记录!T915</f>
        <v>0</v>
      </c>
      <c r="BP400" s="121">
        <f>交易记录!T946</f>
        <v>0</v>
      </c>
      <c r="BQ400" s="30">
        <f t="shared" si="202"/>
        <v>0</v>
      </c>
    </row>
    <row r="401" spans="1:69" ht="15">
      <c r="A401" s="125">
        <f>'维护-日期'!A$19</f>
        <v>46282</v>
      </c>
      <c r="B401" s="7" t="s">
        <v>21</v>
      </c>
      <c r="C401" s="144">
        <f t="shared" si="203"/>
        <v>22.087</v>
      </c>
      <c r="D401" s="144">
        <f>ROUND(INDEX(持仓数据!$C$3:$AG$26,MATCH('计算过程-数据汇总'!B401,持仓数据!$B$3:$B$26,0),MATCH('计算过程-数据汇总'!A401,'维护-日期'!$B$2:$AF$2,0)),3)</f>
        <v>22.087</v>
      </c>
      <c r="E401" s="98">
        <f t="shared" si="204"/>
        <v>22.087</v>
      </c>
      <c r="F401" s="22">
        <f>持仓数据!S87</f>
        <v>0.38</v>
      </c>
      <c r="G401" s="97">
        <v>372</v>
      </c>
      <c r="H401" s="97">
        <v>372</v>
      </c>
      <c r="I401" s="64">
        <v>0</v>
      </c>
      <c r="J401" s="64">
        <v>0</v>
      </c>
      <c r="K401" s="21">
        <f>IF(持仓数据!S120="",0,持仓数据!S120)</f>
        <v>372.00000000000006</v>
      </c>
      <c r="L401" s="21">
        <f t="shared" si="205"/>
        <v>0</v>
      </c>
      <c r="M401" s="28">
        <f t="shared" si="189"/>
        <v>8216.3639999999996</v>
      </c>
      <c r="N401" s="28">
        <f t="shared" si="190"/>
        <v>0</v>
      </c>
      <c r="O401" s="28">
        <f t="shared" si="191"/>
        <v>0</v>
      </c>
      <c r="P401" s="28">
        <f t="shared" si="192"/>
        <v>2.1600499167107046E-14</v>
      </c>
      <c r="Q401" s="28">
        <f t="shared" si="206"/>
        <v>0</v>
      </c>
      <c r="R401" s="28">
        <f t="shared" si="193"/>
        <v>8216.3640000000014</v>
      </c>
      <c r="S401" s="28">
        <f t="shared" si="207"/>
        <v>0</v>
      </c>
      <c r="T401" s="28">
        <f t="shared" si="208"/>
        <v>-1.2339000932115596E-12</v>
      </c>
      <c r="U401" s="28">
        <f t="shared" si="211"/>
        <v>0</v>
      </c>
      <c r="V401" s="28">
        <f t="shared" si="209"/>
        <v>0</v>
      </c>
      <c r="W401" s="118"/>
      <c r="X401" s="143">
        <f t="shared" si="210"/>
        <v>26.123999999999999</v>
      </c>
      <c r="Y401" s="121">
        <f>交易记录!T20</f>
        <v>0.38</v>
      </c>
      <c r="Z401" s="121">
        <f>交易记录!T51</f>
        <v>372</v>
      </c>
      <c r="AA401" s="30">
        <f t="shared" si="194"/>
        <v>0</v>
      </c>
      <c r="AB401" s="124">
        <f>交易记录!T84</f>
        <v>0</v>
      </c>
      <c r="AC401" s="124">
        <f>交易记录!T115</f>
        <v>0</v>
      </c>
      <c r="AD401" s="30">
        <f t="shared" si="183"/>
        <v>0</v>
      </c>
      <c r="AE401" s="121">
        <f>交易记录!T148</f>
        <v>0</v>
      </c>
      <c r="AF401" s="121">
        <f>交易记录!T179</f>
        <v>0</v>
      </c>
      <c r="AG401" s="30">
        <f t="shared" si="184"/>
        <v>0</v>
      </c>
      <c r="AH401" s="124">
        <f>交易记录!T212</f>
        <v>0</v>
      </c>
      <c r="AI401" s="124">
        <f>交易记录!T243</f>
        <v>0</v>
      </c>
      <c r="AJ401" s="30">
        <f t="shared" si="185"/>
        <v>0</v>
      </c>
      <c r="AK401" s="121">
        <f>交易记录!T276</f>
        <v>0</v>
      </c>
      <c r="AL401" s="121">
        <f>交易记录!T307</f>
        <v>0</v>
      </c>
      <c r="AM401" s="30">
        <f t="shared" si="186"/>
        <v>0</v>
      </c>
      <c r="AN401" s="124">
        <f>交易记录!T340</f>
        <v>0</v>
      </c>
      <c r="AO401" s="124">
        <f>交易记录!T371</f>
        <v>0</v>
      </c>
      <c r="AP401" s="30">
        <f t="shared" si="187"/>
        <v>0</v>
      </c>
      <c r="AQ401" s="121">
        <f>交易记录!T404</f>
        <v>0</v>
      </c>
      <c r="AR401" s="121">
        <f>交易记录!T435</f>
        <v>0</v>
      </c>
      <c r="AS401" s="30">
        <f t="shared" si="188"/>
        <v>0</v>
      </c>
      <c r="AT401" s="124">
        <f>交易记录!T468</f>
        <v>0</v>
      </c>
      <c r="AU401" s="124">
        <f>交易记录!T499</f>
        <v>0</v>
      </c>
      <c r="AV401" s="30">
        <f t="shared" si="195"/>
        <v>0</v>
      </c>
      <c r="AW401" s="121">
        <f>交易记录!T532</f>
        <v>0</v>
      </c>
      <c r="AX401" s="121">
        <f>交易记录!T563</f>
        <v>0</v>
      </c>
      <c r="AY401" s="30">
        <f t="shared" si="196"/>
        <v>0</v>
      </c>
      <c r="AZ401" s="124">
        <f>交易记录!T596</f>
        <v>0</v>
      </c>
      <c r="BA401" s="124">
        <f>交易记录!T627</f>
        <v>0</v>
      </c>
      <c r="BB401" s="30">
        <f t="shared" si="197"/>
        <v>0</v>
      </c>
      <c r="BC401" s="121">
        <f>交易记录!T660</f>
        <v>0</v>
      </c>
      <c r="BD401" s="121">
        <f>交易记录!T691</f>
        <v>0</v>
      </c>
      <c r="BE401" s="30">
        <f t="shared" si="198"/>
        <v>0</v>
      </c>
      <c r="BF401" s="124">
        <f>交易记录!T724</f>
        <v>0</v>
      </c>
      <c r="BG401" s="124">
        <f>交易记录!T755</f>
        <v>0</v>
      </c>
      <c r="BH401" s="30">
        <f t="shared" si="199"/>
        <v>0</v>
      </c>
      <c r="BI401" s="121">
        <f>交易记录!T788</f>
        <v>0</v>
      </c>
      <c r="BJ401" s="121">
        <f>交易记录!T819</f>
        <v>0</v>
      </c>
      <c r="BK401" s="30">
        <f t="shared" si="200"/>
        <v>0</v>
      </c>
      <c r="BL401" s="124">
        <f>交易记录!T852</f>
        <v>0</v>
      </c>
      <c r="BM401" s="124">
        <f>交易记录!T883</f>
        <v>0</v>
      </c>
      <c r="BN401" s="30">
        <f t="shared" si="201"/>
        <v>0</v>
      </c>
      <c r="BO401" s="121">
        <f>交易记录!T916</f>
        <v>0</v>
      </c>
      <c r="BP401" s="121">
        <f>交易记录!T947</f>
        <v>0</v>
      </c>
      <c r="BQ401" s="30">
        <f t="shared" si="202"/>
        <v>0</v>
      </c>
    </row>
    <row r="402" spans="1:69" ht="15">
      <c r="A402" s="125">
        <f>'维护-日期'!A$19</f>
        <v>46282</v>
      </c>
      <c r="B402" s="7" t="s">
        <v>22</v>
      </c>
      <c r="C402" s="144">
        <f t="shared" si="203"/>
        <v>23.077999999999999</v>
      </c>
      <c r="D402" s="144">
        <f>ROUND(INDEX(持仓数据!$C$3:$AG$26,MATCH('计算过程-数据汇总'!B402,持仓数据!$B$3:$B$26,0),MATCH('计算过程-数据汇总'!A402,'维护-日期'!$B$2:$AF$2,0)),3)</f>
        <v>23.077999999999999</v>
      </c>
      <c r="E402" s="98">
        <f t="shared" si="204"/>
        <v>23.077999999999999</v>
      </c>
      <c r="F402" s="22">
        <f>持仓数据!S88</f>
        <v>0.58600000000000008</v>
      </c>
      <c r="G402" s="97">
        <v>372</v>
      </c>
      <c r="H402" s="97">
        <v>372</v>
      </c>
      <c r="I402" s="64">
        <v>0</v>
      </c>
      <c r="J402" s="64">
        <v>0</v>
      </c>
      <c r="K402" s="21">
        <f>IF(持仓数据!S121="",0,持仓数据!S121)</f>
        <v>372</v>
      </c>
      <c r="L402" s="21">
        <f t="shared" si="205"/>
        <v>0</v>
      </c>
      <c r="M402" s="28">
        <f t="shared" si="189"/>
        <v>8585.0159999999996</v>
      </c>
      <c r="N402" s="28">
        <f t="shared" si="190"/>
        <v>0</v>
      </c>
      <c r="O402" s="28">
        <f t="shared" si="191"/>
        <v>0</v>
      </c>
      <c r="P402" s="28">
        <f t="shared" si="192"/>
        <v>0</v>
      </c>
      <c r="Q402" s="28">
        <f t="shared" si="206"/>
        <v>0</v>
      </c>
      <c r="R402" s="28">
        <f t="shared" si="193"/>
        <v>8585.0159999999996</v>
      </c>
      <c r="S402" s="28">
        <f t="shared" si="207"/>
        <v>0</v>
      </c>
      <c r="T402" s="28">
        <f t="shared" si="208"/>
        <v>0</v>
      </c>
      <c r="U402" s="28">
        <f t="shared" si="211"/>
        <v>0</v>
      </c>
      <c r="V402" s="28">
        <f t="shared" si="209"/>
        <v>0</v>
      </c>
      <c r="W402" s="118"/>
      <c r="X402" s="143">
        <f t="shared" si="210"/>
        <v>27.108000000000001</v>
      </c>
      <c r="Y402" s="121">
        <f>交易记录!T21</f>
        <v>0.58600000000000008</v>
      </c>
      <c r="Z402" s="121">
        <f>交易记录!T52</f>
        <v>372</v>
      </c>
      <c r="AA402" s="30">
        <f t="shared" si="194"/>
        <v>0</v>
      </c>
      <c r="AB402" s="124">
        <f>交易记录!T85</f>
        <v>0</v>
      </c>
      <c r="AC402" s="124">
        <f>交易记录!T116</f>
        <v>0</v>
      </c>
      <c r="AD402" s="30">
        <f t="shared" si="183"/>
        <v>0</v>
      </c>
      <c r="AE402" s="121">
        <f>交易记录!T149</f>
        <v>0</v>
      </c>
      <c r="AF402" s="121">
        <f>交易记录!T180</f>
        <v>0</v>
      </c>
      <c r="AG402" s="30">
        <f t="shared" si="184"/>
        <v>0</v>
      </c>
      <c r="AH402" s="124">
        <f>交易记录!T213</f>
        <v>0</v>
      </c>
      <c r="AI402" s="124">
        <f>交易记录!T244</f>
        <v>0</v>
      </c>
      <c r="AJ402" s="30">
        <f t="shared" si="185"/>
        <v>0</v>
      </c>
      <c r="AK402" s="121">
        <f>交易记录!T277</f>
        <v>0</v>
      </c>
      <c r="AL402" s="121">
        <f>交易记录!T308</f>
        <v>0</v>
      </c>
      <c r="AM402" s="30">
        <f t="shared" si="186"/>
        <v>0</v>
      </c>
      <c r="AN402" s="124">
        <f>交易记录!T341</f>
        <v>0</v>
      </c>
      <c r="AO402" s="124">
        <f>交易记录!T372</f>
        <v>0</v>
      </c>
      <c r="AP402" s="30">
        <f t="shared" si="187"/>
        <v>0</v>
      </c>
      <c r="AQ402" s="121">
        <f>交易记录!T405</f>
        <v>0</v>
      </c>
      <c r="AR402" s="121">
        <f>交易记录!T436</f>
        <v>0</v>
      </c>
      <c r="AS402" s="30">
        <f t="shared" si="188"/>
        <v>0</v>
      </c>
      <c r="AT402" s="124">
        <f>交易记录!T469</f>
        <v>0</v>
      </c>
      <c r="AU402" s="124">
        <f>交易记录!T500</f>
        <v>0</v>
      </c>
      <c r="AV402" s="30">
        <f t="shared" si="195"/>
        <v>0</v>
      </c>
      <c r="AW402" s="121">
        <f>交易记录!T533</f>
        <v>0</v>
      </c>
      <c r="AX402" s="121">
        <f>交易记录!T564</f>
        <v>0</v>
      </c>
      <c r="AY402" s="30">
        <f t="shared" si="196"/>
        <v>0</v>
      </c>
      <c r="AZ402" s="124">
        <f>交易记录!T597</f>
        <v>0</v>
      </c>
      <c r="BA402" s="124">
        <f>交易记录!T628</f>
        <v>0</v>
      </c>
      <c r="BB402" s="30">
        <f t="shared" si="197"/>
        <v>0</v>
      </c>
      <c r="BC402" s="121">
        <f>交易记录!T661</f>
        <v>0</v>
      </c>
      <c r="BD402" s="121">
        <f>交易记录!T692</f>
        <v>0</v>
      </c>
      <c r="BE402" s="30">
        <f t="shared" si="198"/>
        <v>0</v>
      </c>
      <c r="BF402" s="124">
        <f>交易记录!T725</f>
        <v>0</v>
      </c>
      <c r="BG402" s="124">
        <f>交易记录!T756</f>
        <v>0</v>
      </c>
      <c r="BH402" s="30">
        <f t="shared" si="199"/>
        <v>0</v>
      </c>
      <c r="BI402" s="121">
        <f>交易记录!T789</f>
        <v>0</v>
      </c>
      <c r="BJ402" s="121">
        <f>交易记录!T820</f>
        <v>0</v>
      </c>
      <c r="BK402" s="30">
        <f t="shared" si="200"/>
        <v>0</v>
      </c>
      <c r="BL402" s="124">
        <f>交易记录!T853</f>
        <v>0</v>
      </c>
      <c r="BM402" s="124">
        <f>交易记录!T884</f>
        <v>0</v>
      </c>
      <c r="BN402" s="30">
        <f t="shared" si="201"/>
        <v>0</v>
      </c>
      <c r="BO402" s="121">
        <f>交易记录!T917</f>
        <v>0</v>
      </c>
      <c r="BP402" s="121">
        <f>交易记录!T948</f>
        <v>0</v>
      </c>
      <c r="BQ402" s="30">
        <f t="shared" si="202"/>
        <v>0</v>
      </c>
    </row>
    <row r="403" spans="1:69" ht="15">
      <c r="A403" s="125">
        <f>'维护-日期'!A$19</f>
        <v>46282</v>
      </c>
      <c r="B403" s="7" t="s">
        <v>23</v>
      </c>
      <c r="C403" s="144">
        <f t="shared" si="203"/>
        <v>23.443000000000001</v>
      </c>
      <c r="D403" s="144">
        <f>ROUND(INDEX(持仓数据!$C$3:$AG$26,MATCH('计算过程-数据汇总'!B403,持仓数据!$B$3:$B$26,0),MATCH('计算过程-数据汇总'!A403,'维护-日期'!$B$2:$AF$2,0)),3)</f>
        <v>23.443000000000001</v>
      </c>
      <c r="E403" s="98">
        <f t="shared" si="204"/>
        <v>23.443000000000001</v>
      </c>
      <c r="F403" s="22">
        <f>持仓数据!S89</f>
        <v>0.63300000000000001</v>
      </c>
      <c r="G403" s="97">
        <v>372</v>
      </c>
      <c r="H403" s="97">
        <v>372</v>
      </c>
      <c r="I403" s="64">
        <v>0</v>
      </c>
      <c r="J403" s="64">
        <v>0</v>
      </c>
      <c r="K403" s="21">
        <f>IF(持仓数据!S122="",0,持仓数据!S122)</f>
        <v>372</v>
      </c>
      <c r="L403" s="21">
        <f t="shared" si="205"/>
        <v>0</v>
      </c>
      <c r="M403" s="28">
        <f t="shared" si="189"/>
        <v>8720.7960000000003</v>
      </c>
      <c r="N403" s="28">
        <f t="shared" si="190"/>
        <v>0</v>
      </c>
      <c r="O403" s="28">
        <f t="shared" si="191"/>
        <v>0</v>
      </c>
      <c r="P403" s="28">
        <f t="shared" si="192"/>
        <v>0</v>
      </c>
      <c r="Q403" s="28">
        <f t="shared" si="206"/>
        <v>0</v>
      </c>
      <c r="R403" s="28">
        <f t="shared" si="193"/>
        <v>8720.7960000000003</v>
      </c>
      <c r="S403" s="28">
        <f t="shared" si="207"/>
        <v>0</v>
      </c>
      <c r="T403" s="28">
        <f t="shared" si="208"/>
        <v>0</v>
      </c>
      <c r="U403" s="28">
        <f t="shared" si="211"/>
        <v>0</v>
      </c>
      <c r="V403" s="28">
        <f t="shared" si="209"/>
        <v>0</v>
      </c>
      <c r="W403" s="118"/>
      <c r="X403" s="143">
        <f t="shared" si="210"/>
        <v>27.498999999999999</v>
      </c>
      <c r="Y403" s="121">
        <f>交易记录!T22</f>
        <v>0.63300000000000001</v>
      </c>
      <c r="Z403" s="121">
        <f>交易记录!T53</f>
        <v>372</v>
      </c>
      <c r="AA403" s="30">
        <f t="shared" si="194"/>
        <v>0</v>
      </c>
      <c r="AB403" s="124">
        <f>交易记录!T86</f>
        <v>0</v>
      </c>
      <c r="AC403" s="124">
        <f>交易记录!T117</f>
        <v>0</v>
      </c>
      <c r="AD403" s="30">
        <f t="shared" si="183"/>
        <v>0</v>
      </c>
      <c r="AE403" s="121">
        <f>交易记录!T150</f>
        <v>0</v>
      </c>
      <c r="AF403" s="121">
        <f>交易记录!T181</f>
        <v>0</v>
      </c>
      <c r="AG403" s="30">
        <f t="shared" si="184"/>
        <v>0</v>
      </c>
      <c r="AH403" s="124">
        <f>交易记录!T214</f>
        <v>0</v>
      </c>
      <c r="AI403" s="124">
        <f>交易记录!T245</f>
        <v>0</v>
      </c>
      <c r="AJ403" s="30">
        <f t="shared" si="185"/>
        <v>0</v>
      </c>
      <c r="AK403" s="121">
        <f>交易记录!T278</f>
        <v>0</v>
      </c>
      <c r="AL403" s="121">
        <f>交易记录!T309</f>
        <v>0</v>
      </c>
      <c r="AM403" s="30">
        <f t="shared" si="186"/>
        <v>0</v>
      </c>
      <c r="AN403" s="124">
        <f>交易记录!T342</f>
        <v>0</v>
      </c>
      <c r="AO403" s="124">
        <f>交易记录!T373</f>
        <v>0</v>
      </c>
      <c r="AP403" s="30">
        <f t="shared" si="187"/>
        <v>0</v>
      </c>
      <c r="AQ403" s="121">
        <f>交易记录!T406</f>
        <v>0</v>
      </c>
      <c r="AR403" s="121">
        <f>交易记录!T437</f>
        <v>0</v>
      </c>
      <c r="AS403" s="30">
        <f t="shared" si="188"/>
        <v>0</v>
      </c>
      <c r="AT403" s="124">
        <f>交易记录!T470</f>
        <v>0</v>
      </c>
      <c r="AU403" s="124">
        <f>交易记录!T501</f>
        <v>0</v>
      </c>
      <c r="AV403" s="30">
        <f t="shared" si="195"/>
        <v>0</v>
      </c>
      <c r="AW403" s="121">
        <f>交易记录!T534</f>
        <v>0</v>
      </c>
      <c r="AX403" s="121">
        <f>交易记录!T565</f>
        <v>0</v>
      </c>
      <c r="AY403" s="30">
        <f t="shared" si="196"/>
        <v>0</v>
      </c>
      <c r="AZ403" s="124">
        <f>交易记录!T598</f>
        <v>0</v>
      </c>
      <c r="BA403" s="124">
        <f>交易记录!T629</f>
        <v>0</v>
      </c>
      <c r="BB403" s="30">
        <f t="shared" si="197"/>
        <v>0</v>
      </c>
      <c r="BC403" s="121">
        <f>交易记录!T662</f>
        <v>0</v>
      </c>
      <c r="BD403" s="121">
        <f>交易记录!T693</f>
        <v>0</v>
      </c>
      <c r="BE403" s="30">
        <f t="shared" si="198"/>
        <v>0</v>
      </c>
      <c r="BF403" s="124">
        <f>交易记录!T726</f>
        <v>0</v>
      </c>
      <c r="BG403" s="124">
        <f>交易记录!T757</f>
        <v>0</v>
      </c>
      <c r="BH403" s="30">
        <f t="shared" si="199"/>
        <v>0</v>
      </c>
      <c r="BI403" s="121">
        <f>交易记录!T790</f>
        <v>0</v>
      </c>
      <c r="BJ403" s="121">
        <f>交易记录!T821</f>
        <v>0</v>
      </c>
      <c r="BK403" s="30">
        <f t="shared" si="200"/>
        <v>0</v>
      </c>
      <c r="BL403" s="124">
        <f>交易记录!T854</f>
        <v>0</v>
      </c>
      <c r="BM403" s="124">
        <f>交易记录!T885</f>
        <v>0</v>
      </c>
      <c r="BN403" s="30">
        <f t="shared" si="201"/>
        <v>0</v>
      </c>
      <c r="BO403" s="121">
        <f>交易记录!T918</f>
        <v>0</v>
      </c>
      <c r="BP403" s="121">
        <f>交易记录!T949</f>
        <v>0</v>
      </c>
      <c r="BQ403" s="30">
        <f t="shared" si="202"/>
        <v>0</v>
      </c>
    </row>
    <row r="404" spans="1:69" ht="15">
      <c r="A404" s="125">
        <f>'维护-日期'!A$19</f>
        <v>46282</v>
      </c>
      <c r="B404" s="7" t="s">
        <v>24</v>
      </c>
      <c r="C404" s="144">
        <f t="shared" si="203"/>
        <v>23.85</v>
      </c>
      <c r="D404" s="144">
        <f>ROUND(INDEX(持仓数据!$C$3:$AG$26,MATCH('计算过程-数据汇总'!B404,持仓数据!$B$3:$B$26,0),MATCH('计算过程-数据汇总'!A404,'维护-日期'!$B$2:$AF$2,0)),3)</f>
        <v>23.85</v>
      </c>
      <c r="E404" s="98">
        <f t="shared" si="204"/>
        <v>23.85</v>
      </c>
      <c r="F404" s="22">
        <f>持仓数据!S90</f>
        <v>0.45400000000000001</v>
      </c>
      <c r="G404" s="97">
        <v>372</v>
      </c>
      <c r="H404" s="97">
        <v>372</v>
      </c>
      <c r="I404" s="64">
        <v>0</v>
      </c>
      <c r="J404" s="64">
        <v>0</v>
      </c>
      <c r="K404" s="21">
        <f>IF(持仓数据!S123="",0,持仓数据!S123)</f>
        <v>372</v>
      </c>
      <c r="L404" s="21">
        <f t="shared" si="205"/>
        <v>0</v>
      </c>
      <c r="M404" s="28">
        <f t="shared" si="189"/>
        <v>8872.2000000000007</v>
      </c>
      <c r="N404" s="28">
        <f t="shared" si="190"/>
        <v>0</v>
      </c>
      <c r="O404" s="28">
        <f t="shared" si="191"/>
        <v>0</v>
      </c>
      <c r="P404" s="28">
        <f t="shared" si="192"/>
        <v>0</v>
      </c>
      <c r="Q404" s="28">
        <f t="shared" si="206"/>
        <v>0</v>
      </c>
      <c r="R404" s="28">
        <f t="shared" si="193"/>
        <v>8872.2000000000007</v>
      </c>
      <c r="S404" s="28">
        <f t="shared" si="207"/>
        <v>0</v>
      </c>
      <c r="T404" s="28">
        <f t="shared" si="208"/>
        <v>0</v>
      </c>
      <c r="U404" s="28">
        <f t="shared" si="211"/>
        <v>0</v>
      </c>
      <c r="V404" s="28">
        <f t="shared" si="209"/>
        <v>0</v>
      </c>
      <c r="W404" s="118"/>
      <c r="X404" s="143">
        <f t="shared" si="210"/>
        <v>28.166</v>
      </c>
      <c r="Y404" s="121">
        <f>交易记录!T23</f>
        <v>0.45400000000000001</v>
      </c>
      <c r="Z404" s="121">
        <f>交易记录!T54</f>
        <v>372</v>
      </c>
      <c r="AA404" s="30">
        <f t="shared" si="194"/>
        <v>0</v>
      </c>
      <c r="AB404" s="124">
        <f>交易记录!T87</f>
        <v>0</v>
      </c>
      <c r="AC404" s="124">
        <f>交易记录!T118</f>
        <v>0</v>
      </c>
      <c r="AD404" s="30">
        <f t="shared" si="183"/>
        <v>0</v>
      </c>
      <c r="AE404" s="121">
        <f>交易记录!T151</f>
        <v>0</v>
      </c>
      <c r="AF404" s="121">
        <f>交易记录!T182</f>
        <v>0</v>
      </c>
      <c r="AG404" s="30">
        <f t="shared" si="184"/>
        <v>0</v>
      </c>
      <c r="AH404" s="124">
        <f>交易记录!T215</f>
        <v>0</v>
      </c>
      <c r="AI404" s="124">
        <f>交易记录!T246</f>
        <v>0</v>
      </c>
      <c r="AJ404" s="30">
        <f t="shared" si="185"/>
        <v>0</v>
      </c>
      <c r="AK404" s="121">
        <f>交易记录!T279</f>
        <v>0</v>
      </c>
      <c r="AL404" s="121">
        <f>交易记录!T310</f>
        <v>0</v>
      </c>
      <c r="AM404" s="30">
        <f t="shared" si="186"/>
        <v>0</v>
      </c>
      <c r="AN404" s="124">
        <f>交易记录!T343</f>
        <v>0</v>
      </c>
      <c r="AO404" s="124">
        <f>交易记录!T374</f>
        <v>0</v>
      </c>
      <c r="AP404" s="30">
        <f t="shared" si="187"/>
        <v>0</v>
      </c>
      <c r="AQ404" s="121">
        <f>交易记录!T407</f>
        <v>0</v>
      </c>
      <c r="AR404" s="121">
        <f>交易记录!T438</f>
        <v>0</v>
      </c>
      <c r="AS404" s="30">
        <f t="shared" si="188"/>
        <v>0</v>
      </c>
      <c r="AT404" s="124">
        <f>交易记录!T471</f>
        <v>0</v>
      </c>
      <c r="AU404" s="124">
        <f>交易记录!T502</f>
        <v>0</v>
      </c>
      <c r="AV404" s="30">
        <f t="shared" si="195"/>
        <v>0</v>
      </c>
      <c r="AW404" s="121">
        <f>交易记录!T535</f>
        <v>0</v>
      </c>
      <c r="AX404" s="121">
        <f>交易记录!T566</f>
        <v>0</v>
      </c>
      <c r="AY404" s="30">
        <f t="shared" si="196"/>
        <v>0</v>
      </c>
      <c r="AZ404" s="124">
        <f>交易记录!T599</f>
        <v>0</v>
      </c>
      <c r="BA404" s="124">
        <f>交易记录!T630</f>
        <v>0</v>
      </c>
      <c r="BB404" s="30">
        <f t="shared" si="197"/>
        <v>0</v>
      </c>
      <c r="BC404" s="121">
        <f>交易记录!T663</f>
        <v>0</v>
      </c>
      <c r="BD404" s="121">
        <f>交易记录!T694</f>
        <v>0</v>
      </c>
      <c r="BE404" s="30">
        <f t="shared" si="198"/>
        <v>0</v>
      </c>
      <c r="BF404" s="124">
        <f>交易记录!T727</f>
        <v>0</v>
      </c>
      <c r="BG404" s="124">
        <f>交易记录!T758</f>
        <v>0</v>
      </c>
      <c r="BH404" s="30">
        <f t="shared" si="199"/>
        <v>0</v>
      </c>
      <c r="BI404" s="121">
        <f>交易记录!T791</f>
        <v>0</v>
      </c>
      <c r="BJ404" s="121">
        <f>交易记录!T822</f>
        <v>0</v>
      </c>
      <c r="BK404" s="30">
        <f t="shared" si="200"/>
        <v>0</v>
      </c>
      <c r="BL404" s="124">
        <f>交易记录!T855</f>
        <v>0</v>
      </c>
      <c r="BM404" s="124">
        <f>交易记录!T886</f>
        <v>0</v>
      </c>
      <c r="BN404" s="30">
        <f t="shared" si="201"/>
        <v>0</v>
      </c>
      <c r="BO404" s="121">
        <f>交易记录!T919</f>
        <v>0</v>
      </c>
      <c r="BP404" s="121">
        <f>交易记录!T950</f>
        <v>0</v>
      </c>
      <c r="BQ404" s="30">
        <f t="shared" si="202"/>
        <v>0</v>
      </c>
    </row>
    <row r="405" spans="1:69" ht="15">
      <c r="A405" s="125">
        <f>'维护-日期'!A$19</f>
        <v>46282</v>
      </c>
      <c r="B405" s="7" t="s">
        <v>25</v>
      </c>
      <c r="C405" s="144">
        <f t="shared" si="203"/>
        <v>24.105</v>
      </c>
      <c r="D405" s="144">
        <f>ROUND(INDEX(持仓数据!$C$3:$AG$26,MATCH('计算过程-数据汇总'!B405,持仓数据!$B$3:$B$26,0),MATCH('计算过程-数据汇总'!A405,'维护-日期'!$B$2:$AF$2,0)),3)</f>
        <v>24.105</v>
      </c>
      <c r="E405" s="98">
        <f t="shared" si="204"/>
        <v>24.105</v>
      </c>
      <c r="F405" s="22">
        <f>持仓数据!S91</f>
        <v>1.1160000000000001</v>
      </c>
      <c r="G405" s="97">
        <v>372</v>
      </c>
      <c r="H405" s="97">
        <v>372</v>
      </c>
      <c r="I405" s="64">
        <v>0</v>
      </c>
      <c r="J405" s="64">
        <v>0</v>
      </c>
      <c r="K405" s="21">
        <f>IF(持仓数据!S124="",0,持仓数据!S124)</f>
        <v>372</v>
      </c>
      <c r="L405" s="21">
        <f t="shared" si="205"/>
        <v>0</v>
      </c>
      <c r="M405" s="28">
        <f t="shared" si="189"/>
        <v>8967.06</v>
      </c>
      <c r="N405" s="28">
        <f t="shared" si="190"/>
        <v>0</v>
      </c>
      <c r="O405" s="28">
        <f t="shared" si="191"/>
        <v>0</v>
      </c>
      <c r="P405" s="28">
        <f t="shared" si="192"/>
        <v>0</v>
      </c>
      <c r="Q405" s="28">
        <f t="shared" si="206"/>
        <v>0</v>
      </c>
      <c r="R405" s="28">
        <f t="shared" si="193"/>
        <v>8967.06</v>
      </c>
      <c r="S405" s="28">
        <f t="shared" si="207"/>
        <v>0</v>
      </c>
      <c r="T405" s="28">
        <f t="shared" si="208"/>
        <v>0</v>
      </c>
      <c r="U405" s="28">
        <f t="shared" si="211"/>
        <v>0</v>
      </c>
      <c r="V405" s="28">
        <f t="shared" si="209"/>
        <v>0</v>
      </c>
      <c r="W405" s="118"/>
      <c r="X405" s="143">
        <f t="shared" si="210"/>
        <v>27.81</v>
      </c>
      <c r="Y405" s="121">
        <f>交易记录!T24</f>
        <v>1.1160000000000001</v>
      </c>
      <c r="Z405" s="121">
        <f>交易记录!T55</f>
        <v>372</v>
      </c>
      <c r="AA405" s="30">
        <f t="shared" si="194"/>
        <v>0</v>
      </c>
      <c r="AB405" s="124">
        <f>交易记录!T88</f>
        <v>0</v>
      </c>
      <c r="AC405" s="124">
        <f>交易记录!T119</f>
        <v>0</v>
      </c>
      <c r="AD405" s="30">
        <f t="shared" si="183"/>
        <v>0</v>
      </c>
      <c r="AE405" s="121">
        <f>交易记录!T152</f>
        <v>0</v>
      </c>
      <c r="AF405" s="121">
        <f>交易记录!T183</f>
        <v>0</v>
      </c>
      <c r="AG405" s="30">
        <f t="shared" si="184"/>
        <v>0</v>
      </c>
      <c r="AH405" s="124">
        <f>交易记录!T216</f>
        <v>0</v>
      </c>
      <c r="AI405" s="124">
        <f>交易记录!T247</f>
        <v>0</v>
      </c>
      <c r="AJ405" s="30">
        <f t="shared" si="185"/>
        <v>0</v>
      </c>
      <c r="AK405" s="121">
        <f>交易记录!T280</f>
        <v>0</v>
      </c>
      <c r="AL405" s="121">
        <f>交易记录!T311</f>
        <v>0</v>
      </c>
      <c r="AM405" s="30">
        <f t="shared" si="186"/>
        <v>0</v>
      </c>
      <c r="AN405" s="124">
        <f>交易记录!T344</f>
        <v>0</v>
      </c>
      <c r="AO405" s="124">
        <f>交易记录!T375</f>
        <v>0</v>
      </c>
      <c r="AP405" s="30">
        <f t="shared" si="187"/>
        <v>0</v>
      </c>
      <c r="AQ405" s="121">
        <f>交易记录!T408</f>
        <v>0</v>
      </c>
      <c r="AR405" s="121">
        <f>交易记录!T439</f>
        <v>0</v>
      </c>
      <c r="AS405" s="30">
        <f t="shared" si="188"/>
        <v>0</v>
      </c>
      <c r="AT405" s="124">
        <f>交易记录!T472</f>
        <v>0</v>
      </c>
      <c r="AU405" s="124">
        <f>交易记录!T503</f>
        <v>0</v>
      </c>
      <c r="AV405" s="30">
        <f t="shared" si="195"/>
        <v>0</v>
      </c>
      <c r="AW405" s="121">
        <f>交易记录!T536</f>
        <v>0</v>
      </c>
      <c r="AX405" s="121">
        <f>交易记录!T567</f>
        <v>0</v>
      </c>
      <c r="AY405" s="30">
        <f t="shared" si="196"/>
        <v>0</v>
      </c>
      <c r="AZ405" s="124">
        <f>交易记录!T600</f>
        <v>0</v>
      </c>
      <c r="BA405" s="124">
        <f>交易记录!T631</f>
        <v>0</v>
      </c>
      <c r="BB405" s="30">
        <f t="shared" si="197"/>
        <v>0</v>
      </c>
      <c r="BC405" s="121">
        <f>交易记录!T664</f>
        <v>0</v>
      </c>
      <c r="BD405" s="121">
        <f>交易记录!T695</f>
        <v>0</v>
      </c>
      <c r="BE405" s="30">
        <f t="shared" si="198"/>
        <v>0</v>
      </c>
      <c r="BF405" s="124">
        <f>交易记录!T728</f>
        <v>0</v>
      </c>
      <c r="BG405" s="124">
        <f>交易记录!T759</f>
        <v>0</v>
      </c>
      <c r="BH405" s="30">
        <f t="shared" si="199"/>
        <v>0</v>
      </c>
      <c r="BI405" s="121">
        <f>交易记录!T792</f>
        <v>0</v>
      </c>
      <c r="BJ405" s="121">
        <f>交易记录!T823</f>
        <v>0</v>
      </c>
      <c r="BK405" s="30">
        <f t="shared" si="200"/>
        <v>0</v>
      </c>
      <c r="BL405" s="124">
        <f>交易记录!T856</f>
        <v>0</v>
      </c>
      <c r="BM405" s="124">
        <f>交易记录!T887</f>
        <v>0</v>
      </c>
      <c r="BN405" s="30">
        <f t="shared" si="201"/>
        <v>0</v>
      </c>
      <c r="BO405" s="121">
        <f>交易记录!T920</f>
        <v>0</v>
      </c>
      <c r="BP405" s="121">
        <f>交易记录!T951</f>
        <v>0</v>
      </c>
      <c r="BQ405" s="30">
        <f t="shared" si="202"/>
        <v>0</v>
      </c>
    </row>
    <row r="406" spans="1:69" ht="15">
      <c r="A406" s="125">
        <f>'维护-日期'!A$19</f>
        <v>46282</v>
      </c>
      <c r="B406" s="7" t="s">
        <v>26</v>
      </c>
      <c r="C406" s="144">
        <f t="shared" si="203"/>
        <v>24.047999999999998</v>
      </c>
      <c r="D406" s="144">
        <f>ROUND(INDEX(持仓数据!$C$3:$AG$26,MATCH('计算过程-数据汇总'!B406,持仓数据!$B$3:$B$26,0),MATCH('计算过程-数据汇总'!A406,'维护-日期'!$B$2:$AF$2,0)),3)</f>
        <v>24.047999999999998</v>
      </c>
      <c r="E406" s="98">
        <f t="shared" si="204"/>
        <v>24.047999999999998</v>
      </c>
      <c r="F406" s="22">
        <f>持仓数据!S92</f>
        <v>1</v>
      </c>
      <c r="G406" s="97">
        <v>372</v>
      </c>
      <c r="H406" s="97">
        <v>372</v>
      </c>
      <c r="I406" s="64">
        <v>0</v>
      </c>
      <c r="J406" s="64">
        <v>0</v>
      </c>
      <c r="K406" s="21">
        <f>IF(持仓数据!S125="",0,持仓数据!S125)</f>
        <v>372</v>
      </c>
      <c r="L406" s="21">
        <f t="shared" si="205"/>
        <v>0</v>
      </c>
      <c r="M406" s="28">
        <f t="shared" si="189"/>
        <v>8945.8559999999998</v>
      </c>
      <c r="N406" s="28">
        <f t="shared" si="190"/>
        <v>0</v>
      </c>
      <c r="O406" s="28">
        <f t="shared" si="191"/>
        <v>0</v>
      </c>
      <c r="P406" s="28">
        <f t="shared" si="192"/>
        <v>0</v>
      </c>
      <c r="Q406" s="28">
        <f t="shared" si="206"/>
        <v>0</v>
      </c>
      <c r="R406" s="28">
        <f t="shared" si="193"/>
        <v>8945.8559999999998</v>
      </c>
      <c r="S406" s="28">
        <f t="shared" si="207"/>
        <v>0</v>
      </c>
      <c r="T406" s="28">
        <f t="shared" si="208"/>
        <v>0</v>
      </c>
      <c r="U406" s="28">
        <f t="shared" si="211"/>
        <v>0</v>
      </c>
      <c r="V406" s="28">
        <f t="shared" si="209"/>
        <v>0</v>
      </c>
      <c r="W406" s="118"/>
      <c r="X406" s="143">
        <f t="shared" si="210"/>
        <v>27.858000000000001</v>
      </c>
      <c r="Y406" s="121">
        <f>交易记录!T25</f>
        <v>1</v>
      </c>
      <c r="Z406" s="121">
        <f>交易记录!T56</f>
        <v>372</v>
      </c>
      <c r="AA406" s="30">
        <f t="shared" si="194"/>
        <v>0</v>
      </c>
      <c r="AB406" s="124">
        <f>交易记录!T89</f>
        <v>0</v>
      </c>
      <c r="AC406" s="124">
        <f>交易记录!T120</f>
        <v>0</v>
      </c>
      <c r="AD406" s="30">
        <f t="shared" si="183"/>
        <v>0</v>
      </c>
      <c r="AE406" s="121">
        <f>交易记录!T153</f>
        <v>0</v>
      </c>
      <c r="AF406" s="121">
        <f>交易记录!T184</f>
        <v>0</v>
      </c>
      <c r="AG406" s="30">
        <f t="shared" si="184"/>
        <v>0</v>
      </c>
      <c r="AH406" s="124">
        <f>交易记录!T217</f>
        <v>0</v>
      </c>
      <c r="AI406" s="124">
        <f>交易记录!T248</f>
        <v>0</v>
      </c>
      <c r="AJ406" s="30">
        <f t="shared" si="185"/>
        <v>0</v>
      </c>
      <c r="AK406" s="121">
        <f>交易记录!T281</f>
        <v>0</v>
      </c>
      <c r="AL406" s="121">
        <f>交易记录!T312</f>
        <v>0</v>
      </c>
      <c r="AM406" s="30">
        <f t="shared" si="186"/>
        <v>0</v>
      </c>
      <c r="AN406" s="124">
        <f>交易记录!T345</f>
        <v>0</v>
      </c>
      <c r="AO406" s="124">
        <f>交易记录!T376</f>
        <v>0</v>
      </c>
      <c r="AP406" s="30">
        <f t="shared" si="187"/>
        <v>0</v>
      </c>
      <c r="AQ406" s="121">
        <f>交易记录!T409</f>
        <v>0</v>
      </c>
      <c r="AR406" s="121">
        <f>交易记录!T440</f>
        <v>0</v>
      </c>
      <c r="AS406" s="30">
        <f t="shared" si="188"/>
        <v>0</v>
      </c>
      <c r="AT406" s="124">
        <f>交易记录!T473</f>
        <v>0</v>
      </c>
      <c r="AU406" s="124">
        <f>交易记录!T504</f>
        <v>0</v>
      </c>
      <c r="AV406" s="30">
        <f t="shared" si="195"/>
        <v>0</v>
      </c>
      <c r="AW406" s="121">
        <f>交易记录!T537</f>
        <v>0</v>
      </c>
      <c r="AX406" s="121">
        <f>交易记录!T568</f>
        <v>0</v>
      </c>
      <c r="AY406" s="30">
        <f t="shared" si="196"/>
        <v>0</v>
      </c>
      <c r="AZ406" s="124">
        <f>交易记录!T601</f>
        <v>0</v>
      </c>
      <c r="BA406" s="124">
        <f>交易记录!T632</f>
        <v>0</v>
      </c>
      <c r="BB406" s="30">
        <f t="shared" si="197"/>
        <v>0</v>
      </c>
      <c r="BC406" s="121">
        <f>交易记录!T665</f>
        <v>0</v>
      </c>
      <c r="BD406" s="121">
        <f>交易记录!T696</f>
        <v>0</v>
      </c>
      <c r="BE406" s="30">
        <f t="shared" si="198"/>
        <v>0</v>
      </c>
      <c r="BF406" s="124">
        <f>交易记录!T729</f>
        <v>0</v>
      </c>
      <c r="BG406" s="124">
        <f>交易记录!T760</f>
        <v>0</v>
      </c>
      <c r="BH406" s="30">
        <f t="shared" si="199"/>
        <v>0</v>
      </c>
      <c r="BI406" s="121">
        <f>交易记录!T793</f>
        <v>0</v>
      </c>
      <c r="BJ406" s="121">
        <f>交易记录!T824</f>
        <v>0</v>
      </c>
      <c r="BK406" s="30">
        <f t="shared" si="200"/>
        <v>0</v>
      </c>
      <c r="BL406" s="124">
        <f>交易记录!T857</f>
        <v>0</v>
      </c>
      <c r="BM406" s="124">
        <f>交易记录!T888</f>
        <v>0</v>
      </c>
      <c r="BN406" s="30">
        <f t="shared" si="201"/>
        <v>0</v>
      </c>
      <c r="BO406" s="121">
        <f>交易记录!T921</f>
        <v>0</v>
      </c>
      <c r="BP406" s="121">
        <f>交易记录!T952</f>
        <v>0</v>
      </c>
      <c r="BQ406" s="30">
        <f t="shared" si="202"/>
        <v>0</v>
      </c>
    </row>
    <row r="407" spans="1:69" ht="15">
      <c r="A407" s="125">
        <f>'维护-日期'!A$19</f>
        <v>46282</v>
      </c>
      <c r="B407" s="7" t="s">
        <v>27</v>
      </c>
      <c r="C407" s="144">
        <f t="shared" si="203"/>
        <v>22.594000000000001</v>
      </c>
      <c r="D407" s="144">
        <f>ROUND(INDEX(持仓数据!$C$3:$AG$26,MATCH('计算过程-数据汇总'!B407,持仓数据!$B$3:$B$26,0),MATCH('计算过程-数据汇总'!A407,'维护-日期'!$B$2:$AF$2,0)),3)</f>
        <v>22.594000000000001</v>
      </c>
      <c r="E407" s="98">
        <f t="shared" si="204"/>
        <v>22.594000000000001</v>
      </c>
      <c r="F407" s="22">
        <f>持仓数据!S93</f>
        <v>0.95199999999999996</v>
      </c>
      <c r="G407" s="97">
        <v>372</v>
      </c>
      <c r="H407" s="97">
        <v>372</v>
      </c>
      <c r="I407" s="64">
        <v>0</v>
      </c>
      <c r="J407" s="64">
        <v>0</v>
      </c>
      <c r="K407" s="21">
        <f>IF(持仓数据!S126="",0,持仓数据!S126)</f>
        <v>372</v>
      </c>
      <c r="L407" s="21">
        <f t="shared" si="205"/>
        <v>0</v>
      </c>
      <c r="M407" s="28">
        <f t="shared" si="189"/>
        <v>8404.9680000000008</v>
      </c>
      <c r="N407" s="28">
        <f t="shared" si="190"/>
        <v>0</v>
      </c>
      <c r="O407" s="28">
        <f t="shared" si="191"/>
        <v>0</v>
      </c>
      <c r="P407" s="28">
        <f t="shared" si="192"/>
        <v>0</v>
      </c>
      <c r="Q407" s="28">
        <f t="shared" si="206"/>
        <v>0</v>
      </c>
      <c r="R407" s="28">
        <f t="shared" si="193"/>
        <v>8404.9680000000008</v>
      </c>
      <c r="S407" s="28">
        <f t="shared" si="207"/>
        <v>0</v>
      </c>
      <c r="T407" s="28">
        <f t="shared" si="208"/>
        <v>0</v>
      </c>
      <c r="U407" s="28">
        <f t="shared" si="211"/>
        <v>0</v>
      </c>
      <c r="V407" s="28">
        <f t="shared" si="209"/>
        <v>0</v>
      </c>
      <c r="W407" s="118"/>
      <c r="X407" s="143">
        <f t="shared" si="210"/>
        <v>26.161000000000001</v>
      </c>
      <c r="Y407" s="121">
        <f>交易记录!T26</f>
        <v>0.95199999999999996</v>
      </c>
      <c r="Z407" s="121">
        <f>交易记录!T57</f>
        <v>372</v>
      </c>
      <c r="AA407" s="30">
        <f t="shared" si="194"/>
        <v>0</v>
      </c>
      <c r="AB407" s="124">
        <f>交易记录!T90</f>
        <v>0</v>
      </c>
      <c r="AC407" s="124">
        <f>交易记录!T121</f>
        <v>0</v>
      </c>
      <c r="AD407" s="30">
        <f t="shared" si="183"/>
        <v>0</v>
      </c>
      <c r="AE407" s="121">
        <f>交易记录!T154</f>
        <v>0</v>
      </c>
      <c r="AF407" s="121">
        <f>交易记录!T185</f>
        <v>0</v>
      </c>
      <c r="AG407" s="30">
        <f t="shared" si="184"/>
        <v>0</v>
      </c>
      <c r="AH407" s="124">
        <f>交易记录!T218</f>
        <v>0</v>
      </c>
      <c r="AI407" s="124">
        <f>交易记录!T249</f>
        <v>0</v>
      </c>
      <c r="AJ407" s="30">
        <f t="shared" si="185"/>
        <v>0</v>
      </c>
      <c r="AK407" s="121">
        <f>交易记录!T282</f>
        <v>0</v>
      </c>
      <c r="AL407" s="121">
        <f>交易记录!T313</f>
        <v>0</v>
      </c>
      <c r="AM407" s="30">
        <f t="shared" si="186"/>
        <v>0</v>
      </c>
      <c r="AN407" s="124">
        <f>交易记录!T346</f>
        <v>0</v>
      </c>
      <c r="AO407" s="124">
        <f>交易记录!T377</f>
        <v>0</v>
      </c>
      <c r="AP407" s="30">
        <f t="shared" si="187"/>
        <v>0</v>
      </c>
      <c r="AQ407" s="121">
        <f>交易记录!T410</f>
        <v>0</v>
      </c>
      <c r="AR407" s="121">
        <f>交易记录!T441</f>
        <v>0</v>
      </c>
      <c r="AS407" s="30">
        <f t="shared" si="188"/>
        <v>0</v>
      </c>
      <c r="AT407" s="124">
        <f>交易记录!T474</f>
        <v>0</v>
      </c>
      <c r="AU407" s="124">
        <f>交易记录!T505</f>
        <v>0</v>
      </c>
      <c r="AV407" s="30">
        <f t="shared" si="195"/>
        <v>0</v>
      </c>
      <c r="AW407" s="121">
        <f>交易记录!T538</f>
        <v>0</v>
      </c>
      <c r="AX407" s="121">
        <f>交易记录!T569</f>
        <v>0</v>
      </c>
      <c r="AY407" s="30">
        <f t="shared" si="196"/>
        <v>0</v>
      </c>
      <c r="AZ407" s="124">
        <f>交易记录!T602</f>
        <v>0</v>
      </c>
      <c r="BA407" s="124">
        <f>交易记录!T633</f>
        <v>0</v>
      </c>
      <c r="BB407" s="30">
        <f t="shared" si="197"/>
        <v>0</v>
      </c>
      <c r="BC407" s="121">
        <f>交易记录!T666</f>
        <v>0</v>
      </c>
      <c r="BD407" s="121">
        <f>交易记录!T697</f>
        <v>0</v>
      </c>
      <c r="BE407" s="30">
        <f t="shared" si="198"/>
        <v>0</v>
      </c>
      <c r="BF407" s="124">
        <f>交易记录!T730</f>
        <v>0</v>
      </c>
      <c r="BG407" s="124">
        <f>交易记录!T761</f>
        <v>0</v>
      </c>
      <c r="BH407" s="30">
        <f t="shared" si="199"/>
        <v>0</v>
      </c>
      <c r="BI407" s="121">
        <f>交易记录!T794</f>
        <v>0</v>
      </c>
      <c r="BJ407" s="121">
        <f>交易记录!T825</f>
        <v>0</v>
      </c>
      <c r="BK407" s="30">
        <f t="shared" si="200"/>
        <v>0</v>
      </c>
      <c r="BL407" s="124">
        <f>交易记录!T858</f>
        <v>0</v>
      </c>
      <c r="BM407" s="124">
        <f>交易记录!T889</f>
        <v>0</v>
      </c>
      <c r="BN407" s="30">
        <f t="shared" si="201"/>
        <v>0</v>
      </c>
      <c r="BO407" s="121">
        <f>交易记录!T922</f>
        <v>0</v>
      </c>
      <c r="BP407" s="121">
        <f>交易记录!T953</f>
        <v>0</v>
      </c>
      <c r="BQ407" s="30">
        <f t="shared" si="202"/>
        <v>0</v>
      </c>
    </row>
    <row r="408" spans="1:69" ht="15">
      <c r="A408" s="125">
        <f>'维护-日期'!A$19</f>
        <v>46282</v>
      </c>
      <c r="B408" s="7" t="s">
        <v>28</v>
      </c>
      <c r="C408" s="144">
        <f t="shared" si="203"/>
        <v>19.387</v>
      </c>
      <c r="D408" s="144">
        <f>ROUND(INDEX(持仓数据!$C$3:$AG$26,MATCH('计算过程-数据汇总'!B408,持仓数据!$B$3:$B$26,0),MATCH('计算过程-数据汇总'!A408,'维护-日期'!$B$2:$AF$2,0)),3)</f>
        <v>19.387</v>
      </c>
      <c r="E408" s="98">
        <f t="shared" si="204"/>
        <v>19.387</v>
      </c>
      <c r="F408" s="22">
        <f>持仓数据!S94</f>
        <v>0.84300000000000008</v>
      </c>
      <c r="G408" s="97">
        <v>372</v>
      </c>
      <c r="H408" s="97">
        <v>372</v>
      </c>
      <c r="I408" s="64">
        <v>0</v>
      </c>
      <c r="J408" s="64">
        <v>0</v>
      </c>
      <c r="K408" s="21">
        <f>IF(持仓数据!S127="",0,持仓数据!S127)</f>
        <v>371.99999999999994</v>
      </c>
      <c r="L408" s="21">
        <f t="shared" si="205"/>
        <v>0</v>
      </c>
      <c r="M408" s="28">
        <f t="shared" si="189"/>
        <v>7211.9639999999999</v>
      </c>
      <c r="N408" s="28">
        <f t="shared" si="190"/>
        <v>0</v>
      </c>
      <c r="O408" s="28">
        <f t="shared" si="191"/>
        <v>0</v>
      </c>
      <c r="P408" s="28">
        <f t="shared" si="192"/>
        <v>-4.7919002099661161E-14</v>
      </c>
      <c r="Q408" s="28">
        <f t="shared" si="206"/>
        <v>0</v>
      </c>
      <c r="R408" s="28">
        <f t="shared" si="193"/>
        <v>7211.963999999999</v>
      </c>
      <c r="S408" s="28">
        <f t="shared" si="207"/>
        <v>0</v>
      </c>
      <c r="T408" s="28">
        <f t="shared" si="208"/>
        <v>1.0541043593548239E-12</v>
      </c>
      <c r="U408" s="28">
        <f t="shared" si="211"/>
        <v>0</v>
      </c>
      <c r="V408" s="28">
        <f t="shared" si="209"/>
        <v>0</v>
      </c>
      <c r="W408" s="118"/>
      <c r="X408" s="143">
        <f t="shared" si="210"/>
        <v>22.420999999999999</v>
      </c>
      <c r="Y408" s="121">
        <f>交易记录!T27</f>
        <v>0.84300000000000008</v>
      </c>
      <c r="Z408" s="121">
        <f>交易记录!T58</f>
        <v>372</v>
      </c>
      <c r="AA408" s="30">
        <f t="shared" si="194"/>
        <v>0</v>
      </c>
      <c r="AB408" s="124">
        <f>交易记录!T91</f>
        <v>0</v>
      </c>
      <c r="AC408" s="124">
        <f>交易记录!T122</f>
        <v>0</v>
      </c>
      <c r="AD408" s="30">
        <f t="shared" si="183"/>
        <v>0</v>
      </c>
      <c r="AE408" s="121">
        <f>交易记录!T155</f>
        <v>0</v>
      </c>
      <c r="AF408" s="121">
        <f>交易记录!T186</f>
        <v>0</v>
      </c>
      <c r="AG408" s="30">
        <f t="shared" si="184"/>
        <v>0</v>
      </c>
      <c r="AH408" s="124">
        <f>交易记录!T219</f>
        <v>0</v>
      </c>
      <c r="AI408" s="124">
        <f>交易记录!T250</f>
        <v>0</v>
      </c>
      <c r="AJ408" s="30">
        <f t="shared" si="185"/>
        <v>0</v>
      </c>
      <c r="AK408" s="121">
        <f>交易记录!T283</f>
        <v>0</v>
      </c>
      <c r="AL408" s="121">
        <f>交易记录!T314</f>
        <v>0</v>
      </c>
      <c r="AM408" s="30">
        <f t="shared" si="186"/>
        <v>0</v>
      </c>
      <c r="AN408" s="124">
        <f>交易记录!T347</f>
        <v>0</v>
      </c>
      <c r="AO408" s="124">
        <f>交易记录!T378</f>
        <v>0</v>
      </c>
      <c r="AP408" s="30">
        <f t="shared" si="187"/>
        <v>0</v>
      </c>
      <c r="AQ408" s="121">
        <f>交易记录!T411</f>
        <v>0</v>
      </c>
      <c r="AR408" s="121">
        <f>交易记录!T442</f>
        <v>0</v>
      </c>
      <c r="AS408" s="30">
        <f t="shared" si="188"/>
        <v>0</v>
      </c>
      <c r="AT408" s="124">
        <f>交易记录!T475</f>
        <v>0</v>
      </c>
      <c r="AU408" s="124">
        <f>交易记录!T506</f>
        <v>0</v>
      </c>
      <c r="AV408" s="30">
        <f t="shared" si="195"/>
        <v>0</v>
      </c>
      <c r="AW408" s="121">
        <f>交易记录!T539</f>
        <v>0</v>
      </c>
      <c r="AX408" s="121">
        <f>交易记录!T570</f>
        <v>0</v>
      </c>
      <c r="AY408" s="30">
        <f t="shared" si="196"/>
        <v>0</v>
      </c>
      <c r="AZ408" s="124">
        <f>交易记录!T603</f>
        <v>0</v>
      </c>
      <c r="BA408" s="124">
        <f>交易记录!T634</f>
        <v>0</v>
      </c>
      <c r="BB408" s="30">
        <f t="shared" si="197"/>
        <v>0</v>
      </c>
      <c r="BC408" s="121">
        <f>交易记录!T667</f>
        <v>0</v>
      </c>
      <c r="BD408" s="121">
        <f>交易记录!T698</f>
        <v>0</v>
      </c>
      <c r="BE408" s="30">
        <f t="shared" si="198"/>
        <v>0</v>
      </c>
      <c r="BF408" s="124">
        <f>交易记录!T731</f>
        <v>0</v>
      </c>
      <c r="BG408" s="124">
        <f>交易记录!T762</f>
        <v>0</v>
      </c>
      <c r="BH408" s="30">
        <f t="shared" si="199"/>
        <v>0</v>
      </c>
      <c r="BI408" s="121">
        <f>交易记录!T795</f>
        <v>0</v>
      </c>
      <c r="BJ408" s="121">
        <f>交易记录!T826</f>
        <v>0</v>
      </c>
      <c r="BK408" s="30">
        <f t="shared" si="200"/>
        <v>0</v>
      </c>
      <c r="BL408" s="124">
        <f>交易记录!T859</f>
        <v>0</v>
      </c>
      <c r="BM408" s="124">
        <f>交易记录!T890</f>
        <v>0</v>
      </c>
      <c r="BN408" s="30">
        <f t="shared" si="201"/>
        <v>0</v>
      </c>
      <c r="BO408" s="121">
        <f>交易记录!T923</f>
        <v>0</v>
      </c>
      <c r="BP408" s="121">
        <f>交易记录!T954</f>
        <v>0</v>
      </c>
      <c r="BQ408" s="30">
        <f t="shared" si="202"/>
        <v>0</v>
      </c>
    </row>
    <row r="409" spans="1:69" ht="15">
      <c r="A409" s="125">
        <f>'维护-日期'!A$19</f>
        <v>46282</v>
      </c>
      <c r="B409" s="7" t="s">
        <v>29</v>
      </c>
      <c r="C409" s="144">
        <f t="shared" si="203"/>
        <v>16.963000000000001</v>
      </c>
      <c r="D409" s="144">
        <f>ROUND(INDEX(持仓数据!$C$3:$AG$26,MATCH('计算过程-数据汇总'!B409,持仓数据!$B$3:$B$26,0),MATCH('计算过程-数据汇总'!A409,'维护-日期'!$B$2:$AF$2,0)),3)</f>
        <v>16.963000000000001</v>
      </c>
      <c r="E409" s="98">
        <f t="shared" si="204"/>
        <v>16.963000000000001</v>
      </c>
      <c r="F409" s="22">
        <f>持仓数据!S95</f>
        <v>0.33299999999999996</v>
      </c>
      <c r="G409" s="97">
        <v>372</v>
      </c>
      <c r="H409" s="97">
        <v>372</v>
      </c>
      <c r="I409" s="64">
        <v>0</v>
      </c>
      <c r="J409" s="64">
        <v>0</v>
      </c>
      <c r="K409" s="21">
        <f>IF(持仓数据!S128="",0,持仓数据!S128)</f>
        <v>372</v>
      </c>
      <c r="L409" s="21">
        <f t="shared" si="205"/>
        <v>0</v>
      </c>
      <c r="M409" s="28">
        <f t="shared" si="189"/>
        <v>6310.2360000000008</v>
      </c>
      <c r="N409" s="28">
        <f t="shared" si="190"/>
        <v>0</v>
      </c>
      <c r="O409" s="28">
        <f t="shared" si="191"/>
        <v>0</v>
      </c>
      <c r="P409" s="28">
        <f t="shared" si="192"/>
        <v>0</v>
      </c>
      <c r="Q409" s="28">
        <f t="shared" si="206"/>
        <v>0</v>
      </c>
      <c r="R409" s="28">
        <f t="shared" si="193"/>
        <v>6310.2360000000008</v>
      </c>
      <c r="S409" s="28">
        <f t="shared" si="207"/>
        <v>0</v>
      </c>
      <c r="T409" s="28">
        <f t="shared" si="208"/>
        <v>0</v>
      </c>
      <c r="U409" s="28">
        <f t="shared" si="211"/>
        <v>0</v>
      </c>
      <c r="V409" s="28">
        <f t="shared" si="209"/>
        <v>0</v>
      </c>
      <c r="W409" s="118"/>
      <c r="X409" s="143">
        <f t="shared" si="210"/>
        <v>20.023</v>
      </c>
      <c r="Y409" s="121">
        <f>交易记录!T28</f>
        <v>0.33299999999999996</v>
      </c>
      <c r="Z409" s="121">
        <f>交易记录!T59</f>
        <v>372</v>
      </c>
      <c r="AA409" s="30">
        <f t="shared" si="194"/>
        <v>0</v>
      </c>
      <c r="AB409" s="124">
        <f>交易记录!T92</f>
        <v>0</v>
      </c>
      <c r="AC409" s="124">
        <f>交易记录!T123</f>
        <v>0</v>
      </c>
      <c r="AD409" s="30">
        <f t="shared" si="183"/>
        <v>0</v>
      </c>
      <c r="AE409" s="121">
        <f>交易记录!T156</f>
        <v>0</v>
      </c>
      <c r="AF409" s="121">
        <f>交易记录!T187</f>
        <v>0</v>
      </c>
      <c r="AG409" s="30">
        <f t="shared" si="184"/>
        <v>0</v>
      </c>
      <c r="AH409" s="124">
        <f>交易记录!T220</f>
        <v>0</v>
      </c>
      <c r="AI409" s="124">
        <f>交易记录!T251</f>
        <v>0</v>
      </c>
      <c r="AJ409" s="30">
        <f t="shared" si="185"/>
        <v>0</v>
      </c>
      <c r="AK409" s="121">
        <f>交易记录!T284</f>
        <v>0</v>
      </c>
      <c r="AL409" s="121">
        <f>交易记录!T315</f>
        <v>0</v>
      </c>
      <c r="AM409" s="30">
        <f t="shared" si="186"/>
        <v>0</v>
      </c>
      <c r="AN409" s="124">
        <f>交易记录!T348</f>
        <v>0</v>
      </c>
      <c r="AO409" s="124">
        <f>交易记录!T379</f>
        <v>0</v>
      </c>
      <c r="AP409" s="30">
        <f t="shared" si="187"/>
        <v>0</v>
      </c>
      <c r="AQ409" s="121">
        <f>交易记录!T412</f>
        <v>0</v>
      </c>
      <c r="AR409" s="121">
        <f>交易记录!T443</f>
        <v>0</v>
      </c>
      <c r="AS409" s="30">
        <f t="shared" si="188"/>
        <v>0</v>
      </c>
      <c r="AT409" s="124">
        <f>交易记录!T476</f>
        <v>0</v>
      </c>
      <c r="AU409" s="124">
        <f>交易记录!T507</f>
        <v>0</v>
      </c>
      <c r="AV409" s="30">
        <f t="shared" si="195"/>
        <v>0</v>
      </c>
      <c r="AW409" s="121">
        <f>交易记录!T540</f>
        <v>0</v>
      </c>
      <c r="AX409" s="121">
        <f>交易记录!T571</f>
        <v>0</v>
      </c>
      <c r="AY409" s="30">
        <f t="shared" si="196"/>
        <v>0</v>
      </c>
      <c r="AZ409" s="124">
        <f>交易记录!T604</f>
        <v>0</v>
      </c>
      <c r="BA409" s="124">
        <f>交易记录!T635</f>
        <v>0</v>
      </c>
      <c r="BB409" s="30">
        <f t="shared" si="197"/>
        <v>0</v>
      </c>
      <c r="BC409" s="121">
        <f>交易记录!T668</f>
        <v>0</v>
      </c>
      <c r="BD409" s="121">
        <f>交易记录!T699</f>
        <v>0</v>
      </c>
      <c r="BE409" s="30">
        <f t="shared" si="198"/>
        <v>0</v>
      </c>
      <c r="BF409" s="124">
        <f>交易记录!T732</f>
        <v>0</v>
      </c>
      <c r="BG409" s="124">
        <f>交易记录!T763</f>
        <v>0</v>
      </c>
      <c r="BH409" s="30">
        <f t="shared" si="199"/>
        <v>0</v>
      </c>
      <c r="BI409" s="121">
        <f>交易记录!T796</f>
        <v>0</v>
      </c>
      <c r="BJ409" s="121">
        <f>交易记录!T827</f>
        <v>0</v>
      </c>
      <c r="BK409" s="30">
        <f t="shared" si="200"/>
        <v>0</v>
      </c>
      <c r="BL409" s="124">
        <f>交易记录!T860</f>
        <v>0</v>
      </c>
      <c r="BM409" s="124">
        <f>交易记录!T891</f>
        <v>0</v>
      </c>
      <c r="BN409" s="30">
        <f t="shared" si="201"/>
        <v>0</v>
      </c>
      <c r="BO409" s="121">
        <f>交易记录!T924</f>
        <v>0</v>
      </c>
      <c r="BP409" s="121">
        <f>交易记录!T955</f>
        <v>0</v>
      </c>
      <c r="BQ409" s="30">
        <f t="shared" si="202"/>
        <v>0</v>
      </c>
    </row>
    <row r="410" spans="1:69" ht="15">
      <c r="A410" s="125">
        <f>'维护-日期'!A$20</f>
        <v>46283</v>
      </c>
      <c r="B410" s="7" t="s">
        <v>6</v>
      </c>
      <c r="C410" s="144">
        <f t="shared" si="203"/>
        <v>16.655999999999999</v>
      </c>
      <c r="D410" s="144">
        <f>ROUND(INDEX(持仓数据!$C$3:$AG$26,MATCH('计算过程-数据汇总'!B410,持仓数据!$B$3:$B$26,0),MATCH('计算过程-数据汇总'!A410,'维护-日期'!$B$2:$AF$2,0)),3)</f>
        <v>16.655999999999999</v>
      </c>
      <c r="E410" s="98">
        <f t="shared" si="204"/>
        <v>16.655999999999999</v>
      </c>
      <c r="F410" s="22">
        <f>持仓数据!T72</f>
        <v>0.39700000000000002</v>
      </c>
      <c r="G410" s="97">
        <v>372</v>
      </c>
      <c r="H410" s="97">
        <v>372</v>
      </c>
      <c r="I410" s="64">
        <v>0</v>
      </c>
      <c r="J410" s="64">
        <v>0</v>
      </c>
      <c r="K410" s="21">
        <f>IF(持仓数据!T105="",0,持仓数据!T105)</f>
        <v>372</v>
      </c>
      <c r="L410" s="21">
        <f t="shared" si="205"/>
        <v>0</v>
      </c>
      <c r="M410" s="28">
        <f t="shared" si="189"/>
        <v>6196.0319999999992</v>
      </c>
      <c r="N410" s="28">
        <f t="shared" si="190"/>
        <v>0</v>
      </c>
      <c r="O410" s="28">
        <f t="shared" si="191"/>
        <v>0</v>
      </c>
      <c r="P410" s="28">
        <f t="shared" si="192"/>
        <v>0</v>
      </c>
      <c r="Q410" s="28">
        <f t="shared" si="206"/>
        <v>0</v>
      </c>
      <c r="R410" s="28">
        <f t="shared" si="193"/>
        <v>6196.0319999999992</v>
      </c>
      <c r="S410" s="28">
        <f t="shared" si="207"/>
        <v>0</v>
      </c>
      <c r="T410" s="28">
        <f t="shared" si="208"/>
        <v>0</v>
      </c>
      <c r="U410" s="28">
        <f t="shared" si="211"/>
        <v>0</v>
      </c>
      <c r="V410" s="28">
        <f t="shared" si="209"/>
        <v>0</v>
      </c>
      <c r="W410" s="118"/>
      <c r="X410" s="143">
        <f t="shared" si="210"/>
        <v>19.59</v>
      </c>
      <c r="Y410" s="121">
        <f>交易记录!U5</f>
        <v>0.39700000000000002</v>
      </c>
      <c r="Z410" s="121">
        <f>交易记录!U36</f>
        <v>372</v>
      </c>
      <c r="AA410" s="30">
        <f t="shared" si="194"/>
        <v>0</v>
      </c>
      <c r="AB410" s="124">
        <f>交易记录!U69</f>
        <v>0</v>
      </c>
      <c r="AC410" s="124">
        <f>交易记录!U100</f>
        <v>0</v>
      </c>
      <c r="AD410" s="30">
        <f t="shared" si="183"/>
        <v>0</v>
      </c>
      <c r="AE410" s="121">
        <f>交易记录!U133</f>
        <v>0</v>
      </c>
      <c r="AF410" s="121">
        <f>交易记录!U164</f>
        <v>0</v>
      </c>
      <c r="AG410" s="30">
        <f t="shared" si="184"/>
        <v>0</v>
      </c>
      <c r="AH410" s="124">
        <f>交易记录!U197</f>
        <v>0</v>
      </c>
      <c r="AI410" s="124">
        <f>交易记录!U228</f>
        <v>0</v>
      </c>
      <c r="AJ410" s="30">
        <f t="shared" si="185"/>
        <v>0</v>
      </c>
      <c r="AK410" s="121">
        <f>交易记录!U261</f>
        <v>0</v>
      </c>
      <c r="AL410" s="121">
        <f>交易记录!U292</f>
        <v>0</v>
      </c>
      <c r="AM410" s="30">
        <f t="shared" si="186"/>
        <v>0</v>
      </c>
      <c r="AN410" s="124">
        <f>交易记录!U325</f>
        <v>0</v>
      </c>
      <c r="AO410" s="124">
        <f>交易记录!U356</f>
        <v>0</v>
      </c>
      <c r="AP410" s="30">
        <f t="shared" si="187"/>
        <v>0</v>
      </c>
      <c r="AQ410" s="121">
        <f>交易记录!U389</f>
        <v>0</v>
      </c>
      <c r="AR410" s="121">
        <f>交易记录!U420</f>
        <v>0</v>
      </c>
      <c r="AS410" s="30">
        <f t="shared" si="188"/>
        <v>0</v>
      </c>
      <c r="AT410" s="124">
        <f>交易记录!U453</f>
        <v>0</v>
      </c>
      <c r="AU410" s="124">
        <f>交易记录!U484</f>
        <v>0</v>
      </c>
      <c r="AV410" s="30">
        <f t="shared" si="195"/>
        <v>0</v>
      </c>
      <c r="AW410" s="121">
        <f>交易记录!U517</f>
        <v>0</v>
      </c>
      <c r="AX410" s="121">
        <f>交易记录!U548</f>
        <v>0</v>
      </c>
      <c r="AY410" s="30">
        <f t="shared" si="196"/>
        <v>0</v>
      </c>
      <c r="AZ410" s="124">
        <f>交易记录!U581</f>
        <v>0</v>
      </c>
      <c r="BA410" s="124">
        <f>交易记录!U612</f>
        <v>0</v>
      </c>
      <c r="BB410" s="30">
        <f t="shared" si="197"/>
        <v>0</v>
      </c>
      <c r="BC410" s="121">
        <f>交易记录!U645</f>
        <v>0</v>
      </c>
      <c r="BD410" s="121">
        <f>交易记录!U676</f>
        <v>0</v>
      </c>
      <c r="BE410" s="30">
        <f t="shared" si="198"/>
        <v>0</v>
      </c>
      <c r="BF410" s="124">
        <f>交易记录!U709</f>
        <v>0</v>
      </c>
      <c r="BG410" s="124">
        <f>交易记录!U740</f>
        <v>0</v>
      </c>
      <c r="BH410" s="30">
        <f t="shared" si="199"/>
        <v>0</v>
      </c>
      <c r="BI410" s="121">
        <f>交易记录!U773</f>
        <v>0</v>
      </c>
      <c r="BJ410" s="121">
        <f>交易记录!U804</f>
        <v>0</v>
      </c>
      <c r="BK410" s="30">
        <f t="shared" si="200"/>
        <v>0</v>
      </c>
      <c r="BL410" s="124">
        <f>交易记录!U837</f>
        <v>0</v>
      </c>
      <c r="BM410" s="124">
        <f>交易记录!U868</f>
        <v>0</v>
      </c>
      <c r="BN410" s="30">
        <f t="shared" si="201"/>
        <v>0</v>
      </c>
      <c r="BO410" s="121">
        <f>交易记录!U901</f>
        <v>0</v>
      </c>
      <c r="BP410" s="121">
        <f>交易记录!U932</f>
        <v>0</v>
      </c>
      <c r="BQ410" s="30">
        <f t="shared" si="202"/>
        <v>0</v>
      </c>
    </row>
    <row r="411" spans="1:69" ht="15">
      <c r="A411" s="125">
        <f>'维护-日期'!A$20</f>
        <v>46283</v>
      </c>
      <c r="B411" s="7" t="s">
        <v>7</v>
      </c>
      <c r="C411" s="144">
        <f t="shared" si="203"/>
        <v>15.792</v>
      </c>
      <c r="D411" s="144">
        <f>ROUND(INDEX(持仓数据!$C$3:$AG$26,MATCH('计算过程-数据汇总'!B411,持仓数据!$B$3:$B$26,0),MATCH('计算过程-数据汇总'!A411,'维护-日期'!$B$2:$AF$2,0)),3)</f>
        <v>15.792</v>
      </c>
      <c r="E411" s="98">
        <f t="shared" si="204"/>
        <v>15.792</v>
      </c>
      <c r="F411" s="22">
        <f>持仓数据!T73</f>
        <v>0.26500000000000001</v>
      </c>
      <c r="G411" s="97">
        <v>372</v>
      </c>
      <c r="H411" s="97">
        <v>372</v>
      </c>
      <c r="I411" s="64">
        <v>0</v>
      </c>
      <c r="J411" s="64">
        <v>0</v>
      </c>
      <c r="K411" s="21">
        <f>IF(持仓数据!T106="",0,持仓数据!T106)</f>
        <v>372</v>
      </c>
      <c r="L411" s="21">
        <f t="shared" si="205"/>
        <v>0</v>
      </c>
      <c r="M411" s="28">
        <f t="shared" si="189"/>
        <v>5874.6239999999998</v>
      </c>
      <c r="N411" s="28">
        <f t="shared" si="190"/>
        <v>0</v>
      </c>
      <c r="O411" s="28">
        <f t="shared" si="191"/>
        <v>0</v>
      </c>
      <c r="P411" s="28">
        <f t="shared" si="192"/>
        <v>0</v>
      </c>
      <c r="Q411" s="28">
        <f t="shared" si="206"/>
        <v>0</v>
      </c>
      <c r="R411" s="28">
        <f t="shared" si="193"/>
        <v>5874.6239999999998</v>
      </c>
      <c r="S411" s="28">
        <f t="shared" si="207"/>
        <v>0</v>
      </c>
      <c r="T411" s="28">
        <f t="shared" si="208"/>
        <v>0</v>
      </c>
      <c r="U411" s="28">
        <f t="shared" si="211"/>
        <v>0</v>
      </c>
      <c r="V411" s="28">
        <f t="shared" si="209"/>
        <v>0</v>
      </c>
      <c r="W411" s="118"/>
      <c r="X411" s="143">
        <f t="shared" si="210"/>
        <v>18.684999999999999</v>
      </c>
      <c r="Y411" s="121">
        <f>交易记录!U6</f>
        <v>0.26500000000000001</v>
      </c>
      <c r="Z411" s="121">
        <f>交易记录!U37</f>
        <v>372</v>
      </c>
      <c r="AA411" s="30">
        <f t="shared" si="194"/>
        <v>0</v>
      </c>
      <c r="AB411" s="124">
        <f>交易记录!U70</f>
        <v>0</v>
      </c>
      <c r="AC411" s="124">
        <f>交易记录!U101</f>
        <v>0</v>
      </c>
      <c r="AD411" s="30">
        <f t="shared" ref="AD411:AD474" si="212">IFERROR((AC411-$G411)*AB411,0)</f>
        <v>0</v>
      </c>
      <c r="AE411" s="121">
        <f>交易记录!U134</f>
        <v>0</v>
      </c>
      <c r="AF411" s="121">
        <f>交易记录!U165</f>
        <v>0</v>
      </c>
      <c r="AG411" s="30">
        <f t="shared" ref="AG411:AG474" si="213">IFERROR((AF411-$G411)*AE411,0)</f>
        <v>0</v>
      </c>
      <c r="AH411" s="124">
        <f>交易记录!U198</f>
        <v>0</v>
      </c>
      <c r="AI411" s="124">
        <f>交易记录!U229</f>
        <v>0</v>
      </c>
      <c r="AJ411" s="30">
        <f t="shared" ref="AJ411:AJ474" si="214">IFERROR((AI411-$G411)*AH411,0)</f>
        <v>0</v>
      </c>
      <c r="AK411" s="121">
        <f>交易记录!U262</f>
        <v>0</v>
      </c>
      <c r="AL411" s="121">
        <f>交易记录!U293</f>
        <v>0</v>
      </c>
      <c r="AM411" s="30">
        <f t="shared" ref="AM411:AM474" si="215">IFERROR((AL411-$G411)*AK411,0)</f>
        <v>0</v>
      </c>
      <c r="AN411" s="124">
        <f>交易记录!U326</f>
        <v>0</v>
      </c>
      <c r="AO411" s="124">
        <f>交易记录!U357</f>
        <v>0</v>
      </c>
      <c r="AP411" s="30">
        <f t="shared" ref="AP411:AP474" si="216">IFERROR((AO411-$G411)*AN411,0)</f>
        <v>0</v>
      </c>
      <c r="AQ411" s="121">
        <f>交易记录!U390</f>
        <v>0</v>
      </c>
      <c r="AR411" s="121">
        <f>交易记录!U421</f>
        <v>0</v>
      </c>
      <c r="AS411" s="30">
        <f t="shared" ref="AS411:AS474" si="217">IFERROR((AR411-$G411)*AQ411,0)</f>
        <v>0</v>
      </c>
      <c r="AT411" s="124">
        <f>交易记录!U454</f>
        <v>0</v>
      </c>
      <c r="AU411" s="124">
        <f>交易记录!U485</f>
        <v>0</v>
      </c>
      <c r="AV411" s="30">
        <f t="shared" si="195"/>
        <v>0</v>
      </c>
      <c r="AW411" s="121">
        <f>交易记录!U518</f>
        <v>0</v>
      </c>
      <c r="AX411" s="121">
        <f>交易记录!U549</f>
        <v>0</v>
      </c>
      <c r="AY411" s="30">
        <f t="shared" si="196"/>
        <v>0</v>
      </c>
      <c r="AZ411" s="124">
        <f>交易记录!U582</f>
        <v>0</v>
      </c>
      <c r="BA411" s="124">
        <f>交易记录!U613</f>
        <v>0</v>
      </c>
      <c r="BB411" s="30">
        <f t="shared" si="197"/>
        <v>0</v>
      </c>
      <c r="BC411" s="121">
        <f>交易记录!U646</f>
        <v>0</v>
      </c>
      <c r="BD411" s="121">
        <f>交易记录!U677</f>
        <v>0</v>
      </c>
      <c r="BE411" s="30">
        <f t="shared" si="198"/>
        <v>0</v>
      </c>
      <c r="BF411" s="124">
        <f>交易记录!U710</f>
        <v>0</v>
      </c>
      <c r="BG411" s="124">
        <f>交易记录!U741</f>
        <v>0</v>
      </c>
      <c r="BH411" s="30">
        <f t="shared" si="199"/>
        <v>0</v>
      </c>
      <c r="BI411" s="121">
        <f>交易记录!U774</f>
        <v>0</v>
      </c>
      <c r="BJ411" s="121">
        <f>交易记录!U805</f>
        <v>0</v>
      </c>
      <c r="BK411" s="30">
        <f t="shared" si="200"/>
        <v>0</v>
      </c>
      <c r="BL411" s="124">
        <f>交易记录!U838</f>
        <v>0</v>
      </c>
      <c r="BM411" s="124">
        <f>交易记录!U869</f>
        <v>0</v>
      </c>
      <c r="BN411" s="30">
        <f t="shared" si="201"/>
        <v>0</v>
      </c>
      <c r="BO411" s="121">
        <f>交易记录!U902</f>
        <v>0</v>
      </c>
      <c r="BP411" s="121">
        <f>交易记录!U933</f>
        <v>0</v>
      </c>
      <c r="BQ411" s="30">
        <f t="shared" si="202"/>
        <v>0</v>
      </c>
    </row>
    <row r="412" spans="1:69" ht="15">
      <c r="A412" s="125">
        <f>'维护-日期'!A$20</f>
        <v>46283</v>
      </c>
      <c r="B412" s="7" t="s">
        <v>8</v>
      </c>
      <c r="C412" s="144">
        <f t="shared" si="203"/>
        <v>14.821999999999999</v>
      </c>
      <c r="D412" s="144">
        <f>ROUND(INDEX(持仓数据!$C$3:$AG$26,MATCH('计算过程-数据汇总'!B412,持仓数据!$B$3:$B$26,0),MATCH('计算过程-数据汇总'!A412,'维护-日期'!$B$2:$AF$2,0)),3)</f>
        <v>14.821999999999999</v>
      </c>
      <c r="E412" s="98">
        <f t="shared" si="204"/>
        <v>14.821999999999999</v>
      </c>
      <c r="F412" s="22">
        <f>持仓数据!T74</f>
        <v>0.24199999999999999</v>
      </c>
      <c r="G412" s="97">
        <v>372</v>
      </c>
      <c r="H412" s="97">
        <v>372</v>
      </c>
      <c r="I412" s="64">
        <v>0</v>
      </c>
      <c r="J412" s="64">
        <v>0</v>
      </c>
      <c r="K412" s="21">
        <f>IF(持仓数据!T107="",0,持仓数据!T107)</f>
        <v>372</v>
      </c>
      <c r="L412" s="21">
        <f t="shared" si="205"/>
        <v>0</v>
      </c>
      <c r="M412" s="28">
        <f t="shared" si="189"/>
        <v>5513.7839999999997</v>
      </c>
      <c r="N412" s="28">
        <f t="shared" si="190"/>
        <v>0</v>
      </c>
      <c r="O412" s="28">
        <f t="shared" si="191"/>
        <v>0</v>
      </c>
      <c r="P412" s="28">
        <f t="shared" si="192"/>
        <v>0</v>
      </c>
      <c r="Q412" s="28">
        <f t="shared" si="206"/>
        <v>0</v>
      </c>
      <c r="R412" s="28">
        <f t="shared" si="193"/>
        <v>5513.7839999999997</v>
      </c>
      <c r="S412" s="28">
        <f t="shared" si="207"/>
        <v>0</v>
      </c>
      <c r="T412" s="28">
        <f t="shared" si="208"/>
        <v>0</v>
      </c>
      <c r="U412" s="28">
        <f t="shared" si="211"/>
        <v>0</v>
      </c>
      <c r="V412" s="28">
        <f t="shared" si="209"/>
        <v>0</v>
      </c>
      <c r="W412" s="118"/>
      <c r="X412" s="143">
        <f t="shared" si="210"/>
        <v>17.544</v>
      </c>
      <c r="Y412" s="121">
        <f>交易记录!U7</f>
        <v>0.24199999999999999</v>
      </c>
      <c r="Z412" s="121">
        <f>交易记录!U38</f>
        <v>372</v>
      </c>
      <c r="AA412" s="30">
        <f t="shared" si="194"/>
        <v>0</v>
      </c>
      <c r="AB412" s="124">
        <f>交易记录!U71</f>
        <v>0</v>
      </c>
      <c r="AC412" s="124">
        <f>交易记录!U102</f>
        <v>0</v>
      </c>
      <c r="AD412" s="30">
        <f t="shared" si="212"/>
        <v>0</v>
      </c>
      <c r="AE412" s="121">
        <f>交易记录!U135</f>
        <v>0</v>
      </c>
      <c r="AF412" s="121">
        <f>交易记录!U166</f>
        <v>0</v>
      </c>
      <c r="AG412" s="30">
        <f t="shared" si="213"/>
        <v>0</v>
      </c>
      <c r="AH412" s="124">
        <f>交易记录!U199</f>
        <v>0</v>
      </c>
      <c r="AI412" s="124">
        <f>交易记录!U230</f>
        <v>0</v>
      </c>
      <c r="AJ412" s="30">
        <f t="shared" si="214"/>
        <v>0</v>
      </c>
      <c r="AK412" s="121">
        <f>交易记录!U263</f>
        <v>0</v>
      </c>
      <c r="AL412" s="121">
        <f>交易记录!U294</f>
        <v>0</v>
      </c>
      <c r="AM412" s="30">
        <f t="shared" si="215"/>
        <v>0</v>
      </c>
      <c r="AN412" s="124">
        <f>交易记录!U327</f>
        <v>0</v>
      </c>
      <c r="AO412" s="124">
        <f>交易记录!U358</f>
        <v>0</v>
      </c>
      <c r="AP412" s="30">
        <f t="shared" si="216"/>
        <v>0</v>
      </c>
      <c r="AQ412" s="121">
        <f>交易记录!U391</f>
        <v>0</v>
      </c>
      <c r="AR412" s="121">
        <f>交易记录!U422</f>
        <v>0</v>
      </c>
      <c r="AS412" s="30">
        <f t="shared" si="217"/>
        <v>0</v>
      </c>
      <c r="AT412" s="124">
        <f>交易记录!U455</f>
        <v>0</v>
      </c>
      <c r="AU412" s="124">
        <f>交易记录!U486</f>
        <v>0</v>
      </c>
      <c r="AV412" s="30">
        <f t="shared" si="195"/>
        <v>0</v>
      </c>
      <c r="AW412" s="121">
        <f>交易记录!U519</f>
        <v>0</v>
      </c>
      <c r="AX412" s="121">
        <f>交易记录!U550</f>
        <v>0</v>
      </c>
      <c r="AY412" s="30">
        <f t="shared" si="196"/>
        <v>0</v>
      </c>
      <c r="AZ412" s="124">
        <f>交易记录!U583</f>
        <v>0</v>
      </c>
      <c r="BA412" s="124">
        <f>交易记录!U614</f>
        <v>0</v>
      </c>
      <c r="BB412" s="30">
        <f t="shared" si="197"/>
        <v>0</v>
      </c>
      <c r="BC412" s="121">
        <f>交易记录!U647</f>
        <v>0</v>
      </c>
      <c r="BD412" s="121">
        <f>交易记录!U678</f>
        <v>0</v>
      </c>
      <c r="BE412" s="30">
        <f t="shared" si="198"/>
        <v>0</v>
      </c>
      <c r="BF412" s="124">
        <f>交易记录!U711</f>
        <v>0</v>
      </c>
      <c r="BG412" s="124">
        <f>交易记录!U742</f>
        <v>0</v>
      </c>
      <c r="BH412" s="30">
        <f t="shared" si="199"/>
        <v>0</v>
      </c>
      <c r="BI412" s="121">
        <f>交易记录!U775</f>
        <v>0</v>
      </c>
      <c r="BJ412" s="121">
        <f>交易记录!U806</f>
        <v>0</v>
      </c>
      <c r="BK412" s="30">
        <f t="shared" si="200"/>
        <v>0</v>
      </c>
      <c r="BL412" s="124">
        <f>交易记录!U839</f>
        <v>0</v>
      </c>
      <c r="BM412" s="124">
        <f>交易记录!U870</f>
        <v>0</v>
      </c>
      <c r="BN412" s="30">
        <f t="shared" si="201"/>
        <v>0</v>
      </c>
      <c r="BO412" s="121">
        <f>交易记录!U903</f>
        <v>0</v>
      </c>
      <c r="BP412" s="121">
        <f>交易记录!U934</f>
        <v>0</v>
      </c>
      <c r="BQ412" s="30">
        <f t="shared" si="202"/>
        <v>0</v>
      </c>
    </row>
    <row r="413" spans="1:69" ht="15">
      <c r="A413" s="125">
        <f>'维护-日期'!A$20</f>
        <v>46283</v>
      </c>
      <c r="B413" s="7" t="s">
        <v>9</v>
      </c>
      <c r="C413" s="144">
        <f t="shared" si="203"/>
        <v>13.817</v>
      </c>
      <c r="D413" s="144">
        <f>ROUND(INDEX(持仓数据!$C$3:$AG$26,MATCH('计算过程-数据汇总'!B413,持仓数据!$B$3:$B$26,0),MATCH('计算过程-数据汇总'!A413,'维护-日期'!$B$2:$AF$2,0)),3)</f>
        <v>13.817</v>
      </c>
      <c r="E413" s="98">
        <f t="shared" si="204"/>
        <v>13.817</v>
      </c>
      <c r="F413" s="22">
        <f>持仓数据!T75</f>
        <v>0.09</v>
      </c>
      <c r="G413" s="97">
        <v>372</v>
      </c>
      <c r="H413" s="97">
        <v>372</v>
      </c>
      <c r="I413" s="64">
        <v>0</v>
      </c>
      <c r="J413" s="64">
        <v>0</v>
      </c>
      <c r="K413" s="21">
        <f>IF(持仓数据!T108="",0,持仓数据!T108)</f>
        <v>372</v>
      </c>
      <c r="L413" s="21">
        <f t="shared" si="205"/>
        <v>0</v>
      </c>
      <c r="M413" s="28">
        <f t="shared" si="189"/>
        <v>5139.924</v>
      </c>
      <c r="N413" s="28">
        <f t="shared" si="190"/>
        <v>0</v>
      </c>
      <c r="O413" s="28">
        <f t="shared" si="191"/>
        <v>0</v>
      </c>
      <c r="P413" s="28">
        <f t="shared" si="192"/>
        <v>0</v>
      </c>
      <c r="Q413" s="28">
        <f t="shared" si="206"/>
        <v>0</v>
      </c>
      <c r="R413" s="28">
        <f t="shared" si="193"/>
        <v>5139.924</v>
      </c>
      <c r="S413" s="28">
        <f t="shared" si="207"/>
        <v>0</v>
      </c>
      <c r="T413" s="28">
        <f t="shared" si="208"/>
        <v>0</v>
      </c>
      <c r="U413" s="28">
        <f t="shared" si="211"/>
        <v>0</v>
      </c>
      <c r="V413" s="28">
        <f t="shared" si="209"/>
        <v>0</v>
      </c>
      <c r="W413" s="118"/>
      <c r="X413" s="143">
        <f t="shared" si="210"/>
        <v>16.489999999999998</v>
      </c>
      <c r="Y413" s="121">
        <f>交易记录!U8</f>
        <v>0.09</v>
      </c>
      <c r="Z413" s="121">
        <f>交易记录!U39</f>
        <v>372</v>
      </c>
      <c r="AA413" s="30">
        <f t="shared" si="194"/>
        <v>0</v>
      </c>
      <c r="AB413" s="124">
        <f>交易记录!U72</f>
        <v>0</v>
      </c>
      <c r="AC413" s="124">
        <f>交易记录!U103</f>
        <v>0</v>
      </c>
      <c r="AD413" s="30">
        <f t="shared" si="212"/>
        <v>0</v>
      </c>
      <c r="AE413" s="121">
        <f>交易记录!U136</f>
        <v>0</v>
      </c>
      <c r="AF413" s="121">
        <f>交易记录!U167</f>
        <v>0</v>
      </c>
      <c r="AG413" s="30">
        <f t="shared" si="213"/>
        <v>0</v>
      </c>
      <c r="AH413" s="124">
        <f>交易记录!U200</f>
        <v>0</v>
      </c>
      <c r="AI413" s="124">
        <f>交易记录!U231</f>
        <v>0</v>
      </c>
      <c r="AJ413" s="30">
        <f t="shared" si="214"/>
        <v>0</v>
      </c>
      <c r="AK413" s="121">
        <f>交易记录!U264</f>
        <v>0</v>
      </c>
      <c r="AL413" s="121">
        <f>交易记录!U295</f>
        <v>0</v>
      </c>
      <c r="AM413" s="30">
        <f t="shared" si="215"/>
        <v>0</v>
      </c>
      <c r="AN413" s="124">
        <f>交易记录!U328</f>
        <v>0</v>
      </c>
      <c r="AO413" s="124">
        <f>交易记录!U359</f>
        <v>0</v>
      </c>
      <c r="AP413" s="30">
        <f t="shared" si="216"/>
        <v>0</v>
      </c>
      <c r="AQ413" s="121">
        <f>交易记录!U392</f>
        <v>0</v>
      </c>
      <c r="AR413" s="121">
        <f>交易记录!U423</f>
        <v>0</v>
      </c>
      <c r="AS413" s="30">
        <f t="shared" si="217"/>
        <v>0</v>
      </c>
      <c r="AT413" s="124">
        <f>交易记录!U456</f>
        <v>0</v>
      </c>
      <c r="AU413" s="124">
        <f>交易记录!U487</f>
        <v>0</v>
      </c>
      <c r="AV413" s="30">
        <f t="shared" si="195"/>
        <v>0</v>
      </c>
      <c r="AW413" s="121">
        <f>交易记录!U520</f>
        <v>0</v>
      </c>
      <c r="AX413" s="121">
        <f>交易记录!U551</f>
        <v>0</v>
      </c>
      <c r="AY413" s="30">
        <f t="shared" si="196"/>
        <v>0</v>
      </c>
      <c r="AZ413" s="124">
        <f>交易记录!U584</f>
        <v>0</v>
      </c>
      <c r="BA413" s="124">
        <f>交易记录!U615</f>
        <v>0</v>
      </c>
      <c r="BB413" s="30">
        <f t="shared" si="197"/>
        <v>0</v>
      </c>
      <c r="BC413" s="121">
        <f>交易记录!U648</f>
        <v>0</v>
      </c>
      <c r="BD413" s="121">
        <f>交易记录!U679</f>
        <v>0</v>
      </c>
      <c r="BE413" s="30">
        <f t="shared" si="198"/>
        <v>0</v>
      </c>
      <c r="BF413" s="124">
        <f>交易记录!U712</f>
        <v>0</v>
      </c>
      <c r="BG413" s="124">
        <f>交易记录!U743</f>
        <v>0</v>
      </c>
      <c r="BH413" s="30">
        <f t="shared" si="199"/>
        <v>0</v>
      </c>
      <c r="BI413" s="121">
        <f>交易记录!U776</f>
        <v>0</v>
      </c>
      <c r="BJ413" s="121">
        <f>交易记录!U807</f>
        <v>0</v>
      </c>
      <c r="BK413" s="30">
        <f t="shared" si="200"/>
        <v>0</v>
      </c>
      <c r="BL413" s="124">
        <f>交易记录!U840</f>
        <v>0</v>
      </c>
      <c r="BM413" s="124">
        <f>交易记录!U871</f>
        <v>0</v>
      </c>
      <c r="BN413" s="30">
        <f t="shared" si="201"/>
        <v>0</v>
      </c>
      <c r="BO413" s="121">
        <f>交易记录!U904</f>
        <v>0</v>
      </c>
      <c r="BP413" s="121">
        <f>交易记录!U935</f>
        <v>0</v>
      </c>
      <c r="BQ413" s="30">
        <f t="shared" si="202"/>
        <v>0</v>
      </c>
    </row>
    <row r="414" spans="1:69" ht="15">
      <c r="A414" s="125">
        <f>'维护-日期'!A$20</f>
        <v>46283</v>
      </c>
      <c r="B414" s="7" t="s">
        <v>10</v>
      </c>
      <c r="C414" s="144">
        <f t="shared" si="203"/>
        <v>13.388</v>
      </c>
      <c r="D414" s="144">
        <f>ROUND(INDEX(持仓数据!$C$3:$AG$26,MATCH('计算过程-数据汇总'!B414,持仓数据!$B$3:$B$26,0),MATCH('计算过程-数据汇总'!A414,'维护-日期'!$B$2:$AF$2,0)),3)</f>
        <v>13.388</v>
      </c>
      <c r="E414" s="98">
        <f t="shared" si="204"/>
        <v>13.388</v>
      </c>
      <c r="F414" s="22">
        <f>持仓数据!T76</f>
        <v>8.6999999999999994E-2</v>
      </c>
      <c r="G414" s="97">
        <v>372</v>
      </c>
      <c r="H414" s="97">
        <v>372</v>
      </c>
      <c r="I414" s="64">
        <v>0</v>
      </c>
      <c r="J414" s="64">
        <v>0</v>
      </c>
      <c r="K414" s="21">
        <f>IF(持仓数据!T109="",0,持仓数据!T109)</f>
        <v>372</v>
      </c>
      <c r="L414" s="21">
        <f t="shared" si="205"/>
        <v>0</v>
      </c>
      <c r="M414" s="28">
        <f t="shared" si="189"/>
        <v>4980.3360000000002</v>
      </c>
      <c r="N414" s="28">
        <f t="shared" si="190"/>
        <v>0</v>
      </c>
      <c r="O414" s="28">
        <f t="shared" si="191"/>
        <v>0</v>
      </c>
      <c r="P414" s="28">
        <f t="shared" si="192"/>
        <v>0</v>
      </c>
      <c r="Q414" s="28">
        <f t="shared" si="206"/>
        <v>0</v>
      </c>
      <c r="R414" s="28">
        <f t="shared" si="193"/>
        <v>4980.3360000000002</v>
      </c>
      <c r="S414" s="28">
        <f t="shared" si="207"/>
        <v>0</v>
      </c>
      <c r="T414" s="28">
        <f t="shared" si="208"/>
        <v>0</v>
      </c>
      <c r="U414" s="28">
        <f t="shared" si="211"/>
        <v>0</v>
      </c>
      <c r="V414" s="28">
        <f t="shared" si="209"/>
        <v>0</v>
      </c>
      <c r="W414" s="118"/>
      <c r="X414" s="143">
        <f t="shared" si="210"/>
        <v>15.978999999999999</v>
      </c>
      <c r="Y414" s="121">
        <f>交易记录!U9</f>
        <v>8.6999999999999994E-2</v>
      </c>
      <c r="Z414" s="121">
        <f>交易记录!U40</f>
        <v>372</v>
      </c>
      <c r="AA414" s="30">
        <f t="shared" si="194"/>
        <v>0</v>
      </c>
      <c r="AB414" s="124">
        <f>交易记录!U73</f>
        <v>0</v>
      </c>
      <c r="AC414" s="124">
        <f>交易记录!U104</f>
        <v>0</v>
      </c>
      <c r="AD414" s="30">
        <f t="shared" si="212"/>
        <v>0</v>
      </c>
      <c r="AE414" s="121">
        <f>交易记录!U137</f>
        <v>0</v>
      </c>
      <c r="AF414" s="121">
        <f>交易记录!U168</f>
        <v>0</v>
      </c>
      <c r="AG414" s="30">
        <f t="shared" si="213"/>
        <v>0</v>
      </c>
      <c r="AH414" s="124">
        <f>交易记录!U201</f>
        <v>0</v>
      </c>
      <c r="AI414" s="124">
        <f>交易记录!U232</f>
        <v>0</v>
      </c>
      <c r="AJ414" s="30">
        <f t="shared" si="214"/>
        <v>0</v>
      </c>
      <c r="AK414" s="121">
        <f>交易记录!U265</f>
        <v>0</v>
      </c>
      <c r="AL414" s="121">
        <f>交易记录!U296</f>
        <v>0</v>
      </c>
      <c r="AM414" s="30">
        <f t="shared" si="215"/>
        <v>0</v>
      </c>
      <c r="AN414" s="124">
        <f>交易记录!U329</f>
        <v>0</v>
      </c>
      <c r="AO414" s="124">
        <f>交易记录!U360</f>
        <v>0</v>
      </c>
      <c r="AP414" s="30">
        <f t="shared" si="216"/>
        <v>0</v>
      </c>
      <c r="AQ414" s="121">
        <f>交易记录!U393</f>
        <v>0</v>
      </c>
      <c r="AR414" s="121">
        <f>交易记录!U424</f>
        <v>0</v>
      </c>
      <c r="AS414" s="30">
        <f t="shared" si="217"/>
        <v>0</v>
      </c>
      <c r="AT414" s="124">
        <f>交易记录!U457</f>
        <v>0</v>
      </c>
      <c r="AU414" s="124">
        <f>交易记录!U488</f>
        <v>0</v>
      </c>
      <c r="AV414" s="30">
        <f t="shared" si="195"/>
        <v>0</v>
      </c>
      <c r="AW414" s="121">
        <f>交易记录!U521</f>
        <v>0</v>
      </c>
      <c r="AX414" s="121">
        <f>交易记录!U552</f>
        <v>0</v>
      </c>
      <c r="AY414" s="30">
        <f t="shared" si="196"/>
        <v>0</v>
      </c>
      <c r="AZ414" s="124">
        <f>交易记录!U585</f>
        <v>0</v>
      </c>
      <c r="BA414" s="124">
        <f>交易记录!U616</f>
        <v>0</v>
      </c>
      <c r="BB414" s="30">
        <f t="shared" si="197"/>
        <v>0</v>
      </c>
      <c r="BC414" s="121">
        <f>交易记录!U649</f>
        <v>0</v>
      </c>
      <c r="BD414" s="121">
        <f>交易记录!U680</f>
        <v>0</v>
      </c>
      <c r="BE414" s="30">
        <f t="shared" si="198"/>
        <v>0</v>
      </c>
      <c r="BF414" s="124">
        <f>交易记录!U713</f>
        <v>0</v>
      </c>
      <c r="BG414" s="124">
        <f>交易记录!U744</f>
        <v>0</v>
      </c>
      <c r="BH414" s="30">
        <f t="shared" si="199"/>
        <v>0</v>
      </c>
      <c r="BI414" s="121">
        <f>交易记录!U777</f>
        <v>0</v>
      </c>
      <c r="BJ414" s="121">
        <f>交易记录!U808</f>
        <v>0</v>
      </c>
      <c r="BK414" s="30">
        <f t="shared" si="200"/>
        <v>0</v>
      </c>
      <c r="BL414" s="124">
        <f>交易记录!U841</f>
        <v>0</v>
      </c>
      <c r="BM414" s="124">
        <f>交易记录!U872</f>
        <v>0</v>
      </c>
      <c r="BN414" s="30">
        <f t="shared" si="201"/>
        <v>0</v>
      </c>
      <c r="BO414" s="121">
        <f>交易记录!U905</f>
        <v>0</v>
      </c>
      <c r="BP414" s="121">
        <f>交易记录!U936</f>
        <v>0</v>
      </c>
      <c r="BQ414" s="30">
        <f t="shared" si="202"/>
        <v>0</v>
      </c>
    </row>
    <row r="415" spans="1:69" ht="15">
      <c r="A415" s="125">
        <f>'维护-日期'!A$20</f>
        <v>46283</v>
      </c>
      <c r="B415" s="7" t="s">
        <v>11</v>
      </c>
      <c r="C415" s="144">
        <f t="shared" si="203"/>
        <v>13.087</v>
      </c>
      <c r="D415" s="144">
        <f>ROUND(INDEX(持仓数据!$C$3:$AG$26,MATCH('计算过程-数据汇总'!B415,持仓数据!$B$3:$B$26,0),MATCH('计算过程-数据汇总'!A415,'维护-日期'!$B$2:$AF$2,0)),3)</f>
        <v>13.087</v>
      </c>
      <c r="E415" s="98">
        <f t="shared" si="204"/>
        <v>13.087</v>
      </c>
      <c r="F415" s="22">
        <f>持仓数据!T77</f>
        <v>8.6999999999999994E-2</v>
      </c>
      <c r="G415" s="97">
        <v>372</v>
      </c>
      <c r="H415" s="97">
        <v>372</v>
      </c>
      <c r="I415" s="64">
        <v>0</v>
      </c>
      <c r="J415" s="64">
        <v>0</v>
      </c>
      <c r="K415" s="21">
        <f>IF(持仓数据!T110="",0,持仓数据!T110)</f>
        <v>372</v>
      </c>
      <c r="L415" s="21">
        <f t="shared" si="205"/>
        <v>0</v>
      </c>
      <c r="M415" s="28">
        <f t="shared" si="189"/>
        <v>4868.3639999999996</v>
      </c>
      <c r="N415" s="28">
        <f t="shared" si="190"/>
        <v>0</v>
      </c>
      <c r="O415" s="28">
        <f t="shared" si="191"/>
        <v>0</v>
      </c>
      <c r="P415" s="28">
        <f t="shared" si="192"/>
        <v>0</v>
      </c>
      <c r="Q415" s="28">
        <f t="shared" si="206"/>
        <v>0</v>
      </c>
      <c r="R415" s="28">
        <f t="shared" si="193"/>
        <v>4868.3639999999996</v>
      </c>
      <c r="S415" s="28">
        <f t="shared" si="207"/>
        <v>0</v>
      </c>
      <c r="T415" s="28">
        <f t="shared" si="208"/>
        <v>0</v>
      </c>
      <c r="U415" s="28">
        <f t="shared" si="211"/>
        <v>0</v>
      </c>
      <c r="V415" s="28">
        <f t="shared" si="209"/>
        <v>0</v>
      </c>
      <c r="W415" s="118"/>
      <c r="X415" s="143">
        <f t="shared" si="210"/>
        <v>15.617000000000001</v>
      </c>
      <c r="Y415" s="121">
        <f>交易记录!U10</f>
        <v>8.6999999999999994E-2</v>
      </c>
      <c r="Z415" s="121">
        <f>交易记录!U41</f>
        <v>372</v>
      </c>
      <c r="AA415" s="30">
        <f t="shared" si="194"/>
        <v>0</v>
      </c>
      <c r="AB415" s="124">
        <f>交易记录!U74</f>
        <v>0</v>
      </c>
      <c r="AC415" s="124">
        <f>交易记录!U105</f>
        <v>0</v>
      </c>
      <c r="AD415" s="30">
        <f t="shared" si="212"/>
        <v>0</v>
      </c>
      <c r="AE415" s="121">
        <f>交易记录!U138</f>
        <v>0</v>
      </c>
      <c r="AF415" s="121">
        <f>交易记录!U169</f>
        <v>0</v>
      </c>
      <c r="AG415" s="30">
        <f t="shared" si="213"/>
        <v>0</v>
      </c>
      <c r="AH415" s="124">
        <f>交易记录!U202</f>
        <v>0</v>
      </c>
      <c r="AI415" s="124">
        <f>交易记录!U233</f>
        <v>0</v>
      </c>
      <c r="AJ415" s="30">
        <f t="shared" si="214"/>
        <v>0</v>
      </c>
      <c r="AK415" s="121">
        <f>交易记录!U266</f>
        <v>0</v>
      </c>
      <c r="AL415" s="121">
        <f>交易记录!U297</f>
        <v>0</v>
      </c>
      <c r="AM415" s="30">
        <f t="shared" si="215"/>
        <v>0</v>
      </c>
      <c r="AN415" s="124">
        <f>交易记录!U330</f>
        <v>0</v>
      </c>
      <c r="AO415" s="124">
        <f>交易记录!U361</f>
        <v>0</v>
      </c>
      <c r="AP415" s="30">
        <f t="shared" si="216"/>
        <v>0</v>
      </c>
      <c r="AQ415" s="121">
        <f>交易记录!U394</f>
        <v>0</v>
      </c>
      <c r="AR415" s="121">
        <f>交易记录!U425</f>
        <v>0</v>
      </c>
      <c r="AS415" s="30">
        <f t="shared" si="217"/>
        <v>0</v>
      </c>
      <c r="AT415" s="124">
        <f>交易记录!U458</f>
        <v>0</v>
      </c>
      <c r="AU415" s="124">
        <f>交易记录!U489</f>
        <v>0</v>
      </c>
      <c r="AV415" s="30">
        <f t="shared" si="195"/>
        <v>0</v>
      </c>
      <c r="AW415" s="121">
        <f>交易记录!U522</f>
        <v>0</v>
      </c>
      <c r="AX415" s="121">
        <f>交易记录!U553</f>
        <v>0</v>
      </c>
      <c r="AY415" s="30">
        <f t="shared" si="196"/>
        <v>0</v>
      </c>
      <c r="AZ415" s="124">
        <f>交易记录!U586</f>
        <v>0</v>
      </c>
      <c r="BA415" s="124">
        <f>交易记录!U617</f>
        <v>0</v>
      </c>
      <c r="BB415" s="30">
        <f t="shared" si="197"/>
        <v>0</v>
      </c>
      <c r="BC415" s="121">
        <f>交易记录!U650</f>
        <v>0</v>
      </c>
      <c r="BD415" s="121">
        <f>交易记录!U681</f>
        <v>0</v>
      </c>
      <c r="BE415" s="30">
        <f t="shared" si="198"/>
        <v>0</v>
      </c>
      <c r="BF415" s="124">
        <f>交易记录!U714</f>
        <v>0</v>
      </c>
      <c r="BG415" s="124">
        <f>交易记录!U745</f>
        <v>0</v>
      </c>
      <c r="BH415" s="30">
        <f t="shared" si="199"/>
        <v>0</v>
      </c>
      <c r="BI415" s="121">
        <f>交易记录!U778</f>
        <v>0</v>
      </c>
      <c r="BJ415" s="121">
        <f>交易记录!U809</f>
        <v>0</v>
      </c>
      <c r="BK415" s="30">
        <f t="shared" si="200"/>
        <v>0</v>
      </c>
      <c r="BL415" s="124">
        <f>交易记录!U842</f>
        <v>0</v>
      </c>
      <c r="BM415" s="124">
        <f>交易记录!U873</f>
        <v>0</v>
      </c>
      <c r="BN415" s="30">
        <f t="shared" si="201"/>
        <v>0</v>
      </c>
      <c r="BO415" s="121">
        <f>交易记录!U906</f>
        <v>0</v>
      </c>
      <c r="BP415" s="121">
        <f>交易记录!U937</f>
        <v>0</v>
      </c>
      <c r="BQ415" s="30">
        <f t="shared" si="202"/>
        <v>0</v>
      </c>
    </row>
    <row r="416" spans="1:69" ht="15">
      <c r="A416" s="125">
        <f>'维护-日期'!A$20</f>
        <v>46283</v>
      </c>
      <c r="B416" s="7" t="s">
        <v>12</v>
      </c>
      <c r="C416" s="144">
        <f t="shared" si="203"/>
        <v>12.95</v>
      </c>
      <c r="D416" s="144">
        <f>ROUND(INDEX(持仓数据!$C$3:$AG$26,MATCH('计算过程-数据汇总'!B416,持仓数据!$B$3:$B$26,0),MATCH('计算过程-数据汇总'!A416,'维护-日期'!$B$2:$AF$2,0)),3)</f>
        <v>12.95</v>
      </c>
      <c r="E416" s="98">
        <f t="shared" si="204"/>
        <v>12.95</v>
      </c>
      <c r="F416" s="22">
        <f>持仓数据!T78</f>
        <v>0.14499999999999999</v>
      </c>
      <c r="G416" s="97">
        <v>372</v>
      </c>
      <c r="H416" s="97">
        <v>372</v>
      </c>
      <c r="I416" s="64">
        <v>0</v>
      </c>
      <c r="J416" s="64">
        <v>0</v>
      </c>
      <c r="K416" s="21">
        <f>IF(持仓数据!T111="",0,持仓数据!T111)</f>
        <v>372</v>
      </c>
      <c r="L416" s="21">
        <f t="shared" si="205"/>
        <v>0</v>
      </c>
      <c r="M416" s="28">
        <f t="shared" si="189"/>
        <v>4817.3999999999996</v>
      </c>
      <c r="N416" s="28">
        <f t="shared" si="190"/>
        <v>0</v>
      </c>
      <c r="O416" s="28">
        <f t="shared" si="191"/>
        <v>0</v>
      </c>
      <c r="P416" s="28">
        <f t="shared" si="192"/>
        <v>0</v>
      </c>
      <c r="Q416" s="28">
        <f t="shared" si="206"/>
        <v>0</v>
      </c>
      <c r="R416" s="28">
        <f t="shared" si="193"/>
        <v>4817.3999999999996</v>
      </c>
      <c r="S416" s="28">
        <f t="shared" si="207"/>
        <v>0</v>
      </c>
      <c r="T416" s="28">
        <f t="shared" si="208"/>
        <v>0</v>
      </c>
      <c r="U416" s="28">
        <f t="shared" si="211"/>
        <v>0</v>
      </c>
      <c r="V416" s="28">
        <f t="shared" si="209"/>
        <v>0</v>
      </c>
      <c r="W416" s="118"/>
      <c r="X416" s="143">
        <f t="shared" si="210"/>
        <v>15.395</v>
      </c>
      <c r="Y416" s="121">
        <f>交易记录!U11</f>
        <v>0.14499999999999999</v>
      </c>
      <c r="Z416" s="121">
        <f>交易记录!U42</f>
        <v>372</v>
      </c>
      <c r="AA416" s="30">
        <f t="shared" si="194"/>
        <v>0</v>
      </c>
      <c r="AB416" s="124">
        <f>交易记录!U75</f>
        <v>0</v>
      </c>
      <c r="AC416" s="124">
        <f>交易记录!U106</f>
        <v>0</v>
      </c>
      <c r="AD416" s="30">
        <f t="shared" si="212"/>
        <v>0</v>
      </c>
      <c r="AE416" s="121">
        <f>交易记录!U139</f>
        <v>0</v>
      </c>
      <c r="AF416" s="121">
        <f>交易记录!U170</f>
        <v>0</v>
      </c>
      <c r="AG416" s="30">
        <f t="shared" si="213"/>
        <v>0</v>
      </c>
      <c r="AH416" s="124">
        <f>交易记录!U203</f>
        <v>0</v>
      </c>
      <c r="AI416" s="124">
        <f>交易记录!U234</f>
        <v>0</v>
      </c>
      <c r="AJ416" s="30">
        <f t="shared" si="214"/>
        <v>0</v>
      </c>
      <c r="AK416" s="121">
        <f>交易记录!U267</f>
        <v>0</v>
      </c>
      <c r="AL416" s="121">
        <f>交易记录!U298</f>
        <v>0</v>
      </c>
      <c r="AM416" s="30">
        <f t="shared" si="215"/>
        <v>0</v>
      </c>
      <c r="AN416" s="124">
        <f>交易记录!U331</f>
        <v>0</v>
      </c>
      <c r="AO416" s="124">
        <f>交易记录!U362</f>
        <v>0</v>
      </c>
      <c r="AP416" s="30">
        <f t="shared" si="216"/>
        <v>0</v>
      </c>
      <c r="AQ416" s="121">
        <f>交易记录!U395</f>
        <v>0</v>
      </c>
      <c r="AR416" s="121">
        <f>交易记录!U426</f>
        <v>0</v>
      </c>
      <c r="AS416" s="30">
        <f t="shared" si="217"/>
        <v>0</v>
      </c>
      <c r="AT416" s="124">
        <f>交易记录!U459</f>
        <v>0</v>
      </c>
      <c r="AU416" s="124">
        <f>交易记录!U490</f>
        <v>0</v>
      </c>
      <c r="AV416" s="30">
        <f t="shared" si="195"/>
        <v>0</v>
      </c>
      <c r="AW416" s="121">
        <f>交易记录!U523</f>
        <v>0</v>
      </c>
      <c r="AX416" s="121">
        <f>交易记录!U554</f>
        <v>0</v>
      </c>
      <c r="AY416" s="30">
        <f t="shared" si="196"/>
        <v>0</v>
      </c>
      <c r="AZ416" s="124">
        <f>交易记录!U587</f>
        <v>0</v>
      </c>
      <c r="BA416" s="124">
        <f>交易记录!U618</f>
        <v>0</v>
      </c>
      <c r="BB416" s="30">
        <f t="shared" si="197"/>
        <v>0</v>
      </c>
      <c r="BC416" s="121">
        <f>交易记录!U651</f>
        <v>0</v>
      </c>
      <c r="BD416" s="121">
        <f>交易记录!U682</f>
        <v>0</v>
      </c>
      <c r="BE416" s="30">
        <f t="shared" si="198"/>
        <v>0</v>
      </c>
      <c r="BF416" s="124">
        <f>交易记录!U715</f>
        <v>0</v>
      </c>
      <c r="BG416" s="124">
        <f>交易记录!U746</f>
        <v>0</v>
      </c>
      <c r="BH416" s="30">
        <f t="shared" si="199"/>
        <v>0</v>
      </c>
      <c r="BI416" s="121">
        <f>交易记录!U779</f>
        <v>0</v>
      </c>
      <c r="BJ416" s="121">
        <f>交易记录!U810</f>
        <v>0</v>
      </c>
      <c r="BK416" s="30">
        <f t="shared" si="200"/>
        <v>0</v>
      </c>
      <c r="BL416" s="124">
        <f>交易记录!U843</f>
        <v>0</v>
      </c>
      <c r="BM416" s="124">
        <f>交易记录!U874</f>
        <v>0</v>
      </c>
      <c r="BN416" s="30">
        <f t="shared" si="201"/>
        <v>0</v>
      </c>
      <c r="BO416" s="121">
        <f>交易记录!U907</f>
        <v>0</v>
      </c>
      <c r="BP416" s="121">
        <f>交易记录!U938</f>
        <v>0</v>
      </c>
      <c r="BQ416" s="30">
        <f t="shared" si="202"/>
        <v>0</v>
      </c>
    </row>
    <row r="417" spans="1:69" ht="15">
      <c r="A417" s="125">
        <f>'维护-日期'!A$20</f>
        <v>46283</v>
      </c>
      <c r="B417" s="7" t="s">
        <v>13</v>
      </c>
      <c r="C417" s="144">
        <f t="shared" si="203"/>
        <v>13.266999999999999</v>
      </c>
      <c r="D417" s="144">
        <f>ROUND(INDEX(持仓数据!$C$3:$AG$26,MATCH('计算过程-数据汇总'!B417,持仓数据!$B$3:$B$26,0),MATCH('计算过程-数据汇总'!A417,'维护-日期'!$B$2:$AF$2,0)),3)</f>
        <v>13.266999999999999</v>
      </c>
      <c r="E417" s="98">
        <f t="shared" si="204"/>
        <v>13.266999999999999</v>
      </c>
      <c r="F417" s="22">
        <f>持仓数据!T79</f>
        <v>0.307</v>
      </c>
      <c r="G417" s="97">
        <v>372</v>
      </c>
      <c r="H417" s="97">
        <v>372</v>
      </c>
      <c r="I417" s="64">
        <v>0</v>
      </c>
      <c r="J417" s="64">
        <v>0</v>
      </c>
      <c r="K417" s="21">
        <f>IF(持仓数据!T112="",0,持仓数据!T112)</f>
        <v>372</v>
      </c>
      <c r="L417" s="21">
        <f t="shared" si="205"/>
        <v>0</v>
      </c>
      <c r="M417" s="28">
        <f t="shared" si="189"/>
        <v>4935.3239999999996</v>
      </c>
      <c r="N417" s="28">
        <f t="shared" si="190"/>
        <v>0</v>
      </c>
      <c r="O417" s="28">
        <f t="shared" si="191"/>
        <v>0</v>
      </c>
      <c r="P417" s="28">
        <f t="shared" si="192"/>
        <v>0</v>
      </c>
      <c r="Q417" s="28">
        <f t="shared" si="206"/>
        <v>0</v>
      </c>
      <c r="R417" s="28">
        <f t="shared" si="193"/>
        <v>4935.3239999999996</v>
      </c>
      <c r="S417" s="28">
        <f t="shared" si="207"/>
        <v>0</v>
      </c>
      <c r="T417" s="28">
        <f t="shared" si="208"/>
        <v>0</v>
      </c>
      <c r="U417" s="28">
        <f t="shared" si="211"/>
        <v>0</v>
      </c>
      <c r="V417" s="28">
        <f t="shared" si="209"/>
        <v>0</v>
      </c>
      <c r="W417" s="118"/>
      <c r="X417" s="143">
        <f t="shared" si="210"/>
        <v>15.613</v>
      </c>
      <c r="Y417" s="121">
        <f>交易记录!U12</f>
        <v>0.307</v>
      </c>
      <c r="Z417" s="121">
        <f>交易记录!U43</f>
        <v>372</v>
      </c>
      <c r="AA417" s="30">
        <f t="shared" si="194"/>
        <v>0</v>
      </c>
      <c r="AB417" s="124">
        <f>交易记录!U76</f>
        <v>0</v>
      </c>
      <c r="AC417" s="124">
        <f>交易记录!U107</f>
        <v>0</v>
      </c>
      <c r="AD417" s="30">
        <f t="shared" si="212"/>
        <v>0</v>
      </c>
      <c r="AE417" s="121">
        <f>交易记录!U140</f>
        <v>0</v>
      </c>
      <c r="AF417" s="121">
        <f>交易记录!U171</f>
        <v>0</v>
      </c>
      <c r="AG417" s="30">
        <f t="shared" si="213"/>
        <v>0</v>
      </c>
      <c r="AH417" s="124">
        <f>交易记录!U204</f>
        <v>0</v>
      </c>
      <c r="AI417" s="124">
        <f>交易记录!U235</f>
        <v>0</v>
      </c>
      <c r="AJ417" s="30">
        <f t="shared" si="214"/>
        <v>0</v>
      </c>
      <c r="AK417" s="121">
        <f>交易记录!U268</f>
        <v>0</v>
      </c>
      <c r="AL417" s="121">
        <f>交易记录!U299</f>
        <v>0</v>
      </c>
      <c r="AM417" s="30">
        <f t="shared" si="215"/>
        <v>0</v>
      </c>
      <c r="AN417" s="124">
        <f>交易记录!U332</f>
        <v>0</v>
      </c>
      <c r="AO417" s="124">
        <f>交易记录!U363</f>
        <v>0</v>
      </c>
      <c r="AP417" s="30">
        <f t="shared" si="216"/>
        <v>0</v>
      </c>
      <c r="AQ417" s="121">
        <f>交易记录!U396</f>
        <v>0</v>
      </c>
      <c r="AR417" s="121">
        <f>交易记录!U427</f>
        <v>0</v>
      </c>
      <c r="AS417" s="30">
        <f t="shared" si="217"/>
        <v>0</v>
      </c>
      <c r="AT417" s="124">
        <f>交易记录!U460</f>
        <v>0</v>
      </c>
      <c r="AU417" s="124">
        <f>交易记录!U491</f>
        <v>0</v>
      </c>
      <c r="AV417" s="30">
        <f t="shared" si="195"/>
        <v>0</v>
      </c>
      <c r="AW417" s="121">
        <f>交易记录!U524</f>
        <v>0</v>
      </c>
      <c r="AX417" s="121">
        <f>交易记录!U555</f>
        <v>0</v>
      </c>
      <c r="AY417" s="30">
        <f t="shared" si="196"/>
        <v>0</v>
      </c>
      <c r="AZ417" s="124">
        <f>交易记录!U588</f>
        <v>0</v>
      </c>
      <c r="BA417" s="124">
        <f>交易记录!U619</f>
        <v>0</v>
      </c>
      <c r="BB417" s="30">
        <f t="shared" si="197"/>
        <v>0</v>
      </c>
      <c r="BC417" s="121">
        <f>交易记录!U652</f>
        <v>0</v>
      </c>
      <c r="BD417" s="121">
        <f>交易记录!U683</f>
        <v>0</v>
      </c>
      <c r="BE417" s="30">
        <f t="shared" si="198"/>
        <v>0</v>
      </c>
      <c r="BF417" s="124">
        <f>交易记录!U716</f>
        <v>0</v>
      </c>
      <c r="BG417" s="124">
        <f>交易记录!U747</f>
        <v>0</v>
      </c>
      <c r="BH417" s="30">
        <f t="shared" si="199"/>
        <v>0</v>
      </c>
      <c r="BI417" s="121">
        <f>交易记录!U780</f>
        <v>0</v>
      </c>
      <c r="BJ417" s="121">
        <f>交易记录!U811</f>
        <v>0</v>
      </c>
      <c r="BK417" s="30">
        <f t="shared" si="200"/>
        <v>0</v>
      </c>
      <c r="BL417" s="124">
        <f>交易记录!U844</f>
        <v>0</v>
      </c>
      <c r="BM417" s="124">
        <f>交易记录!U875</f>
        <v>0</v>
      </c>
      <c r="BN417" s="30">
        <f t="shared" si="201"/>
        <v>0</v>
      </c>
      <c r="BO417" s="121">
        <f>交易记录!U908</f>
        <v>0</v>
      </c>
      <c r="BP417" s="121">
        <f>交易记录!U939</f>
        <v>0</v>
      </c>
      <c r="BQ417" s="30">
        <f t="shared" si="202"/>
        <v>0</v>
      </c>
    </row>
    <row r="418" spans="1:69" ht="15">
      <c r="A418" s="125">
        <f>'维护-日期'!A$20</f>
        <v>46283</v>
      </c>
      <c r="B418" s="7" t="s">
        <v>14</v>
      </c>
      <c r="C418" s="144">
        <f t="shared" si="203"/>
        <v>15.795999999999999</v>
      </c>
      <c r="D418" s="144">
        <f>ROUND(INDEX(持仓数据!$C$3:$AG$26,MATCH('计算过程-数据汇总'!B418,持仓数据!$B$3:$B$26,0),MATCH('计算过程-数据汇总'!A418,'维护-日期'!$B$2:$AF$2,0)),3)</f>
        <v>15.795999999999999</v>
      </c>
      <c r="E418" s="98">
        <f t="shared" si="204"/>
        <v>15.795999999999999</v>
      </c>
      <c r="F418" s="22">
        <f>持仓数据!T80</f>
        <v>0.42800000000000005</v>
      </c>
      <c r="G418" s="97">
        <v>372</v>
      </c>
      <c r="H418" s="97">
        <v>372</v>
      </c>
      <c r="I418" s="64">
        <v>0</v>
      </c>
      <c r="J418" s="64">
        <v>0</v>
      </c>
      <c r="K418" s="21">
        <f>IF(持仓数据!T113="",0,持仓数据!T113)</f>
        <v>372</v>
      </c>
      <c r="L418" s="21">
        <f t="shared" si="205"/>
        <v>0</v>
      </c>
      <c r="M418" s="28">
        <f t="shared" si="189"/>
        <v>5876.1120000000001</v>
      </c>
      <c r="N418" s="28">
        <f t="shared" si="190"/>
        <v>0</v>
      </c>
      <c r="O418" s="28">
        <f t="shared" si="191"/>
        <v>0</v>
      </c>
      <c r="P418" s="28">
        <f t="shared" si="192"/>
        <v>0</v>
      </c>
      <c r="Q418" s="28">
        <f t="shared" si="206"/>
        <v>0</v>
      </c>
      <c r="R418" s="28">
        <f t="shared" si="193"/>
        <v>5876.1120000000001</v>
      </c>
      <c r="S418" s="28">
        <f t="shared" si="207"/>
        <v>0</v>
      </c>
      <c r="T418" s="28">
        <f t="shared" si="208"/>
        <v>0</v>
      </c>
      <c r="U418" s="28">
        <f t="shared" si="211"/>
        <v>0</v>
      </c>
      <c r="V418" s="28">
        <f t="shared" si="209"/>
        <v>0</v>
      </c>
      <c r="W418" s="118"/>
      <c r="X418" s="143">
        <f t="shared" si="210"/>
        <v>18.527000000000001</v>
      </c>
      <c r="Y418" s="121">
        <f>交易记录!U13</f>
        <v>0.42800000000000005</v>
      </c>
      <c r="Z418" s="121">
        <f>交易记录!U44</f>
        <v>372</v>
      </c>
      <c r="AA418" s="30">
        <f t="shared" si="194"/>
        <v>0</v>
      </c>
      <c r="AB418" s="124">
        <f>交易记录!U77</f>
        <v>0</v>
      </c>
      <c r="AC418" s="124">
        <f>交易记录!U108</f>
        <v>0</v>
      </c>
      <c r="AD418" s="30">
        <f t="shared" si="212"/>
        <v>0</v>
      </c>
      <c r="AE418" s="121">
        <f>交易记录!U141</f>
        <v>0</v>
      </c>
      <c r="AF418" s="121">
        <f>交易记录!U172</f>
        <v>0</v>
      </c>
      <c r="AG418" s="30">
        <f t="shared" si="213"/>
        <v>0</v>
      </c>
      <c r="AH418" s="124">
        <f>交易记录!U205</f>
        <v>0</v>
      </c>
      <c r="AI418" s="124">
        <f>交易记录!U236</f>
        <v>0</v>
      </c>
      <c r="AJ418" s="30">
        <f t="shared" si="214"/>
        <v>0</v>
      </c>
      <c r="AK418" s="121">
        <f>交易记录!U269</f>
        <v>0</v>
      </c>
      <c r="AL418" s="121">
        <f>交易记录!U300</f>
        <v>0</v>
      </c>
      <c r="AM418" s="30">
        <f t="shared" si="215"/>
        <v>0</v>
      </c>
      <c r="AN418" s="124">
        <f>交易记录!U333</f>
        <v>0</v>
      </c>
      <c r="AO418" s="124">
        <f>交易记录!U364</f>
        <v>0</v>
      </c>
      <c r="AP418" s="30">
        <f t="shared" si="216"/>
        <v>0</v>
      </c>
      <c r="AQ418" s="121">
        <f>交易记录!U397</f>
        <v>0</v>
      </c>
      <c r="AR418" s="121">
        <f>交易记录!U428</f>
        <v>0</v>
      </c>
      <c r="AS418" s="30">
        <f t="shared" si="217"/>
        <v>0</v>
      </c>
      <c r="AT418" s="124">
        <f>交易记录!U461</f>
        <v>0</v>
      </c>
      <c r="AU418" s="124">
        <f>交易记录!U492</f>
        <v>0</v>
      </c>
      <c r="AV418" s="30">
        <f t="shared" si="195"/>
        <v>0</v>
      </c>
      <c r="AW418" s="121">
        <f>交易记录!U525</f>
        <v>0</v>
      </c>
      <c r="AX418" s="121">
        <f>交易记录!U556</f>
        <v>0</v>
      </c>
      <c r="AY418" s="30">
        <f t="shared" si="196"/>
        <v>0</v>
      </c>
      <c r="AZ418" s="124">
        <f>交易记录!U589</f>
        <v>0</v>
      </c>
      <c r="BA418" s="124">
        <f>交易记录!U620</f>
        <v>0</v>
      </c>
      <c r="BB418" s="30">
        <f t="shared" si="197"/>
        <v>0</v>
      </c>
      <c r="BC418" s="121">
        <f>交易记录!U653</f>
        <v>0</v>
      </c>
      <c r="BD418" s="121">
        <f>交易记录!U684</f>
        <v>0</v>
      </c>
      <c r="BE418" s="30">
        <f t="shared" si="198"/>
        <v>0</v>
      </c>
      <c r="BF418" s="124">
        <f>交易记录!U717</f>
        <v>0</v>
      </c>
      <c r="BG418" s="124">
        <f>交易记录!U748</f>
        <v>0</v>
      </c>
      <c r="BH418" s="30">
        <f t="shared" si="199"/>
        <v>0</v>
      </c>
      <c r="BI418" s="121">
        <f>交易记录!U781</f>
        <v>0</v>
      </c>
      <c r="BJ418" s="121">
        <f>交易记录!U812</f>
        <v>0</v>
      </c>
      <c r="BK418" s="30">
        <f t="shared" si="200"/>
        <v>0</v>
      </c>
      <c r="BL418" s="124">
        <f>交易记录!U845</f>
        <v>0</v>
      </c>
      <c r="BM418" s="124">
        <f>交易记录!U876</f>
        <v>0</v>
      </c>
      <c r="BN418" s="30">
        <f t="shared" si="201"/>
        <v>0</v>
      </c>
      <c r="BO418" s="121">
        <f>交易记录!U909</f>
        <v>0</v>
      </c>
      <c r="BP418" s="121">
        <f>交易记录!U940</f>
        <v>0</v>
      </c>
      <c r="BQ418" s="30">
        <f t="shared" si="202"/>
        <v>0</v>
      </c>
    </row>
    <row r="419" spans="1:69" ht="15">
      <c r="A419" s="125">
        <f>'维护-日期'!A$20</f>
        <v>46283</v>
      </c>
      <c r="B419" s="7" t="s">
        <v>15</v>
      </c>
      <c r="C419" s="144">
        <f t="shared" si="203"/>
        <v>19.308</v>
      </c>
      <c r="D419" s="144">
        <f>ROUND(INDEX(持仓数据!$C$3:$AG$26,MATCH('计算过程-数据汇总'!B419,持仓数据!$B$3:$B$26,0),MATCH('计算过程-数据汇总'!A419,'维护-日期'!$B$2:$AF$2,0)),3)</f>
        <v>19.308</v>
      </c>
      <c r="E419" s="98">
        <f t="shared" si="204"/>
        <v>19.308</v>
      </c>
      <c r="F419" s="22">
        <f>持仓数据!T81</f>
        <v>0.46100000000000002</v>
      </c>
      <c r="G419" s="97">
        <v>372</v>
      </c>
      <c r="H419" s="97">
        <v>372</v>
      </c>
      <c r="I419" s="64">
        <v>0</v>
      </c>
      <c r="J419" s="64">
        <v>0</v>
      </c>
      <c r="K419" s="21">
        <f>IF(持仓数据!T114="",0,持仓数据!T114)</f>
        <v>372</v>
      </c>
      <c r="L419" s="21">
        <f t="shared" si="205"/>
        <v>0</v>
      </c>
      <c r="M419" s="28">
        <f t="shared" si="189"/>
        <v>7182.576</v>
      </c>
      <c r="N419" s="28">
        <f t="shared" si="190"/>
        <v>0</v>
      </c>
      <c r="O419" s="28">
        <f t="shared" si="191"/>
        <v>0</v>
      </c>
      <c r="P419" s="28">
        <f t="shared" si="192"/>
        <v>0</v>
      </c>
      <c r="Q419" s="28">
        <f t="shared" si="206"/>
        <v>0</v>
      </c>
      <c r="R419" s="28">
        <f t="shared" si="193"/>
        <v>7182.576</v>
      </c>
      <c r="S419" s="28">
        <f t="shared" si="207"/>
        <v>0</v>
      </c>
      <c r="T419" s="28">
        <f t="shared" si="208"/>
        <v>0</v>
      </c>
      <c r="U419" s="28">
        <f t="shared" si="211"/>
        <v>0</v>
      </c>
      <c r="V419" s="28">
        <f t="shared" si="209"/>
        <v>0</v>
      </c>
      <c r="W419" s="118"/>
      <c r="X419" s="143">
        <f t="shared" si="210"/>
        <v>22.709</v>
      </c>
      <c r="Y419" s="121">
        <f>交易记录!U14</f>
        <v>0.46100000000000002</v>
      </c>
      <c r="Z419" s="121">
        <f>交易记录!U45</f>
        <v>372</v>
      </c>
      <c r="AA419" s="30">
        <f t="shared" si="194"/>
        <v>0</v>
      </c>
      <c r="AB419" s="124">
        <f>交易记录!U78</f>
        <v>0</v>
      </c>
      <c r="AC419" s="124">
        <f>交易记录!U109</f>
        <v>0</v>
      </c>
      <c r="AD419" s="30">
        <f t="shared" si="212"/>
        <v>0</v>
      </c>
      <c r="AE419" s="121">
        <f>交易记录!U142</f>
        <v>0</v>
      </c>
      <c r="AF419" s="121">
        <f>交易记录!U173</f>
        <v>0</v>
      </c>
      <c r="AG419" s="30">
        <f t="shared" si="213"/>
        <v>0</v>
      </c>
      <c r="AH419" s="124">
        <f>交易记录!U206</f>
        <v>0</v>
      </c>
      <c r="AI419" s="124">
        <f>交易记录!U237</f>
        <v>0</v>
      </c>
      <c r="AJ419" s="30">
        <f t="shared" si="214"/>
        <v>0</v>
      </c>
      <c r="AK419" s="121">
        <f>交易记录!U270</f>
        <v>0</v>
      </c>
      <c r="AL419" s="121">
        <f>交易记录!U301</f>
        <v>0</v>
      </c>
      <c r="AM419" s="30">
        <f t="shared" si="215"/>
        <v>0</v>
      </c>
      <c r="AN419" s="124">
        <f>交易记录!U334</f>
        <v>0</v>
      </c>
      <c r="AO419" s="124">
        <f>交易记录!U365</f>
        <v>0</v>
      </c>
      <c r="AP419" s="30">
        <f t="shared" si="216"/>
        <v>0</v>
      </c>
      <c r="AQ419" s="121">
        <f>交易记录!U398</f>
        <v>0</v>
      </c>
      <c r="AR419" s="121">
        <f>交易记录!U429</f>
        <v>0</v>
      </c>
      <c r="AS419" s="30">
        <f t="shared" si="217"/>
        <v>0</v>
      </c>
      <c r="AT419" s="124">
        <f>交易记录!U462</f>
        <v>0</v>
      </c>
      <c r="AU419" s="124">
        <f>交易记录!U493</f>
        <v>0</v>
      </c>
      <c r="AV419" s="30">
        <f t="shared" si="195"/>
        <v>0</v>
      </c>
      <c r="AW419" s="121">
        <f>交易记录!U526</f>
        <v>0</v>
      </c>
      <c r="AX419" s="121">
        <f>交易记录!U557</f>
        <v>0</v>
      </c>
      <c r="AY419" s="30">
        <f t="shared" si="196"/>
        <v>0</v>
      </c>
      <c r="AZ419" s="124">
        <f>交易记录!U590</f>
        <v>0</v>
      </c>
      <c r="BA419" s="124">
        <f>交易记录!U621</f>
        <v>0</v>
      </c>
      <c r="BB419" s="30">
        <f t="shared" si="197"/>
        <v>0</v>
      </c>
      <c r="BC419" s="121">
        <f>交易记录!U654</f>
        <v>0</v>
      </c>
      <c r="BD419" s="121">
        <f>交易记录!U685</f>
        <v>0</v>
      </c>
      <c r="BE419" s="30">
        <f t="shared" si="198"/>
        <v>0</v>
      </c>
      <c r="BF419" s="124">
        <f>交易记录!U718</f>
        <v>0</v>
      </c>
      <c r="BG419" s="124">
        <f>交易记录!U749</f>
        <v>0</v>
      </c>
      <c r="BH419" s="30">
        <f t="shared" si="199"/>
        <v>0</v>
      </c>
      <c r="BI419" s="121">
        <f>交易记录!U782</f>
        <v>0</v>
      </c>
      <c r="BJ419" s="121">
        <f>交易记录!U813</f>
        <v>0</v>
      </c>
      <c r="BK419" s="30">
        <f t="shared" si="200"/>
        <v>0</v>
      </c>
      <c r="BL419" s="124">
        <f>交易记录!U846</f>
        <v>0</v>
      </c>
      <c r="BM419" s="124">
        <f>交易记录!U877</f>
        <v>0</v>
      </c>
      <c r="BN419" s="30">
        <f t="shared" si="201"/>
        <v>0</v>
      </c>
      <c r="BO419" s="121">
        <f>交易记录!U910</f>
        <v>0</v>
      </c>
      <c r="BP419" s="121">
        <f>交易记录!U941</f>
        <v>0</v>
      </c>
      <c r="BQ419" s="30">
        <f t="shared" si="202"/>
        <v>0</v>
      </c>
    </row>
    <row r="420" spans="1:69" ht="15">
      <c r="A420" s="125">
        <f>'维护-日期'!A$20</f>
        <v>46283</v>
      </c>
      <c r="B420" s="7" t="s">
        <v>16</v>
      </c>
      <c r="C420" s="144">
        <f t="shared" si="203"/>
        <v>21.01</v>
      </c>
      <c r="D420" s="144">
        <f>ROUND(INDEX(持仓数据!$C$3:$AG$26,MATCH('计算过程-数据汇总'!B420,持仓数据!$B$3:$B$26,0),MATCH('计算过程-数据汇总'!A420,'维护-日期'!$B$2:$AF$2,0)),3)</f>
        <v>21.01</v>
      </c>
      <c r="E420" s="98">
        <f t="shared" si="204"/>
        <v>21.01</v>
      </c>
      <c r="F420" s="22">
        <f>持仓数据!T82</f>
        <v>0.46700000000000003</v>
      </c>
      <c r="G420" s="97">
        <v>372</v>
      </c>
      <c r="H420" s="97">
        <v>372</v>
      </c>
      <c r="I420" s="64">
        <v>0</v>
      </c>
      <c r="J420" s="64">
        <v>0</v>
      </c>
      <c r="K420" s="21">
        <f>IF(持仓数据!T115="",0,持仓数据!T115)</f>
        <v>372</v>
      </c>
      <c r="L420" s="21">
        <f t="shared" si="205"/>
        <v>0</v>
      </c>
      <c r="M420" s="28">
        <f t="shared" si="189"/>
        <v>7815.72</v>
      </c>
      <c r="N420" s="28">
        <f t="shared" si="190"/>
        <v>0</v>
      </c>
      <c r="O420" s="28">
        <f t="shared" si="191"/>
        <v>0</v>
      </c>
      <c r="P420" s="28">
        <f t="shared" si="192"/>
        <v>0</v>
      </c>
      <c r="Q420" s="28">
        <f t="shared" si="206"/>
        <v>0</v>
      </c>
      <c r="R420" s="28">
        <f t="shared" si="193"/>
        <v>7815.72</v>
      </c>
      <c r="S420" s="28">
        <f t="shared" si="207"/>
        <v>0</v>
      </c>
      <c r="T420" s="28">
        <f t="shared" si="208"/>
        <v>0</v>
      </c>
      <c r="U420" s="28">
        <f t="shared" si="211"/>
        <v>0</v>
      </c>
      <c r="V420" s="28">
        <f t="shared" si="209"/>
        <v>0</v>
      </c>
      <c r="W420" s="118"/>
      <c r="X420" s="143">
        <f t="shared" si="210"/>
        <v>24.745000000000001</v>
      </c>
      <c r="Y420" s="121">
        <f>交易记录!U15</f>
        <v>0.46700000000000003</v>
      </c>
      <c r="Z420" s="121">
        <f>交易记录!U46</f>
        <v>372</v>
      </c>
      <c r="AA420" s="30">
        <f t="shared" si="194"/>
        <v>0</v>
      </c>
      <c r="AB420" s="124">
        <f>交易记录!U79</f>
        <v>0</v>
      </c>
      <c r="AC420" s="124">
        <f>交易记录!U110</f>
        <v>0</v>
      </c>
      <c r="AD420" s="30">
        <f t="shared" si="212"/>
        <v>0</v>
      </c>
      <c r="AE420" s="121">
        <f>交易记录!U143</f>
        <v>0</v>
      </c>
      <c r="AF420" s="121">
        <f>交易记录!U174</f>
        <v>0</v>
      </c>
      <c r="AG420" s="30">
        <f t="shared" si="213"/>
        <v>0</v>
      </c>
      <c r="AH420" s="124">
        <f>交易记录!U207</f>
        <v>0</v>
      </c>
      <c r="AI420" s="124">
        <f>交易记录!U238</f>
        <v>0</v>
      </c>
      <c r="AJ420" s="30">
        <f t="shared" si="214"/>
        <v>0</v>
      </c>
      <c r="AK420" s="121">
        <f>交易记录!U271</f>
        <v>0</v>
      </c>
      <c r="AL420" s="121">
        <f>交易记录!U302</f>
        <v>0</v>
      </c>
      <c r="AM420" s="30">
        <f t="shared" si="215"/>
        <v>0</v>
      </c>
      <c r="AN420" s="124">
        <f>交易记录!U335</f>
        <v>0</v>
      </c>
      <c r="AO420" s="124">
        <f>交易记录!U366</f>
        <v>0</v>
      </c>
      <c r="AP420" s="30">
        <f t="shared" si="216"/>
        <v>0</v>
      </c>
      <c r="AQ420" s="121">
        <f>交易记录!U399</f>
        <v>0</v>
      </c>
      <c r="AR420" s="121">
        <f>交易记录!U430</f>
        <v>0</v>
      </c>
      <c r="AS420" s="30">
        <f t="shared" si="217"/>
        <v>0</v>
      </c>
      <c r="AT420" s="124">
        <f>交易记录!U463</f>
        <v>0</v>
      </c>
      <c r="AU420" s="124">
        <f>交易记录!U494</f>
        <v>0</v>
      </c>
      <c r="AV420" s="30">
        <f t="shared" si="195"/>
        <v>0</v>
      </c>
      <c r="AW420" s="121">
        <f>交易记录!U527</f>
        <v>0</v>
      </c>
      <c r="AX420" s="121">
        <f>交易记录!U558</f>
        <v>0</v>
      </c>
      <c r="AY420" s="30">
        <f t="shared" si="196"/>
        <v>0</v>
      </c>
      <c r="AZ420" s="124">
        <f>交易记录!U591</f>
        <v>0</v>
      </c>
      <c r="BA420" s="124">
        <f>交易记录!U622</f>
        <v>0</v>
      </c>
      <c r="BB420" s="30">
        <f t="shared" si="197"/>
        <v>0</v>
      </c>
      <c r="BC420" s="121">
        <f>交易记录!U655</f>
        <v>0</v>
      </c>
      <c r="BD420" s="121">
        <f>交易记录!U686</f>
        <v>0</v>
      </c>
      <c r="BE420" s="30">
        <f t="shared" si="198"/>
        <v>0</v>
      </c>
      <c r="BF420" s="124">
        <f>交易记录!U719</f>
        <v>0</v>
      </c>
      <c r="BG420" s="124">
        <f>交易记录!U750</f>
        <v>0</v>
      </c>
      <c r="BH420" s="30">
        <f t="shared" si="199"/>
        <v>0</v>
      </c>
      <c r="BI420" s="121">
        <f>交易记录!U783</f>
        <v>0</v>
      </c>
      <c r="BJ420" s="121">
        <f>交易记录!U814</f>
        <v>0</v>
      </c>
      <c r="BK420" s="30">
        <f t="shared" si="200"/>
        <v>0</v>
      </c>
      <c r="BL420" s="124">
        <f>交易记录!U847</f>
        <v>0</v>
      </c>
      <c r="BM420" s="124">
        <f>交易记录!U878</f>
        <v>0</v>
      </c>
      <c r="BN420" s="30">
        <f t="shared" si="201"/>
        <v>0</v>
      </c>
      <c r="BO420" s="121">
        <f>交易记录!U911</f>
        <v>0</v>
      </c>
      <c r="BP420" s="121">
        <f>交易记录!U942</f>
        <v>0</v>
      </c>
      <c r="BQ420" s="30">
        <f t="shared" si="202"/>
        <v>0</v>
      </c>
    </row>
    <row r="421" spans="1:69" ht="15">
      <c r="A421" s="125">
        <f>'维护-日期'!A$20</f>
        <v>46283</v>
      </c>
      <c r="B421" s="7" t="s">
        <v>17</v>
      </c>
      <c r="C421" s="144">
        <f t="shared" si="203"/>
        <v>21.329000000000001</v>
      </c>
      <c r="D421" s="144">
        <f>ROUND(INDEX(持仓数据!$C$3:$AG$26,MATCH('计算过程-数据汇总'!B421,持仓数据!$B$3:$B$26,0),MATCH('计算过程-数据汇总'!A421,'维护-日期'!$B$2:$AF$2,0)),3)</f>
        <v>21.329000000000001</v>
      </c>
      <c r="E421" s="98">
        <f t="shared" si="204"/>
        <v>21.329000000000001</v>
      </c>
      <c r="F421" s="22">
        <f>持仓数据!T83</f>
        <v>0.32100000000000001</v>
      </c>
      <c r="G421" s="97">
        <v>372</v>
      </c>
      <c r="H421" s="97">
        <v>372</v>
      </c>
      <c r="I421" s="64">
        <v>0</v>
      </c>
      <c r="J421" s="64">
        <v>0</v>
      </c>
      <c r="K421" s="21">
        <f>IF(持仓数据!T116="",0,持仓数据!T116)</f>
        <v>372</v>
      </c>
      <c r="L421" s="21">
        <f t="shared" si="205"/>
        <v>0</v>
      </c>
      <c r="M421" s="28">
        <f t="shared" si="189"/>
        <v>7934.3879999999999</v>
      </c>
      <c r="N421" s="28">
        <f t="shared" si="190"/>
        <v>0</v>
      </c>
      <c r="O421" s="28">
        <f t="shared" si="191"/>
        <v>0</v>
      </c>
      <c r="P421" s="28">
        <f t="shared" si="192"/>
        <v>0</v>
      </c>
      <c r="Q421" s="28">
        <f t="shared" si="206"/>
        <v>0</v>
      </c>
      <c r="R421" s="28">
        <f t="shared" si="193"/>
        <v>7934.3879999999999</v>
      </c>
      <c r="S421" s="28">
        <f t="shared" si="207"/>
        <v>0</v>
      </c>
      <c r="T421" s="28">
        <f t="shared" si="208"/>
        <v>0</v>
      </c>
      <c r="U421" s="28">
        <f t="shared" si="211"/>
        <v>0</v>
      </c>
      <c r="V421" s="28">
        <f t="shared" si="209"/>
        <v>0</v>
      </c>
      <c r="W421" s="118"/>
      <c r="X421" s="143">
        <f t="shared" si="210"/>
        <v>25.274000000000001</v>
      </c>
      <c r="Y421" s="121">
        <f>交易记录!U16</f>
        <v>0.32100000000000001</v>
      </c>
      <c r="Z421" s="121">
        <f>交易记录!U47</f>
        <v>372</v>
      </c>
      <c r="AA421" s="30">
        <f t="shared" si="194"/>
        <v>0</v>
      </c>
      <c r="AB421" s="124">
        <f>交易记录!U80</f>
        <v>0</v>
      </c>
      <c r="AC421" s="124">
        <f>交易记录!U111</f>
        <v>0</v>
      </c>
      <c r="AD421" s="30">
        <f t="shared" si="212"/>
        <v>0</v>
      </c>
      <c r="AE421" s="121">
        <f>交易记录!U144</f>
        <v>0</v>
      </c>
      <c r="AF421" s="121">
        <f>交易记录!U175</f>
        <v>0</v>
      </c>
      <c r="AG421" s="30">
        <f t="shared" si="213"/>
        <v>0</v>
      </c>
      <c r="AH421" s="124">
        <f>交易记录!U208</f>
        <v>0</v>
      </c>
      <c r="AI421" s="124">
        <f>交易记录!U239</f>
        <v>0</v>
      </c>
      <c r="AJ421" s="30">
        <f t="shared" si="214"/>
        <v>0</v>
      </c>
      <c r="AK421" s="121">
        <f>交易记录!U272</f>
        <v>0</v>
      </c>
      <c r="AL421" s="121">
        <f>交易记录!U303</f>
        <v>0</v>
      </c>
      <c r="AM421" s="30">
        <f t="shared" si="215"/>
        <v>0</v>
      </c>
      <c r="AN421" s="124">
        <f>交易记录!U336</f>
        <v>0</v>
      </c>
      <c r="AO421" s="124">
        <f>交易记录!U367</f>
        <v>0</v>
      </c>
      <c r="AP421" s="30">
        <f t="shared" si="216"/>
        <v>0</v>
      </c>
      <c r="AQ421" s="121">
        <f>交易记录!U400</f>
        <v>0</v>
      </c>
      <c r="AR421" s="121">
        <f>交易记录!U431</f>
        <v>0</v>
      </c>
      <c r="AS421" s="30">
        <f t="shared" si="217"/>
        <v>0</v>
      </c>
      <c r="AT421" s="124">
        <f>交易记录!U464</f>
        <v>0</v>
      </c>
      <c r="AU421" s="124">
        <f>交易记录!U495</f>
        <v>0</v>
      </c>
      <c r="AV421" s="30">
        <f t="shared" si="195"/>
        <v>0</v>
      </c>
      <c r="AW421" s="121">
        <f>交易记录!U528</f>
        <v>0</v>
      </c>
      <c r="AX421" s="121">
        <f>交易记录!U559</f>
        <v>0</v>
      </c>
      <c r="AY421" s="30">
        <f t="shared" si="196"/>
        <v>0</v>
      </c>
      <c r="AZ421" s="124">
        <f>交易记录!U592</f>
        <v>0</v>
      </c>
      <c r="BA421" s="124">
        <f>交易记录!U623</f>
        <v>0</v>
      </c>
      <c r="BB421" s="30">
        <f t="shared" si="197"/>
        <v>0</v>
      </c>
      <c r="BC421" s="121">
        <f>交易记录!U656</f>
        <v>0</v>
      </c>
      <c r="BD421" s="121">
        <f>交易记录!U687</f>
        <v>0</v>
      </c>
      <c r="BE421" s="30">
        <f t="shared" si="198"/>
        <v>0</v>
      </c>
      <c r="BF421" s="124">
        <f>交易记录!U720</f>
        <v>0</v>
      </c>
      <c r="BG421" s="124">
        <f>交易记录!U751</f>
        <v>0</v>
      </c>
      <c r="BH421" s="30">
        <f t="shared" si="199"/>
        <v>0</v>
      </c>
      <c r="BI421" s="121">
        <f>交易记录!U784</f>
        <v>0</v>
      </c>
      <c r="BJ421" s="121">
        <f>交易记录!U815</f>
        <v>0</v>
      </c>
      <c r="BK421" s="30">
        <f t="shared" si="200"/>
        <v>0</v>
      </c>
      <c r="BL421" s="124">
        <f>交易记录!U848</f>
        <v>0</v>
      </c>
      <c r="BM421" s="124">
        <f>交易记录!U879</f>
        <v>0</v>
      </c>
      <c r="BN421" s="30">
        <f t="shared" si="201"/>
        <v>0</v>
      </c>
      <c r="BO421" s="121">
        <f>交易记录!U912</f>
        <v>0</v>
      </c>
      <c r="BP421" s="121">
        <f>交易记录!U943</f>
        <v>0</v>
      </c>
      <c r="BQ421" s="30">
        <f t="shared" si="202"/>
        <v>0</v>
      </c>
    </row>
    <row r="422" spans="1:69" ht="15">
      <c r="A422" s="125">
        <f>'维护-日期'!A$20</f>
        <v>46283</v>
      </c>
      <c r="B422" s="7" t="s">
        <v>18</v>
      </c>
      <c r="C422" s="144">
        <f t="shared" si="203"/>
        <v>22.643999999999998</v>
      </c>
      <c r="D422" s="144">
        <f>ROUND(INDEX(持仓数据!$C$3:$AG$26,MATCH('计算过程-数据汇总'!B422,持仓数据!$B$3:$B$26,0),MATCH('计算过程-数据汇总'!A422,'维护-日期'!$B$2:$AF$2,0)),3)</f>
        <v>22.643999999999998</v>
      </c>
      <c r="E422" s="98">
        <f t="shared" si="204"/>
        <v>22.643999999999998</v>
      </c>
      <c r="F422" s="22">
        <f>持仓数据!T84</f>
        <v>7.8E-2</v>
      </c>
      <c r="G422" s="97">
        <v>372</v>
      </c>
      <c r="H422" s="97">
        <v>372</v>
      </c>
      <c r="I422" s="64">
        <v>0</v>
      </c>
      <c r="J422" s="64">
        <v>0</v>
      </c>
      <c r="K422" s="21">
        <f>IF(持仓数据!T117="",0,持仓数据!T117)</f>
        <v>372</v>
      </c>
      <c r="L422" s="21">
        <f t="shared" si="205"/>
        <v>0</v>
      </c>
      <c r="M422" s="28">
        <f t="shared" si="189"/>
        <v>8423.5679999999993</v>
      </c>
      <c r="N422" s="28">
        <f t="shared" si="190"/>
        <v>0</v>
      </c>
      <c r="O422" s="28">
        <f t="shared" si="191"/>
        <v>0</v>
      </c>
      <c r="P422" s="28">
        <f t="shared" si="192"/>
        <v>0</v>
      </c>
      <c r="Q422" s="28">
        <f t="shared" si="206"/>
        <v>0</v>
      </c>
      <c r="R422" s="28">
        <f t="shared" si="193"/>
        <v>8423.5679999999993</v>
      </c>
      <c r="S422" s="28">
        <f t="shared" si="207"/>
        <v>0</v>
      </c>
      <c r="T422" s="28">
        <f t="shared" si="208"/>
        <v>0</v>
      </c>
      <c r="U422" s="28">
        <f t="shared" si="211"/>
        <v>0</v>
      </c>
      <c r="V422" s="28">
        <f t="shared" si="209"/>
        <v>0</v>
      </c>
      <c r="W422" s="118"/>
      <c r="X422" s="143">
        <f t="shared" si="210"/>
        <v>27.094999999999999</v>
      </c>
      <c r="Y422" s="121">
        <f>交易记录!U17</f>
        <v>7.8E-2</v>
      </c>
      <c r="Z422" s="121">
        <f>交易记录!U48</f>
        <v>372</v>
      </c>
      <c r="AA422" s="30">
        <f t="shared" si="194"/>
        <v>0</v>
      </c>
      <c r="AB422" s="124">
        <f>交易记录!U81</f>
        <v>0</v>
      </c>
      <c r="AC422" s="124">
        <f>交易记录!U112</f>
        <v>0</v>
      </c>
      <c r="AD422" s="30">
        <f t="shared" si="212"/>
        <v>0</v>
      </c>
      <c r="AE422" s="121">
        <f>交易记录!U145</f>
        <v>0</v>
      </c>
      <c r="AF422" s="121">
        <f>交易记录!U176</f>
        <v>0</v>
      </c>
      <c r="AG422" s="30">
        <f t="shared" si="213"/>
        <v>0</v>
      </c>
      <c r="AH422" s="124">
        <f>交易记录!U209</f>
        <v>0</v>
      </c>
      <c r="AI422" s="124">
        <f>交易记录!U240</f>
        <v>0</v>
      </c>
      <c r="AJ422" s="30">
        <f t="shared" si="214"/>
        <v>0</v>
      </c>
      <c r="AK422" s="121">
        <f>交易记录!U273</f>
        <v>0</v>
      </c>
      <c r="AL422" s="121">
        <f>交易记录!U304</f>
        <v>0</v>
      </c>
      <c r="AM422" s="30">
        <f t="shared" si="215"/>
        <v>0</v>
      </c>
      <c r="AN422" s="124">
        <f>交易记录!U337</f>
        <v>0</v>
      </c>
      <c r="AO422" s="124">
        <f>交易记录!U368</f>
        <v>0</v>
      </c>
      <c r="AP422" s="30">
        <f t="shared" si="216"/>
        <v>0</v>
      </c>
      <c r="AQ422" s="121">
        <f>交易记录!U401</f>
        <v>0</v>
      </c>
      <c r="AR422" s="121">
        <f>交易记录!U432</f>
        <v>0</v>
      </c>
      <c r="AS422" s="30">
        <f t="shared" si="217"/>
        <v>0</v>
      </c>
      <c r="AT422" s="124">
        <f>交易记录!U465</f>
        <v>0</v>
      </c>
      <c r="AU422" s="124">
        <f>交易记录!U496</f>
        <v>0</v>
      </c>
      <c r="AV422" s="30">
        <f t="shared" si="195"/>
        <v>0</v>
      </c>
      <c r="AW422" s="121">
        <f>交易记录!U529</f>
        <v>0</v>
      </c>
      <c r="AX422" s="121">
        <f>交易记录!U560</f>
        <v>0</v>
      </c>
      <c r="AY422" s="30">
        <f t="shared" si="196"/>
        <v>0</v>
      </c>
      <c r="AZ422" s="124">
        <f>交易记录!U593</f>
        <v>0</v>
      </c>
      <c r="BA422" s="124">
        <f>交易记录!U624</f>
        <v>0</v>
      </c>
      <c r="BB422" s="30">
        <f t="shared" si="197"/>
        <v>0</v>
      </c>
      <c r="BC422" s="121">
        <f>交易记录!U657</f>
        <v>0</v>
      </c>
      <c r="BD422" s="121">
        <f>交易记录!U688</f>
        <v>0</v>
      </c>
      <c r="BE422" s="30">
        <f t="shared" si="198"/>
        <v>0</v>
      </c>
      <c r="BF422" s="124">
        <f>交易记录!U721</f>
        <v>0</v>
      </c>
      <c r="BG422" s="124">
        <f>交易记录!U752</f>
        <v>0</v>
      </c>
      <c r="BH422" s="30">
        <f t="shared" si="199"/>
        <v>0</v>
      </c>
      <c r="BI422" s="121">
        <f>交易记录!U785</f>
        <v>0</v>
      </c>
      <c r="BJ422" s="121">
        <f>交易记录!U816</f>
        <v>0</v>
      </c>
      <c r="BK422" s="30">
        <f t="shared" si="200"/>
        <v>0</v>
      </c>
      <c r="BL422" s="124">
        <f>交易记录!U849</f>
        <v>0</v>
      </c>
      <c r="BM422" s="124">
        <f>交易记录!U880</f>
        <v>0</v>
      </c>
      <c r="BN422" s="30">
        <f t="shared" si="201"/>
        <v>0</v>
      </c>
      <c r="BO422" s="121">
        <f>交易记录!U913</f>
        <v>0</v>
      </c>
      <c r="BP422" s="121">
        <f>交易记录!U944</f>
        <v>0</v>
      </c>
      <c r="BQ422" s="30">
        <f t="shared" si="202"/>
        <v>0</v>
      </c>
    </row>
    <row r="423" spans="1:69" ht="15">
      <c r="A423" s="125">
        <f>'维护-日期'!A$20</f>
        <v>46283</v>
      </c>
      <c r="B423" s="7" t="s">
        <v>19</v>
      </c>
      <c r="C423" s="144">
        <f t="shared" si="203"/>
        <v>22.904</v>
      </c>
      <c r="D423" s="144">
        <f>ROUND(INDEX(持仓数据!$C$3:$AG$26,MATCH('计算过程-数据汇总'!B423,持仓数据!$B$3:$B$26,0),MATCH('计算过程-数据汇总'!A423,'维护-日期'!$B$2:$AF$2,0)),3)</f>
        <v>22.904</v>
      </c>
      <c r="E423" s="98">
        <f t="shared" si="204"/>
        <v>22.904</v>
      </c>
      <c r="F423" s="22">
        <f>持仓数据!T85</f>
        <v>0.19500000000000001</v>
      </c>
      <c r="G423" s="97">
        <v>372</v>
      </c>
      <c r="H423" s="97">
        <v>372</v>
      </c>
      <c r="I423" s="64">
        <v>0</v>
      </c>
      <c r="J423" s="64">
        <v>0</v>
      </c>
      <c r="K423" s="21">
        <f>IF(持仓数据!T118="",0,持仓数据!T118)</f>
        <v>372</v>
      </c>
      <c r="L423" s="21">
        <f t="shared" si="205"/>
        <v>0</v>
      </c>
      <c r="M423" s="28">
        <f t="shared" si="189"/>
        <v>8520.2880000000005</v>
      </c>
      <c r="N423" s="28">
        <f t="shared" si="190"/>
        <v>0</v>
      </c>
      <c r="O423" s="28">
        <f t="shared" si="191"/>
        <v>0</v>
      </c>
      <c r="P423" s="28">
        <f t="shared" si="192"/>
        <v>0</v>
      </c>
      <c r="Q423" s="28">
        <f t="shared" si="206"/>
        <v>0</v>
      </c>
      <c r="R423" s="28">
        <f t="shared" si="193"/>
        <v>8520.2880000000005</v>
      </c>
      <c r="S423" s="28">
        <f t="shared" si="207"/>
        <v>0</v>
      </c>
      <c r="T423" s="28">
        <f t="shared" si="208"/>
        <v>0</v>
      </c>
      <c r="U423" s="28">
        <f t="shared" si="211"/>
        <v>0</v>
      </c>
      <c r="V423" s="28">
        <f t="shared" si="209"/>
        <v>0</v>
      </c>
      <c r="W423" s="118"/>
      <c r="X423" s="143">
        <f t="shared" si="210"/>
        <v>27.29</v>
      </c>
      <c r="Y423" s="121">
        <f>交易记录!U18</f>
        <v>0.19500000000000001</v>
      </c>
      <c r="Z423" s="121">
        <f>交易记录!U49</f>
        <v>372</v>
      </c>
      <c r="AA423" s="30">
        <f t="shared" si="194"/>
        <v>0</v>
      </c>
      <c r="AB423" s="124">
        <f>交易记录!U82</f>
        <v>0</v>
      </c>
      <c r="AC423" s="124">
        <f>交易记录!U113</f>
        <v>0</v>
      </c>
      <c r="AD423" s="30">
        <f t="shared" si="212"/>
        <v>0</v>
      </c>
      <c r="AE423" s="121">
        <f>交易记录!U146</f>
        <v>0</v>
      </c>
      <c r="AF423" s="121">
        <f>交易记录!U177</f>
        <v>0</v>
      </c>
      <c r="AG423" s="30">
        <f t="shared" si="213"/>
        <v>0</v>
      </c>
      <c r="AH423" s="124">
        <f>交易记录!U210</f>
        <v>0</v>
      </c>
      <c r="AI423" s="124">
        <f>交易记录!U241</f>
        <v>0</v>
      </c>
      <c r="AJ423" s="30">
        <f t="shared" si="214"/>
        <v>0</v>
      </c>
      <c r="AK423" s="121">
        <f>交易记录!U274</f>
        <v>0</v>
      </c>
      <c r="AL423" s="121">
        <f>交易记录!U305</f>
        <v>0</v>
      </c>
      <c r="AM423" s="30">
        <f t="shared" si="215"/>
        <v>0</v>
      </c>
      <c r="AN423" s="124">
        <f>交易记录!U338</f>
        <v>0</v>
      </c>
      <c r="AO423" s="124">
        <f>交易记录!U369</f>
        <v>0</v>
      </c>
      <c r="AP423" s="30">
        <f t="shared" si="216"/>
        <v>0</v>
      </c>
      <c r="AQ423" s="121">
        <f>交易记录!U402</f>
        <v>0</v>
      </c>
      <c r="AR423" s="121">
        <f>交易记录!U433</f>
        <v>0</v>
      </c>
      <c r="AS423" s="30">
        <f t="shared" si="217"/>
        <v>0</v>
      </c>
      <c r="AT423" s="124">
        <f>交易记录!U466</f>
        <v>0</v>
      </c>
      <c r="AU423" s="124">
        <f>交易记录!U497</f>
        <v>0</v>
      </c>
      <c r="AV423" s="30">
        <f t="shared" si="195"/>
        <v>0</v>
      </c>
      <c r="AW423" s="121">
        <f>交易记录!U530</f>
        <v>0</v>
      </c>
      <c r="AX423" s="121">
        <f>交易记录!U561</f>
        <v>0</v>
      </c>
      <c r="AY423" s="30">
        <f t="shared" si="196"/>
        <v>0</v>
      </c>
      <c r="AZ423" s="124">
        <f>交易记录!U594</f>
        <v>0</v>
      </c>
      <c r="BA423" s="124">
        <f>交易记录!U625</f>
        <v>0</v>
      </c>
      <c r="BB423" s="30">
        <f t="shared" si="197"/>
        <v>0</v>
      </c>
      <c r="BC423" s="121">
        <f>交易记录!U658</f>
        <v>0</v>
      </c>
      <c r="BD423" s="121">
        <f>交易记录!U689</f>
        <v>0</v>
      </c>
      <c r="BE423" s="30">
        <f t="shared" si="198"/>
        <v>0</v>
      </c>
      <c r="BF423" s="124">
        <f>交易记录!U722</f>
        <v>0</v>
      </c>
      <c r="BG423" s="124">
        <f>交易记录!U753</f>
        <v>0</v>
      </c>
      <c r="BH423" s="30">
        <f t="shared" si="199"/>
        <v>0</v>
      </c>
      <c r="BI423" s="121">
        <f>交易记录!U786</f>
        <v>0</v>
      </c>
      <c r="BJ423" s="121">
        <f>交易记录!U817</f>
        <v>0</v>
      </c>
      <c r="BK423" s="30">
        <f t="shared" si="200"/>
        <v>0</v>
      </c>
      <c r="BL423" s="124">
        <f>交易记录!U850</f>
        <v>0</v>
      </c>
      <c r="BM423" s="124">
        <f>交易记录!U881</f>
        <v>0</v>
      </c>
      <c r="BN423" s="30">
        <f t="shared" si="201"/>
        <v>0</v>
      </c>
      <c r="BO423" s="121">
        <f>交易记录!U914</f>
        <v>0</v>
      </c>
      <c r="BP423" s="121">
        <f>交易记录!U945</f>
        <v>0</v>
      </c>
      <c r="BQ423" s="30">
        <f t="shared" si="202"/>
        <v>0</v>
      </c>
    </row>
    <row r="424" spans="1:69" ht="15">
      <c r="A424" s="125">
        <f>'维护-日期'!A$20</f>
        <v>46283</v>
      </c>
      <c r="B424" s="7" t="s">
        <v>20</v>
      </c>
      <c r="C424" s="144">
        <f t="shared" si="203"/>
        <v>22.071000000000002</v>
      </c>
      <c r="D424" s="144">
        <f>ROUND(INDEX(持仓数据!$C$3:$AG$26,MATCH('计算过程-数据汇总'!B424,持仓数据!$B$3:$B$26,0),MATCH('计算过程-数据汇总'!A424,'维护-日期'!$B$2:$AF$2,0)),3)</f>
        <v>22.071000000000002</v>
      </c>
      <c r="E424" s="98">
        <f t="shared" si="204"/>
        <v>22.071000000000002</v>
      </c>
      <c r="F424" s="22">
        <f>持仓数据!T86</f>
        <v>0.34599999999999997</v>
      </c>
      <c r="G424" s="97">
        <v>372</v>
      </c>
      <c r="H424" s="97">
        <v>372</v>
      </c>
      <c r="I424" s="64">
        <v>0</v>
      </c>
      <c r="J424" s="64">
        <v>0</v>
      </c>
      <c r="K424" s="21">
        <f>IF(持仓数据!T119="",0,持仓数据!T119)</f>
        <v>372</v>
      </c>
      <c r="L424" s="21">
        <f t="shared" si="205"/>
        <v>0</v>
      </c>
      <c r="M424" s="28">
        <f t="shared" si="189"/>
        <v>8210.4120000000003</v>
      </c>
      <c r="N424" s="28">
        <f t="shared" si="190"/>
        <v>0</v>
      </c>
      <c r="O424" s="28">
        <f t="shared" si="191"/>
        <v>0</v>
      </c>
      <c r="P424" s="28">
        <f t="shared" si="192"/>
        <v>0</v>
      </c>
      <c r="Q424" s="28">
        <f t="shared" si="206"/>
        <v>0</v>
      </c>
      <c r="R424" s="28">
        <f t="shared" si="193"/>
        <v>8210.4120000000003</v>
      </c>
      <c r="S424" s="28">
        <f t="shared" si="207"/>
        <v>0</v>
      </c>
      <c r="T424" s="28">
        <f t="shared" si="208"/>
        <v>0</v>
      </c>
      <c r="U424" s="28">
        <f t="shared" si="211"/>
        <v>0</v>
      </c>
      <c r="V424" s="28">
        <f t="shared" si="209"/>
        <v>0</v>
      </c>
      <c r="W424" s="118"/>
      <c r="X424" s="143">
        <f t="shared" si="210"/>
        <v>26.138999999999999</v>
      </c>
      <c r="Y424" s="121">
        <f>交易记录!U19</f>
        <v>0.34599999999999997</v>
      </c>
      <c r="Z424" s="121">
        <f>交易记录!U50</f>
        <v>372</v>
      </c>
      <c r="AA424" s="30">
        <f t="shared" si="194"/>
        <v>0</v>
      </c>
      <c r="AB424" s="124">
        <f>交易记录!U83</f>
        <v>0</v>
      </c>
      <c r="AC424" s="124">
        <f>交易记录!U114</f>
        <v>0</v>
      </c>
      <c r="AD424" s="30">
        <f t="shared" si="212"/>
        <v>0</v>
      </c>
      <c r="AE424" s="121">
        <f>交易记录!U147</f>
        <v>0</v>
      </c>
      <c r="AF424" s="121">
        <f>交易记录!U178</f>
        <v>0</v>
      </c>
      <c r="AG424" s="30">
        <f t="shared" si="213"/>
        <v>0</v>
      </c>
      <c r="AH424" s="124">
        <f>交易记录!U211</f>
        <v>0</v>
      </c>
      <c r="AI424" s="124">
        <f>交易记录!U242</f>
        <v>0</v>
      </c>
      <c r="AJ424" s="30">
        <f t="shared" si="214"/>
        <v>0</v>
      </c>
      <c r="AK424" s="121">
        <f>交易记录!U275</f>
        <v>0</v>
      </c>
      <c r="AL424" s="121">
        <f>交易记录!U306</f>
        <v>0</v>
      </c>
      <c r="AM424" s="30">
        <f t="shared" si="215"/>
        <v>0</v>
      </c>
      <c r="AN424" s="124">
        <f>交易记录!U339</f>
        <v>0</v>
      </c>
      <c r="AO424" s="124">
        <f>交易记录!U370</f>
        <v>0</v>
      </c>
      <c r="AP424" s="30">
        <f t="shared" si="216"/>
        <v>0</v>
      </c>
      <c r="AQ424" s="121">
        <f>交易记录!U403</f>
        <v>0</v>
      </c>
      <c r="AR424" s="121">
        <f>交易记录!U434</f>
        <v>0</v>
      </c>
      <c r="AS424" s="30">
        <f t="shared" si="217"/>
        <v>0</v>
      </c>
      <c r="AT424" s="124">
        <f>交易记录!U467</f>
        <v>0</v>
      </c>
      <c r="AU424" s="124">
        <f>交易记录!U498</f>
        <v>0</v>
      </c>
      <c r="AV424" s="30">
        <f t="shared" si="195"/>
        <v>0</v>
      </c>
      <c r="AW424" s="121">
        <f>交易记录!U531</f>
        <v>0</v>
      </c>
      <c r="AX424" s="121">
        <f>交易记录!U562</f>
        <v>0</v>
      </c>
      <c r="AY424" s="30">
        <f t="shared" si="196"/>
        <v>0</v>
      </c>
      <c r="AZ424" s="124">
        <f>交易记录!U595</f>
        <v>0</v>
      </c>
      <c r="BA424" s="124">
        <f>交易记录!U626</f>
        <v>0</v>
      </c>
      <c r="BB424" s="30">
        <f t="shared" si="197"/>
        <v>0</v>
      </c>
      <c r="BC424" s="121">
        <f>交易记录!U659</f>
        <v>0</v>
      </c>
      <c r="BD424" s="121">
        <f>交易记录!U690</f>
        <v>0</v>
      </c>
      <c r="BE424" s="30">
        <f t="shared" si="198"/>
        <v>0</v>
      </c>
      <c r="BF424" s="124">
        <f>交易记录!U723</f>
        <v>0</v>
      </c>
      <c r="BG424" s="124">
        <f>交易记录!U754</f>
        <v>0</v>
      </c>
      <c r="BH424" s="30">
        <f t="shared" si="199"/>
        <v>0</v>
      </c>
      <c r="BI424" s="121">
        <f>交易记录!U787</f>
        <v>0</v>
      </c>
      <c r="BJ424" s="121">
        <f>交易记录!U818</f>
        <v>0</v>
      </c>
      <c r="BK424" s="30">
        <f t="shared" si="200"/>
        <v>0</v>
      </c>
      <c r="BL424" s="124">
        <f>交易记录!U851</f>
        <v>0</v>
      </c>
      <c r="BM424" s="124">
        <f>交易记录!U882</f>
        <v>0</v>
      </c>
      <c r="BN424" s="30">
        <f t="shared" si="201"/>
        <v>0</v>
      </c>
      <c r="BO424" s="121">
        <f>交易记录!U915</f>
        <v>0</v>
      </c>
      <c r="BP424" s="121">
        <f>交易记录!U946</f>
        <v>0</v>
      </c>
      <c r="BQ424" s="30">
        <f t="shared" si="202"/>
        <v>0</v>
      </c>
    </row>
    <row r="425" spans="1:69" ht="15">
      <c r="A425" s="125">
        <f>'维护-日期'!A$20</f>
        <v>46283</v>
      </c>
      <c r="B425" s="7" t="s">
        <v>21</v>
      </c>
      <c r="C425" s="144">
        <f t="shared" si="203"/>
        <v>22.087</v>
      </c>
      <c r="D425" s="144">
        <f>ROUND(INDEX(持仓数据!$C$3:$AG$26,MATCH('计算过程-数据汇总'!B425,持仓数据!$B$3:$B$26,0),MATCH('计算过程-数据汇总'!A425,'维护-日期'!$B$2:$AF$2,0)),3)</f>
        <v>22.087</v>
      </c>
      <c r="E425" s="98">
        <f t="shared" si="204"/>
        <v>22.087</v>
      </c>
      <c r="F425" s="22">
        <f>持仓数据!T87</f>
        <v>0.38</v>
      </c>
      <c r="G425" s="97">
        <v>372</v>
      </c>
      <c r="H425" s="97">
        <v>372</v>
      </c>
      <c r="I425" s="64">
        <v>0</v>
      </c>
      <c r="J425" s="64">
        <v>0</v>
      </c>
      <c r="K425" s="21">
        <f>IF(持仓数据!T120="",0,持仓数据!T120)</f>
        <v>372.00000000000006</v>
      </c>
      <c r="L425" s="21">
        <f t="shared" si="205"/>
        <v>0</v>
      </c>
      <c r="M425" s="28">
        <f t="shared" si="189"/>
        <v>8216.3639999999996</v>
      </c>
      <c r="N425" s="28">
        <f t="shared" si="190"/>
        <v>0</v>
      </c>
      <c r="O425" s="28">
        <f t="shared" si="191"/>
        <v>0</v>
      </c>
      <c r="P425" s="28">
        <f t="shared" si="192"/>
        <v>2.1600499167107046E-14</v>
      </c>
      <c r="Q425" s="28">
        <f t="shared" si="206"/>
        <v>0</v>
      </c>
      <c r="R425" s="28">
        <f t="shared" si="193"/>
        <v>8216.3640000000014</v>
      </c>
      <c r="S425" s="28">
        <f t="shared" si="207"/>
        <v>0</v>
      </c>
      <c r="T425" s="28">
        <f t="shared" si="208"/>
        <v>-1.2339000932115596E-12</v>
      </c>
      <c r="U425" s="28">
        <f t="shared" si="211"/>
        <v>0</v>
      </c>
      <c r="V425" s="28">
        <f t="shared" si="209"/>
        <v>0</v>
      </c>
      <c r="W425" s="118"/>
      <c r="X425" s="143">
        <f t="shared" si="210"/>
        <v>26.123999999999999</v>
      </c>
      <c r="Y425" s="121">
        <f>交易记录!U20</f>
        <v>0.38</v>
      </c>
      <c r="Z425" s="121">
        <f>交易记录!U51</f>
        <v>372</v>
      </c>
      <c r="AA425" s="30">
        <f t="shared" si="194"/>
        <v>0</v>
      </c>
      <c r="AB425" s="124">
        <f>交易记录!U84</f>
        <v>0</v>
      </c>
      <c r="AC425" s="124">
        <f>交易记录!U115</f>
        <v>0</v>
      </c>
      <c r="AD425" s="30">
        <f t="shared" si="212"/>
        <v>0</v>
      </c>
      <c r="AE425" s="121">
        <f>交易记录!U148</f>
        <v>0</v>
      </c>
      <c r="AF425" s="121">
        <f>交易记录!U179</f>
        <v>0</v>
      </c>
      <c r="AG425" s="30">
        <f t="shared" si="213"/>
        <v>0</v>
      </c>
      <c r="AH425" s="124">
        <f>交易记录!U212</f>
        <v>0</v>
      </c>
      <c r="AI425" s="124">
        <f>交易记录!U243</f>
        <v>0</v>
      </c>
      <c r="AJ425" s="30">
        <f t="shared" si="214"/>
        <v>0</v>
      </c>
      <c r="AK425" s="121">
        <f>交易记录!U276</f>
        <v>0</v>
      </c>
      <c r="AL425" s="121">
        <f>交易记录!U307</f>
        <v>0</v>
      </c>
      <c r="AM425" s="30">
        <f t="shared" si="215"/>
        <v>0</v>
      </c>
      <c r="AN425" s="124">
        <f>交易记录!U340</f>
        <v>0</v>
      </c>
      <c r="AO425" s="124">
        <f>交易记录!U371</f>
        <v>0</v>
      </c>
      <c r="AP425" s="30">
        <f t="shared" si="216"/>
        <v>0</v>
      </c>
      <c r="AQ425" s="121">
        <f>交易记录!U404</f>
        <v>0</v>
      </c>
      <c r="AR425" s="121">
        <f>交易记录!U435</f>
        <v>0</v>
      </c>
      <c r="AS425" s="30">
        <f t="shared" si="217"/>
        <v>0</v>
      </c>
      <c r="AT425" s="124">
        <f>交易记录!U468</f>
        <v>0</v>
      </c>
      <c r="AU425" s="124">
        <f>交易记录!U499</f>
        <v>0</v>
      </c>
      <c r="AV425" s="30">
        <f t="shared" si="195"/>
        <v>0</v>
      </c>
      <c r="AW425" s="121">
        <f>交易记录!U532</f>
        <v>0</v>
      </c>
      <c r="AX425" s="121">
        <f>交易记录!U563</f>
        <v>0</v>
      </c>
      <c r="AY425" s="30">
        <f t="shared" si="196"/>
        <v>0</v>
      </c>
      <c r="AZ425" s="124">
        <f>交易记录!U596</f>
        <v>0</v>
      </c>
      <c r="BA425" s="124">
        <f>交易记录!U627</f>
        <v>0</v>
      </c>
      <c r="BB425" s="30">
        <f t="shared" si="197"/>
        <v>0</v>
      </c>
      <c r="BC425" s="121">
        <f>交易记录!U660</f>
        <v>0</v>
      </c>
      <c r="BD425" s="121">
        <f>交易记录!U691</f>
        <v>0</v>
      </c>
      <c r="BE425" s="30">
        <f t="shared" si="198"/>
        <v>0</v>
      </c>
      <c r="BF425" s="124">
        <f>交易记录!U724</f>
        <v>0</v>
      </c>
      <c r="BG425" s="124">
        <f>交易记录!U755</f>
        <v>0</v>
      </c>
      <c r="BH425" s="30">
        <f t="shared" si="199"/>
        <v>0</v>
      </c>
      <c r="BI425" s="121">
        <f>交易记录!U788</f>
        <v>0</v>
      </c>
      <c r="BJ425" s="121">
        <f>交易记录!U819</f>
        <v>0</v>
      </c>
      <c r="BK425" s="30">
        <f t="shared" si="200"/>
        <v>0</v>
      </c>
      <c r="BL425" s="124">
        <f>交易记录!U852</f>
        <v>0</v>
      </c>
      <c r="BM425" s="124">
        <f>交易记录!U883</f>
        <v>0</v>
      </c>
      <c r="BN425" s="30">
        <f t="shared" si="201"/>
        <v>0</v>
      </c>
      <c r="BO425" s="121">
        <f>交易记录!U916</f>
        <v>0</v>
      </c>
      <c r="BP425" s="121">
        <f>交易记录!U947</f>
        <v>0</v>
      </c>
      <c r="BQ425" s="30">
        <f t="shared" si="202"/>
        <v>0</v>
      </c>
    </row>
    <row r="426" spans="1:69" ht="15">
      <c r="A426" s="125">
        <f>'维护-日期'!A$20</f>
        <v>46283</v>
      </c>
      <c r="B426" s="7" t="s">
        <v>22</v>
      </c>
      <c r="C426" s="144">
        <f t="shared" si="203"/>
        <v>23.077999999999999</v>
      </c>
      <c r="D426" s="144">
        <f>ROUND(INDEX(持仓数据!$C$3:$AG$26,MATCH('计算过程-数据汇总'!B426,持仓数据!$B$3:$B$26,0),MATCH('计算过程-数据汇总'!A426,'维护-日期'!$B$2:$AF$2,0)),3)</f>
        <v>23.077999999999999</v>
      </c>
      <c r="E426" s="98">
        <f t="shared" si="204"/>
        <v>23.077999999999999</v>
      </c>
      <c r="F426" s="22">
        <f>持仓数据!T88</f>
        <v>0.58600000000000008</v>
      </c>
      <c r="G426" s="97">
        <v>372</v>
      </c>
      <c r="H426" s="97">
        <v>372</v>
      </c>
      <c r="I426" s="64">
        <v>0</v>
      </c>
      <c r="J426" s="64">
        <v>0</v>
      </c>
      <c r="K426" s="21">
        <f>IF(持仓数据!T121="",0,持仓数据!T121)</f>
        <v>372</v>
      </c>
      <c r="L426" s="21">
        <f t="shared" si="205"/>
        <v>0</v>
      </c>
      <c r="M426" s="28">
        <f t="shared" si="189"/>
        <v>8585.0159999999996</v>
      </c>
      <c r="N426" s="28">
        <f t="shared" si="190"/>
        <v>0</v>
      </c>
      <c r="O426" s="28">
        <f t="shared" si="191"/>
        <v>0</v>
      </c>
      <c r="P426" s="28">
        <f t="shared" si="192"/>
        <v>0</v>
      </c>
      <c r="Q426" s="28">
        <f t="shared" si="206"/>
        <v>0</v>
      </c>
      <c r="R426" s="28">
        <f t="shared" si="193"/>
        <v>8585.0159999999996</v>
      </c>
      <c r="S426" s="28">
        <f t="shared" si="207"/>
        <v>0</v>
      </c>
      <c r="T426" s="28">
        <f t="shared" si="208"/>
        <v>0</v>
      </c>
      <c r="U426" s="28">
        <f t="shared" si="211"/>
        <v>0</v>
      </c>
      <c r="V426" s="28">
        <f t="shared" si="209"/>
        <v>0</v>
      </c>
      <c r="W426" s="118"/>
      <c r="X426" s="143">
        <f t="shared" si="210"/>
        <v>27.108000000000001</v>
      </c>
      <c r="Y426" s="121">
        <f>交易记录!U21</f>
        <v>0.58600000000000008</v>
      </c>
      <c r="Z426" s="121">
        <f>交易记录!U52</f>
        <v>372</v>
      </c>
      <c r="AA426" s="30">
        <f t="shared" si="194"/>
        <v>0</v>
      </c>
      <c r="AB426" s="124">
        <f>交易记录!U85</f>
        <v>0</v>
      </c>
      <c r="AC426" s="124">
        <f>交易记录!U116</f>
        <v>0</v>
      </c>
      <c r="AD426" s="30">
        <f t="shared" si="212"/>
        <v>0</v>
      </c>
      <c r="AE426" s="121">
        <f>交易记录!U149</f>
        <v>0</v>
      </c>
      <c r="AF426" s="121">
        <f>交易记录!U180</f>
        <v>0</v>
      </c>
      <c r="AG426" s="30">
        <f t="shared" si="213"/>
        <v>0</v>
      </c>
      <c r="AH426" s="124">
        <f>交易记录!U213</f>
        <v>0</v>
      </c>
      <c r="AI426" s="124">
        <f>交易记录!U244</f>
        <v>0</v>
      </c>
      <c r="AJ426" s="30">
        <f t="shared" si="214"/>
        <v>0</v>
      </c>
      <c r="AK426" s="121">
        <f>交易记录!U277</f>
        <v>0</v>
      </c>
      <c r="AL426" s="121">
        <f>交易记录!U308</f>
        <v>0</v>
      </c>
      <c r="AM426" s="30">
        <f t="shared" si="215"/>
        <v>0</v>
      </c>
      <c r="AN426" s="124">
        <f>交易记录!U341</f>
        <v>0</v>
      </c>
      <c r="AO426" s="124">
        <f>交易记录!U372</f>
        <v>0</v>
      </c>
      <c r="AP426" s="30">
        <f t="shared" si="216"/>
        <v>0</v>
      </c>
      <c r="AQ426" s="121">
        <f>交易记录!U405</f>
        <v>0</v>
      </c>
      <c r="AR426" s="121">
        <f>交易记录!U436</f>
        <v>0</v>
      </c>
      <c r="AS426" s="30">
        <f t="shared" si="217"/>
        <v>0</v>
      </c>
      <c r="AT426" s="124">
        <f>交易记录!U469</f>
        <v>0</v>
      </c>
      <c r="AU426" s="124">
        <f>交易记录!U500</f>
        <v>0</v>
      </c>
      <c r="AV426" s="30">
        <f t="shared" si="195"/>
        <v>0</v>
      </c>
      <c r="AW426" s="121">
        <f>交易记录!U533</f>
        <v>0</v>
      </c>
      <c r="AX426" s="121">
        <f>交易记录!U564</f>
        <v>0</v>
      </c>
      <c r="AY426" s="30">
        <f t="shared" si="196"/>
        <v>0</v>
      </c>
      <c r="AZ426" s="124">
        <f>交易记录!U597</f>
        <v>0</v>
      </c>
      <c r="BA426" s="124">
        <f>交易记录!U628</f>
        <v>0</v>
      </c>
      <c r="BB426" s="30">
        <f t="shared" si="197"/>
        <v>0</v>
      </c>
      <c r="BC426" s="121">
        <f>交易记录!U661</f>
        <v>0</v>
      </c>
      <c r="BD426" s="121">
        <f>交易记录!U692</f>
        <v>0</v>
      </c>
      <c r="BE426" s="30">
        <f t="shared" si="198"/>
        <v>0</v>
      </c>
      <c r="BF426" s="124">
        <f>交易记录!U725</f>
        <v>0</v>
      </c>
      <c r="BG426" s="124">
        <f>交易记录!U756</f>
        <v>0</v>
      </c>
      <c r="BH426" s="30">
        <f t="shared" si="199"/>
        <v>0</v>
      </c>
      <c r="BI426" s="121">
        <f>交易记录!U789</f>
        <v>0</v>
      </c>
      <c r="BJ426" s="121">
        <f>交易记录!U820</f>
        <v>0</v>
      </c>
      <c r="BK426" s="30">
        <f t="shared" si="200"/>
        <v>0</v>
      </c>
      <c r="BL426" s="124">
        <f>交易记录!U853</f>
        <v>0</v>
      </c>
      <c r="BM426" s="124">
        <f>交易记录!U884</f>
        <v>0</v>
      </c>
      <c r="BN426" s="30">
        <f t="shared" si="201"/>
        <v>0</v>
      </c>
      <c r="BO426" s="121">
        <f>交易记录!U917</f>
        <v>0</v>
      </c>
      <c r="BP426" s="121">
        <f>交易记录!U948</f>
        <v>0</v>
      </c>
      <c r="BQ426" s="30">
        <f t="shared" si="202"/>
        <v>0</v>
      </c>
    </row>
    <row r="427" spans="1:69" ht="15">
      <c r="A427" s="125">
        <f>'维护-日期'!A$20</f>
        <v>46283</v>
      </c>
      <c r="B427" s="7" t="s">
        <v>23</v>
      </c>
      <c r="C427" s="144">
        <f t="shared" si="203"/>
        <v>23.443000000000001</v>
      </c>
      <c r="D427" s="144">
        <f>ROUND(INDEX(持仓数据!$C$3:$AG$26,MATCH('计算过程-数据汇总'!B427,持仓数据!$B$3:$B$26,0),MATCH('计算过程-数据汇总'!A427,'维护-日期'!$B$2:$AF$2,0)),3)</f>
        <v>23.443000000000001</v>
      </c>
      <c r="E427" s="98">
        <f t="shared" si="204"/>
        <v>23.443000000000001</v>
      </c>
      <c r="F427" s="22">
        <f>持仓数据!T89</f>
        <v>0.63300000000000001</v>
      </c>
      <c r="G427" s="97">
        <v>372</v>
      </c>
      <c r="H427" s="97">
        <v>372</v>
      </c>
      <c r="I427" s="64">
        <v>0</v>
      </c>
      <c r="J427" s="64">
        <v>0</v>
      </c>
      <c r="K427" s="21">
        <f>IF(持仓数据!T122="",0,持仓数据!T122)</f>
        <v>372</v>
      </c>
      <c r="L427" s="21">
        <f t="shared" si="205"/>
        <v>0</v>
      </c>
      <c r="M427" s="28">
        <f t="shared" si="189"/>
        <v>8720.7960000000003</v>
      </c>
      <c r="N427" s="28">
        <f t="shared" si="190"/>
        <v>0</v>
      </c>
      <c r="O427" s="28">
        <f t="shared" si="191"/>
        <v>0</v>
      </c>
      <c r="P427" s="28">
        <f t="shared" si="192"/>
        <v>0</v>
      </c>
      <c r="Q427" s="28">
        <f t="shared" si="206"/>
        <v>0</v>
      </c>
      <c r="R427" s="28">
        <f t="shared" si="193"/>
        <v>8720.7960000000003</v>
      </c>
      <c r="S427" s="28">
        <f t="shared" si="207"/>
        <v>0</v>
      </c>
      <c r="T427" s="28">
        <f t="shared" si="208"/>
        <v>0</v>
      </c>
      <c r="U427" s="28">
        <f t="shared" si="211"/>
        <v>0</v>
      </c>
      <c r="V427" s="28">
        <f t="shared" si="209"/>
        <v>0</v>
      </c>
      <c r="W427" s="118"/>
      <c r="X427" s="143">
        <f t="shared" si="210"/>
        <v>27.498999999999999</v>
      </c>
      <c r="Y427" s="121">
        <f>交易记录!U22</f>
        <v>0.63300000000000001</v>
      </c>
      <c r="Z427" s="121">
        <f>交易记录!U53</f>
        <v>372</v>
      </c>
      <c r="AA427" s="30">
        <f t="shared" si="194"/>
        <v>0</v>
      </c>
      <c r="AB427" s="124">
        <f>交易记录!U86</f>
        <v>0</v>
      </c>
      <c r="AC427" s="124">
        <f>交易记录!U117</f>
        <v>0</v>
      </c>
      <c r="AD427" s="30">
        <f t="shared" si="212"/>
        <v>0</v>
      </c>
      <c r="AE427" s="121">
        <f>交易记录!U150</f>
        <v>0</v>
      </c>
      <c r="AF427" s="121">
        <f>交易记录!U181</f>
        <v>0</v>
      </c>
      <c r="AG427" s="30">
        <f t="shared" si="213"/>
        <v>0</v>
      </c>
      <c r="AH427" s="124">
        <f>交易记录!U214</f>
        <v>0</v>
      </c>
      <c r="AI427" s="124">
        <f>交易记录!U245</f>
        <v>0</v>
      </c>
      <c r="AJ427" s="30">
        <f t="shared" si="214"/>
        <v>0</v>
      </c>
      <c r="AK427" s="121">
        <f>交易记录!U278</f>
        <v>0</v>
      </c>
      <c r="AL427" s="121">
        <f>交易记录!U309</f>
        <v>0</v>
      </c>
      <c r="AM427" s="30">
        <f t="shared" si="215"/>
        <v>0</v>
      </c>
      <c r="AN427" s="124">
        <f>交易记录!U342</f>
        <v>0</v>
      </c>
      <c r="AO427" s="124">
        <f>交易记录!U373</f>
        <v>0</v>
      </c>
      <c r="AP427" s="30">
        <f t="shared" si="216"/>
        <v>0</v>
      </c>
      <c r="AQ427" s="121">
        <f>交易记录!U406</f>
        <v>0</v>
      </c>
      <c r="AR427" s="121">
        <f>交易记录!U437</f>
        <v>0</v>
      </c>
      <c r="AS427" s="30">
        <f t="shared" si="217"/>
        <v>0</v>
      </c>
      <c r="AT427" s="124">
        <f>交易记录!U470</f>
        <v>0</v>
      </c>
      <c r="AU427" s="124">
        <f>交易记录!U501</f>
        <v>0</v>
      </c>
      <c r="AV427" s="30">
        <f t="shared" si="195"/>
        <v>0</v>
      </c>
      <c r="AW427" s="121">
        <f>交易记录!U534</f>
        <v>0</v>
      </c>
      <c r="AX427" s="121">
        <f>交易记录!U565</f>
        <v>0</v>
      </c>
      <c r="AY427" s="30">
        <f t="shared" si="196"/>
        <v>0</v>
      </c>
      <c r="AZ427" s="124">
        <f>交易记录!U598</f>
        <v>0</v>
      </c>
      <c r="BA427" s="124">
        <f>交易记录!U629</f>
        <v>0</v>
      </c>
      <c r="BB427" s="30">
        <f t="shared" si="197"/>
        <v>0</v>
      </c>
      <c r="BC427" s="121">
        <f>交易记录!U662</f>
        <v>0</v>
      </c>
      <c r="BD427" s="121">
        <f>交易记录!U693</f>
        <v>0</v>
      </c>
      <c r="BE427" s="30">
        <f t="shared" si="198"/>
        <v>0</v>
      </c>
      <c r="BF427" s="124">
        <f>交易记录!U726</f>
        <v>0</v>
      </c>
      <c r="BG427" s="124">
        <f>交易记录!U757</f>
        <v>0</v>
      </c>
      <c r="BH427" s="30">
        <f t="shared" si="199"/>
        <v>0</v>
      </c>
      <c r="BI427" s="121">
        <f>交易记录!U790</f>
        <v>0</v>
      </c>
      <c r="BJ427" s="121">
        <f>交易记录!U821</f>
        <v>0</v>
      </c>
      <c r="BK427" s="30">
        <f t="shared" si="200"/>
        <v>0</v>
      </c>
      <c r="BL427" s="124">
        <f>交易记录!U854</f>
        <v>0</v>
      </c>
      <c r="BM427" s="124">
        <f>交易记录!U885</f>
        <v>0</v>
      </c>
      <c r="BN427" s="30">
        <f t="shared" si="201"/>
        <v>0</v>
      </c>
      <c r="BO427" s="121">
        <f>交易记录!U918</f>
        <v>0</v>
      </c>
      <c r="BP427" s="121">
        <f>交易记录!U949</f>
        <v>0</v>
      </c>
      <c r="BQ427" s="30">
        <f t="shared" si="202"/>
        <v>0</v>
      </c>
    </row>
    <row r="428" spans="1:69" ht="15">
      <c r="A428" s="125">
        <f>'维护-日期'!A$20</f>
        <v>46283</v>
      </c>
      <c r="B428" s="7" t="s">
        <v>24</v>
      </c>
      <c r="C428" s="144">
        <f t="shared" si="203"/>
        <v>23.85</v>
      </c>
      <c r="D428" s="144">
        <f>ROUND(INDEX(持仓数据!$C$3:$AG$26,MATCH('计算过程-数据汇总'!B428,持仓数据!$B$3:$B$26,0),MATCH('计算过程-数据汇总'!A428,'维护-日期'!$B$2:$AF$2,0)),3)</f>
        <v>23.85</v>
      </c>
      <c r="E428" s="98">
        <f t="shared" si="204"/>
        <v>23.85</v>
      </c>
      <c r="F428" s="22">
        <f>持仓数据!T90</f>
        <v>0.45400000000000001</v>
      </c>
      <c r="G428" s="97">
        <v>372</v>
      </c>
      <c r="H428" s="97">
        <v>372</v>
      </c>
      <c r="I428" s="64">
        <v>0</v>
      </c>
      <c r="J428" s="64">
        <v>0</v>
      </c>
      <c r="K428" s="21">
        <f>IF(持仓数据!T123="",0,持仓数据!T123)</f>
        <v>372</v>
      </c>
      <c r="L428" s="21">
        <f t="shared" si="205"/>
        <v>0</v>
      </c>
      <c r="M428" s="28">
        <f t="shared" si="189"/>
        <v>8872.2000000000007</v>
      </c>
      <c r="N428" s="28">
        <f t="shared" si="190"/>
        <v>0</v>
      </c>
      <c r="O428" s="28">
        <f t="shared" si="191"/>
        <v>0</v>
      </c>
      <c r="P428" s="28">
        <f t="shared" si="192"/>
        <v>0</v>
      </c>
      <c r="Q428" s="28">
        <f t="shared" si="206"/>
        <v>0</v>
      </c>
      <c r="R428" s="28">
        <f t="shared" si="193"/>
        <v>8872.2000000000007</v>
      </c>
      <c r="S428" s="28">
        <f t="shared" si="207"/>
        <v>0</v>
      </c>
      <c r="T428" s="28">
        <f t="shared" si="208"/>
        <v>0</v>
      </c>
      <c r="U428" s="28">
        <f t="shared" si="211"/>
        <v>0</v>
      </c>
      <c r="V428" s="28">
        <f t="shared" si="209"/>
        <v>0</v>
      </c>
      <c r="W428" s="118"/>
      <c r="X428" s="143">
        <f t="shared" si="210"/>
        <v>28.166</v>
      </c>
      <c r="Y428" s="121">
        <f>交易记录!U23</f>
        <v>0.45400000000000001</v>
      </c>
      <c r="Z428" s="121">
        <f>交易记录!U54</f>
        <v>372</v>
      </c>
      <c r="AA428" s="30">
        <f t="shared" si="194"/>
        <v>0</v>
      </c>
      <c r="AB428" s="124">
        <f>交易记录!U87</f>
        <v>0</v>
      </c>
      <c r="AC428" s="124">
        <f>交易记录!U118</f>
        <v>0</v>
      </c>
      <c r="AD428" s="30">
        <f t="shared" si="212"/>
        <v>0</v>
      </c>
      <c r="AE428" s="121">
        <f>交易记录!U151</f>
        <v>0</v>
      </c>
      <c r="AF428" s="121">
        <f>交易记录!U182</f>
        <v>0</v>
      </c>
      <c r="AG428" s="30">
        <f t="shared" si="213"/>
        <v>0</v>
      </c>
      <c r="AH428" s="124">
        <f>交易记录!U215</f>
        <v>0</v>
      </c>
      <c r="AI428" s="124">
        <f>交易记录!U246</f>
        <v>0</v>
      </c>
      <c r="AJ428" s="30">
        <f t="shared" si="214"/>
        <v>0</v>
      </c>
      <c r="AK428" s="121">
        <f>交易记录!U279</f>
        <v>0</v>
      </c>
      <c r="AL428" s="121">
        <f>交易记录!U310</f>
        <v>0</v>
      </c>
      <c r="AM428" s="30">
        <f t="shared" si="215"/>
        <v>0</v>
      </c>
      <c r="AN428" s="124">
        <f>交易记录!U343</f>
        <v>0</v>
      </c>
      <c r="AO428" s="124">
        <f>交易记录!U374</f>
        <v>0</v>
      </c>
      <c r="AP428" s="30">
        <f t="shared" si="216"/>
        <v>0</v>
      </c>
      <c r="AQ428" s="121">
        <f>交易记录!U407</f>
        <v>0</v>
      </c>
      <c r="AR428" s="121">
        <f>交易记录!U438</f>
        <v>0</v>
      </c>
      <c r="AS428" s="30">
        <f t="shared" si="217"/>
        <v>0</v>
      </c>
      <c r="AT428" s="124">
        <f>交易记录!U471</f>
        <v>0</v>
      </c>
      <c r="AU428" s="124">
        <f>交易记录!U502</f>
        <v>0</v>
      </c>
      <c r="AV428" s="30">
        <f t="shared" si="195"/>
        <v>0</v>
      </c>
      <c r="AW428" s="121">
        <f>交易记录!U535</f>
        <v>0</v>
      </c>
      <c r="AX428" s="121">
        <f>交易记录!U566</f>
        <v>0</v>
      </c>
      <c r="AY428" s="30">
        <f t="shared" si="196"/>
        <v>0</v>
      </c>
      <c r="AZ428" s="124">
        <f>交易记录!U599</f>
        <v>0</v>
      </c>
      <c r="BA428" s="124">
        <f>交易记录!U630</f>
        <v>0</v>
      </c>
      <c r="BB428" s="30">
        <f t="shared" si="197"/>
        <v>0</v>
      </c>
      <c r="BC428" s="121">
        <f>交易记录!U663</f>
        <v>0</v>
      </c>
      <c r="BD428" s="121">
        <f>交易记录!U694</f>
        <v>0</v>
      </c>
      <c r="BE428" s="30">
        <f t="shared" si="198"/>
        <v>0</v>
      </c>
      <c r="BF428" s="124">
        <f>交易记录!U727</f>
        <v>0</v>
      </c>
      <c r="BG428" s="124">
        <f>交易记录!U758</f>
        <v>0</v>
      </c>
      <c r="BH428" s="30">
        <f t="shared" si="199"/>
        <v>0</v>
      </c>
      <c r="BI428" s="121">
        <f>交易记录!U791</f>
        <v>0</v>
      </c>
      <c r="BJ428" s="121">
        <f>交易记录!U822</f>
        <v>0</v>
      </c>
      <c r="BK428" s="30">
        <f t="shared" si="200"/>
        <v>0</v>
      </c>
      <c r="BL428" s="124">
        <f>交易记录!U855</f>
        <v>0</v>
      </c>
      <c r="BM428" s="124">
        <f>交易记录!U886</f>
        <v>0</v>
      </c>
      <c r="BN428" s="30">
        <f t="shared" si="201"/>
        <v>0</v>
      </c>
      <c r="BO428" s="121">
        <f>交易记录!U919</f>
        <v>0</v>
      </c>
      <c r="BP428" s="121">
        <f>交易记录!U950</f>
        <v>0</v>
      </c>
      <c r="BQ428" s="30">
        <f t="shared" si="202"/>
        <v>0</v>
      </c>
    </row>
    <row r="429" spans="1:69" ht="15">
      <c r="A429" s="125">
        <f>'维护-日期'!A$20</f>
        <v>46283</v>
      </c>
      <c r="B429" s="7" t="s">
        <v>25</v>
      </c>
      <c r="C429" s="144">
        <f t="shared" si="203"/>
        <v>24.105</v>
      </c>
      <c r="D429" s="144">
        <f>ROUND(INDEX(持仓数据!$C$3:$AG$26,MATCH('计算过程-数据汇总'!B429,持仓数据!$B$3:$B$26,0),MATCH('计算过程-数据汇总'!A429,'维护-日期'!$B$2:$AF$2,0)),3)</f>
        <v>24.105</v>
      </c>
      <c r="E429" s="98">
        <f t="shared" si="204"/>
        <v>24.105</v>
      </c>
      <c r="F429" s="22">
        <f>持仓数据!T91</f>
        <v>1.1160000000000001</v>
      </c>
      <c r="G429" s="97">
        <v>372</v>
      </c>
      <c r="H429" s="97">
        <v>372</v>
      </c>
      <c r="I429" s="64">
        <v>0</v>
      </c>
      <c r="J429" s="64">
        <v>0</v>
      </c>
      <c r="K429" s="21">
        <f>IF(持仓数据!T124="",0,持仓数据!T124)</f>
        <v>372</v>
      </c>
      <c r="L429" s="21">
        <f t="shared" si="205"/>
        <v>0</v>
      </c>
      <c r="M429" s="28">
        <f t="shared" si="189"/>
        <v>8967.06</v>
      </c>
      <c r="N429" s="28">
        <f t="shared" si="190"/>
        <v>0</v>
      </c>
      <c r="O429" s="28">
        <f t="shared" si="191"/>
        <v>0</v>
      </c>
      <c r="P429" s="28">
        <f t="shared" si="192"/>
        <v>0</v>
      </c>
      <c r="Q429" s="28">
        <f t="shared" si="206"/>
        <v>0</v>
      </c>
      <c r="R429" s="28">
        <f t="shared" si="193"/>
        <v>8967.06</v>
      </c>
      <c r="S429" s="28">
        <f t="shared" si="207"/>
        <v>0</v>
      </c>
      <c r="T429" s="28">
        <f t="shared" si="208"/>
        <v>0</v>
      </c>
      <c r="U429" s="28">
        <f t="shared" si="211"/>
        <v>0</v>
      </c>
      <c r="V429" s="28">
        <f t="shared" si="209"/>
        <v>0</v>
      </c>
      <c r="W429" s="118"/>
      <c r="X429" s="143">
        <f t="shared" si="210"/>
        <v>27.81</v>
      </c>
      <c r="Y429" s="121">
        <f>交易记录!U24</f>
        <v>1.1160000000000001</v>
      </c>
      <c r="Z429" s="121">
        <f>交易记录!U55</f>
        <v>372</v>
      </c>
      <c r="AA429" s="30">
        <f t="shared" si="194"/>
        <v>0</v>
      </c>
      <c r="AB429" s="124">
        <f>交易记录!U88</f>
        <v>0</v>
      </c>
      <c r="AC429" s="124">
        <f>交易记录!U119</f>
        <v>0</v>
      </c>
      <c r="AD429" s="30">
        <f t="shared" si="212"/>
        <v>0</v>
      </c>
      <c r="AE429" s="121">
        <f>交易记录!U152</f>
        <v>0</v>
      </c>
      <c r="AF429" s="121">
        <f>交易记录!U183</f>
        <v>0</v>
      </c>
      <c r="AG429" s="30">
        <f t="shared" si="213"/>
        <v>0</v>
      </c>
      <c r="AH429" s="124">
        <f>交易记录!U216</f>
        <v>0</v>
      </c>
      <c r="AI429" s="124">
        <f>交易记录!U247</f>
        <v>0</v>
      </c>
      <c r="AJ429" s="30">
        <f t="shared" si="214"/>
        <v>0</v>
      </c>
      <c r="AK429" s="121">
        <f>交易记录!U280</f>
        <v>0</v>
      </c>
      <c r="AL429" s="121">
        <f>交易记录!U311</f>
        <v>0</v>
      </c>
      <c r="AM429" s="30">
        <f t="shared" si="215"/>
        <v>0</v>
      </c>
      <c r="AN429" s="124">
        <f>交易记录!U344</f>
        <v>0</v>
      </c>
      <c r="AO429" s="124">
        <f>交易记录!U375</f>
        <v>0</v>
      </c>
      <c r="AP429" s="30">
        <f t="shared" si="216"/>
        <v>0</v>
      </c>
      <c r="AQ429" s="121">
        <f>交易记录!U408</f>
        <v>0</v>
      </c>
      <c r="AR429" s="121">
        <f>交易记录!U439</f>
        <v>0</v>
      </c>
      <c r="AS429" s="30">
        <f t="shared" si="217"/>
        <v>0</v>
      </c>
      <c r="AT429" s="124">
        <f>交易记录!U472</f>
        <v>0</v>
      </c>
      <c r="AU429" s="124">
        <f>交易记录!U503</f>
        <v>0</v>
      </c>
      <c r="AV429" s="30">
        <f t="shared" si="195"/>
        <v>0</v>
      </c>
      <c r="AW429" s="121">
        <f>交易记录!U536</f>
        <v>0</v>
      </c>
      <c r="AX429" s="121">
        <f>交易记录!U567</f>
        <v>0</v>
      </c>
      <c r="AY429" s="30">
        <f t="shared" si="196"/>
        <v>0</v>
      </c>
      <c r="AZ429" s="124">
        <f>交易记录!U600</f>
        <v>0</v>
      </c>
      <c r="BA429" s="124">
        <f>交易记录!U631</f>
        <v>0</v>
      </c>
      <c r="BB429" s="30">
        <f t="shared" si="197"/>
        <v>0</v>
      </c>
      <c r="BC429" s="121">
        <f>交易记录!U664</f>
        <v>0</v>
      </c>
      <c r="BD429" s="121">
        <f>交易记录!U695</f>
        <v>0</v>
      </c>
      <c r="BE429" s="30">
        <f t="shared" si="198"/>
        <v>0</v>
      </c>
      <c r="BF429" s="124">
        <f>交易记录!U728</f>
        <v>0</v>
      </c>
      <c r="BG429" s="124">
        <f>交易记录!U759</f>
        <v>0</v>
      </c>
      <c r="BH429" s="30">
        <f t="shared" si="199"/>
        <v>0</v>
      </c>
      <c r="BI429" s="121">
        <f>交易记录!U792</f>
        <v>0</v>
      </c>
      <c r="BJ429" s="121">
        <f>交易记录!U823</f>
        <v>0</v>
      </c>
      <c r="BK429" s="30">
        <f t="shared" si="200"/>
        <v>0</v>
      </c>
      <c r="BL429" s="124">
        <f>交易记录!U856</f>
        <v>0</v>
      </c>
      <c r="BM429" s="124">
        <f>交易记录!U887</f>
        <v>0</v>
      </c>
      <c r="BN429" s="30">
        <f t="shared" si="201"/>
        <v>0</v>
      </c>
      <c r="BO429" s="121">
        <f>交易记录!U920</f>
        <v>0</v>
      </c>
      <c r="BP429" s="121">
        <f>交易记录!U951</f>
        <v>0</v>
      </c>
      <c r="BQ429" s="30">
        <f t="shared" si="202"/>
        <v>0</v>
      </c>
    </row>
    <row r="430" spans="1:69" ht="15">
      <c r="A430" s="125">
        <f>'维护-日期'!A$20</f>
        <v>46283</v>
      </c>
      <c r="B430" s="7" t="s">
        <v>26</v>
      </c>
      <c r="C430" s="144">
        <f t="shared" si="203"/>
        <v>24.047999999999998</v>
      </c>
      <c r="D430" s="144">
        <f>ROUND(INDEX(持仓数据!$C$3:$AG$26,MATCH('计算过程-数据汇总'!B430,持仓数据!$B$3:$B$26,0),MATCH('计算过程-数据汇总'!A430,'维护-日期'!$B$2:$AF$2,0)),3)</f>
        <v>24.047999999999998</v>
      </c>
      <c r="E430" s="98">
        <f t="shared" si="204"/>
        <v>24.047999999999998</v>
      </c>
      <c r="F430" s="22">
        <f>持仓数据!T92</f>
        <v>1</v>
      </c>
      <c r="G430" s="97">
        <v>372</v>
      </c>
      <c r="H430" s="97">
        <v>372</v>
      </c>
      <c r="I430" s="64">
        <v>0</v>
      </c>
      <c r="J430" s="64">
        <v>0</v>
      </c>
      <c r="K430" s="21">
        <f>IF(持仓数据!T125="",0,持仓数据!T125)</f>
        <v>372</v>
      </c>
      <c r="L430" s="21">
        <f t="shared" si="205"/>
        <v>0</v>
      </c>
      <c r="M430" s="28">
        <f t="shared" si="189"/>
        <v>8945.8559999999998</v>
      </c>
      <c r="N430" s="28">
        <f t="shared" si="190"/>
        <v>0</v>
      </c>
      <c r="O430" s="28">
        <f t="shared" si="191"/>
        <v>0</v>
      </c>
      <c r="P430" s="28">
        <f t="shared" si="192"/>
        <v>0</v>
      </c>
      <c r="Q430" s="28">
        <f t="shared" si="206"/>
        <v>0</v>
      </c>
      <c r="R430" s="28">
        <f t="shared" si="193"/>
        <v>8945.8559999999998</v>
      </c>
      <c r="S430" s="28">
        <f t="shared" si="207"/>
        <v>0</v>
      </c>
      <c r="T430" s="28">
        <f t="shared" si="208"/>
        <v>0</v>
      </c>
      <c r="U430" s="28">
        <f t="shared" si="211"/>
        <v>0</v>
      </c>
      <c r="V430" s="28">
        <f t="shared" si="209"/>
        <v>0</v>
      </c>
      <c r="W430" s="118"/>
      <c r="X430" s="143">
        <f t="shared" si="210"/>
        <v>27.858000000000001</v>
      </c>
      <c r="Y430" s="121">
        <f>交易记录!U25</f>
        <v>1</v>
      </c>
      <c r="Z430" s="121">
        <f>交易记录!U56</f>
        <v>372</v>
      </c>
      <c r="AA430" s="30">
        <f t="shared" si="194"/>
        <v>0</v>
      </c>
      <c r="AB430" s="124">
        <f>交易记录!U89</f>
        <v>0</v>
      </c>
      <c r="AC430" s="124">
        <f>交易记录!U120</f>
        <v>0</v>
      </c>
      <c r="AD430" s="30">
        <f t="shared" si="212"/>
        <v>0</v>
      </c>
      <c r="AE430" s="121">
        <f>交易记录!U153</f>
        <v>0</v>
      </c>
      <c r="AF430" s="121">
        <f>交易记录!U184</f>
        <v>0</v>
      </c>
      <c r="AG430" s="30">
        <f t="shared" si="213"/>
        <v>0</v>
      </c>
      <c r="AH430" s="124">
        <f>交易记录!U217</f>
        <v>0</v>
      </c>
      <c r="AI430" s="124">
        <f>交易记录!U248</f>
        <v>0</v>
      </c>
      <c r="AJ430" s="30">
        <f t="shared" si="214"/>
        <v>0</v>
      </c>
      <c r="AK430" s="121">
        <f>交易记录!U281</f>
        <v>0</v>
      </c>
      <c r="AL430" s="121">
        <f>交易记录!U312</f>
        <v>0</v>
      </c>
      <c r="AM430" s="30">
        <f t="shared" si="215"/>
        <v>0</v>
      </c>
      <c r="AN430" s="124">
        <f>交易记录!U345</f>
        <v>0</v>
      </c>
      <c r="AO430" s="124">
        <f>交易记录!U376</f>
        <v>0</v>
      </c>
      <c r="AP430" s="30">
        <f t="shared" si="216"/>
        <v>0</v>
      </c>
      <c r="AQ430" s="121">
        <f>交易记录!U409</f>
        <v>0</v>
      </c>
      <c r="AR430" s="121">
        <f>交易记录!U440</f>
        <v>0</v>
      </c>
      <c r="AS430" s="30">
        <f t="shared" si="217"/>
        <v>0</v>
      </c>
      <c r="AT430" s="124">
        <f>交易记录!U473</f>
        <v>0</v>
      </c>
      <c r="AU430" s="124">
        <f>交易记录!U504</f>
        <v>0</v>
      </c>
      <c r="AV430" s="30">
        <f t="shared" si="195"/>
        <v>0</v>
      </c>
      <c r="AW430" s="121">
        <f>交易记录!U537</f>
        <v>0</v>
      </c>
      <c r="AX430" s="121">
        <f>交易记录!U568</f>
        <v>0</v>
      </c>
      <c r="AY430" s="30">
        <f t="shared" si="196"/>
        <v>0</v>
      </c>
      <c r="AZ430" s="124">
        <f>交易记录!U601</f>
        <v>0</v>
      </c>
      <c r="BA430" s="124">
        <f>交易记录!U632</f>
        <v>0</v>
      </c>
      <c r="BB430" s="30">
        <f t="shared" si="197"/>
        <v>0</v>
      </c>
      <c r="BC430" s="121">
        <f>交易记录!U665</f>
        <v>0</v>
      </c>
      <c r="BD430" s="121">
        <f>交易记录!U696</f>
        <v>0</v>
      </c>
      <c r="BE430" s="30">
        <f t="shared" si="198"/>
        <v>0</v>
      </c>
      <c r="BF430" s="124">
        <f>交易记录!U729</f>
        <v>0</v>
      </c>
      <c r="BG430" s="124">
        <f>交易记录!U760</f>
        <v>0</v>
      </c>
      <c r="BH430" s="30">
        <f t="shared" si="199"/>
        <v>0</v>
      </c>
      <c r="BI430" s="121">
        <f>交易记录!U793</f>
        <v>0</v>
      </c>
      <c r="BJ430" s="121">
        <f>交易记录!U824</f>
        <v>0</v>
      </c>
      <c r="BK430" s="30">
        <f t="shared" si="200"/>
        <v>0</v>
      </c>
      <c r="BL430" s="124">
        <f>交易记录!U857</f>
        <v>0</v>
      </c>
      <c r="BM430" s="124">
        <f>交易记录!U888</f>
        <v>0</v>
      </c>
      <c r="BN430" s="30">
        <f t="shared" si="201"/>
        <v>0</v>
      </c>
      <c r="BO430" s="121">
        <f>交易记录!U921</f>
        <v>0</v>
      </c>
      <c r="BP430" s="121">
        <f>交易记录!U952</f>
        <v>0</v>
      </c>
      <c r="BQ430" s="30">
        <f t="shared" si="202"/>
        <v>0</v>
      </c>
    </row>
    <row r="431" spans="1:69" ht="15">
      <c r="A431" s="125">
        <f>'维护-日期'!A$20</f>
        <v>46283</v>
      </c>
      <c r="B431" s="7" t="s">
        <v>27</v>
      </c>
      <c r="C431" s="144">
        <f t="shared" si="203"/>
        <v>22.594000000000001</v>
      </c>
      <c r="D431" s="144">
        <f>ROUND(INDEX(持仓数据!$C$3:$AG$26,MATCH('计算过程-数据汇总'!B431,持仓数据!$B$3:$B$26,0),MATCH('计算过程-数据汇总'!A431,'维护-日期'!$B$2:$AF$2,0)),3)</f>
        <v>22.594000000000001</v>
      </c>
      <c r="E431" s="98">
        <f t="shared" si="204"/>
        <v>22.594000000000001</v>
      </c>
      <c r="F431" s="22">
        <f>持仓数据!T93</f>
        <v>0.95199999999999996</v>
      </c>
      <c r="G431" s="97">
        <v>372</v>
      </c>
      <c r="H431" s="97">
        <v>372</v>
      </c>
      <c r="I431" s="64">
        <v>0</v>
      </c>
      <c r="J431" s="64">
        <v>0</v>
      </c>
      <c r="K431" s="21">
        <f>IF(持仓数据!T126="",0,持仓数据!T126)</f>
        <v>372</v>
      </c>
      <c r="L431" s="21">
        <f t="shared" si="205"/>
        <v>0</v>
      </c>
      <c r="M431" s="28">
        <f t="shared" si="189"/>
        <v>8404.9680000000008</v>
      </c>
      <c r="N431" s="28">
        <f t="shared" si="190"/>
        <v>0</v>
      </c>
      <c r="O431" s="28">
        <f t="shared" si="191"/>
        <v>0</v>
      </c>
      <c r="P431" s="28">
        <f t="shared" si="192"/>
        <v>0</v>
      </c>
      <c r="Q431" s="28">
        <f t="shared" si="206"/>
        <v>0</v>
      </c>
      <c r="R431" s="28">
        <f t="shared" si="193"/>
        <v>8404.9680000000008</v>
      </c>
      <c r="S431" s="28">
        <f t="shared" si="207"/>
        <v>0</v>
      </c>
      <c r="T431" s="28">
        <f t="shared" si="208"/>
        <v>0</v>
      </c>
      <c r="U431" s="28">
        <f t="shared" si="211"/>
        <v>0</v>
      </c>
      <c r="V431" s="28">
        <f t="shared" si="209"/>
        <v>0</v>
      </c>
      <c r="W431" s="118"/>
      <c r="X431" s="143">
        <f t="shared" si="210"/>
        <v>26.161000000000001</v>
      </c>
      <c r="Y431" s="121">
        <f>交易记录!U26</f>
        <v>0.95199999999999996</v>
      </c>
      <c r="Z431" s="121">
        <f>交易记录!U57</f>
        <v>372</v>
      </c>
      <c r="AA431" s="30">
        <f t="shared" si="194"/>
        <v>0</v>
      </c>
      <c r="AB431" s="124">
        <f>交易记录!U90</f>
        <v>0</v>
      </c>
      <c r="AC431" s="124">
        <f>交易记录!U121</f>
        <v>0</v>
      </c>
      <c r="AD431" s="30">
        <f t="shared" si="212"/>
        <v>0</v>
      </c>
      <c r="AE431" s="121">
        <f>交易记录!U154</f>
        <v>0</v>
      </c>
      <c r="AF431" s="121">
        <f>交易记录!U185</f>
        <v>0</v>
      </c>
      <c r="AG431" s="30">
        <f t="shared" si="213"/>
        <v>0</v>
      </c>
      <c r="AH431" s="124">
        <f>交易记录!U218</f>
        <v>0</v>
      </c>
      <c r="AI431" s="124">
        <f>交易记录!U249</f>
        <v>0</v>
      </c>
      <c r="AJ431" s="30">
        <f t="shared" si="214"/>
        <v>0</v>
      </c>
      <c r="AK431" s="121">
        <f>交易记录!U282</f>
        <v>0</v>
      </c>
      <c r="AL431" s="121">
        <f>交易记录!U313</f>
        <v>0</v>
      </c>
      <c r="AM431" s="30">
        <f t="shared" si="215"/>
        <v>0</v>
      </c>
      <c r="AN431" s="124">
        <f>交易记录!U346</f>
        <v>0</v>
      </c>
      <c r="AO431" s="124">
        <f>交易记录!U377</f>
        <v>0</v>
      </c>
      <c r="AP431" s="30">
        <f t="shared" si="216"/>
        <v>0</v>
      </c>
      <c r="AQ431" s="121">
        <f>交易记录!U410</f>
        <v>0</v>
      </c>
      <c r="AR431" s="121">
        <f>交易记录!U441</f>
        <v>0</v>
      </c>
      <c r="AS431" s="30">
        <f t="shared" si="217"/>
        <v>0</v>
      </c>
      <c r="AT431" s="124">
        <f>交易记录!U474</f>
        <v>0</v>
      </c>
      <c r="AU431" s="124">
        <f>交易记录!U505</f>
        <v>0</v>
      </c>
      <c r="AV431" s="30">
        <f t="shared" si="195"/>
        <v>0</v>
      </c>
      <c r="AW431" s="121">
        <f>交易记录!U538</f>
        <v>0</v>
      </c>
      <c r="AX431" s="121">
        <f>交易记录!U569</f>
        <v>0</v>
      </c>
      <c r="AY431" s="30">
        <f t="shared" si="196"/>
        <v>0</v>
      </c>
      <c r="AZ431" s="124">
        <f>交易记录!U602</f>
        <v>0</v>
      </c>
      <c r="BA431" s="124">
        <f>交易记录!U633</f>
        <v>0</v>
      </c>
      <c r="BB431" s="30">
        <f t="shared" si="197"/>
        <v>0</v>
      </c>
      <c r="BC431" s="121">
        <f>交易记录!U666</f>
        <v>0</v>
      </c>
      <c r="BD431" s="121">
        <f>交易记录!U697</f>
        <v>0</v>
      </c>
      <c r="BE431" s="30">
        <f t="shared" si="198"/>
        <v>0</v>
      </c>
      <c r="BF431" s="124">
        <f>交易记录!U730</f>
        <v>0</v>
      </c>
      <c r="BG431" s="124">
        <f>交易记录!U761</f>
        <v>0</v>
      </c>
      <c r="BH431" s="30">
        <f t="shared" si="199"/>
        <v>0</v>
      </c>
      <c r="BI431" s="121">
        <f>交易记录!U794</f>
        <v>0</v>
      </c>
      <c r="BJ431" s="121">
        <f>交易记录!U825</f>
        <v>0</v>
      </c>
      <c r="BK431" s="30">
        <f t="shared" si="200"/>
        <v>0</v>
      </c>
      <c r="BL431" s="124">
        <f>交易记录!U858</f>
        <v>0</v>
      </c>
      <c r="BM431" s="124">
        <f>交易记录!U889</f>
        <v>0</v>
      </c>
      <c r="BN431" s="30">
        <f t="shared" si="201"/>
        <v>0</v>
      </c>
      <c r="BO431" s="121">
        <f>交易记录!U922</f>
        <v>0</v>
      </c>
      <c r="BP431" s="121">
        <f>交易记录!U953</f>
        <v>0</v>
      </c>
      <c r="BQ431" s="30">
        <f t="shared" si="202"/>
        <v>0</v>
      </c>
    </row>
    <row r="432" spans="1:69" ht="15">
      <c r="A432" s="125">
        <f>'维护-日期'!A$20</f>
        <v>46283</v>
      </c>
      <c r="B432" s="7" t="s">
        <v>28</v>
      </c>
      <c r="C432" s="144">
        <f t="shared" si="203"/>
        <v>19.387</v>
      </c>
      <c r="D432" s="144">
        <f>ROUND(INDEX(持仓数据!$C$3:$AG$26,MATCH('计算过程-数据汇总'!B432,持仓数据!$B$3:$B$26,0),MATCH('计算过程-数据汇总'!A432,'维护-日期'!$B$2:$AF$2,0)),3)</f>
        <v>19.387</v>
      </c>
      <c r="E432" s="98">
        <f t="shared" si="204"/>
        <v>19.387</v>
      </c>
      <c r="F432" s="22">
        <f>持仓数据!T94</f>
        <v>0.84300000000000008</v>
      </c>
      <c r="G432" s="97">
        <v>372</v>
      </c>
      <c r="H432" s="97">
        <v>372</v>
      </c>
      <c r="I432" s="64">
        <v>0</v>
      </c>
      <c r="J432" s="64">
        <v>0</v>
      </c>
      <c r="K432" s="21">
        <f>IF(持仓数据!T127="",0,持仓数据!T127)</f>
        <v>371.99999999999994</v>
      </c>
      <c r="L432" s="21">
        <f t="shared" si="205"/>
        <v>0</v>
      </c>
      <c r="M432" s="28">
        <f t="shared" si="189"/>
        <v>7211.9639999999999</v>
      </c>
      <c r="N432" s="28">
        <f t="shared" si="190"/>
        <v>0</v>
      </c>
      <c r="O432" s="28">
        <f t="shared" si="191"/>
        <v>0</v>
      </c>
      <c r="P432" s="28">
        <f t="shared" si="192"/>
        <v>-4.7919002099661161E-14</v>
      </c>
      <c r="Q432" s="28">
        <f t="shared" si="206"/>
        <v>0</v>
      </c>
      <c r="R432" s="28">
        <f t="shared" si="193"/>
        <v>7211.963999999999</v>
      </c>
      <c r="S432" s="28">
        <f t="shared" si="207"/>
        <v>0</v>
      </c>
      <c r="T432" s="28">
        <f t="shared" si="208"/>
        <v>1.0541043593548239E-12</v>
      </c>
      <c r="U432" s="28">
        <f t="shared" si="211"/>
        <v>0</v>
      </c>
      <c r="V432" s="28">
        <f t="shared" si="209"/>
        <v>0</v>
      </c>
      <c r="W432" s="118"/>
      <c r="X432" s="143">
        <f t="shared" si="210"/>
        <v>22.420999999999999</v>
      </c>
      <c r="Y432" s="121">
        <f>交易记录!U27</f>
        <v>0.84300000000000008</v>
      </c>
      <c r="Z432" s="121">
        <f>交易记录!U58</f>
        <v>372</v>
      </c>
      <c r="AA432" s="30">
        <f t="shared" si="194"/>
        <v>0</v>
      </c>
      <c r="AB432" s="124">
        <f>交易记录!U91</f>
        <v>0</v>
      </c>
      <c r="AC432" s="124">
        <f>交易记录!U122</f>
        <v>0</v>
      </c>
      <c r="AD432" s="30">
        <f t="shared" si="212"/>
        <v>0</v>
      </c>
      <c r="AE432" s="121">
        <f>交易记录!U155</f>
        <v>0</v>
      </c>
      <c r="AF432" s="121">
        <f>交易记录!U186</f>
        <v>0</v>
      </c>
      <c r="AG432" s="30">
        <f t="shared" si="213"/>
        <v>0</v>
      </c>
      <c r="AH432" s="124">
        <f>交易记录!U219</f>
        <v>0</v>
      </c>
      <c r="AI432" s="124">
        <f>交易记录!U250</f>
        <v>0</v>
      </c>
      <c r="AJ432" s="30">
        <f t="shared" si="214"/>
        <v>0</v>
      </c>
      <c r="AK432" s="121">
        <f>交易记录!U283</f>
        <v>0</v>
      </c>
      <c r="AL432" s="121">
        <f>交易记录!U314</f>
        <v>0</v>
      </c>
      <c r="AM432" s="30">
        <f t="shared" si="215"/>
        <v>0</v>
      </c>
      <c r="AN432" s="124">
        <f>交易记录!U347</f>
        <v>0</v>
      </c>
      <c r="AO432" s="124">
        <f>交易记录!U378</f>
        <v>0</v>
      </c>
      <c r="AP432" s="30">
        <f t="shared" si="216"/>
        <v>0</v>
      </c>
      <c r="AQ432" s="121">
        <f>交易记录!U411</f>
        <v>0</v>
      </c>
      <c r="AR432" s="121">
        <f>交易记录!U442</f>
        <v>0</v>
      </c>
      <c r="AS432" s="30">
        <f t="shared" si="217"/>
        <v>0</v>
      </c>
      <c r="AT432" s="124">
        <f>交易记录!U475</f>
        <v>0</v>
      </c>
      <c r="AU432" s="124">
        <f>交易记录!U506</f>
        <v>0</v>
      </c>
      <c r="AV432" s="30">
        <f t="shared" si="195"/>
        <v>0</v>
      </c>
      <c r="AW432" s="121">
        <f>交易记录!U539</f>
        <v>0</v>
      </c>
      <c r="AX432" s="121">
        <f>交易记录!U570</f>
        <v>0</v>
      </c>
      <c r="AY432" s="30">
        <f t="shared" si="196"/>
        <v>0</v>
      </c>
      <c r="AZ432" s="124">
        <f>交易记录!U603</f>
        <v>0</v>
      </c>
      <c r="BA432" s="124">
        <f>交易记录!U634</f>
        <v>0</v>
      </c>
      <c r="BB432" s="30">
        <f t="shared" si="197"/>
        <v>0</v>
      </c>
      <c r="BC432" s="121">
        <f>交易记录!U667</f>
        <v>0</v>
      </c>
      <c r="BD432" s="121">
        <f>交易记录!U698</f>
        <v>0</v>
      </c>
      <c r="BE432" s="30">
        <f t="shared" si="198"/>
        <v>0</v>
      </c>
      <c r="BF432" s="124">
        <f>交易记录!U731</f>
        <v>0</v>
      </c>
      <c r="BG432" s="124">
        <f>交易记录!U762</f>
        <v>0</v>
      </c>
      <c r="BH432" s="30">
        <f t="shared" si="199"/>
        <v>0</v>
      </c>
      <c r="BI432" s="121">
        <f>交易记录!U795</f>
        <v>0</v>
      </c>
      <c r="BJ432" s="121">
        <f>交易记录!U826</f>
        <v>0</v>
      </c>
      <c r="BK432" s="30">
        <f t="shared" si="200"/>
        <v>0</v>
      </c>
      <c r="BL432" s="124">
        <f>交易记录!U859</f>
        <v>0</v>
      </c>
      <c r="BM432" s="124">
        <f>交易记录!U890</f>
        <v>0</v>
      </c>
      <c r="BN432" s="30">
        <f t="shared" si="201"/>
        <v>0</v>
      </c>
      <c r="BO432" s="121">
        <f>交易记录!U923</f>
        <v>0</v>
      </c>
      <c r="BP432" s="121">
        <f>交易记录!U954</f>
        <v>0</v>
      </c>
      <c r="BQ432" s="30">
        <f t="shared" si="202"/>
        <v>0</v>
      </c>
    </row>
    <row r="433" spans="1:69" ht="15">
      <c r="A433" s="125">
        <f>'维护-日期'!A$20</f>
        <v>46283</v>
      </c>
      <c r="B433" s="7" t="s">
        <v>29</v>
      </c>
      <c r="C433" s="144">
        <f t="shared" si="203"/>
        <v>16.963000000000001</v>
      </c>
      <c r="D433" s="144">
        <f>ROUND(INDEX(持仓数据!$C$3:$AG$26,MATCH('计算过程-数据汇总'!B433,持仓数据!$B$3:$B$26,0),MATCH('计算过程-数据汇总'!A433,'维护-日期'!$B$2:$AF$2,0)),3)</f>
        <v>16.963000000000001</v>
      </c>
      <c r="E433" s="98">
        <f t="shared" si="204"/>
        <v>16.963000000000001</v>
      </c>
      <c r="F433" s="22">
        <f>持仓数据!T95</f>
        <v>0.33299999999999996</v>
      </c>
      <c r="G433" s="97">
        <v>372</v>
      </c>
      <c r="H433" s="97">
        <v>372</v>
      </c>
      <c r="I433" s="64">
        <v>0</v>
      </c>
      <c r="J433" s="64">
        <v>0</v>
      </c>
      <c r="K433" s="21">
        <f>IF(持仓数据!T128="",0,持仓数据!T128)</f>
        <v>372</v>
      </c>
      <c r="L433" s="21">
        <f t="shared" si="205"/>
        <v>0</v>
      </c>
      <c r="M433" s="28">
        <f t="shared" si="189"/>
        <v>6310.2360000000008</v>
      </c>
      <c r="N433" s="28">
        <f t="shared" si="190"/>
        <v>0</v>
      </c>
      <c r="O433" s="28">
        <f t="shared" si="191"/>
        <v>0</v>
      </c>
      <c r="P433" s="28">
        <f t="shared" si="192"/>
        <v>0</v>
      </c>
      <c r="Q433" s="28">
        <f t="shared" si="206"/>
        <v>0</v>
      </c>
      <c r="R433" s="28">
        <f t="shared" si="193"/>
        <v>6310.2360000000008</v>
      </c>
      <c r="S433" s="28">
        <f t="shared" si="207"/>
        <v>0</v>
      </c>
      <c r="T433" s="28">
        <f t="shared" si="208"/>
        <v>0</v>
      </c>
      <c r="U433" s="28">
        <f t="shared" si="211"/>
        <v>0</v>
      </c>
      <c r="V433" s="28">
        <f t="shared" si="209"/>
        <v>0</v>
      </c>
      <c r="W433" s="118"/>
      <c r="X433" s="143">
        <f t="shared" si="210"/>
        <v>20.023</v>
      </c>
      <c r="Y433" s="121">
        <f>交易记录!U28</f>
        <v>0.33299999999999996</v>
      </c>
      <c r="Z433" s="121">
        <f>交易记录!U59</f>
        <v>372</v>
      </c>
      <c r="AA433" s="30">
        <f t="shared" si="194"/>
        <v>0</v>
      </c>
      <c r="AB433" s="124">
        <f>交易记录!U92</f>
        <v>0</v>
      </c>
      <c r="AC433" s="124">
        <f>交易记录!U123</f>
        <v>0</v>
      </c>
      <c r="AD433" s="30">
        <f t="shared" si="212"/>
        <v>0</v>
      </c>
      <c r="AE433" s="121">
        <f>交易记录!U156</f>
        <v>0</v>
      </c>
      <c r="AF433" s="121">
        <f>交易记录!U187</f>
        <v>0</v>
      </c>
      <c r="AG433" s="30">
        <f t="shared" si="213"/>
        <v>0</v>
      </c>
      <c r="AH433" s="124">
        <f>交易记录!U220</f>
        <v>0</v>
      </c>
      <c r="AI433" s="124">
        <f>交易记录!U251</f>
        <v>0</v>
      </c>
      <c r="AJ433" s="30">
        <f t="shared" si="214"/>
        <v>0</v>
      </c>
      <c r="AK433" s="121">
        <f>交易记录!U284</f>
        <v>0</v>
      </c>
      <c r="AL433" s="121">
        <f>交易记录!U315</f>
        <v>0</v>
      </c>
      <c r="AM433" s="30">
        <f t="shared" si="215"/>
        <v>0</v>
      </c>
      <c r="AN433" s="124">
        <f>交易记录!U348</f>
        <v>0</v>
      </c>
      <c r="AO433" s="124">
        <f>交易记录!U379</f>
        <v>0</v>
      </c>
      <c r="AP433" s="30">
        <f t="shared" si="216"/>
        <v>0</v>
      </c>
      <c r="AQ433" s="121">
        <f>交易记录!U412</f>
        <v>0</v>
      </c>
      <c r="AR433" s="121">
        <f>交易记录!U443</f>
        <v>0</v>
      </c>
      <c r="AS433" s="30">
        <f t="shared" si="217"/>
        <v>0</v>
      </c>
      <c r="AT433" s="124">
        <f>交易记录!U476</f>
        <v>0</v>
      </c>
      <c r="AU433" s="124">
        <f>交易记录!U507</f>
        <v>0</v>
      </c>
      <c r="AV433" s="30">
        <f t="shared" si="195"/>
        <v>0</v>
      </c>
      <c r="AW433" s="121">
        <f>交易记录!U540</f>
        <v>0</v>
      </c>
      <c r="AX433" s="121">
        <f>交易记录!U571</f>
        <v>0</v>
      </c>
      <c r="AY433" s="30">
        <f t="shared" si="196"/>
        <v>0</v>
      </c>
      <c r="AZ433" s="124">
        <f>交易记录!U604</f>
        <v>0</v>
      </c>
      <c r="BA433" s="124">
        <f>交易记录!U635</f>
        <v>0</v>
      </c>
      <c r="BB433" s="30">
        <f t="shared" si="197"/>
        <v>0</v>
      </c>
      <c r="BC433" s="121">
        <f>交易记录!U668</f>
        <v>0</v>
      </c>
      <c r="BD433" s="121">
        <f>交易记录!U699</f>
        <v>0</v>
      </c>
      <c r="BE433" s="30">
        <f t="shared" si="198"/>
        <v>0</v>
      </c>
      <c r="BF433" s="124">
        <f>交易记录!U732</f>
        <v>0</v>
      </c>
      <c r="BG433" s="124">
        <f>交易记录!U763</f>
        <v>0</v>
      </c>
      <c r="BH433" s="30">
        <f t="shared" si="199"/>
        <v>0</v>
      </c>
      <c r="BI433" s="121">
        <f>交易记录!U796</f>
        <v>0</v>
      </c>
      <c r="BJ433" s="121">
        <f>交易记录!U827</f>
        <v>0</v>
      </c>
      <c r="BK433" s="30">
        <f t="shared" si="200"/>
        <v>0</v>
      </c>
      <c r="BL433" s="124">
        <f>交易记录!U860</f>
        <v>0</v>
      </c>
      <c r="BM433" s="124">
        <f>交易记录!U891</f>
        <v>0</v>
      </c>
      <c r="BN433" s="30">
        <f t="shared" si="201"/>
        <v>0</v>
      </c>
      <c r="BO433" s="121">
        <f>交易记录!U924</f>
        <v>0</v>
      </c>
      <c r="BP433" s="121">
        <f>交易记录!U955</f>
        <v>0</v>
      </c>
      <c r="BQ433" s="30">
        <f t="shared" si="202"/>
        <v>0</v>
      </c>
    </row>
    <row r="434" spans="1:69" ht="15">
      <c r="A434" s="125">
        <f>'维护-日期'!A$21</f>
        <v>46284</v>
      </c>
      <c r="B434" s="7" t="s">
        <v>6</v>
      </c>
      <c r="C434" s="144">
        <f t="shared" si="203"/>
        <v>16.655999999999999</v>
      </c>
      <c r="D434" s="144">
        <f>ROUND(INDEX(持仓数据!$C$3:$AG$26,MATCH('计算过程-数据汇总'!B434,持仓数据!$B$3:$B$26,0),MATCH('计算过程-数据汇总'!A434,'维护-日期'!$B$2:$AF$2,0)),3)</f>
        <v>16.655999999999999</v>
      </c>
      <c r="E434" s="98">
        <f t="shared" si="204"/>
        <v>16.655999999999999</v>
      </c>
      <c r="F434" s="22">
        <f>持仓数据!U72</f>
        <v>0.1</v>
      </c>
      <c r="G434" s="97">
        <v>372</v>
      </c>
      <c r="H434" s="97">
        <v>372</v>
      </c>
      <c r="I434" s="64">
        <v>0</v>
      </c>
      <c r="J434" s="64">
        <v>0</v>
      </c>
      <c r="K434" s="21">
        <f>IF(持仓数据!U105="",0,持仓数据!U105)</f>
        <v>372</v>
      </c>
      <c r="L434" s="21">
        <f t="shared" si="205"/>
        <v>0</v>
      </c>
      <c r="M434" s="28">
        <f t="shared" si="189"/>
        <v>6196.0319999999992</v>
      </c>
      <c r="N434" s="28">
        <f t="shared" si="190"/>
        <v>0</v>
      </c>
      <c r="O434" s="28">
        <f t="shared" si="191"/>
        <v>0</v>
      </c>
      <c r="P434" s="28">
        <f t="shared" si="192"/>
        <v>0</v>
      </c>
      <c r="Q434" s="28">
        <f t="shared" si="206"/>
        <v>0</v>
      </c>
      <c r="R434" s="28">
        <f t="shared" si="193"/>
        <v>6196.0319999999992</v>
      </c>
      <c r="S434" s="28">
        <f t="shared" si="207"/>
        <v>0</v>
      </c>
      <c r="T434" s="28">
        <f t="shared" si="208"/>
        <v>0</v>
      </c>
      <c r="U434" s="28">
        <f t="shared" si="211"/>
        <v>0</v>
      </c>
      <c r="V434" s="28">
        <f t="shared" si="209"/>
        <v>0</v>
      </c>
      <c r="W434" s="118"/>
      <c r="X434" s="143">
        <f t="shared" si="210"/>
        <v>19.887</v>
      </c>
      <c r="Y434" s="121">
        <f>交易记录!V5</f>
        <v>0.1</v>
      </c>
      <c r="Z434" s="121">
        <f>交易记录!V36</f>
        <v>372</v>
      </c>
      <c r="AA434" s="30">
        <f t="shared" si="194"/>
        <v>0</v>
      </c>
      <c r="AB434" s="124">
        <f>交易记录!V69</f>
        <v>0</v>
      </c>
      <c r="AC434" s="124">
        <f>交易记录!V100</f>
        <v>0</v>
      </c>
      <c r="AD434" s="30">
        <f t="shared" si="212"/>
        <v>0</v>
      </c>
      <c r="AE434" s="121">
        <f>交易记录!V133</f>
        <v>0</v>
      </c>
      <c r="AF434" s="121">
        <f>交易记录!V164</f>
        <v>0</v>
      </c>
      <c r="AG434" s="30">
        <f t="shared" si="213"/>
        <v>0</v>
      </c>
      <c r="AH434" s="124">
        <f>交易记录!V197</f>
        <v>0</v>
      </c>
      <c r="AI434" s="124">
        <f>交易记录!V228</f>
        <v>0</v>
      </c>
      <c r="AJ434" s="30">
        <f t="shared" si="214"/>
        <v>0</v>
      </c>
      <c r="AK434" s="121">
        <f>交易记录!V261</f>
        <v>0</v>
      </c>
      <c r="AL434" s="121">
        <f>交易记录!V292</f>
        <v>0</v>
      </c>
      <c r="AM434" s="30">
        <f t="shared" si="215"/>
        <v>0</v>
      </c>
      <c r="AN434" s="124">
        <f>交易记录!V325</f>
        <v>0</v>
      </c>
      <c r="AO434" s="124">
        <f>交易记录!V356</f>
        <v>0</v>
      </c>
      <c r="AP434" s="30">
        <f t="shared" si="216"/>
        <v>0</v>
      </c>
      <c r="AQ434" s="121">
        <f>交易记录!V389</f>
        <v>0</v>
      </c>
      <c r="AR434" s="121">
        <f>交易记录!V420</f>
        <v>0</v>
      </c>
      <c r="AS434" s="30">
        <f t="shared" si="217"/>
        <v>0</v>
      </c>
      <c r="AT434" s="124">
        <f>交易记录!V453</f>
        <v>0</v>
      </c>
      <c r="AU434" s="124">
        <f>交易记录!V484</f>
        <v>0</v>
      </c>
      <c r="AV434" s="30">
        <f t="shared" si="195"/>
        <v>0</v>
      </c>
      <c r="AW434" s="121">
        <f>交易记录!V517</f>
        <v>0</v>
      </c>
      <c r="AX434" s="121">
        <f>交易记录!V548</f>
        <v>0</v>
      </c>
      <c r="AY434" s="30">
        <f t="shared" si="196"/>
        <v>0</v>
      </c>
      <c r="AZ434" s="124">
        <f>交易记录!V581</f>
        <v>0</v>
      </c>
      <c r="BA434" s="124">
        <f>交易记录!V612</f>
        <v>0</v>
      </c>
      <c r="BB434" s="30">
        <f t="shared" si="197"/>
        <v>0</v>
      </c>
      <c r="BC434" s="121">
        <f>交易记录!V645</f>
        <v>0</v>
      </c>
      <c r="BD434" s="121">
        <f>交易记录!V676</f>
        <v>0</v>
      </c>
      <c r="BE434" s="30">
        <f t="shared" si="198"/>
        <v>0</v>
      </c>
      <c r="BF434" s="124">
        <f>交易记录!V709</f>
        <v>0</v>
      </c>
      <c r="BG434" s="124">
        <f>交易记录!V740</f>
        <v>0</v>
      </c>
      <c r="BH434" s="30">
        <f t="shared" si="199"/>
        <v>0</v>
      </c>
      <c r="BI434" s="121">
        <f>交易记录!V773</f>
        <v>0</v>
      </c>
      <c r="BJ434" s="121">
        <f>交易记录!V804</f>
        <v>0</v>
      </c>
      <c r="BK434" s="30">
        <f t="shared" si="200"/>
        <v>0</v>
      </c>
      <c r="BL434" s="124">
        <f>交易记录!V837</f>
        <v>0</v>
      </c>
      <c r="BM434" s="124">
        <f>交易记录!V868</f>
        <v>0</v>
      </c>
      <c r="BN434" s="30">
        <f t="shared" si="201"/>
        <v>0</v>
      </c>
      <c r="BO434" s="121">
        <f>交易记录!V901</f>
        <v>0</v>
      </c>
      <c r="BP434" s="121">
        <f>交易记录!V932</f>
        <v>0</v>
      </c>
      <c r="BQ434" s="30">
        <f t="shared" si="202"/>
        <v>0</v>
      </c>
    </row>
    <row r="435" spans="1:69" ht="15">
      <c r="A435" s="125">
        <f>'维护-日期'!A$21</f>
        <v>46284</v>
      </c>
      <c r="B435" s="7" t="s">
        <v>7</v>
      </c>
      <c r="C435" s="144">
        <f t="shared" si="203"/>
        <v>15.792</v>
      </c>
      <c r="D435" s="144">
        <f>ROUND(INDEX(持仓数据!$C$3:$AG$26,MATCH('计算过程-数据汇总'!B435,持仓数据!$B$3:$B$26,0),MATCH('计算过程-数据汇总'!A435,'维护-日期'!$B$2:$AF$2,0)),3)</f>
        <v>15.792</v>
      </c>
      <c r="E435" s="98">
        <f t="shared" si="204"/>
        <v>15.792</v>
      </c>
      <c r="F435" s="22">
        <f>持仓数据!U73</f>
        <v>9.5000000000000001E-2</v>
      </c>
      <c r="G435" s="97">
        <v>372</v>
      </c>
      <c r="H435" s="97">
        <v>372</v>
      </c>
      <c r="I435" s="64">
        <v>0</v>
      </c>
      <c r="J435" s="64">
        <v>0</v>
      </c>
      <c r="K435" s="21">
        <f>IF(持仓数据!U106="",0,持仓数据!U106)</f>
        <v>372.00000000000006</v>
      </c>
      <c r="L435" s="21">
        <f t="shared" si="205"/>
        <v>0</v>
      </c>
      <c r="M435" s="28">
        <f t="shared" si="189"/>
        <v>5874.6239999999998</v>
      </c>
      <c r="N435" s="28">
        <f t="shared" si="190"/>
        <v>0</v>
      </c>
      <c r="O435" s="28">
        <f t="shared" si="191"/>
        <v>0</v>
      </c>
      <c r="P435" s="28">
        <f t="shared" si="192"/>
        <v>5.4001247917767615E-15</v>
      </c>
      <c r="Q435" s="28">
        <f t="shared" si="206"/>
        <v>0</v>
      </c>
      <c r="R435" s="28">
        <f t="shared" si="193"/>
        <v>5874.6240000000007</v>
      </c>
      <c r="S435" s="28">
        <f t="shared" si="207"/>
        <v>0</v>
      </c>
      <c r="T435" s="28">
        <f t="shared" si="208"/>
        <v>-8.9227114585810336E-13</v>
      </c>
      <c r="U435" s="28">
        <f t="shared" si="211"/>
        <v>0</v>
      </c>
      <c r="V435" s="28">
        <f t="shared" si="209"/>
        <v>0</v>
      </c>
      <c r="W435" s="118"/>
      <c r="X435" s="143">
        <f t="shared" si="210"/>
        <v>18.855</v>
      </c>
      <c r="Y435" s="121">
        <f>交易记录!V6</f>
        <v>9.5000000000000001E-2</v>
      </c>
      <c r="Z435" s="121">
        <f>交易记录!V37</f>
        <v>372</v>
      </c>
      <c r="AA435" s="30">
        <f t="shared" si="194"/>
        <v>0</v>
      </c>
      <c r="AB435" s="124">
        <f>交易记录!V70</f>
        <v>0</v>
      </c>
      <c r="AC435" s="124">
        <f>交易记录!V101</f>
        <v>0</v>
      </c>
      <c r="AD435" s="30">
        <f t="shared" si="212"/>
        <v>0</v>
      </c>
      <c r="AE435" s="121">
        <f>交易记录!V134</f>
        <v>0</v>
      </c>
      <c r="AF435" s="121">
        <f>交易记录!V165</f>
        <v>0</v>
      </c>
      <c r="AG435" s="30">
        <f t="shared" si="213"/>
        <v>0</v>
      </c>
      <c r="AH435" s="124">
        <f>交易记录!V198</f>
        <v>0</v>
      </c>
      <c r="AI435" s="124">
        <f>交易记录!V229</f>
        <v>0</v>
      </c>
      <c r="AJ435" s="30">
        <f t="shared" si="214"/>
        <v>0</v>
      </c>
      <c r="AK435" s="121">
        <f>交易记录!V262</f>
        <v>0</v>
      </c>
      <c r="AL435" s="121">
        <f>交易记录!V293</f>
        <v>0</v>
      </c>
      <c r="AM435" s="30">
        <f t="shared" si="215"/>
        <v>0</v>
      </c>
      <c r="AN435" s="124">
        <f>交易记录!V326</f>
        <v>0</v>
      </c>
      <c r="AO435" s="124">
        <f>交易记录!V357</f>
        <v>0</v>
      </c>
      <c r="AP435" s="30">
        <f t="shared" si="216"/>
        <v>0</v>
      </c>
      <c r="AQ435" s="121">
        <f>交易记录!V390</f>
        <v>0</v>
      </c>
      <c r="AR435" s="121">
        <f>交易记录!V421</f>
        <v>0</v>
      </c>
      <c r="AS435" s="30">
        <f t="shared" si="217"/>
        <v>0</v>
      </c>
      <c r="AT435" s="124">
        <f>交易记录!V454</f>
        <v>0</v>
      </c>
      <c r="AU435" s="124">
        <f>交易记录!V485</f>
        <v>0</v>
      </c>
      <c r="AV435" s="30">
        <f t="shared" si="195"/>
        <v>0</v>
      </c>
      <c r="AW435" s="121">
        <f>交易记录!V518</f>
        <v>0</v>
      </c>
      <c r="AX435" s="121">
        <f>交易记录!V549</f>
        <v>0</v>
      </c>
      <c r="AY435" s="30">
        <f t="shared" si="196"/>
        <v>0</v>
      </c>
      <c r="AZ435" s="124">
        <f>交易记录!V582</f>
        <v>0</v>
      </c>
      <c r="BA435" s="124">
        <f>交易记录!V613</f>
        <v>0</v>
      </c>
      <c r="BB435" s="30">
        <f t="shared" si="197"/>
        <v>0</v>
      </c>
      <c r="BC435" s="121">
        <f>交易记录!V646</f>
        <v>0</v>
      </c>
      <c r="BD435" s="121">
        <f>交易记录!V677</f>
        <v>0</v>
      </c>
      <c r="BE435" s="30">
        <f t="shared" si="198"/>
        <v>0</v>
      </c>
      <c r="BF435" s="124">
        <f>交易记录!V710</f>
        <v>0</v>
      </c>
      <c r="BG435" s="124">
        <f>交易记录!V741</f>
        <v>0</v>
      </c>
      <c r="BH435" s="30">
        <f t="shared" si="199"/>
        <v>0</v>
      </c>
      <c r="BI435" s="121">
        <f>交易记录!V774</f>
        <v>0</v>
      </c>
      <c r="BJ435" s="121">
        <f>交易记录!V805</f>
        <v>0</v>
      </c>
      <c r="BK435" s="30">
        <f t="shared" si="200"/>
        <v>0</v>
      </c>
      <c r="BL435" s="124">
        <f>交易记录!V838</f>
        <v>0</v>
      </c>
      <c r="BM435" s="124">
        <f>交易记录!V869</f>
        <v>0</v>
      </c>
      <c r="BN435" s="30">
        <f t="shared" si="201"/>
        <v>0</v>
      </c>
      <c r="BO435" s="121">
        <f>交易记录!V902</f>
        <v>0</v>
      </c>
      <c r="BP435" s="121">
        <f>交易记录!V933</f>
        <v>0</v>
      </c>
      <c r="BQ435" s="30">
        <f t="shared" si="202"/>
        <v>0</v>
      </c>
    </row>
    <row r="436" spans="1:69" ht="15">
      <c r="A436" s="125">
        <f>'维护-日期'!A$21</f>
        <v>46284</v>
      </c>
      <c r="B436" s="7" t="s">
        <v>8</v>
      </c>
      <c r="C436" s="144">
        <f t="shared" si="203"/>
        <v>14.821999999999999</v>
      </c>
      <c r="D436" s="144">
        <f>ROUND(INDEX(持仓数据!$C$3:$AG$26,MATCH('计算过程-数据汇总'!B436,持仓数据!$B$3:$B$26,0),MATCH('计算过程-数据汇总'!A436,'维护-日期'!$B$2:$AF$2,0)),3)</f>
        <v>14.821999999999999</v>
      </c>
      <c r="E436" s="98">
        <f t="shared" si="204"/>
        <v>14.821999999999999</v>
      </c>
      <c r="F436" s="22">
        <f>持仓数据!U74</f>
        <v>8.5999999999999993E-2</v>
      </c>
      <c r="G436" s="97">
        <v>372</v>
      </c>
      <c r="H436" s="97">
        <v>372</v>
      </c>
      <c r="I436" s="64">
        <v>0</v>
      </c>
      <c r="J436" s="64">
        <v>0</v>
      </c>
      <c r="K436" s="21">
        <f>IF(持仓数据!U107="",0,持仓数据!U107)</f>
        <v>372</v>
      </c>
      <c r="L436" s="21">
        <f t="shared" si="205"/>
        <v>0</v>
      </c>
      <c r="M436" s="28">
        <f t="shared" si="189"/>
        <v>5513.7839999999997</v>
      </c>
      <c r="N436" s="28">
        <f t="shared" si="190"/>
        <v>0</v>
      </c>
      <c r="O436" s="28">
        <f t="shared" si="191"/>
        <v>0</v>
      </c>
      <c r="P436" s="28">
        <f t="shared" si="192"/>
        <v>0</v>
      </c>
      <c r="Q436" s="28">
        <f t="shared" si="206"/>
        <v>0</v>
      </c>
      <c r="R436" s="28">
        <f t="shared" si="193"/>
        <v>5513.7839999999997</v>
      </c>
      <c r="S436" s="28">
        <f t="shared" si="207"/>
        <v>0</v>
      </c>
      <c r="T436" s="28">
        <f t="shared" si="208"/>
        <v>0</v>
      </c>
      <c r="U436" s="28">
        <f t="shared" si="211"/>
        <v>0</v>
      </c>
      <c r="V436" s="28">
        <f t="shared" si="209"/>
        <v>0</v>
      </c>
      <c r="W436" s="118"/>
      <c r="X436" s="143">
        <f t="shared" si="210"/>
        <v>17.7</v>
      </c>
      <c r="Y436" s="121">
        <f>交易记录!V7</f>
        <v>8.5999999999999993E-2</v>
      </c>
      <c r="Z436" s="121">
        <f>交易记录!V38</f>
        <v>372</v>
      </c>
      <c r="AA436" s="30">
        <f t="shared" si="194"/>
        <v>0</v>
      </c>
      <c r="AB436" s="124">
        <f>交易记录!V71</f>
        <v>0</v>
      </c>
      <c r="AC436" s="124">
        <f>交易记录!V102</f>
        <v>0</v>
      </c>
      <c r="AD436" s="30">
        <f t="shared" si="212"/>
        <v>0</v>
      </c>
      <c r="AE436" s="121">
        <f>交易记录!V135</f>
        <v>0</v>
      </c>
      <c r="AF436" s="121">
        <f>交易记录!V166</f>
        <v>0</v>
      </c>
      <c r="AG436" s="30">
        <f t="shared" si="213"/>
        <v>0</v>
      </c>
      <c r="AH436" s="124">
        <f>交易记录!V199</f>
        <v>0</v>
      </c>
      <c r="AI436" s="124">
        <f>交易记录!V230</f>
        <v>0</v>
      </c>
      <c r="AJ436" s="30">
        <f t="shared" si="214"/>
        <v>0</v>
      </c>
      <c r="AK436" s="121">
        <f>交易记录!V263</f>
        <v>0</v>
      </c>
      <c r="AL436" s="121">
        <f>交易记录!V294</f>
        <v>0</v>
      </c>
      <c r="AM436" s="30">
        <f t="shared" si="215"/>
        <v>0</v>
      </c>
      <c r="AN436" s="124">
        <f>交易记录!V327</f>
        <v>0</v>
      </c>
      <c r="AO436" s="124">
        <f>交易记录!V358</f>
        <v>0</v>
      </c>
      <c r="AP436" s="30">
        <f t="shared" si="216"/>
        <v>0</v>
      </c>
      <c r="AQ436" s="121">
        <f>交易记录!V391</f>
        <v>0</v>
      </c>
      <c r="AR436" s="121">
        <f>交易记录!V422</f>
        <v>0</v>
      </c>
      <c r="AS436" s="30">
        <f t="shared" si="217"/>
        <v>0</v>
      </c>
      <c r="AT436" s="124">
        <f>交易记录!V455</f>
        <v>0</v>
      </c>
      <c r="AU436" s="124">
        <f>交易记录!V486</f>
        <v>0</v>
      </c>
      <c r="AV436" s="30">
        <f t="shared" si="195"/>
        <v>0</v>
      </c>
      <c r="AW436" s="121">
        <f>交易记录!V519</f>
        <v>0</v>
      </c>
      <c r="AX436" s="121">
        <f>交易记录!V550</f>
        <v>0</v>
      </c>
      <c r="AY436" s="30">
        <f t="shared" si="196"/>
        <v>0</v>
      </c>
      <c r="AZ436" s="124">
        <f>交易记录!V583</f>
        <v>0</v>
      </c>
      <c r="BA436" s="124">
        <f>交易记录!V614</f>
        <v>0</v>
      </c>
      <c r="BB436" s="30">
        <f t="shared" si="197"/>
        <v>0</v>
      </c>
      <c r="BC436" s="121">
        <f>交易记录!V647</f>
        <v>0</v>
      </c>
      <c r="BD436" s="121">
        <f>交易记录!V678</f>
        <v>0</v>
      </c>
      <c r="BE436" s="30">
        <f t="shared" si="198"/>
        <v>0</v>
      </c>
      <c r="BF436" s="124">
        <f>交易记录!V711</f>
        <v>0</v>
      </c>
      <c r="BG436" s="124">
        <f>交易记录!V742</f>
        <v>0</v>
      </c>
      <c r="BH436" s="30">
        <f t="shared" si="199"/>
        <v>0</v>
      </c>
      <c r="BI436" s="121">
        <f>交易记录!V775</f>
        <v>0</v>
      </c>
      <c r="BJ436" s="121">
        <f>交易记录!V806</f>
        <v>0</v>
      </c>
      <c r="BK436" s="30">
        <f t="shared" si="200"/>
        <v>0</v>
      </c>
      <c r="BL436" s="124">
        <f>交易记录!V839</f>
        <v>0</v>
      </c>
      <c r="BM436" s="124">
        <f>交易记录!V870</f>
        <v>0</v>
      </c>
      <c r="BN436" s="30">
        <f t="shared" si="201"/>
        <v>0</v>
      </c>
      <c r="BO436" s="121">
        <f>交易记录!V903</f>
        <v>0</v>
      </c>
      <c r="BP436" s="121">
        <f>交易记录!V934</f>
        <v>0</v>
      </c>
      <c r="BQ436" s="30">
        <f t="shared" si="202"/>
        <v>0</v>
      </c>
    </row>
    <row r="437" spans="1:69" ht="15">
      <c r="A437" s="125">
        <f>'维护-日期'!A$21</f>
        <v>46284</v>
      </c>
      <c r="B437" s="7" t="s">
        <v>9</v>
      </c>
      <c r="C437" s="144">
        <f t="shared" si="203"/>
        <v>13.817</v>
      </c>
      <c r="D437" s="144">
        <f>ROUND(INDEX(持仓数据!$C$3:$AG$26,MATCH('计算过程-数据汇总'!B437,持仓数据!$B$3:$B$26,0),MATCH('计算过程-数据汇总'!A437,'维护-日期'!$B$2:$AF$2,0)),3)</f>
        <v>13.817</v>
      </c>
      <c r="E437" s="98">
        <f t="shared" si="204"/>
        <v>13.817</v>
      </c>
      <c r="F437" s="22">
        <f>持仓数据!U75</f>
        <v>7.7000000000000013E-2</v>
      </c>
      <c r="G437" s="97">
        <v>372</v>
      </c>
      <c r="H437" s="97">
        <v>372</v>
      </c>
      <c r="I437" s="64">
        <v>0</v>
      </c>
      <c r="J437" s="64">
        <v>0</v>
      </c>
      <c r="K437" s="21">
        <f>IF(持仓数据!U108="",0,持仓数据!U108)</f>
        <v>372</v>
      </c>
      <c r="L437" s="21">
        <f t="shared" si="205"/>
        <v>0</v>
      </c>
      <c r="M437" s="28">
        <f t="shared" si="189"/>
        <v>5139.924</v>
      </c>
      <c r="N437" s="28">
        <f t="shared" si="190"/>
        <v>0</v>
      </c>
      <c r="O437" s="28">
        <f t="shared" si="191"/>
        <v>0</v>
      </c>
      <c r="P437" s="28">
        <f t="shared" si="192"/>
        <v>0</v>
      </c>
      <c r="Q437" s="28">
        <f t="shared" si="206"/>
        <v>0</v>
      </c>
      <c r="R437" s="28">
        <f t="shared" si="193"/>
        <v>5139.924</v>
      </c>
      <c r="S437" s="28">
        <f t="shared" si="207"/>
        <v>0</v>
      </c>
      <c r="T437" s="28">
        <f t="shared" si="208"/>
        <v>0</v>
      </c>
      <c r="U437" s="28">
        <f t="shared" si="211"/>
        <v>0</v>
      </c>
      <c r="V437" s="28">
        <f t="shared" si="209"/>
        <v>0</v>
      </c>
      <c r="W437" s="118"/>
      <c r="X437" s="143">
        <f t="shared" si="210"/>
        <v>16.503</v>
      </c>
      <c r="Y437" s="121">
        <f>交易记录!V8</f>
        <v>7.7000000000000013E-2</v>
      </c>
      <c r="Z437" s="121">
        <f>交易记录!V39</f>
        <v>372</v>
      </c>
      <c r="AA437" s="30">
        <f t="shared" si="194"/>
        <v>0</v>
      </c>
      <c r="AB437" s="124">
        <f>交易记录!V72</f>
        <v>0</v>
      </c>
      <c r="AC437" s="124">
        <f>交易记录!V103</f>
        <v>0</v>
      </c>
      <c r="AD437" s="30">
        <f t="shared" si="212"/>
        <v>0</v>
      </c>
      <c r="AE437" s="121">
        <f>交易记录!V136</f>
        <v>0</v>
      </c>
      <c r="AF437" s="121">
        <f>交易记录!V167</f>
        <v>0</v>
      </c>
      <c r="AG437" s="30">
        <f t="shared" si="213"/>
        <v>0</v>
      </c>
      <c r="AH437" s="124">
        <f>交易记录!V200</f>
        <v>0</v>
      </c>
      <c r="AI437" s="124">
        <f>交易记录!V231</f>
        <v>0</v>
      </c>
      <c r="AJ437" s="30">
        <f t="shared" si="214"/>
        <v>0</v>
      </c>
      <c r="AK437" s="121">
        <f>交易记录!V264</f>
        <v>0</v>
      </c>
      <c r="AL437" s="121">
        <f>交易记录!V295</f>
        <v>0</v>
      </c>
      <c r="AM437" s="30">
        <f t="shared" si="215"/>
        <v>0</v>
      </c>
      <c r="AN437" s="124">
        <f>交易记录!V328</f>
        <v>0</v>
      </c>
      <c r="AO437" s="124">
        <f>交易记录!V359</f>
        <v>0</v>
      </c>
      <c r="AP437" s="30">
        <f t="shared" si="216"/>
        <v>0</v>
      </c>
      <c r="AQ437" s="121">
        <f>交易记录!V392</f>
        <v>0</v>
      </c>
      <c r="AR437" s="121">
        <f>交易记录!V423</f>
        <v>0</v>
      </c>
      <c r="AS437" s="30">
        <f t="shared" si="217"/>
        <v>0</v>
      </c>
      <c r="AT437" s="124">
        <f>交易记录!V456</f>
        <v>0</v>
      </c>
      <c r="AU437" s="124">
        <f>交易记录!V487</f>
        <v>0</v>
      </c>
      <c r="AV437" s="30">
        <f t="shared" si="195"/>
        <v>0</v>
      </c>
      <c r="AW437" s="121">
        <f>交易记录!V520</f>
        <v>0</v>
      </c>
      <c r="AX437" s="121">
        <f>交易记录!V551</f>
        <v>0</v>
      </c>
      <c r="AY437" s="30">
        <f t="shared" si="196"/>
        <v>0</v>
      </c>
      <c r="AZ437" s="124">
        <f>交易记录!V584</f>
        <v>0</v>
      </c>
      <c r="BA437" s="124">
        <f>交易记录!V615</f>
        <v>0</v>
      </c>
      <c r="BB437" s="30">
        <f t="shared" si="197"/>
        <v>0</v>
      </c>
      <c r="BC437" s="121">
        <f>交易记录!V648</f>
        <v>0</v>
      </c>
      <c r="BD437" s="121">
        <f>交易记录!V679</f>
        <v>0</v>
      </c>
      <c r="BE437" s="30">
        <f t="shared" si="198"/>
        <v>0</v>
      </c>
      <c r="BF437" s="124">
        <f>交易记录!V712</f>
        <v>0</v>
      </c>
      <c r="BG437" s="124">
        <f>交易记录!V743</f>
        <v>0</v>
      </c>
      <c r="BH437" s="30">
        <f t="shared" si="199"/>
        <v>0</v>
      </c>
      <c r="BI437" s="121">
        <f>交易记录!V776</f>
        <v>0</v>
      </c>
      <c r="BJ437" s="121">
        <f>交易记录!V807</f>
        <v>0</v>
      </c>
      <c r="BK437" s="30">
        <f t="shared" si="200"/>
        <v>0</v>
      </c>
      <c r="BL437" s="124">
        <f>交易记录!V840</f>
        <v>0</v>
      </c>
      <c r="BM437" s="124">
        <f>交易记录!V871</f>
        <v>0</v>
      </c>
      <c r="BN437" s="30">
        <f t="shared" si="201"/>
        <v>0</v>
      </c>
      <c r="BO437" s="121">
        <f>交易记录!V904</f>
        <v>0</v>
      </c>
      <c r="BP437" s="121">
        <f>交易记录!V935</f>
        <v>0</v>
      </c>
      <c r="BQ437" s="30">
        <f t="shared" si="202"/>
        <v>0</v>
      </c>
    </row>
    <row r="438" spans="1:69" ht="15">
      <c r="A438" s="125">
        <f>'维护-日期'!A$21</f>
        <v>46284</v>
      </c>
      <c r="B438" s="7" t="s">
        <v>10</v>
      </c>
      <c r="C438" s="144">
        <f t="shared" si="203"/>
        <v>13.388</v>
      </c>
      <c r="D438" s="144">
        <f>ROUND(INDEX(持仓数据!$C$3:$AG$26,MATCH('计算过程-数据汇总'!B438,持仓数据!$B$3:$B$26,0),MATCH('计算过程-数据汇总'!A438,'维护-日期'!$B$2:$AF$2,0)),3)</f>
        <v>13.388</v>
      </c>
      <c r="E438" s="98">
        <f t="shared" si="204"/>
        <v>13.388</v>
      </c>
      <c r="F438" s="22">
        <f>持仓数据!U76</f>
        <v>7.5000000000000011E-2</v>
      </c>
      <c r="G438" s="97">
        <v>372</v>
      </c>
      <c r="H438" s="97">
        <v>372</v>
      </c>
      <c r="I438" s="64">
        <v>0</v>
      </c>
      <c r="J438" s="64">
        <v>0</v>
      </c>
      <c r="K438" s="21">
        <f>IF(持仓数据!U109="",0,持仓数据!U109)</f>
        <v>372</v>
      </c>
      <c r="L438" s="21">
        <f t="shared" si="205"/>
        <v>0</v>
      </c>
      <c r="M438" s="28">
        <f t="shared" si="189"/>
        <v>4980.3360000000002</v>
      </c>
      <c r="N438" s="28">
        <f t="shared" si="190"/>
        <v>0</v>
      </c>
      <c r="O438" s="28">
        <f t="shared" si="191"/>
        <v>0</v>
      </c>
      <c r="P438" s="28">
        <f t="shared" si="192"/>
        <v>0</v>
      </c>
      <c r="Q438" s="28">
        <f t="shared" si="206"/>
        <v>0</v>
      </c>
      <c r="R438" s="28">
        <f t="shared" si="193"/>
        <v>4980.3360000000002</v>
      </c>
      <c r="S438" s="28">
        <f t="shared" si="207"/>
        <v>0</v>
      </c>
      <c r="T438" s="28">
        <f t="shared" si="208"/>
        <v>0</v>
      </c>
      <c r="U438" s="28">
        <f t="shared" si="211"/>
        <v>0</v>
      </c>
      <c r="V438" s="28">
        <f t="shared" si="209"/>
        <v>0</v>
      </c>
      <c r="W438" s="118"/>
      <c r="X438" s="143">
        <f t="shared" si="210"/>
        <v>15.991</v>
      </c>
      <c r="Y438" s="121">
        <f>交易记录!V9</f>
        <v>7.5000000000000011E-2</v>
      </c>
      <c r="Z438" s="121">
        <f>交易记录!V40</f>
        <v>372</v>
      </c>
      <c r="AA438" s="30">
        <f t="shared" si="194"/>
        <v>0</v>
      </c>
      <c r="AB438" s="124">
        <f>交易记录!V73</f>
        <v>0</v>
      </c>
      <c r="AC438" s="124">
        <f>交易记录!V104</f>
        <v>0</v>
      </c>
      <c r="AD438" s="30">
        <f t="shared" si="212"/>
        <v>0</v>
      </c>
      <c r="AE438" s="121">
        <f>交易记录!V137</f>
        <v>0</v>
      </c>
      <c r="AF438" s="121">
        <f>交易记录!V168</f>
        <v>0</v>
      </c>
      <c r="AG438" s="30">
        <f t="shared" si="213"/>
        <v>0</v>
      </c>
      <c r="AH438" s="124">
        <f>交易记录!V201</f>
        <v>0</v>
      </c>
      <c r="AI438" s="124">
        <f>交易记录!V232</f>
        <v>0</v>
      </c>
      <c r="AJ438" s="30">
        <f t="shared" si="214"/>
        <v>0</v>
      </c>
      <c r="AK438" s="121">
        <f>交易记录!V265</f>
        <v>0</v>
      </c>
      <c r="AL438" s="121">
        <f>交易记录!V296</f>
        <v>0</v>
      </c>
      <c r="AM438" s="30">
        <f t="shared" si="215"/>
        <v>0</v>
      </c>
      <c r="AN438" s="124">
        <f>交易记录!V329</f>
        <v>0</v>
      </c>
      <c r="AO438" s="124">
        <f>交易记录!V360</f>
        <v>0</v>
      </c>
      <c r="AP438" s="30">
        <f t="shared" si="216"/>
        <v>0</v>
      </c>
      <c r="AQ438" s="121">
        <f>交易记录!V393</f>
        <v>0</v>
      </c>
      <c r="AR438" s="121">
        <f>交易记录!V424</f>
        <v>0</v>
      </c>
      <c r="AS438" s="30">
        <f t="shared" si="217"/>
        <v>0</v>
      </c>
      <c r="AT438" s="124">
        <f>交易记录!V457</f>
        <v>0</v>
      </c>
      <c r="AU438" s="124">
        <f>交易记录!V488</f>
        <v>0</v>
      </c>
      <c r="AV438" s="30">
        <f t="shared" si="195"/>
        <v>0</v>
      </c>
      <c r="AW438" s="121">
        <f>交易记录!V521</f>
        <v>0</v>
      </c>
      <c r="AX438" s="121">
        <f>交易记录!V552</f>
        <v>0</v>
      </c>
      <c r="AY438" s="30">
        <f t="shared" si="196"/>
        <v>0</v>
      </c>
      <c r="AZ438" s="124">
        <f>交易记录!V585</f>
        <v>0</v>
      </c>
      <c r="BA438" s="124">
        <f>交易记录!V616</f>
        <v>0</v>
      </c>
      <c r="BB438" s="30">
        <f t="shared" si="197"/>
        <v>0</v>
      </c>
      <c r="BC438" s="121">
        <f>交易记录!V649</f>
        <v>0</v>
      </c>
      <c r="BD438" s="121">
        <f>交易记录!V680</f>
        <v>0</v>
      </c>
      <c r="BE438" s="30">
        <f t="shared" si="198"/>
        <v>0</v>
      </c>
      <c r="BF438" s="124">
        <f>交易记录!V713</f>
        <v>0</v>
      </c>
      <c r="BG438" s="124">
        <f>交易记录!V744</f>
        <v>0</v>
      </c>
      <c r="BH438" s="30">
        <f t="shared" si="199"/>
        <v>0</v>
      </c>
      <c r="BI438" s="121">
        <f>交易记录!V777</f>
        <v>0</v>
      </c>
      <c r="BJ438" s="121">
        <f>交易记录!V808</f>
        <v>0</v>
      </c>
      <c r="BK438" s="30">
        <f t="shared" si="200"/>
        <v>0</v>
      </c>
      <c r="BL438" s="124">
        <f>交易记录!V841</f>
        <v>0</v>
      </c>
      <c r="BM438" s="124">
        <f>交易记录!V872</f>
        <v>0</v>
      </c>
      <c r="BN438" s="30">
        <f t="shared" si="201"/>
        <v>0</v>
      </c>
      <c r="BO438" s="121">
        <f>交易记录!V905</f>
        <v>0</v>
      </c>
      <c r="BP438" s="121">
        <f>交易记录!V936</f>
        <v>0</v>
      </c>
      <c r="BQ438" s="30">
        <f t="shared" si="202"/>
        <v>0</v>
      </c>
    </row>
    <row r="439" spans="1:69" ht="15">
      <c r="A439" s="125">
        <f>'维护-日期'!A$21</f>
        <v>46284</v>
      </c>
      <c r="B439" s="7" t="s">
        <v>11</v>
      </c>
      <c r="C439" s="144">
        <f t="shared" si="203"/>
        <v>13.087</v>
      </c>
      <c r="D439" s="144">
        <f>ROUND(INDEX(持仓数据!$C$3:$AG$26,MATCH('计算过程-数据汇总'!B439,持仓数据!$B$3:$B$26,0),MATCH('计算过程-数据汇总'!A439,'维护-日期'!$B$2:$AF$2,0)),3)</f>
        <v>13.087</v>
      </c>
      <c r="E439" s="98">
        <f t="shared" si="204"/>
        <v>13.087</v>
      </c>
      <c r="F439" s="22">
        <f>持仓数据!U77</f>
        <v>7.5000000000000011E-2</v>
      </c>
      <c r="G439" s="97">
        <v>372</v>
      </c>
      <c r="H439" s="97">
        <v>372</v>
      </c>
      <c r="I439" s="64">
        <v>0</v>
      </c>
      <c r="J439" s="64">
        <v>0</v>
      </c>
      <c r="K439" s="21">
        <f>IF(持仓数据!U110="",0,持仓数据!U110)</f>
        <v>372</v>
      </c>
      <c r="L439" s="21">
        <f t="shared" si="205"/>
        <v>0</v>
      </c>
      <c r="M439" s="28">
        <f t="shared" si="189"/>
        <v>4868.3639999999996</v>
      </c>
      <c r="N439" s="28">
        <f t="shared" si="190"/>
        <v>0</v>
      </c>
      <c r="O439" s="28">
        <f t="shared" si="191"/>
        <v>0</v>
      </c>
      <c r="P439" s="28">
        <f t="shared" si="192"/>
        <v>0</v>
      </c>
      <c r="Q439" s="28">
        <f t="shared" si="206"/>
        <v>0</v>
      </c>
      <c r="R439" s="28">
        <f t="shared" si="193"/>
        <v>4868.3639999999996</v>
      </c>
      <c r="S439" s="28">
        <f t="shared" si="207"/>
        <v>0</v>
      </c>
      <c r="T439" s="28">
        <f t="shared" si="208"/>
        <v>0</v>
      </c>
      <c r="U439" s="28">
        <f t="shared" si="211"/>
        <v>0</v>
      </c>
      <c r="V439" s="28">
        <f t="shared" si="209"/>
        <v>0</v>
      </c>
      <c r="W439" s="118"/>
      <c r="X439" s="143">
        <f t="shared" si="210"/>
        <v>15.629</v>
      </c>
      <c r="Y439" s="121">
        <f>交易记录!V10</f>
        <v>7.5000000000000011E-2</v>
      </c>
      <c r="Z439" s="121">
        <f>交易记录!V41</f>
        <v>372</v>
      </c>
      <c r="AA439" s="30">
        <f t="shared" si="194"/>
        <v>0</v>
      </c>
      <c r="AB439" s="124">
        <f>交易记录!V74</f>
        <v>0</v>
      </c>
      <c r="AC439" s="124">
        <f>交易记录!V105</f>
        <v>0</v>
      </c>
      <c r="AD439" s="30">
        <f t="shared" si="212"/>
        <v>0</v>
      </c>
      <c r="AE439" s="121">
        <f>交易记录!V138</f>
        <v>0</v>
      </c>
      <c r="AF439" s="121">
        <f>交易记录!V169</f>
        <v>0</v>
      </c>
      <c r="AG439" s="30">
        <f t="shared" si="213"/>
        <v>0</v>
      </c>
      <c r="AH439" s="124">
        <f>交易记录!V202</f>
        <v>0</v>
      </c>
      <c r="AI439" s="124">
        <f>交易记录!V233</f>
        <v>0</v>
      </c>
      <c r="AJ439" s="30">
        <f t="shared" si="214"/>
        <v>0</v>
      </c>
      <c r="AK439" s="121">
        <f>交易记录!V266</f>
        <v>0</v>
      </c>
      <c r="AL439" s="121">
        <f>交易记录!V297</f>
        <v>0</v>
      </c>
      <c r="AM439" s="30">
        <f t="shared" si="215"/>
        <v>0</v>
      </c>
      <c r="AN439" s="124">
        <f>交易记录!V330</f>
        <v>0</v>
      </c>
      <c r="AO439" s="124">
        <f>交易记录!V361</f>
        <v>0</v>
      </c>
      <c r="AP439" s="30">
        <f t="shared" si="216"/>
        <v>0</v>
      </c>
      <c r="AQ439" s="121">
        <f>交易记录!V394</f>
        <v>0</v>
      </c>
      <c r="AR439" s="121">
        <f>交易记录!V425</f>
        <v>0</v>
      </c>
      <c r="AS439" s="30">
        <f t="shared" si="217"/>
        <v>0</v>
      </c>
      <c r="AT439" s="124">
        <f>交易记录!V458</f>
        <v>0</v>
      </c>
      <c r="AU439" s="124">
        <f>交易记录!V489</f>
        <v>0</v>
      </c>
      <c r="AV439" s="30">
        <f t="shared" si="195"/>
        <v>0</v>
      </c>
      <c r="AW439" s="121">
        <f>交易记录!V522</f>
        <v>0</v>
      </c>
      <c r="AX439" s="121">
        <f>交易记录!V553</f>
        <v>0</v>
      </c>
      <c r="AY439" s="30">
        <f t="shared" si="196"/>
        <v>0</v>
      </c>
      <c r="AZ439" s="124">
        <f>交易记录!V586</f>
        <v>0</v>
      </c>
      <c r="BA439" s="124">
        <f>交易记录!V617</f>
        <v>0</v>
      </c>
      <c r="BB439" s="30">
        <f t="shared" si="197"/>
        <v>0</v>
      </c>
      <c r="BC439" s="121">
        <f>交易记录!V650</f>
        <v>0</v>
      </c>
      <c r="BD439" s="121">
        <f>交易记录!V681</f>
        <v>0</v>
      </c>
      <c r="BE439" s="30">
        <f t="shared" si="198"/>
        <v>0</v>
      </c>
      <c r="BF439" s="124">
        <f>交易记录!V714</f>
        <v>0</v>
      </c>
      <c r="BG439" s="124">
        <f>交易记录!V745</f>
        <v>0</v>
      </c>
      <c r="BH439" s="30">
        <f t="shared" si="199"/>
        <v>0</v>
      </c>
      <c r="BI439" s="121">
        <f>交易记录!V778</f>
        <v>0</v>
      </c>
      <c r="BJ439" s="121">
        <f>交易记录!V809</f>
        <v>0</v>
      </c>
      <c r="BK439" s="30">
        <f t="shared" si="200"/>
        <v>0</v>
      </c>
      <c r="BL439" s="124">
        <f>交易记录!V842</f>
        <v>0</v>
      </c>
      <c r="BM439" s="124">
        <f>交易记录!V873</f>
        <v>0</v>
      </c>
      <c r="BN439" s="30">
        <f t="shared" si="201"/>
        <v>0</v>
      </c>
      <c r="BO439" s="121">
        <f>交易记录!V906</f>
        <v>0</v>
      </c>
      <c r="BP439" s="121">
        <f>交易记录!V937</f>
        <v>0</v>
      </c>
      <c r="BQ439" s="30">
        <f t="shared" si="202"/>
        <v>0</v>
      </c>
    </row>
    <row r="440" spans="1:69" ht="15">
      <c r="A440" s="125">
        <f>'维护-日期'!A$21</f>
        <v>46284</v>
      </c>
      <c r="B440" s="7" t="s">
        <v>12</v>
      </c>
      <c r="C440" s="144">
        <f t="shared" si="203"/>
        <v>12.95</v>
      </c>
      <c r="D440" s="144">
        <f>ROUND(INDEX(持仓数据!$C$3:$AG$26,MATCH('计算过程-数据汇总'!B440,持仓数据!$B$3:$B$26,0),MATCH('计算过程-数据汇总'!A440,'维护-日期'!$B$2:$AF$2,0)),3)</f>
        <v>12.95</v>
      </c>
      <c r="E440" s="98">
        <f t="shared" si="204"/>
        <v>12.95</v>
      </c>
      <c r="F440" s="22">
        <f>持仓数据!U78</f>
        <v>0.106</v>
      </c>
      <c r="G440" s="97">
        <v>372</v>
      </c>
      <c r="H440" s="97">
        <v>372</v>
      </c>
      <c r="I440" s="64">
        <v>0</v>
      </c>
      <c r="J440" s="64">
        <v>0</v>
      </c>
      <c r="K440" s="21">
        <f>IF(持仓数据!U111="",0,持仓数据!U111)</f>
        <v>372.00000000000006</v>
      </c>
      <c r="L440" s="21">
        <f t="shared" si="205"/>
        <v>0</v>
      </c>
      <c r="M440" s="28">
        <f t="shared" si="189"/>
        <v>4817.3999999999996</v>
      </c>
      <c r="N440" s="28">
        <f t="shared" si="190"/>
        <v>0</v>
      </c>
      <c r="O440" s="28">
        <f t="shared" si="191"/>
        <v>0</v>
      </c>
      <c r="P440" s="28">
        <f t="shared" si="192"/>
        <v>6.0254023992456494E-15</v>
      </c>
      <c r="Q440" s="28">
        <f t="shared" si="206"/>
        <v>0</v>
      </c>
      <c r="R440" s="28">
        <f t="shared" si="193"/>
        <v>4817.4000000000005</v>
      </c>
      <c r="S440" s="28">
        <f t="shared" si="207"/>
        <v>0</v>
      </c>
      <c r="T440" s="28">
        <f t="shared" si="208"/>
        <v>-7.3009687184821811E-13</v>
      </c>
      <c r="U440" s="28">
        <f t="shared" si="211"/>
        <v>0</v>
      </c>
      <c r="V440" s="28">
        <f t="shared" si="209"/>
        <v>0</v>
      </c>
      <c r="W440" s="118"/>
      <c r="X440" s="143">
        <f t="shared" si="210"/>
        <v>15.433999999999999</v>
      </c>
      <c r="Y440" s="121">
        <f>交易记录!V11</f>
        <v>0.106</v>
      </c>
      <c r="Z440" s="121">
        <f>交易记录!V42</f>
        <v>372</v>
      </c>
      <c r="AA440" s="30">
        <f t="shared" si="194"/>
        <v>0</v>
      </c>
      <c r="AB440" s="124">
        <f>交易记录!V75</f>
        <v>0</v>
      </c>
      <c r="AC440" s="124">
        <f>交易记录!V106</f>
        <v>0</v>
      </c>
      <c r="AD440" s="30">
        <f t="shared" si="212"/>
        <v>0</v>
      </c>
      <c r="AE440" s="121">
        <f>交易记录!V139</f>
        <v>0</v>
      </c>
      <c r="AF440" s="121">
        <f>交易记录!V170</f>
        <v>0</v>
      </c>
      <c r="AG440" s="30">
        <f t="shared" si="213"/>
        <v>0</v>
      </c>
      <c r="AH440" s="124">
        <f>交易记录!V203</f>
        <v>0</v>
      </c>
      <c r="AI440" s="124">
        <f>交易记录!V234</f>
        <v>0</v>
      </c>
      <c r="AJ440" s="30">
        <f t="shared" si="214"/>
        <v>0</v>
      </c>
      <c r="AK440" s="121">
        <f>交易记录!V267</f>
        <v>0</v>
      </c>
      <c r="AL440" s="121">
        <f>交易记录!V298</f>
        <v>0</v>
      </c>
      <c r="AM440" s="30">
        <f t="shared" si="215"/>
        <v>0</v>
      </c>
      <c r="AN440" s="124">
        <f>交易记录!V331</f>
        <v>0</v>
      </c>
      <c r="AO440" s="124">
        <f>交易记录!V362</f>
        <v>0</v>
      </c>
      <c r="AP440" s="30">
        <f t="shared" si="216"/>
        <v>0</v>
      </c>
      <c r="AQ440" s="121">
        <f>交易记录!V395</f>
        <v>0</v>
      </c>
      <c r="AR440" s="121">
        <f>交易记录!V426</f>
        <v>0</v>
      </c>
      <c r="AS440" s="30">
        <f t="shared" si="217"/>
        <v>0</v>
      </c>
      <c r="AT440" s="124">
        <f>交易记录!V459</f>
        <v>0</v>
      </c>
      <c r="AU440" s="124">
        <f>交易记录!V490</f>
        <v>0</v>
      </c>
      <c r="AV440" s="30">
        <f t="shared" si="195"/>
        <v>0</v>
      </c>
      <c r="AW440" s="121">
        <f>交易记录!V523</f>
        <v>0</v>
      </c>
      <c r="AX440" s="121">
        <f>交易记录!V554</f>
        <v>0</v>
      </c>
      <c r="AY440" s="30">
        <f t="shared" si="196"/>
        <v>0</v>
      </c>
      <c r="AZ440" s="124">
        <f>交易记录!V587</f>
        <v>0</v>
      </c>
      <c r="BA440" s="124">
        <f>交易记录!V618</f>
        <v>0</v>
      </c>
      <c r="BB440" s="30">
        <f t="shared" si="197"/>
        <v>0</v>
      </c>
      <c r="BC440" s="121">
        <f>交易记录!V651</f>
        <v>0</v>
      </c>
      <c r="BD440" s="121">
        <f>交易记录!V682</f>
        <v>0</v>
      </c>
      <c r="BE440" s="30">
        <f t="shared" si="198"/>
        <v>0</v>
      </c>
      <c r="BF440" s="124">
        <f>交易记录!V715</f>
        <v>0</v>
      </c>
      <c r="BG440" s="124">
        <f>交易记录!V746</f>
        <v>0</v>
      </c>
      <c r="BH440" s="30">
        <f t="shared" si="199"/>
        <v>0</v>
      </c>
      <c r="BI440" s="121">
        <f>交易记录!V779</f>
        <v>0</v>
      </c>
      <c r="BJ440" s="121">
        <f>交易记录!V810</f>
        <v>0</v>
      </c>
      <c r="BK440" s="30">
        <f t="shared" si="200"/>
        <v>0</v>
      </c>
      <c r="BL440" s="124">
        <f>交易记录!V843</f>
        <v>0</v>
      </c>
      <c r="BM440" s="124">
        <f>交易记录!V874</f>
        <v>0</v>
      </c>
      <c r="BN440" s="30">
        <f t="shared" si="201"/>
        <v>0</v>
      </c>
      <c r="BO440" s="121">
        <f>交易记录!V907</f>
        <v>0</v>
      </c>
      <c r="BP440" s="121">
        <f>交易记录!V938</f>
        <v>0</v>
      </c>
      <c r="BQ440" s="30">
        <f t="shared" si="202"/>
        <v>0</v>
      </c>
    </row>
    <row r="441" spans="1:69" ht="15">
      <c r="A441" s="125">
        <f>'维护-日期'!A$21</f>
        <v>46284</v>
      </c>
      <c r="B441" s="7" t="s">
        <v>13</v>
      </c>
      <c r="C441" s="144">
        <f t="shared" si="203"/>
        <v>13.266999999999999</v>
      </c>
      <c r="D441" s="144">
        <f>ROUND(INDEX(持仓数据!$C$3:$AG$26,MATCH('计算过程-数据汇总'!B441,持仓数据!$B$3:$B$26,0),MATCH('计算过程-数据汇总'!A441,'维护-日期'!$B$2:$AF$2,0)),3)</f>
        <v>13.266999999999999</v>
      </c>
      <c r="E441" s="98">
        <f t="shared" si="204"/>
        <v>13.266999999999999</v>
      </c>
      <c r="F441" s="22">
        <f>持仓数据!U79</f>
        <v>0.11600000000000001</v>
      </c>
      <c r="G441" s="97">
        <v>372</v>
      </c>
      <c r="H441" s="97">
        <v>372</v>
      </c>
      <c r="I441" s="64">
        <v>0</v>
      </c>
      <c r="J441" s="64">
        <v>0</v>
      </c>
      <c r="K441" s="21">
        <f>IF(持仓数据!U112="",0,持仓数据!U112)</f>
        <v>372</v>
      </c>
      <c r="L441" s="21">
        <f t="shared" si="205"/>
        <v>0</v>
      </c>
      <c r="M441" s="28">
        <f t="shared" si="189"/>
        <v>4935.3239999999996</v>
      </c>
      <c r="N441" s="28">
        <f t="shared" si="190"/>
        <v>0</v>
      </c>
      <c r="O441" s="28">
        <f t="shared" si="191"/>
        <v>0</v>
      </c>
      <c r="P441" s="28">
        <f t="shared" si="192"/>
        <v>0</v>
      </c>
      <c r="Q441" s="28">
        <f t="shared" si="206"/>
        <v>0</v>
      </c>
      <c r="R441" s="28">
        <f t="shared" si="193"/>
        <v>4935.3239999999996</v>
      </c>
      <c r="S441" s="28">
        <f t="shared" si="207"/>
        <v>0</v>
      </c>
      <c r="T441" s="28">
        <f t="shared" si="208"/>
        <v>0</v>
      </c>
      <c r="U441" s="28">
        <f t="shared" si="211"/>
        <v>0</v>
      </c>
      <c r="V441" s="28">
        <f t="shared" si="209"/>
        <v>0</v>
      </c>
      <c r="W441" s="118"/>
      <c r="X441" s="143">
        <f t="shared" si="210"/>
        <v>15.804</v>
      </c>
      <c r="Y441" s="121">
        <f>交易记录!V12</f>
        <v>0.11600000000000001</v>
      </c>
      <c r="Z441" s="121">
        <f>交易记录!V43</f>
        <v>372</v>
      </c>
      <c r="AA441" s="30">
        <f t="shared" si="194"/>
        <v>0</v>
      </c>
      <c r="AB441" s="124">
        <f>交易记录!V76</f>
        <v>0</v>
      </c>
      <c r="AC441" s="124">
        <f>交易记录!V107</f>
        <v>0</v>
      </c>
      <c r="AD441" s="30">
        <f t="shared" si="212"/>
        <v>0</v>
      </c>
      <c r="AE441" s="121">
        <f>交易记录!V140</f>
        <v>0</v>
      </c>
      <c r="AF441" s="121">
        <f>交易记录!V171</f>
        <v>0</v>
      </c>
      <c r="AG441" s="30">
        <f t="shared" si="213"/>
        <v>0</v>
      </c>
      <c r="AH441" s="124">
        <f>交易记录!V204</f>
        <v>0</v>
      </c>
      <c r="AI441" s="124">
        <f>交易记录!V235</f>
        <v>0</v>
      </c>
      <c r="AJ441" s="30">
        <f t="shared" si="214"/>
        <v>0</v>
      </c>
      <c r="AK441" s="121">
        <f>交易记录!V268</f>
        <v>0</v>
      </c>
      <c r="AL441" s="121">
        <f>交易记录!V299</f>
        <v>0</v>
      </c>
      <c r="AM441" s="30">
        <f t="shared" si="215"/>
        <v>0</v>
      </c>
      <c r="AN441" s="124">
        <f>交易记录!V332</f>
        <v>0</v>
      </c>
      <c r="AO441" s="124">
        <f>交易记录!V363</f>
        <v>0</v>
      </c>
      <c r="AP441" s="30">
        <f t="shared" si="216"/>
        <v>0</v>
      </c>
      <c r="AQ441" s="121">
        <f>交易记录!V396</f>
        <v>0</v>
      </c>
      <c r="AR441" s="121">
        <f>交易记录!V427</f>
        <v>0</v>
      </c>
      <c r="AS441" s="30">
        <f t="shared" si="217"/>
        <v>0</v>
      </c>
      <c r="AT441" s="124">
        <f>交易记录!V460</f>
        <v>0</v>
      </c>
      <c r="AU441" s="124">
        <f>交易记录!V491</f>
        <v>0</v>
      </c>
      <c r="AV441" s="30">
        <f t="shared" si="195"/>
        <v>0</v>
      </c>
      <c r="AW441" s="121">
        <f>交易记录!V524</f>
        <v>0</v>
      </c>
      <c r="AX441" s="121">
        <f>交易记录!V555</f>
        <v>0</v>
      </c>
      <c r="AY441" s="30">
        <f t="shared" si="196"/>
        <v>0</v>
      </c>
      <c r="AZ441" s="124">
        <f>交易记录!V588</f>
        <v>0</v>
      </c>
      <c r="BA441" s="124">
        <f>交易记录!V619</f>
        <v>0</v>
      </c>
      <c r="BB441" s="30">
        <f t="shared" si="197"/>
        <v>0</v>
      </c>
      <c r="BC441" s="121">
        <f>交易记录!V652</f>
        <v>0</v>
      </c>
      <c r="BD441" s="121">
        <f>交易记录!V683</f>
        <v>0</v>
      </c>
      <c r="BE441" s="30">
        <f t="shared" si="198"/>
        <v>0</v>
      </c>
      <c r="BF441" s="124">
        <f>交易记录!V716</f>
        <v>0</v>
      </c>
      <c r="BG441" s="124">
        <f>交易记录!V747</f>
        <v>0</v>
      </c>
      <c r="BH441" s="30">
        <f t="shared" si="199"/>
        <v>0</v>
      </c>
      <c r="BI441" s="121">
        <f>交易记录!V780</f>
        <v>0</v>
      </c>
      <c r="BJ441" s="121">
        <f>交易记录!V811</f>
        <v>0</v>
      </c>
      <c r="BK441" s="30">
        <f t="shared" si="200"/>
        <v>0</v>
      </c>
      <c r="BL441" s="124">
        <f>交易记录!V844</f>
        <v>0</v>
      </c>
      <c r="BM441" s="124">
        <f>交易记录!V875</f>
        <v>0</v>
      </c>
      <c r="BN441" s="30">
        <f t="shared" si="201"/>
        <v>0</v>
      </c>
      <c r="BO441" s="121">
        <f>交易记录!V908</f>
        <v>0</v>
      </c>
      <c r="BP441" s="121">
        <f>交易记录!V939</f>
        <v>0</v>
      </c>
      <c r="BQ441" s="30">
        <f t="shared" si="202"/>
        <v>0</v>
      </c>
    </row>
    <row r="442" spans="1:69" ht="15">
      <c r="A442" s="125">
        <f>'维护-日期'!A$21</f>
        <v>46284</v>
      </c>
      <c r="B442" s="7" t="s">
        <v>14</v>
      </c>
      <c r="C442" s="144">
        <f t="shared" si="203"/>
        <v>15.795999999999999</v>
      </c>
      <c r="D442" s="144">
        <f>ROUND(INDEX(持仓数据!$C$3:$AG$26,MATCH('计算过程-数据汇总'!B442,持仓数据!$B$3:$B$26,0),MATCH('计算过程-数据汇总'!A442,'维护-日期'!$B$2:$AF$2,0)),3)</f>
        <v>15.795999999999999</v>
      </c>
      <c r="E442" s="98">
        <f t="shared" si="204"/>
        <v>15.795999999999999</v>
      </c>
      <c r="F442" s="22">
        <f>持仓数据!U80</f>
        <v>0.122</v>
      </c>
      <c r="G442" s="97">
        <v>372</v>
      </c>
      <c r="H442" s="97">
        <v>372</v>
      </c>
      <c r="I442" s="64">
        <v>0</v>
      </c>
      <c r="J442" s="64">
        <v>0</v>
      </c>
      <c r="K442" s="21">
        <f>IF(持仓数据!U113="",0,持仓数据!U113)</f>
        <v>372</v>
      </c>
      <c r="L442" s="21">
        <f t="shared" si="205"/>
        <v>0</v>
      </c>
      <c r="M442" s="28">
        <f t="shared" si="189"/>
        <v>5876.1120000000001</v>
      </c>
      <c r="N442" s="28">
        <f t="shared" si="190"/>
        <v>0</v>
      </c>
      <c r="O442" s="28">
        <f t="shared" si="191"/>
        <v>0</v>
      </c>
      <c r="P442" s="28">
        <f t="shared" si="192"/>
        <v>0</v>
      </c>
      <c r="Q442" s="28">
        <f t="shared" si="206"/>
        <v>0</v>
      </c>
      <c r="R442" s="28">
        <f t="shared" si="193"/>
        <v>5876.1120000000001</v>
      </c>
      <c r="S442" s="28">
        <f t="shared" si="207"/>
        <v>0</v>
      </c>
      <c r="T442" s="28">
        <f t="shared" si="208"/>
        <v>0</v>
      </c>
      <c r="U442" s="28">
        <f t="shared" si="211"/>
        <v>0</v>
      </c>
      <c r="V442" s="28">
        <f t="shared" si="209"/>
        <v>0</v>
      </c>
      <c r="W442" s="118"/>
      <c r="X442" s="143">
        <f t="shared" si="210"/>
        <v>18.832999999999998</v>
      </c>
      <c r="Y442" s="121">
        <f>交易记录!V13</f>
        <v>0.122</v>
      </c>
      <c r="Z442" s="121">
        <f>交易记录!V44</f>
        <v>372</v>
      </c>
      <c r="AA442" s="30">
        <f t="shared" si="194"/>
        <v>0</v>
      </c>
      <c r="AB442" s="124">
        <f>交易记录!V77</f>
        <v>0</v>
      </c>
      <c r="AC442" s="124">
        <f>交易记录!V108</f>
        <v>0</v>
      </c>
      <c r="AD442" s="30">
        <f t="shared" si="212"/>
        <v>0</v>
      </c>
      <c r="AE442" s="121">
        <f>交易记录!V141</f>
        <v>0</v>
      </c>
      <c r="AF442" s="121">
        <f>交易记录!V172</f>
        <v>0</v>
      </c>
      <c r="AG442" s="30">
        <f t="shared" si="213"/>
        <v>0</v>
      </c>
      <c r="AH442" s="124">
        <f>交易记录!V205</f>
        <v>0</v>
      </c>
      <c r="AI442" s="124">
        <f>交易记录!V236</f>
        <v>0</v>
      </c>
      <c r="AJ442" s="30">
        <f t="shared" si="214"/>
        <v>0</v>
      </c>
      <c r="AK442" s="121">
        <f>交易记录!V269</f>
        <v>0</v>
      </c>
      <c r="AL442" s="121">
        <f>交易记录!V300</f>
        <v>0</v>
      </c>
      <c r="AM442" s="30">
        <f t="shared" si="215"/>
        <v>0</v>
      </c>
      <c r="AN442" s="124">
        <f>交易记录!V333</f>
        <v>0</v>
      </c>
      <c r="AO442" s="124">
        <f>交易记录!V364</f>
        <v>0</v>
      </c>
      <c r="AP442" s="30">
        <f t="shared" si="216"/>
        <v>0</v>
      </c>
      <c r="AQ442" s="121">
        <f>交易记录!V397</f>
        <v>0</v>
      </c>
      <c r="AR442" s="121">
        <f>交易记录!V428</f>
        <v>0</v>
      </c>
      <c r="AS442" s="30">
        <f t="shared" si="217"/>
        <v>0</v>
      </c>
      <c r="AT442" s="124">
        <f>交易记录!V461</f>
        <v>0</v>
      </c>
      <c r="AU442" s="124">
        <f>交易记录!V492</f>
        <v>0</v>
      </c>
      <c r="AV442" s="30">
        <f t="shared" si="195"/>
        <v>0</v>
      </c>
      <c r="AW442" s="121">
        <f>交易记录!V525</f>
        <v>0</v>
      </c>
      <c r="AX442" s="121">
        <f>交易记录!V556</f>
        <v>0</v>
      </c>
      <c r="AY442" s="30">
        <f t="shared" si="196"/>
        <v>0</v>
      </c>
      <c r="AZ442" s="124">
        <f>交易记录!V589</f>
        <v>0</v>
      </c>
      <c r="BA442" s="124">
        <f>交易记录!V620</f>
        <v>0</v>
      </c>
      <c r="BB442" s="30">
        <f t="shared" si="197"/>
        <v>0</v>
      </c>
      <c r="BC442" s="121">
        <f>交易记录!V653</f>
        <v>0</v>
      </c>
      <c r="BD442" s="121">
        <f>交易记录!V684</f>
        <v>0</v>
      </c>
      <c r="BE442" s="30">
        <f t="shared" si="198"/>
        <v>0</v>
      </c>
      <c r="BF442" s="124">
        <f>交易记录!V717</f>
        <v>0</v>
      </c>
      <c r="BG442" s="124">
        <f>交易记录!V748</f>
        <v>0</v>
      </c>
      <c r="BH442" s="30">
        <f t="shared" si="199"/>
        <v>0</v>
      </c>
      <c r="BI442" s="121">
        <f>交易记录!V781</f>
        <v>0</v>
      </c>
      <c r="BJ442" s="121">
        <f>交易记录!V812</f>
        <v>0</v>
      </c>
      <c r="BK442" s="30">
        <f t="shared" si="200"/>
        <v>0</v>
      </c>
      <c r="BL442" s="124">
        <f>交易记录!V845</f>
        <v>0</v>
      </c>
      <c r="BM442" s="124">
        <f>交易记录!V876</f>
        <v>0</v>
      </c>
      <c r="BN442" s="30">
        <f t="shared" si="201"/>
        <v>0</v>
      </c>
      <c r="BO442" s="121">
        <f>交易记录!V909</f>
        <v>0</v>
      </c>
      <c r="BP442" s="121">
        <f>交易记录!V940</f>
        <v>0</v>
      </c>
      <c r="BQ442" s="30">
        <f t="shared" si="202"/>
        <v>0</v>
      </c>
    </row>
    <row r="443" spans="1:69" ht="15">
      <c r="A443" s="125">
        <f>'维护-日期'!A$21</f>
        <v>46284</v>
      </c>
      <c r="B443" s="7" t="s">
        <v>15</v>
      </c>
      <c r="C443" s="144">
        <f t="shared" si="203"/>
        <v>19.308</v>
      </c>
      <c r="D443" s="144">
        <f>ROUND(INDEX(持仓数据!$C$3:$AG$26,MATCH('计算过程-数据汇总'!B443,持仓数据!$B$3:$B$26,0),MATCH('计算过程-数据汇总'!A443,'维护-日期'!$B$2:$AF$2,0)),3)</f>
        <v>19.308</v>
      </c>
      <c r="E443" s="98">
        <f t="shared" si="204"/>
        <v>19.308</v>
      </c>
      <c r="F443" s="22">
        <f>持仓数据!U81</f>
        <v>0.127</v>
      </c>
      <c r="G443" s="97">
        <v>372</v>
      </c>
      <c r="H443" s="97">
        <v>372</v>
      </c>
      <c r="I443" s="64">
        <v>0</v>
      </c>
      <c r="J443" s="64">
        <v>0</v>
      </c>
      <c r="K443" s="21">
        <f>IF(持仓数据!U114="",0,持仓数据!U114)</f>
        <v>372</v>
      </c>
      <c r="L443" s="21">
        <f t="shared" si="205"/>
        <v>0</v>
      </c>
      <c r="M443" s="28">
        <f t="shared" si="189"/>
        <v>7182.576</v>
      </c>
      <c r="N443" s="28">
        <f t="shared" si="190"/>
        <v>0</v>
      </c>
      <c r="O443" s="28">
        <f t="shared" si="191"/>
        <v>0</v>
      </c>
      <c r="P443" s="28">
        <f t="shared" si="192"/>
        <v>0</v>
      </c>
      <c r="Q443" s="28">
        <f t="shared" si="206"/>
        <v>0</v>
      </c>
      <c r="R443" s="28">
        <f t="shared" si="193"/>
        <v>7182.576</v>
      </c>
      <c r="S443" s="28">
        <f t="shared" si="207"/>
        <v>0</v>
      </c>
      <c r="T443" s="28">
        <f t="shared" si="208"/>
        <v>0</v>
      </c>
      <c r="U443" s="28">
        <f t="shared" si="211"/>
        <v>0</v>
      </c>
      <c r="V443" s="28">
        <f t="shared" si="209"/>
        <v>0</v>
      </c>
      <c r="W443" s="118"/>
      <c r="X443" s="143">
        <f t="shared" si="210"/>
        <v>23.042999999999999</v>
      </c>
      <c r="Y443" s="121">
        <f>交易记录!V14</f>
        <v>0.127</v>
      </c>
      <c r="Z443" s="121">
        <f>交易记录!V45</f>
        <v>372</v>
      </c>
      <c r="AA443" s="30">
        <f t="shared" si="194"/>
        <v>0</v>
      </c>
      <c r="AB443" s="124">
        <f>交易记录!V78</f>
        <v>0</v>
      </c>
      <c r="AC443" s="124">
        <f>交易记录!V109</f>
        <v>0</v>
      </c>
      <c r="AD443" s="30">
        <f t="shared" si="212"/>
        <v>0</v>
      </c>
      <c r="AE443" s="121">
        <f>交易记录!V142</f>
        <v>0</v>
      </c>
      <c r="AF443" s="121">
        <f>交易记录!V173</f>
        <v>0</v>
      </c>
      <c r="AG443" s="30">
        <f t="shared" si="213"/>
        <v>0</v>
      </c>
      <c r="AH443" s="124">
        <f>交易记录!V206</f>
        <v>0</v>
      </c>
      <c r="AI443" s="124">
        <f>交易记录!V237</f>
        <v>0</v>
      </c>
      <c r="AJ443" s="30">
        <f t="shared" si="214"/>
        <v>0</v>
      </c>
      <c r="AK443" s="121">
        <f>交易记录!V270</f>
        <v>0</v>
      </c>
      <c r="AL443" s="121">
        <f>交易记录!V301</f>
        <v>0</v>
      </c>
      <c r="AM443" s="30">
        <f t="shared" si="215"/>
        <v>0</v>
      </c>
      <c r="AN443" s="124">
        <f>交易记录!V334</f>
        <v>0</v>
      </c>
      <c r="AO443" s="124">
        <f>交易记录!V365</f>
        <v>0</v>
      </c>
      <c r="AP443" s="30">
        <f t="shared" si="216"/>
        <v>0</v>
      </c>
      <c r="AQ443" s="121">
        <f>交易记录!V398</f>
        <v>0</v>
      </c>
      <c r="AR443" s="121">
        <f>交易记录!V429</f>
        <v>0</v>
      </c>
      <c r="AS443" s="30">
        <f t="shared" si="217"/>
        <v>0</v>
      </c>
      <c r="AT443" s="124">
        <f>交易记录!V462</f>
        <v>0</v>
      </c>
      <c r="AU443" s="124">
        <f>交易记录!V493</f>
        <v>0</v>
      </c>
      <c r="AV443" s="30">
        <f t="shared" si="195"/>
        <v>0</v>
      </c>
      <c r="AW443" s="121">
        <f>交易记录!V526</f>
        <v>0</v>
      </c>
      <c r="AX443" s="121">
        <f>交易记录!V557</f>
        <v>0</v>
      </c>
      <c r="AY443" s="30">
        <f t="shared" si="196"/>
        <v>0</v>
      </c>
      <c r="AZ443" s="124">
        <f>交易记录!V590</f>
        <v>0</v>
      </c>
      <c r="BA443" s="124">
        <f>交易记录!V621</f>
        <v>0</v>
      </c>
      <c r="BB443" s="30">
        <f t="shared" si="197"/>
        <v>0</v>
      </c>
      <c r="BC443" s="121">
        <f>交易记录!V654</f>
        <v>0</v>
      </c>
      <c r="BD443" s="121">
        <f>交易记录!V685</f>
        <v>0</v>
      </c>
      <c r="BE443" s="30">
        <f t="shared" si="198"/>
        <v>0</v>
      </c>
      <c r="BF443" s="124">
        <f>交易记录!V718</f>
        <v>0</v>
      </c>
      <c r="BG443" s="124">
        <f>交易记录!V749</f>
        <v>0</v>
      </c>
      <c r="BH443" s="30">
        <f t="shared" si="199"/>
        <v>0</v>
      </c>
      <c r="BI443" s="121">
        <f>交易记录!V782</f>
        <v>0</v>
      </c>
      <c r="BJ443" s="121">
        <f>交易记录!V813</f>
        <v>0</v>
      </c>
      <c r="BK443" s="30">
        <f t="shared" si="200"/>
        <v>0</v>
      </c>
      <c r="BL443" s="124">
        <f>交易记录!V846</f>
        <v>0</v>
      </c>
      <c r="BM443" s="124">
        <f>交易记录!V877</f>
        <v>0</v>
      </c>
      <c r="BN443" s="30">
        <f t="shared" si="201"/>
        <v>0</v>
      </c>
      <c r="BO443" s="121">
        <f>交易记录!V910</f>
        <v>0</v>
      </c>
      <c r="BP443" s="121">
        <f>交易记录!V941</f>
        <v>0</v>
      </c>
      <c r="BQ443" s="30">
        <f t="shared" si="202"/>
        <v>0</v>
      </c>
    </row>
    <row r="444" spans="1:69" ht="15">
      <c r="A444" s="125">
        <f>'维护-日期'!A$21</f>
        <v>46284</v>
      </c>
      <c r="B444" s="7" t="s">
        <v>16</v>
      </c>
      <c r="C444" s="144">
        <f t="shared" si="203"/>
        <v>21.01</v>
      </c>
      <c r="D444" s="144">
        <f>ROUND(INDEX(持仓数据!$C$3:$AG$26,MATCH('计算过程-数据汇总'!B444,持仓数据!$B$3:$B$26,0),MATCH('计算过程-数据汇总'!A444,'维护-日期'!$B$2:$AF$2,0)),3)</f>
        <v>21.01</v>
      </c>
      <c r="E444" s="98">
        <f t="shared" si="204"/>
        <v>21.01</v>
      </c>
      <c r="F444" s="22">
        <f>持仓数据!U82</f>
        <v>0.128</v>
      </c>
      <c r="G444" s="97">
        <v>372</v>
      </c>
      <c r="H444" s="97">
        <v>372</v>
      </c>
      <c r="I444" s="64">
        <v>0</v>
      </c>
      <c r="J444" s="64">
        <v>0</v>
      </c>
      <c r="K444" s="21">
        <f>IF(持仓数据!U115="",0,持仓数据!U115)</f>
        <v>372</v>
      </c>
      <c r="L444" s="21">
        <f t="shared" si="205"/>
        <v>0</v>
      </c>
      <c r="M444" s="28">
        <f t="shared" si="189"/>
        <v>7815.72</v>
      </c>
      <c r="N444" s="28">
        <f t="shared" si="190"/>
        <v>0</v>
      </c>
      <c r="O444" s="28">
        <f t="shared" si="191"/>
        <v>0</v>
      </c>
      <c r="P444" s="28">
        <f t="shared" si="192"/>
        <v>0</v>
      </c>
      <c r="Q444" s="28">
        <f t="shared" si="206"/>
        <v>0</v>
      </c>
      <c r="R444" s="28">
        <f t="shared" si="193"/>
        <v>7815.72</v>
      </c>
      <c r="S444" s="28">
        <f t="shared" si="207"/>
        <v>0</v>
      </c>
      <c r="T444" s="28">
        <f t="shared" si="208"/>
        <v>0</v>
      </c>
      <c r="U444" s="28">
        <f t="shared" si="211"/>
        <v>0</v>
      </c>
      <c r="V444" s="28">
        <f t="shared" si="209"/>
        <v>0</v>
      </c>
      <c r="W444" s="118"/>
      <c r="X444" s="143">
        <f t="shared" si="210"/>
        <v>25.084</v>
      </c>
      <c r="Y444" s="121">
        <f>交易记录!V15</f>
        <v>0.128</v>
      </c>
      <c r="Z444" s="121">
        <f>交易记录!V46</f>
        <v>372</v>
      </c>
      <c r="AA444" s="30">
        <f t="shared" si="194"/>
        <v>0</v>
      </c>
      <c r="AB444" s="124">
        <f>交易记录!V79</f>
        <v>0</v>
      </c>
      <c r="AC444" s="124">
        <f>交易记录!V110</f>
        <v>0</v>
      </c>
      <c r="AD444" s="30">
        <f t="shared" si="212"/>
        <v>0</v>
      </c>
      <c r="AE444" s="121">
        <f>交易记录!V143</f>
        <v>0</v>
      </c>
      <c r="AF444" s="121">
        <f>交易记录!V174</f>
        <v>0</v>
      </c>
      <c r="AG444" s="30">
        <f t="shared" si="213"/>
        <v>0</v>
      </c>
      <c r="AH444" s="124">
        <f>交易记录!V207</f>
        <v>0</v>
      </c>
      <c r="AI444" s="124">
        <f>交易记录!V238</f>
        <v>0</v>
      </c>
      <c r="AJ444" s="30">
        <f t="shared" si="214"/>
        <v>0</v>
      </c>
      <c r="AK444" s="121">
        <f>交易记录!V271</f>
        <v>0</v>
      </c>
      <c r="AL444" s="121">
        <f>交易记录!V302</f>
        <v>0</v>
      </c>
      <c r="AM444" s="30">
        <f t="shared" si="215"/>
        <v>0</v>
      </c>
      <c r="AN444" s="124">
        <f>交易记录!V335</f>
        <v>0</v>
      </c>
      <c r="AO444" s="124">
        <f>交易记录!V366</f>
        <v>0</v>
      </c>
      <c r="AP444" s="30">
        <f t="shared" si="216"/>
        <v>0</v>
      </c>
      <c r="AQ444" s="121">
        <f>交易记录!V399</f>
        <v>0</v>
      </c>
      <c r="AR444" s="121">
        <f>交易记录!V430</f>
        <v>0</v>
      </c>
      <c r="AS444" s="30">
        <f t="shared" si="217"/>
        <v>0</v>
      </c>
      <c r="AT444" s="124">
        <f>交易记录!V463</f>
        <v>0</v>
      </c>
      <c r="AU444" s="124">
        <f>交易记录!V494</f>
        <v>0</v>
      </c>
      <c r="AV444" s="30">
        <f t="shared" si="195"/>
        <v>0</v>
      </c>
      <c r="AW444" s="121">
        <f>交易记录!V527</f>
        <v>0</v>
      </c>
      <c r="AX444" s="121">
        <f>交易记录!V558</f>
        <v>0</v>
      </c>
      <c r="AY444" s="30">
        <f t="shared" si="196"/>
        <v>0</v>
      </c>
      <c r="AZ444" s="124">
        <f>交易记录!V591</f>
        <v>0</v>
      </c>
      <c r="BA444" s="124">
        <f>交易记录!V622</f>
        <v>0</v>
      </c>
      <c r="BB444" s="30">
        <f t="shared" si="197"/>
        <v>0</v>
      </c>
      <c r="BC444" s="121">
        <f>交易记录!V655</f>
        <v>0</v>
      </c>
      <c r="BD444" s="121">
        <f>交易记录!V686</f>
        <v>0</v>
      </c>
      <c r="BE444" s="30">
        <f t="shared" si="198"/>
        <v>0</v>
      </c>
      <c r="BF444" s="124">
        <f>交易记录!V719</f>
        <v>0</v>
      </c>
      <c r="BG444" s="124">
        <f>交易记录!V750</f>
        <v>0</v>
      </c>
      <c r="BH444" s="30">
        <f t="shared" si="199"/>
        <v>0</v>
      </c>
      <c r="BI444" s="121">
        <f>交易记录!V783</f>
        <v>0</v>
      </c>
      <c r="BJ444" s="121">
        <f>交易记录!V814</f>
        <v>0</v>
      </c>
      <c r="BK444" s="30">
        <f t="shared" si="200"/>
        <v>0</v>
      </c>
      <c r="BL444" s="124">
        <f>交易记录!V847</f>
        <v>0</v>
      </c>
      <c r="BM444" s="124">
        <f>交易记录!V878</f>
        <v>0</v>
      </c>
      <c r="BN444" s="30">
        <f t="shared" si="201"/>
        <v>0</v>
      </c>
      <c r="BO444" s="121">
        <f>交易记录!V911</f>
        <v>0</v>
      </c>
      <c r="BP444" s="121">
        <f>交易记录!V942</f>
        <v>0</v>
      </c>
      <c r="BQ444" s="30">
        <f t="shared" si="202"/>
        <v>0</v>
      </c>
    </row>
    <row r="445" spans="1:69" ht="15">
      <c r="A445" s="125">
        <f>'维护-日期'!A$21</f>
        <v>46284</v>
      </c>
      <c r="B445" s="7" t="s">
        <v>17</v>
      </c>
      <c r="C445" s="144">
        <f t="shared" si="203"/>
        <v>21.329000000000001</v>
      </c>
      <c r="D445" s="144">
        <f>ROUND(INDEX(持仓数据!$C$3:$AG$26,MATCH('计算过程-数据汇总'!B445,持仓数据!$B$3:$B$26,0),MATCH('计算过程-数据汇总'!A445,'维护-日期'!$B$2:$AF$2,0)),3)</f>
        <v>21.329000000000001</v>
      </c>
      <c r="E445" s="98">
        <f t="shared" si="204"/>
        <v>21.329000000000001</v>
      </c>
      <c r="F445" s="22">
        <f>持仓数据!U83</f>
        <v>0.13</v>
      </c>
      <c r="G445" s="97">
        <v>372</v>
      </c>
      <c r="H445" s="97">
        <v>372</v>
      </c>
      <c r="I445" s="64">
        <v>0</v>
      </c>
      <c r="J445" s="64">
        <v>0</v>
      </c>
      <c r="K445" s="21">
        <f>IF(持仓数据!U116="",0,持仓数据!U116)</f>
        <v>372</v>
      </c>
      <c r="L445" s="21">
        <f t="shared" si="205"/>
        <v>0</v>
      </c>
      <c r="M445" s="28">
        <f t="shared" si="189"/>
        <v>7934.3879999999999</v>
      </c>
      <c r="N445" s="28">
        <f t="shared" si="190"/>
        <v>0</v>
      </c>
      <c r="O445" s="28">
        <f t="shared" si="191"/>
        <v>0</v>
      </c>
      <c r="P445" s="28">
        <f t="shared" si="192"/>
        <v>0</v>
      </c>
      <c r="Q445" s="28">
        <f t="shared" si="206"/>
        <v>0</v>
      </c>
      <c r="R445" s="28">
        <f t="shared" si="193"/>
        <v>7934.3879999999999</v>
      </c>
      <c r="S445" s="28">
        <f t="shared" si="207"/>
        <v>0</v>
      </c>
      <c r="T445" s="28">
        <f t="shared" si="208"/>
        <v>0</v>
      </c>
      <c r="U445" s="28">
        <f t="shared" si="211"/>
        <v>0</v>
      </c>
      <c r="V445" s="28">
        <f t="shared" si="209"/>
        <v>0</v>
      </c>
      <c r="W445" s="118"/>
      <c r="X445" s="143">
        <f t="shared" si="210"/>
        <v>25.465</v>
      </c>
      <c r="Y445" s="121">
        <f>交易记录!V16</f>
        <v>0.13</v>
      </c>
      <c r="Z445" s="121">
        <f>交易记录!V47</f>
        <v>372</v>
      </c>
      <c r="AA445" s="30">
        <f t="shared" si="194"/>
        <v>0</v>
      </c>
      <c r="AB445" s="124">
        <f>交易记录!V80</f>
        <v>0</v>
      </c>
      <c r="AC445" s="124">
        <f>交易记录!V111</f>
        <v>0</v>
      </c>
      <c r="AD445" s="30">
        <f t="shared" si="212"/>
        <v>0</v>
      </c>
      <c r="AE445" s="121">
        <f>交易记录!V144</f>
        <v>0</v>
      </c>
      <c r="AF445" s="121">
        <f>交易记录!V175</f>
        <v>0</v>
      </c>
      <c r="AG445" s="30">
        <f t="shared" si="213"/>
        <v>0</v>
      </c>
      <c r="AH445" s="124">
        <f>交易记录!V208</f>
        <v>0</v>
      </c>
      <c r="AI445" s="124">
        <f>交易记录!V239</f>
        <v>0</v>
      </c>
      <c r="AJ445" s="30">
        <f t="shared" si="214"/>
        <v>0</v>
      </c>
      <c r="AK445" s="121">
        <f>交易记录!V272</f>
        <v>0</v>
      </c>
      <c r="AL445" s="121">
        <f>交易记录!V303</f>
        <v>0</v>
      </c>
      <c r="AM445" s="30">
        <f t="shared" si="215"/>
        <v>0</v>
      </c>
      <c r="AN445" s="124">
        <f>交易记录!V336</f>
        <v>0</v>
      </c>
      <c r="AO445" s="124">
        <f>交易记录!V367</f>
        <v>0</v>
      </c>
      <c r="AP445" s="30">
        <f t="shared" si="216"/>
        <v>0</v>
      </c>
      <c r="AQ445" s="121">
        <f>交易记录!V400</f>
        <v>0</v>
      </c>
      <c r="AR445" s="121">
        <f>交易记录!V431</f>
        <v>0</v>
      </c>
      <c r="AS445" s="30">
        <f t="shared" si="217"/>
        <v>0</v>
      </c>
      <c r="AT445" s="124">
        <f>交易记录!V464</f>
        <v>0</v>
      </c>
      <c r="AU445" s="124">
        <f>交易记录!V495</f>
        <v>0</v>
      </c>
      <c r="AV445" s="30">
        <f t="shared" si="195"/>
        <v>0</v>
      </c>
      <c r="AW445" s="121">
        <f>交易记录!V528</f>
        <v>0</v>
      </c>
      <c r="AX445" s="121">
        <f>交易记录!V559</f>
        <v>0</v>
      </c>
      <c r="AY445" s="30">
        <f t="shared" si="196"/>
        <v>0</v>
      </c>
      <c r="AZ445" s="124">
        <f>交易记录!V592</f>
        <v>0</v>
      </c>
      <c r="BA445" s="124">
        <f>交易记录!V623</f>
        <v>0</v>
      </c>
      <c r="BB445" s="30">
        <f t="shared" si="197"/>
        <v>0</v>
      </c>
      <c r="BC445" s="121">
        <f>交易记录!V656</f>
        <v>0</v>
      </c>
      <c r="BD445" s="121">
        <f>交易记录!V687</f>
        <v>0</v>
      </c>
      <c r="BE445" s="30">
        <f t="shared" si="198"/>
        <v>0</v>
      </c>
      <c r="BF445" s="124">
        <f>交易记录!V720</f>
        <v>0</v>
      </c>
      <c r="BG445" s="124">
        <f>交易记录!V751</f>
        <v>0</v>
      </c>
      <c r="BH445" s="30">
        <f t="shared" si="199"/>
        <v>0</v>
      </c>
      <c r="BI445" s="121">
        <f>交易记录!V784</f>
        <v>0</v>
      </c>
      <c r="BJ445" s="121">
        <f>交易记录!V815</f>
        <v>0</v>
      </c>
      <c r="BK445" s="30">
        <f t="shared" si="200"/>
        <v>0</v>
      </c>
      <c r="BL445" s="124">
        <f>交易记录!V848</f>
        <v>0</v>
      </c>
      <c r="BM445" s="124">
        <f>交易记录!V879</f>
        <v>0</v>
      </c>
      <c r="BN445" s="30">
        <f t="shared" si="201"/>
        <v>0</v>
      </c>
      <c r="BO445" s="121">
        <f>交易记录!V912</f>
        <v>0</v>
      </c>
      <c r="BP445" s="121">
        <f>交易记录!V943</f>
        <v>0</v>
      </c>
      <c r="BQ445" s="30">
        <f t="shared" si="202"/>
        <v>0</v>
      </c>
    </row>
    <row r="446" spans="1:69" ht="15">
      <c r="A446" s="125">
        <f>'维护-日期'!A$21</f>
        <v>46284</v>
      </c>
      <c r="B446" s="7" t="s">
        <v>18</v>
      </c>
      <c r="C446" s="144">
        <f t="shared" si="203"/>
        <v>22.643999999999998</v>
      </c>
      <c r="D446" s="144">
        <f>ROUND(INDEX(持仓数据!$C$3:$AG$26,MATCH('计算过程-数据汇总'!B446,持仓数据!$B$3:$B$26,0),MATCH('计算过程-数据汇总'!A446,'维护-日期'!$B$2:$AF$2,0)),3)</f>
        <v>22.643999999999998</v>
      </c>
      <c r="E446" s="98">
        <f t="shared" si="204"/>
        <v>22.643999999999998</v>
      </c>
      <c r="F446" s="22">
        <f>持仓数据!U84</f>
        <v>6.0999999999999999E-2</v>
      </c>
      <c r="G446" s="97">
        <v>372</v>
      </c>
      <c r="H446" s="97">
        <v>372</v>
      </c>
      <c r="I446" s="64">
        <v>0</v>
      </c>
      <c r="J446" s="64">
        <v>0</v>
      </c>
      <c r="K446" s="21">
        <f>IF(持仓数据!U117="",0,持仓数据!U117)</f>
        <v>372</v>
      </c>
      <c r="L446" s="21">
        <f t="shared" si="205"/>
        <v>0</v>
      </c>
      <c r="M446" s="28">
        <f t="shared" si="189"/>
        <v>8423.5679999999993</v>
      </c>
      <c r="N446" s="28">
        <f t="shared" si="190"/>
        <v>0</v>
      </c>
      <c r="O446" s="28">
        <f t="shared" si="191"/>
        <v>0</v>
      </c>
      <c r="P446" s="28">
        <f t="shared" si="192"/>
        <v>0</v>
      </c>
      <c r="Q446" s="28">
        <f t="shared" si="206"/>
        <v>0</v>
      </c>
      <c r="R446" s="28">
        <f t="shared" si="193"/>
        <v>8423.5679999999993</v>
      </c>
      <c r="S446" s="28">
        <f t="shared" si="207"/>
        <v>0</v>
      </c>
      <c r="T446" s="28">
        <f t="shared" si="208"/>
        <v>0</v>
      </c>
      <c r="U446" s="28">
        <f t="shared" si="211"/>
        <v>0</v>
      </c>
      <c r="V446" s="28">
        <f t="shared" si="209"/>
        <v>0</v>
      </c>
      <c r="W446" s="118"/>
      <c r="X446" s="143">
        <f t="shared" si="210"/>
        <v>27.111999999999998</v>
      </c>
      <c r="Y446" s="121">
        <f>交易记录!V17</f>
        <v>6.0999999999999999E-2</v>
      </c>
      <c r="Z446" s="121">
        <f>交易记录!V48</f>
        <v>372</v>
      </c>
      <c r="AA446" s="30">
        <f t="shared" si="194"/>
        <v>0</v>
      </c>
      <c r="AB446" s="124">
        <f>交易记录!V81</f>
        <v>0</v>
      </c>
      <c r="AC446" s="124">
        <f>交易记录!V112</f>
        <v>0</v>
      </c>
      <c r="AD446" s="30">
        <f t="shared" si="212"/>
        <v>0</v>
      </c>
      <c r="AE446" s="121">
        <f>交易记录!V145</f>
        <v>0</v>
      </c>
      <c r="AF446" s="121">
        <f>交易记录!V176</f>
        <v>0</v>
      </c>
      <c r="AG446" s="30">
        <f t="shared" si="213"/>
        <v>0</v>
      </c>
      <c r="AH446" s="124">
        <f>交易记录!V209</f>
        <v>0</v>
      </c>
      <c r="AI446" s="124">
        <f>交易记录!V240</f>
        <v>0</v>
      </c>
      <c r="AJ446" s="30">
        <f t="shared" si="214"/>
        <v>0</v>
      </c>
      <c r="AK446" s="121">
        <f>交易记录!V273</f>
        <v>0</v>
      </c>
      <c r="AL446" s="121">
        <f>交易记录!V304</f>
        <v>0</v>
      </c>
      <c r="AM446" s="30">
        <f t="shared" si="215"/>
        <v>0</v>
      </c>
      <c r="AN446" s="124">
        <f>交易记录!V337</f>
        <v>0</v>
      </c>
      <c r="AO446" s="124">
        <f>交易记录!V368</f>
        <v>0</v>
      </c>
      <c r="AP446" s="30">
        <f t="shared" si="216"/>
        <v>0</v>
      </c>
      <c r="AQ446" s="121">
        <f>交易记录!V401</f>
        <v>0</v>
      </c>
      <c r="AR446" s="121">
        <f>交易记录!V432</f>
        <v>0</v>
      </c>
      <c r="AS446" s="30">
        <f t="shared" si="217"/>
        <v>0</v>
      </c>
      <c r="AT446" s="124">
        <f>交易记录!V465</f>
        <v>0</v>
      </c>
      <c r="AU446" s="124">
        <f>交易记录!V496</f>
        <v>0</v>
      </c>
      <c r="AV446" s="30">
        <f t="shared" si="195"/>
        <v>0</v>
      </c>
      <c r="AW446" s="121">
        <f>交易记录!V529</f>
        <v>0</v>
      </c>
      <c r="AX446" s="121">
        <f>交易记录!V560</f>
        <v>0</v>
      </c>
      <c r="AY446" s="30">
        <f t="shared" si="196"/>
        <v>0</v>
      </c>
      <c r="AZ446" s="124">
        <f>交易记录!V593</f>
        <v>0</v>
      </c>
      <c r="BA446" s="124">
        <f>交易记录!V624</f>
        <v>0</v>
      </c>
      <c r="BB446" s="30">
        <f t="shared" si="197"/>
        <v>0</v>
      </c>
      <c r="BC446" s="121">
        <f>交易记录!V657</f>
        <v>0</v>
      </c>
      <c r="BD446" s="121">
        <f>交易记录!V688</f>
        <v>0</v>
      </c>
      <c r="BE446" s="30">
        <f t="shared" si="198"/>
        <v>0</v>
      </c>
      <c r="BF446" s="124">
        <f>交易记录!V721</f>
        <v>0</v>
      </c>
      <c r="BG446" s="124">
        <f>交易记录!V752</f>
        <v>0</v>
      </c>
      <c r="BH446" s="30">
        <f t="shared" si="199"/>
        <v>0</v>
      </c>
      <c r="BI446" s="121">
        <f>交易记录!V785</f>
        <v>0</v>
      </c>
      <c r="BJ446" s="121">
        <f>交易记录!V816</f>
        <v>0</v>
      </c>
      <c r="BK446" s="30">
        <f t="shared" si="200"/>
        <v>0</v>
      </c>
      <c r="BL446" s="124">
        <f>交易记录!V849</f>
        <v>0</v>
      </c>
      <c r="BM446" s="124">
        <f>交易记录!V880</f>
        <v>0</v>
      </c>
      <c r="BN446" s="30">
        <f t="shared" si="201"/>
        <v>0</v>
      </c>
      <c r="BO446" s="121">
        <f>交易记录!V913</f>
        <v>0</v>
      </c>
      <c r="BP446" s="121">
        <f>交易记录!V944</f>
        <v>0</v>
      </c>
      <c r="BQ446" s="30">
        <f t="shared" si="202"/>
        <v>0</v>
      </c>
    </row>
    <row r="447" spans="1:69" ht="15">
      <c r="A447" s="125">
        <f>'维护-日期'!A$21</f>
        <v>46284</v>
      </c>
      <c r="B447" s="7" t="s">
        <v>19</v>
      </c>
      <c r="C447" s="144">
        <f t="shared" si="203"/>
        <v>22.904</v>
      </c>
      <c r="D447" s="144">
        <f>ROUND(INDEX(持仓数据!$C$3:$AG$26,MATCH('计算过程-数据汇总'!B447,持仓数据!$B$3:$B$26,0),MATCH('计算过程-数据汇总'!A447,'维护-日期'!$B$2:$AF$2,0)),3)</f>
        <v>22.904</v>
      </c>
      <c r="E447" s="98">
        <f t="shared" si="204"/>
        <v>22.904</v>
      </c>
      <c r="F447" s="22">
        <f>持仓数据!U85</f>
        <v>8.1000000000000003E-2</v>
      </c>
      <c r="G447" s="97">
        <v>372</v>
      </c>
      <c r="H447" s="97">
        <v>372</v>
      </c>
      <c r="I447" s="64">
        <v>0</v>
      </c>
      <c r="J447" s="64">
        <v>0</v>
      </c>
      <c r="K447" s="21">
        <f>IF(持仓数据!U118="",0,持仓数据!U118)</f>
        <v>372</v>
      </c>
      <c r="L447" s="21">
        <f t="shared" si="205"/>
        <v>0</v>
      </c>
      <c r="M447" s="28">
        <f t="shared" si="189"/>
        <v>8520.2880000000005</v>
      </c>
      <c r="N447" s="28">
        <f t="shared" si="190"/>
        <v>0</v>
      </c>
      <c r="O447" s="28">
        <f t="shared" si="191"/>
        <v>0</v>
      </c>
      <c r="P447" s="28">
        <f t="shared" si="192"/>
        <v>0</v>
      </c>
      <c r="Q447" s="28">
        <f t="shared" si="206"/>
        <v>0</v>
      </c>
      <c r="R447" s="28">
        <f t="shared" si="193"/>
        <v>8520.2880000000005</v>
      </c>
      <c r="S447" s="28">
        <f t="shared" si="207"/>
        <v>0</v>
      </c>
      <c r="T447" s="28">
        <f t="shared" si="208"/>
        <v>0</v>
      </c>
      <c r="U447" s="28">
        <f t="shared" si="211"/>
        <v>0</v>
      </c>
      <c r="V447" s="28">
        <f t="shared" si="209"/>
        <v>0</v>
      </c>
      <c r="W447" s="118"/>
      <c r="X447" s="143">
        <f t="shared" si="210"/>
        <v>27.404</v>
      </c>
      <c r="Y447" s="121">
        <f>交易记录!V18</f>
        <v>8.1000000000000003E-2</v>
      </c>
      <c r="Z447" s="121">
        <f>交易记录!V49</f>
        <v>372</v>
      </c>
      <c r="AA447" s="30">
        <f t="shared" si="194"/>
        <v>0</v>
      </c>
      <c r="AB447" s="124">
        <f>交易记录!V82</f>
        <v>0</v>
      </c>
      <c r="AC447" s="124">
        <f>交易记录!V113</f>
        <v>0</v>
      </c>
      <c r="AD447" s="30">
        <f t="shared" si="212"/>
        <v>0</v>
      </c>
      <c r="AE447" s="121">
        <f>交易记录!V146</f>
        <v>0</v>
      </c>
      <c r="AF447" s="121">
        <f>交易记录!V177</f>
        <v>0</v>
      </c>
      <c r="AG447" s="30">
        <f t="shared" si="213"/>
        <v>0</v>
      </c>
      <c r="AH447" s="124">
        <f>交易记录!V210</f>
        <v>0</v>
      </c>
      <c r="AI447" s="124">
        <f>交易记录!V241</f>
        <v>0</v>
      </c>
      <c r="AJ447" s="30">
        <f t="shared" si="214"/>
        <v>0</v>
      </c>
      <c r="AK447" s="121">
        <f>交易记录!V274</f>
        <v>0</v>
      </c>
      <c r="AL447" s="121">
        <f>交易记录!V305</f>
        <v>0</v>
      </c>
      <c r="AM447" s="30">
        <f t="shared" si="215"/>
        <v>0</v>
      </c>
      <c r="AN447" s="124">
        <f>交易记录!V338</f>
        <v>0</v>
      </c>
      <c r="AO447" s="124">
        <f>交易记录!V369</f>
        <v>0</v>
      </c>
      <c r="AP447" s="30">
        <f t="shared" si="216"/>
        <v>0</v>
      </c>
      <c r="AQ447" s="121">
        <f>交易记录!V402</f>
        <v>0</v>
      </c>
      <c r="AR447" s="121">
        <f>交易记录!V433</f>
        <v>0</v>
      </c>
      <c r="AS447" s="30">
        <f t="shared" si="217"/>
        <v>0</v>
      </c>
      <c r="AT447" s="124">
        <f>交易记录!V466</f>
        <v>0</v>
      </c>
      <c r="AU447" s="124">
        <f>交易记录!V497</f>
        <v>0</v>
      </c>
      <c r="AV447" s="30">
        <f t="shared" si="195"/>
        <v>0</v>
      </c>
      <c r="AW447" s="121">
        <f>交易记录!V530</f>
        <v>0</v>
      </c>
      <c r="AX447" s="121">
        <f>交易记录!V561</f>
        <v>0</v>
      </c>
      <c r="AY447" s="30">
        <f t="shared" si="196"/>
        <v>0</v>
      </c>
      <c r="AZ447" s="124">
        <f>交易记录!V594</f>
        <v>0</v>
      </c>
      <c r="BA447" s="124">
        <f>交易记录!V625</f>
        <v>0</v>
      </c>
      <c r="BB447" s="30">
        <f t="shared" si="197"/>
        <v>0</v>
      </c>
      <c r="BC447" s="121">
        <f>交易记录!V658</f>
        <v>0</v>
      </c>
      <c r="BD447" s="121">
        <f>交易记录!V689</f>
        <v>0</v>
      </c>
      <c r="BE447" s="30">
        <f t="shared" si="198"/>
        <v>0</v>
      </c>
      <c r="BF447" s="124">
        <f>交易记录!V722</f>
        <v>0</v>
      </c>
      <c r="BG447" s="124">
        <f>交易记录!V753</f>
        <v>0</v>
      </c>
      <c r="BH447" s="30">
        <f t="shared" si="199"/>
        <v>0</v>
      </c>
      <c r="BI447" s="121">
        <f>交易记录!V786</f>
        <v>0</v>
      </c>
      <c r="BJ447" s="121">
        <f>交易记录!V817</f>
        <v>0</v>
      </c>
      <c r="BK447" s="30">
        <f t="shared" si="200"/>
        <v>0</v>
      </c>
      <c r="BL447" s="124">
        <f>交易记录!V850</f>
        <v>0</v>
      </c>
      <c r="BM447" s="124">
        <f>交易记录!V881</f>
        <v>0</v>
      </c>
      <c r="BN447" s="30">
        <f t="shared" si="201"/>
        <v>0</v>
      </c>
      <c r="BO447" s="121">
        <f>交易记录!V914</f>
        <v>0</v>
      </c>
      <c r="BP447" s="121">
        <f>交易记录!V945</f>
        <v>0</v>
      </c>
      <c r="BQ447" s="30">
        <f t="shared" si="202"/>
        <v>0</v>
      </c>
    </row>
    <row r="448" spans="1:69" ht="15">
      <c r="A448" s="125">
        <f>'维护-日期'!A$21</f>
        <v>46284</v>
      </c>
      <c r="B448" s="7" t="s">
        <v>20</v>
      </c>
      <c r="C448" s="144">
        <f t="shared" si="203"/>
        <v>22.071000000000002</v>
      </c>
      <c r="D448" s="144">
        <f>ROUND(INDEX(持仓数据!$C$3:$AG$26,MATCH('计算过程-数据汇总'!B448,持仓数据!$B$3:$B$26,0),MATCH('计算过程-数据汇总'!A448,'维护-日期'!$B$2:$AF$2,0)),3)</f>
        <v>22.071000000000002</v>
      </c>
      <c r="E448" s="98">
        <f t="shared" si="204"/>
        <v>22.071000000000002</v>
      </c>
      <c r="F448" s="22">
        <f>持仓数据!U86</f>
        <v>0.13</v>
      </c>
      <c r="G448" s="97">
        <v>372</v>
      </c>
      <c r="H448" s="97">
        <v>372</v>
      </c>
      <c r="I448" s="64">
        <v>0</v>
      </c>
      <c r="J448" s="64">
        <v>0</v>
      </c>
      <c r="K448" s="21">
        <f>IF(持仓数据!U119="",0,持仓数据!U119)</f>
        <v>372</v>
      </c>
      <c r="L448" s="21">
        <f t="shared" si="205"/>
        <v>0</v>
      </c>
      <c r="M448" s="28">
        <f t="shared" si="189"/>
        <v>8210.4120000000003</v>
      </c>
      <c r="N448" s="28">
        <f t="shared" si="190"/>
        <v>0</v>
      </c>
      <c r="O448" s="28">
        <f t="shared" si="191"/>
        <v>0</v>
      </c>
      <c r="P448" s="28">
        <f t="shared" si="192"/>
        <v>0</v>
      </c>
      <c r="Q448" s="28">
        <f t="shared" si="206"/>
        <v>0</v>
      </c>
      <c r="R448" s="28">
        <f t="shared" si="193"/>
        <v>8210.4120000000003</v>
      </c>
      <c r="S448" s="28">
        <f t="shared" si="207"/>
        <v>0</v>
      </c>
      <c r="T448" s="28">
        <f t="shared" si="208"/>
        <v>0</v>
      </c>
      <c r="U448" s="28">
        <f t="shared" si="211"/>
        <v>0</v>
      </c>
      <c r="V448" s="28">
        <f t="shared" si="209"/>
        <v>0</v>
      </c>
      <c r="W448" s="118"/>
      <c r="X448" s="143">
        <f t="shared" si="210"/>
        <v>26.355</v>
      </c>
      <c r="Y448" s="121">
        <f>交易记录!V19</f>
        <v>0.13</v>
      </c>
      <c r="Z448" s="121">
        <f>交易记录!V50</f>
        <v>372</v>
      </c>
      <c r="AA448" s="30">
        <f t="shared" si="194"/>
        <v>0</v>
      </c>
      <c r="AB448" s="124">
        <f>交易记录!V83</f>
        <v>0</v>
      </c>
      <c r="AC448" s="124">
        <f>交易记录!V114</f>
        <v>0</v>
      </c>
      <c r="AD448" s="30">
        <f t="shared" si="212"/>
        <v>0</v>
      </c>
      <c r="AE448" s="121">
        <f>交易记录!V147</f>
        <v>0</v>
      </c>
      <c r="AF448" s="121">
        <f>交易记录!V178</f>
        <v>0</v>
      </c>
      <c r="AG448" s="30">
        <f t="shared" si="213"/>
        <v>0</v>
      </c>
      <c r="AH448" s="124">
        <f>交易记录!V211</f>
        <v>0</v>
      </c>
      <c r="AI448" s="124">
        <f>交易记录!V242</f>
        <v>0</v>
      </c>
      <c r="AJ448" s="30">
        <f t="shared" si="214"/>
        <v>0</v>
      </c>
      <c r="AK448" s="121">
        <f>交易记录!V275</f>
        <v>0</v>
      </c>
      <c r="AL448" s="121">
        <f>交易记录!V306</f>
        <v>0</v>
      </c>
      <c r="AM448" s="30">
        <f t="shared" si="215"/>
        <v>0</v>
      </c>
      <c r="AN448" s="124">
        <f>交易记录!V339</f>
        <v>0</v>
      </c>
      <c r="AO448" s="124">
        <f>交易记录!V370</f>
        <v>0</v>
      </c>
      <c r="AP448" s="30">
        <f t="shared" si="216"/>
        <v>0</v>
      </c>
      <c r="AQ448" s="121">
        <f>交易记录!V403</f>
        <v>0</v>
      </c>
      <c r="AR448" s="121">
        <f>交易记录!V434</f>
        <v>0</v>
      </c>
      <c r="AS448" s="30">
        <f t="shared" si="217"/>
        <v>0</v>
      </c>
      <c r="AT448" s="124">
        <f>交易记录!V467</f>
        <v>0</v>
      </c>
      <c r="AU448" s="124">
        <f>交易记录!V498</f>
        <v>0</v>
      </c>
      <c r="AV448" s="30">
        <f t="shared" si="195"/>
        <v>0</v>
      </c>
      <c r="AW448" s="121">
        <f>交易记录!V531</f>
        <v>0</v>
      </c>
      <c r="AX448" s="121">
        <f>交易记录!V562</f>
        <v>0</v>
      </c>
      <c r="AY448" s="30">
        <f t="shared" si="196"/>
        <v>0</v>
      </c>
      <c r="AZ448" s="124">
        <f>交易记录!V595</f>
        <v>0</v>
      </c>
      <c r="BA448" s="124">
        <f>交易记录!V626</f>
        <v>0</v>
      </c>
      <c r="BB448" s="30">
        <f t="shared" si="197"/>
        <v>0</v>
      </c>
      <c r="BC448" s="121">
        <f>交易记录!V659</f>
        <v>0</v>
      </c>
      <c r="BD448" s="121">
        <f>交易记录!V690</f>
        <v>0</v>
      </c>
      <c r="BE448" s="30">
        <f t="shared" si="198"/>
        <v>0</v>
      </c>
      <c r="BF448" s="124">
        <f>交易记录!V723</f>
        <v>0</v>
      </c>
      <c r="BG448" s="124">
        <f>交易记录!V754</f>
        <v>0</v>
      </c>
      <c r="BH448" s="30">
        <f t="shared" si="199"/>
        <v>0</v>
      </c>
      <c r="BI448" s="121">
        <f>交易记录!V787</f>
        <v>0</v>
      </c>
      <c r="BJ448" s="121">
        <f>交易记录!V818</f>
        <v>0</v>
      </c>
      <c r="BK448" s="30">
        <f t="shared" si="200"/>
        <v>0</v>
      </c>
      <c r="BL448" s="124">
        <f>交易记录!V851</f>
        <v>0</v>
      </c>
      <c r="BM448" s="124">
        <f>交易记录!V882</f>
        <v>0</v>
      </c>
      <c r="BN448" s="30">
        <f t="shared" si="201"/>
        <v>0</v>
      </c>
      <c r="BO448" s="121">
        <f>交易记录!V915</f>
        <v>0</v>
      </c>
      <c r="BP448" s="121">
        <f>交易记录!V946</f>
        <v>0</v>
      </c>
      <c r="BQ448" s="30">
        <f t="shared" si="202"/>
        <v>0</v>
      </c>
    </row>
    <row r="449" spans="1:69" ht="15">
      <c r="A449" s="125">
        <f>'维护-日期'!A$21</f>
        <v>46284</v>
      </c>
      <c r="B449" s="7" t="s">
        <v>21</v>
      </c>
      <c r="C449" s="144">
        <f t="shared" si="203"/>
        <v>22.087</v>
      </c>
      <c r="D449" s="144">
        <f>ROUND(INDEX(持仓数据!$C$3:$AG$26,MATCH('计算过程-数据汇总'!B449,持仓数据!$B$3:$B$26,0),MATCH('计算过程-数据汇总'!A449,'维护-日期'!$B$2:$AF$2,0)),3)</f>
        <v>22.087</v>
      </c>
      <c r="E449" s="98">
        <f t="shared" si="204"/>
        <v>22.087</v>
      </c>
      <c r="F449" s="22">
        <f>持仓数据!U87</f>
        <v>0.13</v>
      </c>
      <c r="G449" s="97">
        <v>372</v>
      </c>
      <c r="H449" s="97">
        <v>372</v>
      </c>
      <c r="I449" s="64">
        <v>0</v>
      </c>
      <c r="J449" s="64">
        <v>0</v>
      </c>
      <c r="K449" s="21">
        <f>IF(持仓数据!U120="",0,持仓数据!U120)</f>
        <v>372</v>
      </c>
      <c r="L449" s="21">
        <f t="shared" si="205"/>
        <v>0</v>
      </c>
      <c r="M449" s="28">
        <f t="shared" si="189"/>
        <v>8216.3639999999996</v>
      </c>
      <c r="N449" s="28">
        <f t="shared" si="190"/>
        <v>0</v>
      </c>
      <c r="O449" s="28">
        <f t="shared" si="191"/>
        <v>0</v>
      </c>
      <c r="P449" s="28">
        <f t="shared" si="192"/>
        <v>0</v>
      </c>
      <c r="Q449" s="28">
        <f t="shared" si="206"/>
        <v>0</v>
      </c>
      <c r="R449" s="28">
        <f t="shared" si="193"/>
        <v>8216.3639999999996</v>
      </c>
      <c r="S449" s="28">
        <f t="shared" si="207"/>
        <v>0</v>
      </c>
      <c r="T449" s="28">
        <f t="shared" si="208"/>
        <v>0</v>
      </c>
      <c r="U449" s="28">
        <f t="shared" si="211"/>
        <v>0</v>
      </c>
      <c r="V449" s="28">
        <f t="shared" si="209"/>
        <v>0</v>
      </c>
      <c r="W449" s="118"/>
      <c r="X449" s="143">
        <f t="shared" si="210"/>
        <v>26.373999999999999</v>
      </c>
      <c r="Y449" s="121">
        <f>交易记录!V20</f>
        <v>0.13</v>
      </c>
      <c r="Z449" s="121">
        <f>交易记录!V51</f>
        <v>372</v>
      </c>
      <c r="AA449" s="30">
        <f t="shared" si="194"/>
        <v>0</v>
      </c>
      <c r="AB449" s="124">
        <f>交易记录!V84</f>
        <v>0</v>
      </c>
      <c r="AC449" s="124">
        <f>交易记录!V115</f>
        <v>0</v>
      </c>
      <c r="AD449" s="30">
        <f t="shared" si="212"/>
        <v>0</v>
      </c>
      <c r="AE449" s="121">
        <f>交易记录!V148</f>
        <v>0</v>
      </c>
      <c r="AF449" s="121">
        <f>交易记录!V179</f>
        <v>0</v>
      </c>
      <c r="AG449" s="30">
        <f t="shared" si="213"/>
        <v>0</v>
      </c>
      <c r="AH449" s="124">
        <f>交易记录!V212</f>
        <v>0</v>
      </c>
      <c r="AI449" s="124">
        <f>交易记录!V243</f>
        <v>0</v>
      </c>
      <c r="AJ449" s="30">
        <f t="shared" si="214"/>
        <v>0</v>
      </c>
      <c r="AK449" s="121">
        <f>交易记录!V276</f>
        <v>0</v>
      </c>
      <c r="AL449" s="121">
        <f>交易记录!V307</f>
        <v>0</v>
      </c>
      <c r="AM449" s="30">
        <f t="shared" si="215"/>
        <v>0</v>
      </c>
      <c r="AN449" s="124">
        <f>交易记录!V340</f>
        <v>0</v>
      </c>
      <c r="AO449" s="124">
        <f>交易记录!V371</f>
        <v>0</v>
      </c>
      <c r="AP449" s="30">
        <f t="shared" si="216"/>
        <v>0</v>
      </c>
      <c r="AQ449" s="121">
        <f>交易记录!V404</f>
        <v>0</v>
      </c>
      <c r="AR449" s="121">
        <f>交易记录!V435</f>
        <v>0</v>
      </c>
      <c r="AS449" s="30">
        <f t="shared" si="217"/>
        <v>0</v>
      </c>
      <c r="AT449" s="124">
        <f>交易记录!V468</f>
        <v>0</v>
      </c>
      <c r="AU449" s="124">
        <f>交易记录!V499</f>
        <v>0</v>
      </c>
      <c r="AV449" s="30">
        <f t="shared" si="195"/>
        <v>0</v>
      </c>
      <c r="AW449" s="121">
        <f>交易记录!V532</f>
        <v>0</v>
      </c>
      <c r="AX449" s="121">
        <f>交易记录!V563</f>
        <v>0</v>
      </c>
      <c r="AY449" s="30">
        <f t="shared" si="196"/>
        <v>0</v>
      </c>
      <c r="AZ449" s="124">
        <f>交易记录!V596</f>
        <v>0</v>
      </c>
      <c r="BA449" s="124">
        <f>交易记录!V627</f>
        <v>0</v>
      </c>
      <c r="BB449" s="30">
        <f t="shared" si="197"/>
        <v>0</v>
      </c>
      <c r="BC449" s="121">
        <f>交易记录!V660</f>
        <v>0</v>
      </c>
      <c r="BD449" s="121">
        <f>交易记录!V691</f>
        <v>0</v>
      </c>
      <c r="BE449" s="30">
        <f t="shared" si="198"/>
        <v>0</v>
      </c>
      <c r="BF449" s="124">
        <f>交易记录!V724</f>
        <v>0</v>
      </c>
      <c r="BG449" s="124">
        <f>交易记录!V755</f>
        <v>0</v>
      </c>
      <c r="BH449" s="30">
        <f t="shared" si="199"/>
        <v>0</v>
      </c>
      <c r="BI449" s="121">
        <f>交易记录!V788</f>
        <v>0</v>
      </c>
      <c r="BJ449" s="121">
        <f>交易记录!V819</f>
        <v>0</v>
      </c>
      <c r="BK449" s="30">
        <f t="shared" si="200"/>
        <v>0</v>
      </c>
      <c r="BL449" s="124">
        <f>交易记录!V852</f>
        <v>0</v>
      </c>
      <c r="BM449" s="124">
        <f>交易记录!V883</f>
        <v>0</v>
      </c>
      <c r="BN449" s="30">
        <f t="shared" si="201"/>
        <v>0</v>
      </c>
      <c r="BO449" s="121">
        <f>交易记录!V916</f>
        <v>0</v>
      </c>
      <c r="BP449" s="121">
        <f>交易记录!V947</f>
        <v>0</v>
      </c>
      <c r="BQ449" s="30">
        <f t="shared" si="202"/>
        <v>0</v>
      </c>
    </row>
    <row r="450" spans="1:69" ht="15">
      <c r="A450" s="125">
        <f>'维护-日期'!A$21</f>
        <v>46284</v>
      </c>
      <c r="B450" s="7" t="s">
        <v>22</v>
      </c>
      <c r="C450" s="144">
        <f t="shared" si="203"/>
        <v>23.077999999999999</v>
      </c>
      <c r="D450" s="144">
        <f>ROUND(INDEX(持仓数据!$C$3:$AG$26,MATCH('计算过程-数据汇总'!B450,持仓数据!$B$3:$B$26,0),MATCH('计算过程-数据汇总'!A450,'维护-日期'!$B$2:$AF$2,0)),3)</f>
        <v>23.077999999999999</v>
      </c>
      <c r="E450" s="98">
        <f t="shared" si="204"/>
        <v>23.077999999999999</v>
      </c>
      <c r="F450" s="22">
        <f>持仓数据!U88</f>
        <v>0.10200000000000001</v>
      </c>
      <c r="G450" s="97">
        <v>372</v>
      </c>
      <c r="H450" s="97">
        <v>372</v>
      </c>
      <c r="I450" s="64">
        <v>0</v>
      </c>
      <c r="J450" s="64">
        <v>0</v>
      </c>
      <c r="K450" s="21">
        <f>IF(持仓数据!U121="",0,持仓数据!U121)</f>
        <v>372</v>
      </c>
      <c r="L450" s="21">
        <f t="shared" si="205"/>
        <v>0</v>
      </c>
      <c r="M450" s="28">
        <f t="shared" ref="M450:M513" si="218">IFERROR(C450*G450,0)</f>
        <v>8585.0159999999996</v>
      </c>
      <c r="N450" s="28">
        <f t="shared" ref="N450:N513" si="219">IFERROR((D450-C450)*(G450-H450),0)</f>
        <v>0</v>
      </c>
      <c r="O450" s="28">
        <f t="shared" ref="O450:O513" si="220">IFERROR((E450-D450)*(G450-H450),0)</f>
        <v>0</v>
      </c>
      <c r="P450" s="28">
        <f t="shared" ref="P450:P513" si="221">IFERROR(F450*(K450-G450),0)</f>
        <v>0</v>
      </c>
      <c r="Q450" s="28">
        <f t="shared" si="206"/>
        <v>0</v>
      </c>
      <c r="R450" s="28">
        <f t="shared" ref="R450:R513" si="222">IFERROR(K450*C450,0)</f>
        <v>8585.0159999999996</v>
      </c>
      <c r="S450" s="28">
        <f t="shared" si="207"/>
        <v>0</v>
      </c>
      <c r="T450" s="28">
        <f t="shared" si="208"/>
        <v>0</v>
      </c>
      <c r="U450" s="28">
        <f t="shared" si="211"/>
        <v>0</v>
      </c>
      <c r="V450" s="28">
        <f t="shared" si="209"/>
        <v>0</v>
      </c>
      <c r="W450" s="118"/>
      <c r="X450" s="143">
        <f t="shared" si="210"/>
        <v>27.591999999999999</v>
      </c>
      <c r="Y450" s="121">
        <f>交易记录!V21</f>
        <v>0.10200000000000001</v>
      </c>
      <c r="Z450" s="121">
        <f>交易记录!V52</f>
        <v>372</v>
      </c>
      <c r="AA450" s="30">
        <f t="shared" ref="AA450:AA513" si="223">IFERROR((Z450-G450)*Y450,0)</f>
        <v>0</v>
      </c>
      <c r="AB450" s="124">
        <f>交易记录!V85</f>
        <v>0</v>
      </c>
      <c r="AC450" s="124">
        <f>交易记录!V116</f>
        <v>0</v>
      </c>
      <c r="AD450" s="30">
        <f t="shared" si="212"/>
        <v>0</v>
      </c>
      <c r="AE450" s="121">
        <f>交易记录!V149</f>
        <v>0</v>
      </c>
      <c r="AF450" s="121">
        <f>交易记录!V180</f>
        <v>0</v>
      </c>
      <c r="AG450" s="30">
        <f t="shared" si="213"/>
        <v>0</v>
      </c>
      <c r="AH450" s="124">
        <f>交易记录!V213</f>
        <v>0</v>
      </c>
      <c r="AI450" s="124">
        <f>交易记录!V244</f>
        <v>0</v>
      </c>
      <c r="AJ450" s="30">
        <f t="shared" si="214"/>
        <v>0</v>
      </c>
      <c r="AK450" s="121">
        <f>交易记录!V277</f>
        <v>0</v>
      </c>
      <c r="AL450" s="121">
        <f>交易记录!V308</f>
        <v>0</v>
      </c>
      <c r="AM450" s="30">
        <f t="shared" si="215"/>
        <v>0</v>
      </c>
      <c r="AN450" s="124">
        <f>交易记录!V341</f>
        <v>0</v>
      </c>
      <c r="AO450" s="124">
        <f>交易记录!V372</f>
        <v>0</v>
      </c>
      <c r="AP450" s="30">
        <f t="shared" si="216"/>
        <v>0</v>
      </c>
      <c r="AQ450" s="121">
        <f>交易记录!V405</f>
        <v>0</v>
      </c>
      <c r="AR450" s="121">
        <f>交易记录!V436</f>
        <v>0</v>
      </c>
      <c r="AS450" s="30">
        <f t="shared" si="217"/>
        <v>0</v>
      </c>
      <c r="AT450" s="124">
        <f>交易记录!V469</f>
        <v>0</v>
      </c>
      <c r="AU450" s="124">
        <f>交易记录!V500</f>
        <v>0</v>
      </c>
      <c r="AV450" s="30">
        <f t="shared" ref="AV450:AV513" si="224">IFERROR((AU450-$G450)*AT450,0)</f>
        <v>0</v>
      </c>
      <c r="AW450" s="121">
        <f>交易记录!V533</f>
        <v>0</v>
      </c>
      <c r="AX450" s="121">
        <f>交易记录!V564</f>
        <v>0</v>
      </c>
      <c r="AY450" s="30">
        <f t="shared" ref="AY450:AY513" si="225">IFERROR((AX450-$G450)*AW450,0)</f>
        <v>0</v>
      </c>
      <c r="AZ450" s="124">
        <f>交易记录!V597</f>
        <v>0</v>
      </c>
      <c r="BA450" s="124">
        <f>交易记录!V628</f>
        <v>0</v>
      </c>
      <c r="BB450" s="30">
        <f t="shared" ref="BB450:BB513" si="226">IFERROR((BA450-$G450)*AZ450,0)</f>
        <v>0</v>
      </c>
      <c r="BC450" s="121">
        <f>交易记录!V661</f>
        <v>0</v>
      </c>
      <c r="BD450" s="121">
        <f>交易记录!V692</f>
        <v>0</v>
      </c>
      <c r="BE450" s="30">
        <f t="shared" ref="BE450:BE513" si="227">IFERROR((BD450-$G450)*BC450,0)</f>
        <v>0</v>
      </c>
      <c r="BF450" s="124">
        <f>交易记录!V725</f>
        <v>0</v>
      </c>
      <c r="BG450" s="124">
        <f>交易记录!V756</f>
        <v>0</v>
      </c>
      <c r="BH450" s="30">
        <f t="shared" ref="BH450:BH513" si="228">IFERROR((BG450-$G450)*BF450,0)</f>
        <v>0</v>
      </c>
      <c r="BI450" s="121">
        <f>交易记录!V789</f>
        <v>0</v>
      </c>
      <c r="BJ450" s="121">
        <f>交易记录!V820</f>
        <v>0</v>
      </c>
      <c r="BK450" s="30">
        <f t="shared" ref="BK450:BK513" si="229">IFERROR((BJ450-$G450)*BI450,0)</f>
        <v>0</v>
      </c>
      <c r="BL450" s="124">
        <f>交易记录!V853</f>
        <v>0</v>
      </c>
      <c r="BM450" s="124">
        <f>交易记录!V884</f>
        <v>0</v>
      </c>
      <c r="BN450" s="30">
        <f t="shared" ref="BN450:BN513" si="230">IFERROR((BM450-$G450)*BL450,0)</f>
        <v>0</v>
      </c>
      <c r="BO450" s="121">
        <f>交易记录!V917</f>
        <v>0</v>
      </c>
      <c r="BP450" s="121">
        <f>交易记录!V948</f>
        <v>0</v>
      </c>
      <c r="BQ450" s="30">
        <f t="shared" ref="BQ450:BQ513" si="231">IFERROR((BP450-$G450)*BO450,0)</f>
        <v>0</v>
      </c>
    </row>
    <row r="451" spans="1:69" ht="15">
      <c r="A451" s="125">
        <f>'维护-日期'!A$21</f>
        <v>46284</v>
      </c>
      <c r="B451" s="7" t="s">
        <v>23</v>
      </c>
      <c r="C451" s="144">
        <f t="shared" ref="C451:C514" si="232">D451</f>
        <v>23.443000000000001</v>
      </c>
      <c r="D451" s="144">
        <f>ROUND(INDEX(持仓数据!$C$3:$AG$26,MATCH('计算过程-数据汇总'!B451,持仓数据!$B$3:$B$26,0),MATCH('计算过程-数据汇总'!A451,'维护-日期'!$B$2:$AF$2,0)),3)</f>
        <v>23.443000000000001</v>
      </c>
      <c r="E451" s="98">
        <f t="shared" ref="E451:E514" si="233">D451*1</f>
        <v>23.443000000000001</v>
      </c>
      <c r="F451" s="22">
        <f>持仓数据!U89</f>
        <v>0.127</v>
      </c>
      <c r="G451" s="97">
        <v>372</v>
      </c>
      <c r="H451" s="97">
        <v>372</v>
      </c>
      <c r="I451" s="64">
        <v>0</v>
      </c>
      <c r="J451" s="64">
        <v>0</v>
      </c>
      <c r="K451" s="21">
        <f>IF(持仓数据!U122="",0,持仓数据!U122)</f>
        <v>372</v>
      </c>
      <c r="L451" s="21">
        <f t="shared" ref="L451:L514" si="234">I451*J451</f>
        <v>0</v>
      </c>
      <c r="M451" s="28">
        <f t="shared" si="218"/>
        <v>8720.7960000000003</v>
      </c>
      <c r="N451" s="28">
        <f t="shared" si="219"/>
        <v>0</v>
      </c>
      <c r="O451" s="28">
        <f t="shared" si="220"/>
        <v>0</v>
      </c>
      <c r="P451" s="28">
        <f t="shared" si="221"/>
        <v>0</v>
      </c>
      <c r="Q451" s="28">
        <f t="shared" ref="Q451:Q514" si="235">IFERROR(IF(ABS((E451-C451)/C451)&gt;0.2,IF(SUM(N451:O451)&lt;0,ABS(G451-H451)*(ABS(C451-E451)-C451*0.2),0),0),IF(SUM(N451:O451)&lt;0,ABS(G451-H451)*(ABS(C451-E451)-C451*0.2),0))</f>
        <v>0</v>
      </c>
      <c r="R451" s="28">
        <f t="shared" si="222"/>
        <v>8720.7960000000003</v>
      </c>
      <c r="S451" s="28">
        <f t="shared" ref="S451:S514" si="236">IFERROR((D451-E451)*(K451-G451),0)</f>
        <v>0</v>
      </c>
      <c r="T451" s="28">
        <f t="shared" ref="T451:T514" si="237">IFERROR((F451-D451)*(K451-G451),0)</f>
        <v>0</v>
      </c>
      <c r="U451" s="28">
        <f t="shared" si="211"/>
        <v>0</v>
      </c>
      <c r="V451" s="28">
        <f t="shared" ref="V451:V514" si="238">IFERROR((E451-D451)*(K451-H451),0)</f>
        <v>0</v>
      </c>
      <c r="W451" s="118"/>
      <c r="X451" s="143">
        <f t="shared" ref="X451:X514" si="239">ROUND(D451*1.2-SUM(Y451,AB451,AE451,AH451,AK451,AN451,AQ451,AT451,AW451,AZ451,BC451,BF451,BI451,BL451,BO451),3)</f>
        <v>28.004999999999999</v>
      </c>
      <c r="Y451" s="121">
        <f>交易记录!V22</f>
        <v>0.127</v>
      </c>
      <c r="Z451" s="121">
        <f>交易记录!V53</f>
        <v>372</v>
      </c>
      <c r="AA451" s="30">
        <f t="shared" si="223"/>
        <v>0</v>
      </c>
      <c r="AB451" s="124">
        <f>交易记录!V86</f>
        <v>0</v>
      </c>
      <c r="AC451" s="124">
        <f>交易记录!V117</f>
        <v>0</v>
      </c>
      <c r="AD451" s="30">
        <f t="shared" si="212"/>
        <v>0</v>
      </c>
      <c r="AE451" s="121">
        <f>交易记录!V150</f>
        <v>0</v>
      </c>
      <c r="AF451" s="121">
        <f>交易记录!V181</f>
        <v>0</v>
      </c>
      <c r="AG451" s="30">
        <f t="shared" si="213"/>
        <v>0</v>
      </c>
      <c r="AH451" s="124">
        <f>交易记录!V214</f>
        <v>0</v>
      </c>
      <c r="AI451" s="124">
        <f>交易记录!V245</f>
        <v>0</v>
      </c>
      <c r="AJ451" s="30">
        <f t="shared" si="214"/>
        <v>0</v>
      </c>
      <c r="AK451" s="121">
        <f>交易记录!V278</f>
        <v>0</v>
      </c>
      <c r="AL451" s="121">
        <f>交易记录!V309</f>
        <v>0</v>
      </c>
      <c r="AM451" s="30">
        <f t="shared" si="215"/>
        <v>0</v>
      </c>
      <c r="AN451" s="124">
        <f>交易记录!V342</f>
        <v>0</v>
      </c>
      <c r="AO451" s="124">
        <f>交易记录!V373</f>
        <v>0</v>
      </c>
      <c r="AP451" s="30">
        <f t="shared" si="216"/>
        <v>0</v>
      </c>
      <c r="AQ451" s="121">
        <f>交易记录!V406</f>
        <v>0</v>
      </c>
      <c r="AR451" s="121">
        <f>交易记录!V437</f>
        <v>0</v>
      </c>
      <c r="AS451" s="30">
        <f t="shared" si="217"/>
        <v>0</v>
      </c>
      <c r="AT451" s="124">
        <f>交易记录!V470</f>
        <v>0</v>
      </c>
      <c r="AU451" s="124">
        <f>交易记录!V501</f>
        <v>0</v>
      </c>
      <c r="AV451" s="30">
        <f t="shared" si="224"/>
        <v>0</v>
      </c>
      <c r="AW451" s="121">
        <f>交易记录!V534</f>
        <v>0</v>
      </c>
      <c r="AX451" s="121">
        <f>交易记录!V565</f>
        <v>0</v>
      </c>
      <c r="AY451" s="30">
        <f t="shared" si="225"/>
        <v>0</v>
      </c>
      <c r="AZ451" s="124">
        <f>交易记录!V598</f>
        <v>0</v>
      </c>
      <c r="BA451" s="124">
        <f>交易记录!V629</f>
        <v>0</v>
      </c>
      <c r="BB451" s="30">
        <f t="shared" si="226"/>
        <v>0</v>
      </c>
      <c r="BC451" s="121">
        <f>交易记录!V662</f>
        <v>0</v>
      </c>
      <c r="BD451" s="121">
        <f>交易记录!V693</f>
        <v>0</v>
      </c>
      <c r="BE451" s="30">
        <f t="shared" si="227"/>
        <v>0</v>
      </c>
      <c r="BF451" s="124">
        <f>交易记录!V726</f>
        <v>0</v>
      </c>
      <c r="BG451" s="124">
        <f>交易记录!V757</f>
        <v>0</v>
      </c>
      <c r="BH451" s="30">
        <f t="shared" si="228"/>
        <v>0</v>
      </c>
      <c r="BI451" s="121">
        <f>交易记录!V790</f>
        <v>0</v>
      </c>
      <c r="BJ451" s="121">
        <f>交易记录!V821</f>
        <v>0</v>
      </c>
      <c r="BK451" s="30">
        <f t="shared" si="229"/>
        <v>0</v>
      </c>
      <c r="BL451" s="124">
        <f>交易记录!V854</f>
        <v>0</v>
      </c>
      <c r="BM451" s="124">
        <f>交易记录!V885</f>
        <v>0</v>
      </c>
      <c r="BN451" s="30">
        <f t="shared" si="230"/>
        <v>0</v>
      </c>
      <c r="BO451" s="121">
        <f>交易记录!V918</f>
        <v>0</v>
      </c>
      <c r="BP451" s="121">
        <f>交易记录!V949</f>
        <v>0</v>
      </c>
      <c r="BQ451" s="30">
        <f t="shared" si="231"/>
        <v>0</v>
      </c>
    </row>
    <row r="452" spans="1:69" ht="15">
      <c r="A452" s="125">
        <f>'维护-日期'!A$21</f>
        <v>46284</v>
      </c>
      <c r="B452" s="7" t="s">
        <v>24</v>
      </c>
      <c r="C452" s="144">
        <f t="shared" si="232"/>
        <v>23.85</v>
      </c>
      <c r="D452" s="144">
        <f>ROUND(INDEX(持仓数据!$C$3:$AG$26,MATCH('计算过程-数据汇总'!B452,持仓数据!$B$3:$B$26,0),MATCH('计算过程-数据汇总'!A452,'维护-日期'!$B$2:$AF$2,0)),3)</f>
        <v>23.85</v>
      </c>
      <c r="E452" s="98">
        <f t="shared" si="233"/>
        <v>23.85</v>
      </c>
      <c r="F452" s="22">
        <f>持仓数据!U90</f>
        <v>0.128</v>
      </c>
      <c r="G452" s="97">
        <v>372</v>
      </c>
      <c r="H452" s="97">
        <v>372</v>
      </c>
      <c r="I452" s="64">
        <v>0</v>
      </c>
      <c r="J452" s="64">
        <v>0</v>
      </c>
      <c r="K452" s="21">
        <f>IF(持仓数据!U123="",0,持仓数据!U123)</f>
        <v>372</v>
      </c>
      <c r="L452" s="21">
        <f t="shared" si="234"/>
        <v>0</v>
      </c>
      <c r="M452" s="28">
        <f t="shared" si="218"/>
        <v>8872.2000000000007</v>
      </c>
      <c r="N452" s="28">
        <f t="shared" si="219"/>
        <v>0</v>
      </c>
      <c r="O452" s="28">
        <f t="shared" si="220"/>
        <v>0</v>
      </c>
      <c r="P452" s="28">
        <f t="shared" si="221"/>
        <v>0</v>
      </c>
      <c r="Q452" s="28">
        <f t="shared" si="235"/>
        <v>0</v>
      </c>
      <c r="R452" s="28">
        <f t="shared" si="222"/>
        <v>8872.2000000000007</v>
      </c>
      <c r="S452" s="28">
        <f t="shared" si="236"/>
        <v>0</v>
      </c>
      <c r="T452" s="28">
        <f t="shared" si="237"/>
        <v>0</v>
      </c>
      <c r="U452" s="28">
        <f t="shared" ref="U452:U515" si="240">IFERROR((D452-C452)*(K452-H452),0)</f>
        <v>0</v>
      </c>
      <c r="V452" s="28">
        <f t="shared" si="238"/>
        <v>0</v>
      </c>
      <c r="W452" s="118"/>
      <c r="X452" s="143">
        <f t="shared" si="239"/>
        <v>28.492000000000001</v>
      </c>
      <c r="Y452" s="121">
        <f>交易记录!V23</f>
        <v>0.128</v>
      </c>
      <c r="Z452" s="121">
        <f>交易记录!V54</f>
        <v>372</v>
      </c>
      <c r="AA452" s="30">
        <f t="shared" si="223"/>
        <v>0</v>
      </c>
      <c r="AB452" s="124">
        <f>交易记录!V87</f>
        <v>0</v>
      </c>
      <c r="AC452" s="124">
        <f>交易记录!V118</f>
        <v>0</v>
      </c>
      <c r="AD452" s="30">
        <f t="shared" si="212"/>
        <v>0</v>
      </c>
      <c r="AE452" s="121">
        <f>交易记录!V151</f>
        <v>0</v>
      </c>
      <c r="AF452" s="121">
        <f>交易记录!V182</f>
        <v>0</v>
      </c>
      <c r="AG452" s="30">
        <f t="shared" si="213"/>
        <v>0</v>
      </c>
      <c r="AH452" s="124">
        <f>交易记录!V215</f>
        <v>0</v>
      </c>
      <c r="AI452" s="124">
        <f>交易记录!V246</f>
        <v>0</v>
      </c>
      <c r="AJ452" s="30">
        <f t="shared" si="214"/>
        <v>0</v>
      </c>
      <c r="AK452" s="121">
        <f>交易记录!V279</f>
        <v>0</v>
      </c>
      <c r="AL452" s="121">
        <f>交易记录!V310</f>
        <v>0</v>
      </c>
      <c r="AM452" s="30">
        <f t="shared" si="215"/>
        <v>0</v>
      </c>
      <c r="AN452" s="124">
        <f>交易记录!V343</f>
        <v>0</v>
      </c>
      <c r="AO452" s="124">
        <f>交易记录!V374</f>
        <v>0</v>
      </c>
      <c r="AP452" s="30">
        <f t="shared" si="216"/>
        <v>0</v>
      </c>
      <c r="AQ452" s="121">
        <f>交易记录!V407</f>
        <v>0</v>
      </c>
      <c r="AR452" s="121">
        <f>交易记录!V438</f>
        <v>0</v>
      </c>
      <c r="AS452" s="30">
        <f t="shared" si="217"/>
        <v>0</v>
      </c>
      <c r="AT452" s="124">
        <f>交易记录!V471</f>
        <v>0</v>
      </c>
      <c r="AU452" s="124">
        <f>交易记录!V502</f>
        <v>0</v>
      </c>
      <c r="AV452" s="30">
        <f t="shared" si="224"/>
        <v>0</v>
      </c>
      <c r="AW452" s="121">
        <f>交易记录!V535</f>
        <v>0</v>
      </c>
      <c r="AX452" s="121">
        <f>交易记录!V566</f>
        <v>0</v>
      </c>
      <c r="AY452" s="30">
        <f t="shared" si="225"/>
        <v>0</v>
      </c>
      <c r="AZ452" s="124">
        <f>交易记录!V599</f>
        <v>0</v>
      </c>
      <c r="BA452" s="124">
        <f>交易记录!V630</f>
        <v>0</v>
      </c>
      <c r="BB452" s="30">
        <f t="shared" si="226"/>
        <v>0</v>
      </c>
      <c r="BC452" s="121">
        <f>交易记录!V663</f>
        <v>0</v>
      </c>
      <c r="BD452" s="121">
        <f>交易记录!V694</f>
        <v>0</v>
      </c>
      <c r="BE452" s="30">
        <f t="shared" si="227"/>
        <v>0</v>
      </c>
      <c r="BF452" s="124">
        <f>交易记录!V727</f>
        <v>0</v>
      </c>
      <c r="BG452" s="124">
        <f>交易记录!V758</f>
        <v>0</v>
      </c>
      <c r="BH452" s="30">
        <f t="shared" si="228"/>
        <v>0</v>
      </c>
      <c r="BI452" s="121">
        <f>交易记录!V791</f>
        <v>0</v>
      </c>
      <c r="BJ452" s="121">
        <f>交易记录!V822</f>
        <v>0</v>
      </c>
      <c r="BK452" s="30">
        <f t="shared" si="229"/>
        <v>0</v>
      </c>
      <c r="BL452" s="124">
        <f>交易记录!V855</f>
        <v>0</v>
      </c>
      <c r="BM452" s="124">
        <f>交易记录!V886</f>
        <v>0</v>
      </c>
      <c r="BN452" s="30">
        <f t="shared" si="230"/>
        <v>0</v>
      </c>
      <c r="BO452" s="121">
        <f>交易记录!V919</f>
        <v>0</v>
      </c>
      <c r="BP452" s="121">
        <f>交易记录!V950</f>
        <v>0</v>
      </c>
      <c r="BQ452" s="30">
        <f t="shared" si="231"/>
        <v>0</v>
      </c>
    </row>
    <row r="453" spans="1:69" ht="15">
      <c r="A453" s="125">
        <f>'维护-日期'!A$21</f>
        <v>46284</v>
      </c>
      <c r="B453" s="7" t="s">
        <v>25</v>
      </c>
      <c r="C453" s="144">
        <f t="shared" si="232"/>
        <v>24.105</v>
      </c>
      <c r="D453" s="144">
        <f>ROUND(INDEX(持仓数据!$C$3:$AG$26,MATCH('计算过程-数据汇总'!B453,持仓数据!$B$3:$B$26,0),MATCH('计算过程-数据汇总'!A453,'维护-日期'!$B$2:$AF$2,0)),3)</f>
        <v>24.105</v>
      </c>
      <c r="E453" s="98">
        <f t="shared" si="233"/>
        <v>24.105</v>
      </c>
      <c r="F453" s="22">
        <f>持仓数据!U91</f>
        <v>0.22399999999999998</v>
      </c>
      <c r="G453" s="97">
        <v>372</v>
      </c>
      <c r="H453" s="97">
        <v>372</v>
      </c>
      <c r="I453" s="64">
        <v>0</v>
      </c>
      <c r="J453" s="64">
        <v>0</v>
      </c>
      <c r="K453" s="21">
        <f>IF(持仓数据!U124="",0,持仓数据!U124)</f>
        <v>372</v>
      </c>
      <c r="L453" s="21">
        <f t="shared" si="234"/>
        <v>0</v>
      </c>
      <c r="M453" s="28">
        <f t="shared" si="218"/>
        <v>8967.06</v>
      </c>
      <c r="N453" s="28">
        <f t="shared" si="219"/>
        <v>0</v>
      </c>
      <c r="O453" s="28">
        <f t="shared" si="220"/>
        <v>0</v>
      </c>
      <c r="P453" s="28">
        <f t="shared" si="221"/>
        <v>0</v>
      </c>
      <c r="Q453" s="28">
        <f t="shared" si="235"/>
        <v>0</v>
      </c>
      <c r="R453" s="28">
        <f t="shared" si="222"/>
        <v>8967.06</v>
      </c>
      <c r="S453" s="28">
        <f t="shared" si="236"/>
        <v>0</v>
      </c>
      <c r="T453" s="28">
        <f t="shared" si="237"/>
        <v>0</v>
      </c>
      <c r="U453" s="28">
        <f t="shared" si="240"/>
        <v>0</v>
      </c>
      <c r="V453" s="28">
        <f t="shared" si="238"/>
        <v>0</v>
      </c>
      <c r="W453" s="118"/>
      <c r="X453" s="143">
        <f t="shared" si="239"/>
        <v>28.702000000000002</v>
      </c>
      <c r="Y453" s="121">
        <f>交易记录!V24</f>
        <v>0.22399999999999998</v>
      </c>
      <c r="Z453" s="121">
        <f>交易记录!V55</f>
        <v>372</v>
      </c>
      <c r="AA453" s="30">
        <f t="shared" si="223"/>
        <v>0</v>
      </c>
      <c r="AB453" s="124">
        <f>交易记录!V88</f>
        <v>0</v>
      </c>
      <c r="AC453" s="124">
        <f>交易记录!V119</f>
        <v>0</v>
      </c>
      <c r="AD453" s="30">
        <f t="shared" si="212"/>
        <v>0</v>
      </c>
      <c r="AE453" s="121">
        <f>交易记录!V152</f>
        <v>0</v>
      </c>
      <c r="AF453" s="121">
        <f>交易记录!V183</f>
        <v>0</v>
      </c>
      <c r="AG453" s="30">
        <f t="shared" si="213"/>
        <v>0</v>
      </c>
      <c r="AH453" s="124">
        <f>交易记录!V216</f>
        <v>0</v>
      </c>
      <c r="AI453" s="124">
        <f>交易记录!V247</f>
        <v>0</v>
      </c>
      <c r="AJ453" s="30">
        <f t="shared" si="214"/>
        <v>0</v>
      </c>
      <c r="AK453" s="121">
        <f>交易记录!V280</f>
        <v>0</v>
      </c>
      <c r="AL453" s="121">
        <f>交易记录!V311</f>
        <v>0</v>
      </c>
      <c r="AM453" s="30">
        <f t="shared" si="215"/>
        <v>0</v>
      </c>
      <c r="AN453" s="124">
        <f>交易记录!V344</f>
        <v>0</v>
      </c>
      <c r="AO453" s="124">
        <f>交易记录!V375</f>
        <v>0</v>
      </c>
      <c r="AP453" s="30">
        <f t="shared" si="216"/>
        <v>0</v>
      </c>
      <c r="AQ453" s="121">
        <f>交易记录!V408</f>
        <v>0</v>
      </c>
      <c r="AR453" s="121">
        <f>交易记录!V439</f>
        <v>0</v>
      </c>
      <c r="AS453" s="30">
        <f t="shared" si="217"/>
        <v>0</v>
      </c>
      <c r="AT453" s="124">
        <f>交易记录!V472</f>
        <v>0</v>
      </c>
      <c r="AU453" s="124">
        <f>交易记录!V503</f>
        <v>0</v>
      </c>
      <c r="AV453" s="30">
        <f t="shared" si="224"/>
        <v>0</v>
      </c>
      <c r="AW453" s="121">
        <f>交易记录!V536</f>
        <v>0</v>
      </c>
      <c r="AX453" s="121">
        <f>交易记录!V567</f>
        <v>0</v>
      </c>
      <c r="AY453" s="30">
        <f t="shared" si="225"/>
        <v>0</v>
      </c>
      <c r="AZ453" s="124">
        <f>交易记录!V600</f>
        <v>0</v>
      </c>
      <c r="BA453" s="124">
        <f>交易记录!V631</f>
        <v>0</v>
      </c>
      <c r="BB453" s="30">
        <f t="shared" si="226"/>
        <v>0</v>
      </c>
      <c r="BC453" s="121">
        <f>交易记录!V664</f>
        <v>0</v>
      </c>
      <c r="BD453" s="121">
        <f>交易记录!V695</f>
        <v>0</v>
      </c>
      <c r="BE453" s="30">
        <f t="shared" si="227"/>
        <v>0</v>
      </c>
      <c r="BF453" s="124">
        <f>交易记录!V728</f>
        <v>0</v>
      </c>
      <c r="BG453" s="124">
        <f>交易记录!V759</f>
        <v>0</v>
      </c>
      <c r="BH453" s="30">
        <f t="shared" si="228"/>
        <v>0</v>
      </c>
      <c r="BI453" s="121">
        <f>交易记录!V792</f>
        <v>0</v>
      </c>
      <c r="BJ453" s="121">
        <f>交易记录!V823</f>
        <v>0</v>
      </c>
      <c r="BK453" s="30">
        <f t="shared" si="229"/>
        <v>0</v>
      </c>
      <c r="BL453" s="124">
        <f>交易记录!V856</f>
        <v>0</v>
      </c>
      <c r="BM453" s="124">
        <f>交易记录!V887</f>
        <v>0</v>
      </c>
      <c r="BN453" s="30">
        <f t="shared" si="230"/>
        <v>0</v>
      </c>
      <c r="BO453" s="121">
        <f>交易记录!V920</f>
        <v>0</v>
      </c>
      <c r="BP453" s="121">
        <f>交易记录!V951</f>
        <v>0</v>
      </c>
      <c r="BQ453" s="30">
        <f t="shared" si="231"/>
        <v>0</v>
      </c>
    </row>
    <row r="454" spans="1:69" ht="15">
      <c r="A454" s="125">
        <f>'维护-日期'!A$21</f>
        <v>46284</v>
      </c>
      <c r="B454" s="7" t="s">
        <v>26</v>
      </c>
      <c r="C454" s="144">
        <f t="shared" si="232"/>
        <v>24.047999999999998</v>
      </c>
      <c r="D454" s="144">
        <f>ROUND(INDEX(持仓数据!$C$3:$AG$26,MATCH('计算过程-数据汇总'!B454,持仓数据!$B$3:$B$26,0),MATCH('计算过程-数据汇总'!A454,'维护-日期'!$B$2:$AF$2,0)),3)</f>
        <v>24.047999999999998</v>
      </c>
      <c r="E454" s="98">
        <f t="shared" si="233"/>
        <v>24.047999999999998</v>
      </c>
      <c r="F454" s="22">
        <f>持仓数据!U92</f>
        <v>0.16399999999999998</v>
      </c>
      <c r="G454" s="97">
        <v>372</v>
      </c>
      <c r="H454" s="97">
        <v>372</v>
      </c>
      <c r="I454" s="64">
        <v>0</v>
      </c>
      <c r="J454" s="64">
        <v>0</v>
      </c>
      <c r="K454" s="21">
        <f>IF(持仓数据!U125="",0,持仓数据!U125)</f>
        <v>372</v>
      </c>
      <c r="L454" s="21">
        <f t="shared" si="234"/>
        <v>0</v>
      </c>
      <c r="M454" s="28">
        <f t="shared" si="218"/>
        <v>8945.8559999999998</v>
      </c>
      <c r="N454" s="28">
        <f t="shared" si="219"/>
        <v>0</v>
      </c>
      <c r="O454" s="28">
        <f t="shared" si="220"/>
        <v>0</v>
      </c>
      <c r="P454" s="28">
        <f t="shared" si="221"/>
        <v>0</v>
      </c>
      <c r="Q454" s="28">
        <f t="shared" si="235"/>
        <v>0</v>
      </c>
      <c r="R454" s="28">
        <f t="shared" si="222"/>
        <v>8945.8559999999998</v>
      </c>
      <c r="S454" s="28">
        <f t="shared" si="236"/>
        <v>0</v>
      </c>
      <c r="T454" s="28">
        <f t="shared" si="237"/>
        <v>0</v>
      </c>
      <c r="U454" s="28">
        <f t="shared" si="240"/>
        <v>0</v>
      </c>
      <c r="V454" s="28">
        <f t="shared" si="238"/>
        <v>0</v>
      </c>
      <c r="W454" s="118"/>
      <c r="X454" s="143">
        <f t="shared" si="239"/>
        <v>28.693999999999999</v>
      </c>
      <c r="Y454" s="121">
        <f>交易记录!V25</f>
        <v>0.16399999999999998</v>
      </c>
      <c r="Z454" s="121">
        <f>交易记录!V56</f>
        <v>372</v>
      </c>
      <c r="AA454" s="30">
        <f t="shared" si="223"/>
        <v>0</v>
      </c>
      <c r="AB454" s="124">
        <f>交易记录!V89</f>
        <v>0</v>
      </c>
      <c r="AC454" s="124">
        <f>交易记录!V120</f>
        <v>0</v>
      </c>
      <c r="AD454" s="30">
        <f t="shared" si="212"/>
        <v>0</v>
      </c>
      <c r="AE454" s="121">
        <f>交易记录!V153</f>
        <v>0</v>
      </c>
      <c r="AF454" s="121">
        <f>交易记录!V184</f>
        <v>0</v>
      </c>
      <c r="AG454" s="30">
        <f t="shared" si="213"/>
        <v>0</v>
      </c>
      <c r="AH454" s="124">
        <f>交易记录!V217</f>
        <v>0</v>
      </c>
      <c r="AI454" s="124">
        <f>交易记录!V248</f>
        <v>0</v>
      </c>
      <c r="AJ454" s="30">
        <f t="shared" si="214"/>
        <v>0</v>
      </c>
      <c r="AK454" s="121">
        <f>交易记录!V281</f>
        <v>0</v>
      </c>
      <c r="AL454" s="121">
        <f>交易记录!V312</f>
        <v>0</v>
      </c>
      <c r="AM454" s="30">
        <f t="shared" si="215"/>
        <v>0</v>
      </c>
      <c r="AN454" s="124">
        <f>交易记录!V345</f>
        <v>0</v>
      </c>
      <c r="AO454" s="124">
        <f>交易记录!V376</f>
        <v>0</v>
      </c>
      <c r="AP454" s="30">
        <f t="shared" si="216"/>
        <v>0</v>
      </c>
      <c r="AQ454" s="121">
        <f>交易记录!V409</f>
        <v>0</v>
      </c>
      <c r="AR454" s="121">
        <f>交易记录!V440</f>
        <v>0</v>
      </c>
      <c r="AS454" s="30">
        <f t="shared" si="217"/>
        <v>0</v>
      </c>
      <c r="AT454" s="124">
        <f>交易记录!V473</f>
        <v>0</v>
      </c>
      <c r="AU454" s="124">
        <f>交易记录!V504</f>
        <v>0</v>
      </c>
      <c r="AV454" s="30">
        <f t="shared" si="224"/>
        <v>0</v>
      </c>
      <c r="AW454" s="121">
        <f>交易记录!V537</f>
        <v>0</v>
      </c>
      <c r="AX454" s="121">
        <f>交易记录!V568</f>
        <v>0</v>
      </c>
      <c r="AY454" s="30">
        <f t="shared" si="225"/>
        <v>0</v>
      </c>
      <c r="AZ454" s="124">
        <f>交易记录!V601</f>
        <v>0</v>
      </c>
      <c r="BA454" s="124">
        <f>交易记录!V632</f>
        <v>0</v>
      </c>
      <c r="BB454" s="30">
        <f t="shared" si="226"/>
        <v>0</v>
      </c>
      <c r="BC454" s="121">
        <f>交易记录!V665</f>
        <v>0</v>
      </c>
      <c r="BD454" s="121">
        <f>交易记录!V696</f>
        <v>0</v>
      </c>
      <c r="BE454" s="30">
        <f t="shared" si="227"/>
        <v>0</v>
      </c>
      <c r="BF454" s="124">
        <f>交易记录!V729</f>
        <v>0</v>
      </c>
      <c r="BG454" s="124">
        <f>交易记录!V760</f>
        <v>0</v>
      </c>
      <c r="BH454" s="30">
        <f t="shared" si="228"/>
        <v>0</v>
      </c>
      <c r="BI454" s="121">
        <f>交易记录!V793</f>
        <v>0</v>
      </c>
      <c r="BJ454" s="121">
        <f>交易记录!V824</f>
        <v>0</v>
      </c>
      <c r="BK454" s="30">
        <f t="shared" si="229"/>
        <v>0</v>
      </c>
      <c r="BL454" s="124">
        <f>交易记录!V857</f>
        <v>0</v>
      </c>
      <c r="BM454" s="124">
        <f>交易记录!V888</f>
        <v>0</v>
      </c>
      <c r="BN454" s="30">
        <f t="shared" si="230"/>
        <v>0</v>
      </c>
      <c r="BO454" s="121">
        <f>交易记录!V921</f>
        <v>0</v>
      </c>
      <c r="BP454" s="121">
        <f>交易记录!V952</f>
        <v>0</v>
      </c>
      <c r="BQ454" s="30">
        <f t="shared" si="231"/>
        <v>0</v>
      </c>
    </row>
    <row r="455" spans="1:69" ht="15">
      <c r="A455" s="125">
        <f>'维护-日期'!A$21</f>
        <v>46284</v>
      </c>
      <c r="B455" s="7" t="s">
        <v>27</v>
      </c>
      <c r="C455" s="144">
        <f t="shared" si="232"/>
        <v>22.594000000000001</v>
      </c>
      <c r="D455" s="144">
        <f>ROUND(INDEX(持仓数据!$C$3:$AG$26,MATCH('计算过程-数据汇总'!B455,持仓数据!$B$3:$B$26,0),MATCH('计算过程-数据汇总'!A455,'维护-日期'!$B$2:$AF$2,0)),3)</f>
        <v>22.594000000000001</v>
      </c>
      <c r="E455" s="98">
        <f t="shared" si="233"/>
        <v>22.594000000000001</v>
      </c>
      <c r="F455" s="22">
        <f>持仓数据!U93</f>
        <v>0.15200000000000002</v>
      </c>
      <c r="G455" s="97">
        <v>372</v>
      </c>
      <c r="H455" s="97">
        <v>372</v>
      </c>
      <c r="I455" s="64">
        <v>0</v>
      </c>
      <c r="J455" s="64">
        <v>0</v>
      </c>
      <c r="K455" s="21">
        <f>IF(持仓数据!U126="",0,持仓数据!U126)</f>
        <v>372</v>
      </c>
      <c r="L455" s="21">
        <f t="shared" si="234"/>
        <v>0</v>
      </c>
      <c r="M455" s="28">
        <f t="shared" si="218"/>
        <v>8404.9680000000008</v>
      </c>
      <c r="N455" s="28">
        <f t="shared" si="219"/>
        <v>0</v>
      </c>
      <c r="O455" s="28">
        <f t="shared" si="220"/>
        <v>0</v>
      </c>
      <c r="P455" s="28">
        <f t="shared" si="221"/>
        <v>0</v>
      </c>
      <c r="Q455" s="28">
        <f t="shared" si="235"/>
        <v>0</v>
      </c>
      <c r="R455" s="28">
        <f t="shared" si="222"/>
        <v>8404.9680000000008</v>
      </c>
      <c r="S455" s="28">
        <f t="shared" si="236"/>
        <v>0</v>
      </c>
      <c r="T455" s="28">
        <f t="shared" si="237"/>
        <v>0</v>
      </c>
      <c r="U455" s="28">
        <f t="shared" si="240"/>
        <v>0</v>
      </c>
      <c r="V455" s="28">
        <f t="shared" si="238"/>
        <v>0</v>
      </c>
      <c r="W455" s="118"/>
      <c r="X455" s="143">
        <f t="shared" si="239"/>
        <v>26.960999999999999</v>
      </c>
      <c r="Y455" s="121">
        <f>交易记录!V26</f>
        <v>0.15200000000000002</v>
      </c>
      <c r="Z455" s="121">
        <f>交易记录!V57</f>
        <v>372</v>
      </c>
      <c r="AA455" s="30">
        <f t="shared" si="223"/>
        <v>0</v>
      </c>
      <c r="AB455" s="124">
        <f>交易记录!V90</f>
        <v>0</v>
      </c>
      <c r="AC455" s="124">
        <f>交易记录!V121</f>
        <v>0</v>
      </c>
      <c r="AD455" s="30">
        <f t="shared" si="212"/>
        <v>0</v>
      </c>
      <c r="AE455" s="121">
        <f>交易记录!V154</f>
        <v>0</v>
      </c>
      <c r="AF455" s="121">
        <f>交易记录!V185</f>
        <v>0</v>
      </c>
      <c r="AG455" s="30">
        <f t="shared" si="213"/>
        <v>0</v>
      </c>
      <c r="AH455" s="124">
        <f>交易记录!V218</f>
        <v>0</v>
      </c>
      <c r="AI455" s="124">
        <f>交易记录!V249</f>
        <v>0</v>
      </c>
      <c r="AJ455" s="30">
        <f t="shared" si="214"/>
        <v>0</v>
      </c>
      <c r="AK455" s="121">
        <f>交易记录!V282</f>
        <v>0</v>
      </c>
      <c r="AL455" s="121">
        <f>交易记录!V313</f>
        <v>0</v>
      </c>
      <c r="AM455" s="30">
        <f t="shared" si="215"/>
        <v>0</v>
      </c>
      <c r="AN455" s="124">
        <f>交易记录!V346</f>
        <v>0</v>
      </c>
      <c r="AO455" s="124">
        <f>交易记录!V377</f>
        <v>0</v>
      </c>
      <c r="AP455" s="30">
        <f t="shared" si="216"/>
        <v>0</v>
      </c>
      <c r="AQ455" s="121">
        <f>交易记录!V410</f>
        <v>0</v>
      </c>
      <c r="AR455" s="121">
        <f>交易记录!V441</f>
        <v>0</v>
      </c>
      <c r="AS455" s="30">
        <f t="shared" si="217"/>
        <v>0</v>
      </c>
      <c r="AT455" s="124">
        <f>交易记录!V474</f>
        <v>0</v>
      </c>
      <c r="AU455" s="124">
        <f>交易记录!V505</f>
        <v>0</v>
      </c>
      <c r="AV455" s="30">
        <f t="shared" si="224"/>
        <v>0</v>
      </c>
      <c r="AW455" s="121">
        <f>交易记录!V538</f>
        <v>0</v>
      </c>
      <c r="AX455" s="121">
        <f>交易记录!V569</f>
        <v>0</v>
      </c>
      <c r="AY455" s="30">
        <f t="shared" si="225"/>
        <v>0</v>
      </c>
      <c r="AZ455" s="124">
        <f>交易记录!V602</f>
        <v>0</v>
      </c>
      <c r="BA455" s="124">
        <f>交易记录!V633</f>
        <v>0</v>
      </c>
      <c r="BB455" s="30">
        <f t="shared" si="226"/>
        <v>0</v>
      </c>
      <c r="BC455" s="121">
        <f>交易记录!V666</f>
        <v>0</v>
      </c>
      <c r="BD455" s="121">
        <f>交易记录!V697</f>
        <v>0</v>
      </c>
      <c r="BE455" s="30">
        <f t="shared" si="227"/>
        <v>0</v>
      </c>
      <c r="BF455" s="124">
        <f>交易记录!V730</f>
        <v>0</v>
      </c>
      <c r="BG455" s="124">
        <f>交易记录!V761</f>
        <v>0</v>
      </c>
      <c r="BH455" s="30">
        <f t="shared" si="228"/>
        <v>0</v>
      </c>
      <c r="BI455" s="121">
        <f>交易记录!V794</f>
        <v>0</v>
      </c>
      <c r="BJ455" s="121">
        <f>交易记录!V825</f>
        <v>0</v>
      </c>
      <c r="BK455" s="30">
        <f t="shared" si="229"/>
        <v>0</v>
      </c>
      <c r="BL455" s="124">
        <f>交易记录!V858</f>
        <v>0</v>
      </c>
      <c r="BM455" s="124">
        <f>交易记录!V889</f>
        <v>0</v>
      </c>
      <c r="BN455" s="30">
        <f t="shared" si="230"/>
        <v>0</v>
      </c>
      <c r="BO455" s="121">
        <f>交易记录!V922</f>
        <v>0</v>
      </c>
      <c r="BP455" s="121">
        <f>交易记录!V953</f>
        <v>0</v>
      </c>
      <c r="BQ455" s="30">
        <f t="shared" si="231"/>
        <v>0</v>
      </c>
    </row>
    <row r="456" spans="1:69" ht="15">
      <c r="A456" s="125">
        <f>'维护-日期'!A$21</f>
        <v>46284</v>
      </c>
      <c r="B456" s="7" t="s">
        <v>28</v>
      </c>
      <c r="C456" s="144">
        <f t="shared" si="232"/>
        <v>19.387</v>
      </c>
      <c r="D456" s="144">
        <f>ROUND(INDEX(持仓数据!$C$3:$AG$26,MATCH('计算过程-数据汇总'!B456,持仓数据!$B$3:$B$26,0),MATCH('计算过程-数据汇总'!A456,'维护-日期'!$B$2:$AF$2,0)),3)</f>
        <v>19.387</v>
      </c>
      <c r="E456" s="98">
        <f t="shared" si="233"/>
        <v>19.387</v>
      </c>
      <c r="F456" s="22">
        <f>持仓数据!U94</f>
        <v>0.111</v>
      </c>
      <c r="G456" s="97">
        <v>372</v>
      </c>
      <c r="H456" s="97">
        <v>372</v>
      </c>
      <c r="I456" s="64">
        <v>0</v>
      </c>
      <c r="J456" s="64">
        <v>0</v>
      </c>
      <c r="K456" s="21">
        <f>IF(持仓数据!U127="",0,持仓数据!U127)</f>
        <v>372</v>
      </c>
      <c r="L456" s="21">
        <f t="shared" si="234"/>
        <v>0</v>
      </c>
      <c r="M456" s="28">
        <f t="shared" si="218"/>
        <v>7211.9639999999999</v>
      </c>
      <c r="N456" s="28">
        <f t="shared" si="219"/>
        <v>0</v>
      </c>
      <c r="O456" s="28">
        <f t="shared" si="220"/>
        <v>0</v>
      </c>
      <c r="P456" s="28">
        <f t="shared" si="221"/>
        <v>0</v>
      </c>
      <c r="Q456" s="28">
        <f t="shared" si="235"/>
        <v>0</v>
      </c>
      <c r="R456" s="28">
        <f t="shared" si="222"/>
        <v>7211.9639999999999</v>
      </c>
      <c r="S456" s="28">
        <f t="shared" si="236"/>
        <v>0</v>
      </c>
      <c r="T456" s="28">
        <f t="shared" si="237"/>
        <v>0</v>
      </c>
      <c r="U456" s="28">
        <f t="shared" si="240"/>
        <v>0</v>
      </c>
      <c r="V456" s="28">
        <f t="shared" si="238"/>
        <v>0</v>
      </c>
      <c r="W456" s="118"/>
      <c r="X456" s="143">
        <f t="shared" si="239"/>
        <v>23.152999999999999</v>
      </c>
      <c r="Y456" s="121">
        <f>交易记录!V27</f>
        <v>0.111</v>
      </c>
      <c r="Z456" s="121">
        <f>交易记录!V58</f>
        <v>372</v>
      </c>
      <c r="AA456" s="30">
        <f t="shared" si="223"/>
        <v>0</v>
      </c>
      <c r="AB456" s="124">
        <f>交易记录!V91</f>
        <v>0</v>
      </c>
      <c r="AC456" s="124">
        <f>交易记录!V122</f>
        <v>0</v>
      </c>
      <c r="AD456" s="30">
        <f t="shared" si="212"/>
        <v>0</v>
      </c>
      <c r="AE456" s="121">
        <f>交易记录!V155</f>
        <v>0</v>
      </c>
      <c r="AF456" s="121">
        <f>交易记录!V186</f>
        <v>0</v>
      </c>
      <c r="AG456" s="30">
        <f t="shared" si="213"/>
        <v>0</v>
      </c>
      <c r="AH456" s="124">
        <f>交易记录!V219</f>
        <v>0</v>
      </c>
      <c r="AI456" s="124">
        <f>交易记录!V250</f>
        <v>0</v>
      </c>
      <c r="AJ456" s="30">
        <f t="shared" si="214"/>
        <v>0</v>
      </c>
      <c r="AK456" s="121">
        <f>交易记录!V283</f>
        <v>0</v>
      </c>
      <c r="AL456" s="121">
        <f>交易记录!V314</f>
        <v>0</v>
      </c>
      <c r="AM456" s="30">
        <f t="shared" si="215"/>
        <v>0</v>
      </c>
      <c r="AN456" s="124">
        <f>交易记录!V347</f>
        <v>0</v>
      </c>
      <c r="AO456" s="124">
        <f>交易记录!V378</f>
        <v>0</v>
      </c>
      <c r="AP456" s="30">
        <f t="shared" si="216"/>
        <v>0</v>
      </c>
      <c r="AQ456" s="121">
        <f>交易记录!V411</f>
        <v>0</v>
      </c>
      <c r="AR456" s="121">
        <f>交易记录!V442</f>
        <v>0</v>
      </c>
      <c r="AS456" s="30">
        <f t="shared" si="217"/>
        <v>0</v>
      </c>
      <c r="AT456" s="124">
        <f>交易记录!V475</f>
        <v>0</v>
      </c>
      <c r="AU456" s="124">
        <f>交易记录!V506</f>
        <v>0</v>
      </c>
      <c r="AV456" s="30">
        <f t="shared" si="224"/>
        <v>0</v>
      </c>
      <c r="AW456" s="121">
        <f>交易记录!V539</f>
        <v>0</v>
      </c>
      <c r="AX456" s="121">
        <f>交易记录!V570</f>
        <v>0</v>
      </c>
      <c r="AY456" s="30">
        <f t="shared" si="225"/>
        <v>0</v>
      </c>
      <c r="AZ456" s="124">
        <f>交易记录!V603</f>
        <v>0</v>
      </c>
      <c r="BA456" s="124">
        <f>交易记录!V634</f>
        <v>0</v>
      </c>
      <c r="BB456" s="30">
        <f t="shared" si="226"/>
        <v>0</v>
      </c>
      <c r="BC456" s="121">
        <f>交易记录!V667</f>
        <v>0</v>
      </c>
      <c r="BD456" s="121">
        <f>交易记录!V698</f>
        <v>0</v>
      </c>
      <c r="BE456" s="30">
        <f t="shared" si="227"/>
        <v>0</v>
      </c>
      <c r="BF456" s="124">
        <f>交易记录!V731</f>
        <v>0</v>
      </c>
      <c r="BG456" s="124">
        <f>交易记录!V762</f>
        <v>0</v>
      </c>
      <c r="BH456" s="30">
        <f t="shared" si="228"/>
        <v>0</v>
      </c>
      <c r="BI456" s="121">
        <f>交易记录!V795</f>
        <v>0</v>
      </c>
      <c r="BJ456" s="121">
        <f>交易记录!V826</f>
        <v>0</v>
      </c>
      <c r="BK456" s="30">
        <f t="shared" si="229"/>
        <v>0</v>
      </c>
      <c r="BL456" s="124">
        <f>交易记录!V859</f>
        <v>0</v>
      </c>
      <c r="BM456" s="124">
        <f>交易记录!V890</f>
        <v>0</v>
      </c>
      <c r="BN456" s="30">
        <f t="shared" si="230"/>
        <v>0</v>
      </c>
      <c r="BO456" s="121">
        <f>交易记录!V923</f>
        <v>0</v>
      </c>
      <c r="BP456" s="121">
        <f>交易记录!V954</f>
        <v>0</v>
      </c>
      <c r="BQ456" s="30">
        <f t="shared" si="231"/>
        <v>0</v>
      </c>
    </row>
    <row r="457" spans="1:69" ht="15">
      <c r="A457" s="125">
        <f>'维护-日期'!A$21</f>
        <v>46284</v>
      </c>
      <c r="B457" s="7" t="s">
        <v>29</v>
      </c>
      <c r="C457" s="144">
        <f t="shared" si="232"/>
        <v>16.963000000000001</v>
      </c>
      <c r="D457" s="144">
        <f>ROUND(INDEX(持仓数据!$C$3:$AG$26,MATCH('计算过程-数据汇总'!B457,持仓数据!$B$3:$B$26,0),MATCH('计算过程-数据汇总'!A457,'维护-日期'!$B$2:$AF$2,0)),3)</f>
        <v>16.963000000000001</v>
      </c>
      <c r="E457" s="98">
        <f t="shared" si="233"/>
        <v>16.963000000000001</v>
      </c>
      <c r="F457" s="22">
        <f>持仓数据!U95</f>
        <v>9.2999999999999999E-2</v>
      </c>
      <c r="G457" s="97">
        <v>372</v>
      </c>
      <c r="H457" s="97">
        <v>372</v>
      </c>
      <c r="I457" s="64">
        <v>0</v>
      </c>
      <c r="J457" s="64">
        <v>0</v>
      </c>
      <c r="K457" s="21">
        <f>IF(持仓数据!U128="",0,持仓数据!U128)</f>
        <v>371.99999999999994</v>
      </c>
      <c r="L457" s="21">
        <f t="shared" si="234"/>
        <v>0</v>
      </c>
      <c r="M457" s="28">
        <f t="shared" si="218"/>
        <v>6310.2360000000008</v>
      </c>
      <c r="N457" s="28">
        <f t="shared" si="219"/>
        <v>0</v>
      </c>
      <c r="O457" s="28">
        <f t="shared" si="220"/>
        <v>0</v>
      </c>
      <c r="P457" s="28">
        <f t="shared" si="221"/>
        <v>-5.2864379540551453E-15</v>
      </c>
      <c r="Q457" s="28">
        <f t="shared" si="235"/>
        <v>0</v>
      </c>
      <c r="R457" s="28">
        <f t="shared" si="222"/>
        <v>6310.235999999999</v>
      </c>
      <c r="S457" s="28">
        <f t="shared" si="236"/>
        <v>0</v>
      </c>
      <c r="T457" s="28">
        <f t="shared" si="237"/>
        <v>9.5894847618183127E-13</v>
      </c>
      <c r="U457" s="28">
        <f t="shared" si="240"/>
        <v>0</v>
      </c>
      <c r="V457" s="28">
        <f t="shared" si="238"/>
        <v>0</v>
      </c>
      <c r="W457" s="118"/>
      <c r="X457" s="143">
        <f t="shared" si="239"/>
        <v>20.263000000000002</v>
      </c>
      <c r="Y457" s="121">
        <f>交易记录!V28</f>
        <v>9.2999999999999999E-2</v>
      </c>
      <c r="Z457" s="121">
        <f>交易记录!V59</f>
        <v>372</v>
      </c>
      <c r="AA457" s="30">
        <f t="shared" si="223"/>
        <v>0</v>
      </c>
      <c r="AB457" s="124">
        <f>交易记录!V92</f>
        <v>0</v>
      </c>
      <c r="AC457" s="124">
        <f>交易记录!V123</f>
        <v>0</v>
      </c>
      <c r="AD457" s="30">
        <f t="shared" si="212"/>
        <v>0</v>
      </c>
      <c r="AE457" s="121">
        <f>交易记录!V156</f>
        <v>0</v>
      </c>
      <c r="AF457" s="121">
        <f>交易记录!V187</f>
        <v>0</v>
      </c>
      <c r="AG457" s="30">
        <f t="shared" si="213"/>
        <v>0</v>
      </c>
      <c r="AH457" s="124">
        <f>交易记录!V220</f>
        <v>0</v>
      </c>
      <c r="AI457" s="124">
        <f>交易记录!V251</f>
        <v>0</v>
      </c>
      <c r="AJ457" s="30">
        <f t="shared" si="214"/>
        <v>0</v>
      </c>
      <c r="AK457" s="121">
        <f>交易记录!V284</f>
        <v>0</v>
      </c>
      <c r="AL457" s="121">
        <f>交易记录!V315</f>
        <v>0</v>
      </c>
      <c r="AM457" s="30">
        <f t="shared" si="215"/>
        <v>0</v>
      </c>
      <c r="AN457" s="124">
        <f>交易记录!V348</f>
        <v>0</v>
      </c>
      <c r="AO457" s="124">
        <f>交易记录!V379</f>
        <v>0</v>
      </c>
      <c r="AP457" s="30">
        <f t="shared" si="216"/>
        <v>0</v>
      </c>
      <c r="AQ457" s="121">
        <f>交易记录!V412</f>
        <v>0</v>
      </c>
      <c r="AR457" s="121">
        <f>交易记录!V443</f>
        <v>0</v>
      </c>
      <c r="AS457" s="30">
        <f t="shared" si="217"/>
        <v>0</v>
      </c>
      <c r="AT457" s="124">
        <f>交易记录!V476</f>
        <v>0</v>
      </c>
      <c r="AU457" s="124">
        <f>交易记录!V507</f>
        <v>0</v>
      </c>
      <c r="AV457" s="30">
        <f t="shared" si="224"/>
        <v>0</v>
      </c>
      <c r="AW457" s="121">
        <f>交易记录!V540</f>
        <v>0</v>
      </c>
      <c r="AX457" s="121">
        <f>交易记录!V571</f>
        <v>0</v>
      </c>
      <c r="AY457" s="30">
        <f t="shared" si="225"/>
        <v>0</v>
      </c>
      <c r="AZ457" s="124">
        <f>交易记录!V604</f>
        <v>0</v>
      </c>
      <c r="BA457" s="124">
        <f>交易记录!V635</f>
        <v>0</v>
      </c>
      <c r="BB457" s="30">
        <f t="shared" si="226"/>
        <v>0</v>
      </c>
      <c r="BC457" s="121">
        <f>交易记录!V668</f>
        <v>0</v>
      </c>
      <c r="BD457" s="121">
        <f>交易记录!V699</f>
        <v>0</v>
      </c>
      <c r="BE457" s="30">
        <f t="shared" si="227"/>
        <v>0</v>
      </c>
      <c r="BF457" s="124">
        <f>交易记录!V732</f>
        <v>0</v>
      </c>
      <c r="BG457" s="124">
        <f>交易记录!V763</f>
        <v>0</v>
      </c>
      <c r="BH457" s="30">
        <f t="shared" si="228"/>
        <v>0</v>
      </c>
      <c r="BI457" s="121">
        <f>交易记录!V796</f>
        <v>0</v>
      </c>
      <c r="BJ457" s="121">
        <f>交易记录!V827</f>
        <v>0</v>
      </c>
      <c r="BK457" s="30">
        <f t="shared" si="229"/>
        <v>0</v>
      </c>
      <c r="BL457" s="124">
        <f>交易记录!V860</f>
        <v>0</v>
      </c>
      <c r="BM457" s="124">
        <f>交易记录!V891</f>
        <v>0</v>
      </c>
      <c r="BN457" s="30">
        <f t="shared" si="230"/>
        <v>0</v>
      </c>
      <c r="BO457" s="121">
        <f>交易记录!V924</f>
        <v>0</v>
      </c>
      <c r="BP457" s="121">
        <f>交易记录!V955</f>
        <v>0</v>
      </c>
      <c r="BQ457" s="30">
        <f t="shared" si="231"/>
        <v>0</v>
      </c>
    </row>
    <row r="458" spans="1:69" ht="15">
      <c r="A458" s="125">
        <f>'维护-日期'!A$22</f>
        <v>46285</v>
      </c>
      <c r="B458" s="7" t="s">
        <v>6</v>
      </c>
      <c r="C458" s="144">
        <f t="shared" si="232"/>
        <v>16.931000000000001</v>
      </c>
      <c r="D458" s="144">
        <f>ROUND(INDEX(持仓数据!$C$3:$AG$26,MATCH('计算过程-数据汇总'!B458,持仓数据!$B$3:$B$26,0),MATCH('计算过程-数据汇总'!A458,'维护-日期'!$B$2:$AF$2,0)),3)</f>
        <v>16.931000000000001</v>
      </c>
      <c r="E458" s="98">
        <f t="shared" si="233"/>
        <v>16.931000000000001</v>
      </c>
      <c r="F458" s="22">
        <f>持仓数据!V72</f>
        <v>0.1</v>
      </c>
      <c r="G458" s="97">
        <v>372</v>
      </c>
      <c r="H458" s="97">
        <v>372</v>
      </c>
      <c r="I458" s="64">
        <v>0</v>
      </c>
      <c r="J458" s="64">
        <v>0</v>
      </c>
      <c r="K458" s="21">
        <f>IF(持仓数据!V105="",0,持仓数据!V105)</f>
        <v>372</v>
      </c>
      <c r="L458" s="21">
        <f t="shared" si="234"/>
        <v>0</v>
      </c>
      <c r="M458" s="28">
        <f t="shared" si="218"/>
        <v>6298.3320000000003</v>
      </c>
      <c r="N458" s="28">
        <f t="shared" si="219"/>
        <v>0</v>
      </c>
      <c r="O458" s="28">
        <f t="shared" si="220"/>
        <v>0</v>
      </c>
      <c r="P458" s="28">
        <f t="shared" si="221"/>
        <v>0</v>
      </c>
      <c r="Q458" s="28">
        <f t="shared" si="235"/>
        <v>0</v>
      </c>
      <c r="R458" s="28">
        <f t="shared" si="222"/>
        <v>6298.3320000000003</v>
      </c>
      <c r="S458" s="28">
        <f t="shared" si="236"/>
        <v>0</v>
      </c>
      <c r="T458" s="28">
        <f t="shared" si="237"/>
        <v>0</v>
      </c>
      <c r="U458" s="28">
        <f t="shared" si="240"/>
        <v>0</v>
      </c>
      <c r="V458" s="28">
        <f t="shared" si="238"/>
        <v>0</v>
      </c>
      <c r="W458" s="118"/>
      <c r="X458" s="143">
        <f t="shared" si="239"/>
        <v>20.216999999999999</v>
      </c>
      <c r="Y458" s="121">
        <f>交易记录!W5</f>
        <v>0.1</v>
      </c>
      <c r="Z458" s="121">
        <f>交易记录!W36</f>
        <v>372</v>
      </c>
      <c r="AA458" s="30">
        <f t="shared" si="223"/>
        <v>0</v>
      </c>
      <c r="AB458" s="124">
        <f>交易记录!W69</f>
        <v>0</v>
      </c>
      <c r="AC458" s="124">
        <f>交易记录!W100</f>
        <v>0</v>
      </c>
      <c r="AD458" s="30">
        <f t="shared" si="212"/>
        <v>0</v>
      </c>
      <c r="AE458" s="121">
        <f>交易记录!W133</f>
        <v>0</v>
      </c>
      <c r="AF458" s="121">
        <f>交易记录!W164</f>
        <v>0</v>
      </c>
      <c r="AG458" s="30">
        <f t="shared" si="213"/>
        <v>0</v>
      </c>
      <c r="AH458" s="124">
        <f>交易记录!W197</f>
        <v>0</v>
      </c>
      <c r="AI458" s="124">
        <f>交易记录!W228</f>
        <v>0</v>
      </c>
      <c r="AJ458" s="30">
        <f t="shared" si="214"/>
        <v>0</v>
      </c>
      <c r="AK458" s="121">
        <f>交易记录!W261</f>
        <v>0</v>
      </c>
      <c r="AL458" s="121">
        <f>交易记录!W292</f>
        <v>0</v>
      </c>
      <c r="AM458" s="30">
        <f t="shared" si="215"/>
        <v>0</v>
      </c>
      <c r="AN458" s="124">
        <f>交易记录!W325</f>
        <v>0</v>
      </c>
      <c r="AO458" s="124">
        <f>交易记录!W356</f>
        <v>0</v>
      </c>
      <c r="AP458" s="30">
        <f t="shared" si="216"/>
        <v>0</v>
      </c>
      <c r="AQ458" s="121">
        <f>交易记录!W389</f>
        <v>0</v>
      </c>
      <c r="AR458" s="121">
        <f>交易记录!W420</f>
        <v>0</v>
      </c>
      <c r="AS458" s="30">
        <f t="shared" si="217"/>
        <v>0</v>
      </c>
      <c r="AT458" s="124">
        <f>交易记录!W453</f>
        <v>0</v>
      </c>
      <c r="AU458" s="124">
        <f>交易记录!W484</f>
        <v>0</v>
      </c>
      <c r="AV458" s="30">
        <f t="shared" si="224"/>
        <v>0</v>
      </c>
      <c r="AW458" s="121">
        <f>交易记录!W517</f>
        <v>0</v>
      </c>
      <c r="AX458" s="121">
        <f>交易记录!W548</f>
        <v>0</v>
      </c>
      <c r="AY458" s="30">
        <f t="shared" si="225"/>
        <v>0</v>
      </c>
      <c r="AZ458" s="124">
        <f>交易记录!W581</f>
        <v>0</v>
      </c>
      <c r="BA458" s="124">
        <f>交易记录!W612</f>
        <v>0</v>
      </c>
      <c r="BB458" s="30">
        <f t="shared" si="226"/>
        <v>0</v>
      </c>
      <c r="BC458" s="121">
        <f>交易记录!W645</f>
        <v>0</v>
      </c>
      <c r="BD458" s="121">
        <f>交易记录!W676</f>
        <v>0</v>
      </c>
      <c r="BE458" s="30">
        <f t="shared" si="227"/>
        <v>0</v>
      </c>
      <c r="BF458" s="124">
        <f>交易记录!W709</f>
        <v>0</v>
      </c>
      <c r="BG458" s="124">
        <f>交易记录!W740</f>
        <v>0</v>
      </c>
      <c r="BH458" s="30">
        <f t="shared" si="228"/>
        <v>0</v>
      </c>
      <c r="BI458" s="121">
        <f>交易记录!W773</f>
        <v>0</v>
      </c>
      <c r="BJ458" s="121">
        <f>交易记录!W804</f>
        <v>0</v>
      </c>
      <c r="BK458" s="30">
        <f t="shared" si="229"/>
        <v>0</v>
      </c>
      <c r="BL458" s="124">
        <f>交易记录!W837</f>
        <v>0</v>
      </c>
      <c r="BM458" s="124">
        <f>交易记录!W868</f>
        <v>0</v>
      </c>
      <c r="BN458" s="30">
        <f t="shared" si="230"/>
        <v>0</v>
      </c>
      <c r="BO458" s="121">
        <f>交易记录!W901</f>
        <v>0</v>
      </c>
      <c r="BP458" s="121">
        <f>交易记录!W932</f>
        <v>0</v>
      </c>
      <c r="BQ458" s="30">
        <f t="shared" si="231"/>
        <v>0</v>
      </c>
    </row>
    <row r="459" spans="1:69" ht="15">
      <c r="A459" s="125">
        <f>'维护-日期'!A$22</f>
        <v>46285</v>
      </c>
      <c r="B459" s="7" t="s">
        <v>7</v>
      </c>
      <c r="C459" s="144">
        <f t="shared" si="232"/>
        <v>15.778</v>
      </c>
      <c r="D459" s="144">
        <f>ROUND(INDEX(持仓数据!$C$3:$AG$26,MATCH('计算过程-数据汇总'!B459,持仓数据!$B$3:$B$26,0),MATCH('计算过程-数据汇总'!A459,'维护-日期'!$B$2:$AF$2,0)),3)</f>
        <v>15.778</v>
      </c>
      <c r="E459" s="98">
        <f t="shared" si="233"/>
        <v>15.778</v>
      </c>
      <c r="F459" s="22">
        <f>持仓数据!V73</f>
        <v>9.5000000000000001E-2</v>
      </c>
      <c r="G459" s="97">
        <v>372</v>
      </c>
      <c r="H459" s="97">
        <v>372</v>
      </c>
      <c r="I459" s="64">
        <v>0</v>
      </c>
      <c r="J459" s="64">
        <v>0</v>
      </c>
      <c r="K459" s="21">
        <f>IF(持仓数据!V106="",0,持仓数据!V106)</f>
        <v>372.00000000000006</v>
      </c>
      <c r="L459" s="21">
        <f t="shared" si="234"/>
        <v>0</v>
      </c>
      <c r="M459" s="28">
        <f t="shared" si="218"/>
        <v>5869.4160000000002</v>
      </c>
      <c r="N459" s="28">
        <f t="shared" si="219"/>
        <v>0</v>
      </c>
      <c r="O459" s="28">
        <f t="shared" si="220"/>
        <v>0</v>
      </c>
      <c r="P459" s="28">
        <f t="shared" si="221"/>
        <v>5.4001247917767615E-15</v>
      </c>
      <c r="Q459" s="28">
        <f t="shared" si="235"/>
        <v>0</v>
      </c>
      <c r="R459" s="28">
        <f t="shared" si="222"/>
        <v>5869.4160000000011</v>
      </c>
      <c r="S459" s="28">
        <f t="shared" si="236"/>
        <v>0</v>
      </c>
      <c r="T459" s="28">
        <f t="shared" si="237"/>
        <v>-8.9147533799405209E-13</v>
      </c>
      <c r="U459" s="28">
        <f t="shared" si="240"/>
        <v>0</v>
      </c>
      <c r="V459" s="28">
        <f t="shared" si="238"/>
        <v>0</v>
      </c>
      <c r="W459" s="118"/>
      <c r="X459" s="143">
        <f t="shared" si="239"/>
        <v>18.838999999999999</v>
      </c>
      <c r="Y459" s="121">
        <f>交易记录!W6</f>
        <v>9.5000000000000001E-2</v>
      </c>
      <c r="Z459" s="121">
        <f>交易记录!W37</f>
        <v>372</v>
      </c>
      <c r="AA459" s="30">
        <f t="shared" si="223"/>
        <v>0</v>
      </c>
      <c r="AB459" s="124">
        <f>交易记录!W70</f>
        <v>0</v>
      </c>
      <c r="AC459" s="124">
        <f>交易记录!W101</f>
        <v>0</v>
      </c>
      <c r="AD459" s="30">
        <f t="shared" si="212"/>
        <v>0</v>
      </c>
      <c r="AE459" s="121">
        <f>交易记录!W134</f>
        <v>0</v>
      </c>
      <c r="AF459" s="121">
        <f>交易记录!W165</f>
        <v>0</v>
      </c>
      <c r="AG459" s="30">
        <f t="shared" si="213"/>
        <v>0</v>
      </c>
      <c r="AH459" s="124">
        <f>交易记录!W198</f>
        <v>0</v>
      </c>
      <c r="AI459" s="124">
        <f>交易记录!W229</f>
        <v>0</v>
      </c>
      <c r="AJ459" s="30">
        <f t="shared" si="214"/>
        <v>0</v>
      </c>
      <c r="AK459" s="121">
        <f>交易记录!W262</f>
        <v>0</v>
      </c>
      <c r="AL459" s="121">
        <f>交易记录!W293</f>
        <v>0</v>
      </c>
      <c r="AM459" s="30">
        <f t="shared" si="215"/>
        <v>0</v>
      </c>
      <c r="AN459" s="124">
        <f>交易记录!W326</f>
        <v>0</v>
      </c>
      <c r="AO459" s="124">
        <f>交易记录!W357</f>
        <v>0</v>
      </c>
      <c r="AP459" s="30">
        <f t="shared" si="216"/>
        <v>0</v>
      </c>
      <c r="AQ459" s="121">
        <f>交易记录!W390</f>
        <v>0</v>
      </c>
      <c r="AR459" s="121">
        <f>交易记录!W421</f>
        <v>0</v>
      </c>
      <c r="AS459" s="30">
        <f t="shared" si="217"/>
        <v>0</v>
      </c>
      <c r="AT459" s="124">
        <f>交易记录!W454</f>
        <v>0</v>
      </c>
      <c r="AU459" s="124">
        <f>交易记录!W485</f>
        <v>0</v>
      </c>
      <c r="AV459" s="30">
        <f t="shared" si="224"/>
        <v>0</v>
      </c>
      <c r="AW459" s="121">
        <f>交易记录!W518</f>
        <v>0</v>
      </c>
      <c r="AX459" s="121">
        <f>交易记录!W549</f>
        <v>0</v>
      </c>
      <c r="AY459" s="30">
        <f t="shared" si="225"/>
        <v>0</v>
      </c>
      <c r="AZ459" s="124">
        <f>交易记录!W582</f>
        <v>0</v>
      </c>
      <c r="BA459" s="124">
        <f>交易记录!W613</f>
        <v>0</v>
      </c>
      <c r="BB459" s="30">
        <f t="shared" si="226"/>
        <v>0</v>
      </c>
      <c r="BC459" s="121">
        <f>交易记录!W646</f>
        <v>0</v>
      </c>
      <c r="BD459" s="121">
        <f>交易记录!W677</f>
        <v>0</v>
      </c>
      <c r="BE459" s="30">
        <f t="shared" si="227"/>
        <v>0</v>
      </c>
      <c r="BF459" s="124">
        <f>交易记录!W710</f>
        <v>0</v>
      </c>
      <c r="BG459" s="124">
        <f>交易记录!W741</f>
        <v>0</v>
      </c>
      <c r="BH459" s="30">
        <f t="shared" si="228"/>
        <v>0</v>
      </c>
      <c r="BI459" s="121">
        <f>交易记录!W774</f>
        <v>0</v>
      </c>
      <c r="BJ459" s="121">
        <f>交易记录!W805</f>
        <v>0</v>
      </c>
      <c r="BK459" s="30">
        <f t="shared" si="229"/>
        <v>0</v>
      </c>
      <c r="BL459" s="124">
        <f>交易记录!W838</f>
        <v>0</v>
      </c>
      <c r="BM459" s="124">
        <f>交易记录!W869</f>
        <v>0</v>
      </c>
      <c r="BN459" s="30">
        <f t="shared" si="230"/>
        <v>0</v>
      </c>
      <c r="BO459" s="121">
        <f>交易记录!W902</f>
        <v>0</v>
      </c>
      <c r="BP459" s="121">
        <f>交易记录!W933</f>
        <v>0</v>
      </c>
      <c r="BQ459" s="30">
        <f t="shared" si="231"/>
        <v>0</v>
      </c>
    </row>
    <row r="460" spans="1:69" ht="15">
      <c r="A460" s="125">
        <f>'维护-日期'!A$22</f>
        <v>46285</v>
      </c>
      <c r="B460" s="7" t="s">
        <v>8</v>
      </c>
      <c r="C460" s="144">
        <f t="shared" si="232"/>
        <v>14.811999999999999</v>
      </c>
      <c r="D460" s="144">
        <f>ROUND(INDEX(持仓数据!$C$3:$AG$26,MATCH('计算过程-数据汇总'!B460,持仓数据!$B$3:$B$26,0),MATCH('计算过程-数据汇总'!A460,'维护-日期'!$B$2:$AF$2,0)),3)</f>
        <v>14.811999999999999</v>
      </c>
      <c r="E460" s="98">
        <f t="shared" si="233"/>
        <v>14.811999999999999</v>
      </c>
      <c r="F460" s="22">
        <f>持仓数据!V74</f>
        <v>8.5999999999999993E-2</v>
      </c>
      <c r="G460" s="97">
        <v>372</v>
      </c>
      <c r="H460" s="97">
        <v>372</v>
      </c>
      <c r="I460" s="64">
        <v>0</v>
      </c>
      <c r="J460" s="64">
        <v>0</v>
      </c>
      <c r="K460" s="21">
        <f>IF(持仓数据!V107="",0,持仓数据!V107)</f>
        <v>372</v>
      </c>
      <c r="L460" s="21">
        <f t="shared" si="234"/>
        <v>0</v>
      </c>
      <c r="M460" s="28">
        <f t="shared" si="218"/>
        <v>5510.0639999999994</v>
      </c>
      <c r="N460" s="28">
        <f t="shared" si="219"/>
        <v>0</v>
      </c>
      <c r="O460" s="28">
        <f t="shared" si="220"/>
        <v>0</v>
      </c>
      <c r="P460" s="28">
        <f t="shared" si="221"/>
        <v>0</v>
      </c>
      <c r="Q460" s="28">
        <f t="shared" si="235"/>
        <v>0</v>
      </c>
      <c r="R460" s="28">
        <f t="shared" si="222"/>
        <v>5510.0639999999994</v>
      </c>
      <c r="S460" s="28">
        <f t="shared" si="236"/>
        <v>0</v>
      </c>
      <c r="T460" s="28">
        <f t="shared" si="237"/>
        <v>0</v>
      </c>
      <c r="U460" s="28">
        <f t="shared" si="240"/>
        <v>0</v>
      </c>
      <c r="V460" s="28">
        <f t="shared" si="238"/>
        <v>0</v>
      </c>
      <c r="W460" s="118"/>
      <c r="X460" s="143">
        <f t="shared" si="239"/>
        <v>17.687999999999999</v>
      </c>
      <c r="Y460" s="121">
        <f>交易记录!W7</f>
        <v>8.5999999999999993E-2</v>
      </c>
      <c r="Z460" s="121">
        <f>交易记录!W38</f>
        <v>372</v>
      </c>
      <c r="AA460" s="30">
        <f t="shared" si="223"/>
        <v>0</v>
      </c>
      <c r="AB460" s="124">
        <f>交易记录!W71</f>
        <v>0</v>
      </c>
      <c r="AC460" s="124">
        <f>交易记录!W102</f>
        <v>0</v>
      </c>
      <c r="AD460" s="30">
        <f t="shared" si="212"/>
        <v>0</v>
      </c>
      <c r="AE460" s="121">
        <f>交易记录!W135</f>
        <v>0</v>
      </c>
      <c r="AF460" s="121">
        <f>交易记录!W166</f>
        <v>0</v>
      </c>
      <c r="AG460" s="30">
        <f t="shared" si="213"/>
        <v>0</v>
      </c>
      <c r="AH460" s="124">
        <f>交易记录!W199</f>
        <v>0</v>
      </c>
      <c r="AI460" s="124">
        <f>交易记录!W230</f>
        <v>0</v>
      </c>
      <c r="AJ460" s="30">
        <f t="shared" si="214"/>
        <v>0</v>
      </c>
      <c r="AK460" s="121">
        <f>交易记录!W263</f>
        <v>0</v>
      </c>
      <c r="AL460" s="121">
        <f>交易记录!W294</f>
        <v>0</v>
      </c>
      <c r="AM460" s="30">
        <f t="shared" si="215"/>
        <v>0</v>
      </c>
      <c r="AN460" s="124">
        <f>交易记录!W327</f>
        <v>0</v>
      </c>
      <c r="AO460" s="124">
        <f>交易记录!W358</f>
        <v>0</v>
      </c>
      <c r="AP460" s="30">
        <f t="shared" si="216"/>
        <v>0</v>
      </c>
      <c r="AQ460" s="121">
        <f>交易记录!W391</f>
        <v>0</v>
      </c>
      <c r="AR460" s="121">
        <f>交易记录!W422</f>
        <v>0</v>
      </c>
      <c r="AS460" s="30">
        <f t="shared" si="217"/>
        <v>0</v>
      </c>
      <c r="AT460" s="124">
        <f>交易记录!W455</f>
        <v>0</v>
      </c>
      <c r="AU460" s="124">
        <f>交易记录!W486</f>
        <v>0</v>
      </c>
      <c r="AV460" s="30">
        <f t="shared" si="224"/>
        <v>0</v>
      </c>
      <c r="AW460" s="121">
        <f>交易记录!W519</f>
        <v>0</v>
      </c>
      <c r="AX460" s="121">
        <f>交易记录!W550</f>
        <v>0</v>
      </c>
      <c r="AY460" s="30">
        <f t="shared" si="225"/>
        <v>0</v>
      </c>
      <c r="AZ460" s="124">
        <f>交易记录!W583</f>
        <v>0</v>
      </c>
      <c r="BA460" s="124">
        <f>交易记录!W614</f>
        <v>0</v>
      </c>
      <c r="BB460" s="30">
        <f t="shared" si="226"/>
        <v>0</v>
      </c>
      <c r="BC460" s="121">
        <f>交易记录!W647</f>
        <v>0</v>
      </c>
      <c r="BD460" s="121">
        <f>交易记录!W678</f>
        <v>0</v>
      </c>
      <c r="BE460" s="30">
        <f t="shared" si="227"/>
        <v>0</v>
      </c>
      <c r="BF460" s="124">
        <f>交易记录!W711</f>
        <v>0</v>
      </c>
      <c r="BG460" s="124">
        <f>交易记录!W742</f>
        <v>0</v>
      </c>
      <c r="BH460" s="30">
        <f t="shared" si="228"/>
        <v>0</v>
      </c>
      <c r="BI460" s="121">
        <f>交易记录!W775</f>
        <v>0</v>
      </c>
      <c r="BJ460" s="121">
        <f>交易记录!W806</f>
        <v>0</v>
      </c>
      <c r="BK460" s="30">
        <f t="shared" si="229"/>
        <v>0</v>
      </c>
      <c r="BL460" s="124">
        <f>交易记录!W839</f>
        <v>0</v>
      </c>
      <c r="BM460" s="124">
        <f>交易记录!W870</f>
        <v>0</v>
      </c>
      <c r="BN460" s="30">
        <f t="shared" si="230"/>
        <v>0</v>
      </c>
      <c r="BO460" s="121">
        <f>交易记录!W903</f>
        <v>0</v>
      </c>
      <c r="BP460" s="121">
        <f>交易记录!W934</f>
        <v>0</v>
      </c>
      <c r="BQ460" s="30">
        <f t="shared" si="231"/>
        <v>0</v>
      </c>
    </row>
    <row r="461" spans="1:69" ht="15">
      <c r="A461" s="125">
        <f>'维护-日期'!A$22</f>
        <v>46285</v>
      </c>
      <c r="B461" s="7" t="s">
        <v>9</v>
      </c>
      <c r="C461" s="144">
        <f t="shared" si="232"/>
        <v>13.836</v>
      </c>
      <c r="D461" s="144">
        <f>ROUND(INDEX(持仓数据!$C$3:$AG$26,MATCH('计算过程-数据汇总'!B461,持仓数据!$B$3:$B$26,0),MATCH('计算过程-数据汇总'!A461,'维护-日期'!$B$2:$AF$2,0)),3)</f>
        <v>13.836</v>
      </c>
      <c r="E461" s="98">
        <f t="shared" si="233"/>
        <v>13.836</v>
      </c>
      <c r="F461" s="22">
        <f>持仓数据!V75</f>
        <v>7.7000000000000013E-2</v>
      </c>
      <c r="G461" s="97">
        <v>372</v>
      </c>
      <c r="H461" s="97">
        <v>372</v>
      </c>
      <c r="I461" s="64">
        <v>0</v>
      </c>
      <c r="J461" s="64">
        <v>0</v>
      </c>
      <c r="K461" s="21">
        <f>IF(持仓数据!V108="",0,持仓数据!V108)</f>
        <v>372</v>
      </c>
      <c r="L461" s="21">
        <f t="shared" si="234"/>
        <v>0</v>
      </c>
      <c r="M461" s="28">
        <f t="shared" si="218"/>
        <v>5146.9920000000002</v>
      </c>
      <c r="N461" s="28">
        <f t="shared" si="219"/>
        <v>0</v>
      </c>
      <c r="O461" s="28">
        <f t="shared" si="220"/>
        <v>0</v>
      </c>
      <c r="P461" s="28">
        <f t="shared" si="221"/>
        <v>0</v>
      </c>
      <c r="Q461" s="28">
        <f t="shared" si="235"/>
        <v>0</v>
      </c>
      <c r="R461" s="28">
        <f t="shared" si="222"/>
        <v>5146.9920000000002</v>
      </c>
      <c r="S461" s="28">
        <f t="shared" si="236"/>
        <v>0</v>
      </c>
      <c r="T461" s="28">
        <f t="shared" si="237"/>
        <v>0</v>
      </c>
      <c r="U461" s="28">
        <f t="shared" si="240"/>
        <v>0</v>
      </c>
      <c r="V461" s="28">
        <f t="shared" si="238"/>
        <v>0</v>
      </c>
      <c r="W461" s="118"/>
      <c r="X461" s="143">
        <f t="shared" si="239"/>
        <v>16.526</v>
      </c>
      <c r="Y461" s="121">
        <f>交易记录!W8</f>
        <v>7.7000000000000013E-2</v>
      </c>
      <c r="Z461" s="121">
        <f>交易记录!W39</f>
        <v>372</v>
      </c>
      <c r="AA461" s="30">
        <f t="shared" si="223"/>
        <v>0</v>
      </c>
      <c r="AB461" s="124">
        <f>交易记录!W72</f>
        <v>0</v>
      </c>
      <c r="AC461" s="124">
        <f>交易记录!W103</f>
        <v>0</v>
      </c>
      <c r="AD461" s="30">
        <f t="shared" si="212"/>
        <v>0</v>
      </c>
      <c r="AE461" s="121">
        <f>交易记录!W136</f>
        <v>0</v>
      </c>
      <c r="AF461" s="121">
        <f>交易记录!W167</f>
        <v>0</v>
      </c>
      <c r="AG461" s="30">
        <f t="shared" si="213"/>
        <v>0</v>
      </c>
      <c r="AH461" s="124">
        <f>交易记录!W200</f>
        <v>0</v>
      </c>
      <c r="AI461" s="124">
        <f>交易记录!W231</f>
        <v>0</v>
      </c>
      <c r="AJ461" s="30">
        <f t="shared" si="214"/>
        <v>0</v>
      </c>
      <c r="AK461" s="121">
        <f>交易记录!W264</f>
        <v>0</v>
      </c>
      <c r="AL461" s="121">
        <f>交易记录!W295</f>
        <v>0</v>
      </c>
      <c r="AM461" s="30">
        <f t="shared" si="215"/>
        <v>0</v>
      </c>
      <c r="AN461" s="124">
        <f>交易记录!W328</f>
        <v>0</v>
      </c>
      <c r="AO461" s="124">
        <f>交易记录!W359</f>
        <v>0</v>
      </c>
      <c r="AP461" s="30">
        <f t="shared" si="216"/>
        <v>0</v>
      </c>
      <c r="AQ461" s="121">
        <f>交易记录!W392</f>
        <v>0</v>
      </c>
      <c r="AR461" s="121">
        <f>交易记录!W423</f>
        <v>0</v>
      </c>
      <c r="AS461" s="30">
        <f t="shared" si="217"/>
        <v>0</v>
      </c>
      <c r="AT461" s="124">
        <f>交易记录!W456</f>
        <v>0</v>
      </c>
      <c r="AU461" s="124">
        <f>交易记录!W487</f>
        <v>0</v>
      </c>
      <c r="AV461" s="30">
        <f t="shared" si="224"/>
        <v>0</v>
      </c>
      <c r="AW461" s="121">
        <f>交易记录!W520</f>
        <v>0</v>
      </c>
      <c r="AX461" s="121">
        <f>交易记录!W551</f>
        <v>0</v>
      </c>
      <c r="AY461" s="30">
        <f t="shared" si="225"/>
        <v>0</v>
      </c>
      <c r="AZ461" s="124">
        <f>交易记录!W584</f>
        <v>0</v>
      </c>
      <c r="BA461" s="124">
        <f>交易记录!W615</f>
        <v>0</v>
      </c>
      <c r="BB461" s="30">
        <f t="shared" si="226"/>
        <v>0</v>
      </c>
      <c r="BC461" s="121">
        <f>交易记录!W648</f>
        <v>0</v>
      </c>
      <c r="BD461" s="121">
        <f>交易记录!W679</f>
        <v>0</v>
      </c>
      <c r="BE461" s="30">
        <f t="shared" si="227"/>
        <v>0</v>
      </c>
      <c r="BF461" s="124">
        <f>交易记录!W712</f>
        <v>0</v>
      </c>
      <c r="BG461" s="124">
        <f>交易记录!W743</f>
        <v>0</v>
      </c>
      <c r="BH461" s="30">
        <f t="shared" si="228"/>
        <v>0</v>
      </c>
      <c r="BI461" s="121">
        <f>交易记录!W776</f>
        <v>0</v>
      </c>
      <c r="BJ461" s="121">
        <f>交易记录!W807</f>
        <v>0</v>
      </c>
      <c r="BK461" s="30">
        <f t="shared" si="229"/>
        <v>0</v>
      </c>
      <c r="BL461" s="124">
        <f>交易记录!W840</f>
        <v>0</v>
      </c>
      <c r="BM461" s="124">
        <f>交易记录!W871</f>
        <v>0</v>
      </c>
      <c r="BN461" s="30">
        <f t="shared" si="230"/>
        <v>0</v>
      </c>
      <c r="BO461" s="121">
        <f>交易记录!W904</f>
        <v>0</v>
      </c>
      <c r="BP461" s="121">
        <f>交易记录!W935</f>
        <v>0</v>
      </c>
      <c r="BQ461" s="30">
        <f t="shared" si="231"/>
        <v>0</v>
      </c>
    </row>
    <row r="462" spans="1:69" ht="15">
      <c r="A462" s="125">
        <f>'维护-日期'!A$22</f>
        <v>46285</v>
      </c>
      <c r="B462" s="7" t="s">
        <v>10</v>
      </c>
      <c r="C462" s="144">
        <f t="shared" si="232"/>
        <v>13.28</v>
      </c>
      <c r="D462" s="144">
        <f>ROUND(INDEX(持仓数据!$C$3:$AG$26,MATCH('计算过程-数据汇总'!B462,持仓数据!$B$3:$B$26,0),MATCH('计算过程-数据汇总'!A462,'维护-日期'!$B$2:$AF$2,0)),3)</f>
        <v>13.28</v>
      </c>
      <c r="E462" s="98">
        <f t="shared" si="233"/>
        <v>13.28</v>
      </c>
      <c r="F462" s="22">
        <f>持仓数据!V76</f>
        <v>7.5000000000000011E-2</v>
      </c>
      <c r="G462" s="97">
        <v>372</v>
      </c>
      <c r="H462" s="97">
        <v>372</v>
      </c>
      <c r="I462" s="64">
        <v>0</v>
      </c>
      <c r="J462" s="64">
        <v>0</v>
      </c>
      <c r="K462" s="21">
        <f>IF(持仓数据!V109="",0,持仓数据!V109)</f>
        <v>372</v>
      </c>
      <c r="L462" s="21">
        <f t="shared" si="234"/>
        <v>0</v>
      </c>
      <c r="M462" s="28">
        <f t="shared" si="218"/>
        <v>4940.16</v>
      </c>
      <c r="N462" s="28">
        <f t="shared" si="219"/>
        <v>0</v>
      </c>
      <c r="O462" s="28">
        <f t="shared" si="220"/>
        <v>0</v>
      </c>
      <c r="P462" s="28">
        <f t="shared" si="221"/>
        <v>0</v>
      </c>
      <c r="Q462" s="28">
        <f t="shared" si="235"/>
        <v>0</v>
      </c>
      <c r="R462" s="28">
        <f t="shared" si="222"/>
        <v>4940.16</v>
      </c>
      <c r="S462" s="28">
        <f t="shared" si="236"/>
        <v>0</v>
      </c>
      <c r="T462" s="28">
        <f t="shared" si="237"/>
        <v>0</v>
      </c>
      <c r="U462" s="28">
        <f t="shared" si="240"/>
        <v>0</v>
      </c>
      <c r="V462" s="28">
        <f t="shared" si="238"/>
        <v>0</v>
      </c>
      <c r="W462" s="118"/>
      <c r="X462" s="143">
        <f t="shared" si="239"/>
        <v>15.861000000000001</v>
      </c>
      <c r="Y462" s="121">
        <f>交易记录!W9</f>
        <v>7.5000000000000011E-2</v>
      </c>
      <c r="Z462" s="121">
        <f>交易记录!W40</f>
        <v>372</v>
      </c>
      <c r="AA462" s="30">
        <f t="shared" si="223"/>
        <v>0</v>
      </c>
      <c r="AB462" s="124">
        <f>交易记录!W73</f>
        <v>0</v>
      </c>
      <c r="AC462" s="124">
        <f>交易记录!W104</f>
        <v>0</v>
      </c>
      <c r="AD462" s="30">
        <f t="shared" si="212"/>
        <v>0</v>
      </c>
      <c r="AE462" s="121">
        <f>交易记录!W137</f>
        <v>0</v>
      </c>
      <c r="AF462" s="121">
        <f>交易记录!W168</f>
        <v>0</v>
      </c>
      <c r="AG462" s="30">
        <f t="shared" si="213"/>
        <v>0</v>
      </c>
      <c r="AH462" s="124">
        <f>交易记录!W201</f>
        <v>0</v>
      </c>
      <c r="AI462" s="124">
        <f>交易记录!W232</f>
        <v>0</v>
      </c>
      <c r="AJ462" s="30">
        <f t="shared" si="214"/>
        <v>0</v>
      </c>
      <c r="AK462" s="121">
        <f>交易记录!W265</f>
        <v>0</v>
      </c>
      <c r="AL462" s="121">
        <f>交易记录!W296</f>
        <v>0</v>
      </c>
      <c r="AM462" s="30">
        <f t="shared" si="215"/>
        <v>0</v>
      </c>
      <c r="AN462" s="124">
        <f>交易记录!W329</f>
        <v>0</v>
      </c>
      <c r="AO462" s="124">
        <f>交易记录!W360</f>
        <v>0</v>
      </c>
      <c r="AP462" s="30">
        <f t="shared" si="216"/>
        <v>0</v>
      </c>
      <c r="AQ462" s="121">
        <f>交易记录!W393</f>
        <v>0</v>
      </c>
      <c r="AR462" s="121">
        <f>交易记录!W424</f>
        <v>0</v>
      </c>
      <c r="AS462" s="30">
        <f t="shared" si="217"/>
        <v>0</v>
      </c>
      <c r="AT462" s="124">
        <f>交易记录!W457</f>
        <v>0</v>
      </c>
      <c r="AU462" s="124">
        <f>交易记录!W488</f>
        <v>0</v>
      </c>
      <c r="AV462" s="30">
        <f t="shared" si="224"/>
        <v>0</v>
      </c>
      <c r="AW462" s="121">
        <f>交易记录!W521</f>
        <v>0</v>
      </c>
      <c r="AX462" s="121">
        <f>交易记录!W552</f>
        <v>0</v>
      </c>
      <c r="AY462" s="30">
        <f t="shared" si="225"/>
        <v>0</v>
      </c>
      <c r="AZ462" s="124">
        <f>交易记录!W585</f>
        <v>0</v>
      </c>
      <c r="BA462" s="124">
        <f>交易记录!W616</f>
        <v>0</v>
      </c>
      <c r="BB462" s="30">
        <f t="shared" si="226"/>
        <v>0</v>
      </c>
      <c r="BC462" s="121">
        <f>交易记录!W649</f>
        <v>0</v>
      </c>
      <c r="BD462" s="121">
        <f>交易记录!W680</f>
        <v>0</v>
      </c>
      <c r="BE462" s="30">
        <f t="shared" si="227"/>
        <v>0</v>
      </c>
      <c r="BF462" s="124">
        <f>交易记录!W713</f>
        <v>0</v>
      </c>
      <c r="BG462" s="124">
        <f>交易记录!W744</f>
        <v>0</v>
      </c>
      <c r="BH462" s="30">
        <f t="shared" si="228"/>
        <v>0</v>
      </c>
      <c r="BI462" s="121">
        <f>交易记录!W777</f>
        <v>0</v>
      </c>
      <c r="BJ462" s="121">
        <f>交易记录!W808</f>
        <v>0</v>
      </c>
      <c r="BK462" s="30">
        <f t="shared" si="229"/>
        <v>0</v>
      </c>
      <c r="BL462" s="124">
        <f>交易记录!W841</f>
        <v>0</v>
      </c>
      <c r="BM462" s="124">
        <f>交易记录!W872</f>
        <v>0</v>
      </c>
      <c r="BN462" s="30">
        <f t="shared" si="230"/>
        <v>0</v>
      </c>
      <c r="BO462" s="121">
        <f>交易记录!W905</f>
        <v>0</v>
      </c>
      <c r="BP462" s="121">
        <f>交易记录!W936</f>
        <v>0</v>
      </c>
      <c r="BQ462" s="30">
        <f t="shared" si="231"/>
        <v>0</v>
      </c>
    </row>
    <row r="463" spans="1:69" ht="15">
      <c r="A463" s="125">
        <f>'维护-日期'!A$22</f>
        <v>46285</v>
      </c>
      <c r="B463" s="7" t="s">
        <v>11</v>
      </c>
      <c r="C463" s="144">
        <f t="shared" si="232"/>
        <v>12.787000000000001</v>
      </c>
      <c r="D463" s="144">
        <f>ROUND(INDEX(持仓数据!$C$3:$AG$26,MATCH('计算过程-数据汇总'!B463,持仓数据!$B$3:$B$26,0),MATCH('计算过程-数据汇总'!A463,'维护-日期'!$B$2:$AF$2,0)),3)</f>
        <v>12.787000000000001</v>
      </c>
      <c r="E463" s="98">
        <f t="shared" si="233"/>
        <v>12.787000000000001</v>
      </c>
      <c r="F463" s="22">
        <f>持仓数据!V77</f>
        <v>7.5000000000000011E-2</v>
      </c>
      <c r="G463" s="97">
        <v>372</v>
      </c>
      <c r="H463" s="97">
        <v>372</v>
      </c>
      <c r="I463" s="64">
        <v>0</v>
      </c>
      <c r="J463" s="64">
        <v>0</v>
      </c>
      <c r="K463" s="21">
        <f>IF(持仓数据!V110="",0,持仓数据!V110)</f>
        <v>372</v>
      </c>
      <c r="L463" s="21">
        <f t="shared" si="234"/>
        <v>0</v>
      </c>
      <c r="M463" s="28">
        <f t="shared" si="218"/>
        <v>4756.7640000000001</v>
      </c>
      <c r="N463" s="28">
        <f t="shared" si="219"/>
        <v>0</v>
      </c>
      <c r="O463" s="28">
        <f t="shared" si="220"/>
        <v>0</v>
      </c>
      <c r="P463" s="28">
        <f t="shared" si="221"/>
        <v>0</v>
      </c>
      <c r="Q463" s="28">
        <f t="shared" si="235"/>
        <v>0</v>
      </c>
      <c r="R463" s="28">
        <f t="shared" si="222"/>
        <v>4756.7640000000001</v>
      </c>
      <c r="S463" s="28">
        <f t="shared" si="236"/>
        <v>0</v>
      </c>
      <c r="T463" s="28">
        <f t="shared" si="237"/>
        <v>0</v>
      </c>
      <c r="U463" s="28">
        <f t="shared" si="240"/>
        <v>0</v>
      </c>
      <c r="V463" s="28">
        <f t="shared" si="238"/>
        <v>0</v>
      </c>
      <c r="W463" s="118"/>
      <c r="X463" s="143">
        <f t="shared" si="239"/>
        <v>15.269</v>
      </c>
      <c r="Y463" s="121">
        <f>交易记录!W10</f>
        <v>7.5000000000000011E-2</v>
      </c>
      <c r="Z463" s="121">
        <f>交易记录!W41</f>
        <v>372</v>
      </c>
      <c r="AA463" s="30">
        <f t="shared" si="223"/>
        <v>0</v>
      </c>
      <c r="AB463" s="124">
        <f>交易记录!W74</f>
        <v>0</v>
      </c>
      <c r="AC463" s="124">
        <f>交易记录!W105</f>
        <v>0</v>
      </c>
      <c r="AD463" s="30">
        <f t="shared" si="212"/>
        <v>0</v>
      </c>
      <c r="AE463" s="121">
        <f>交易记录!W138</f>
        <v>0</v>
      </c>
      <c r="AF463" s="121">
        <f>交易记录!W169</f>
        <v>0</v>
      </c>
      <c r="AG463" s="30">
        <f t="shared" si="213"/>
        <v>0</v>
      </c>
      <c r="AH463" s="124">
        <f>交易记录!W202</f>
        <v>0</v>
      </c>
      <c r="AI463" s="124">
        <f>交易记录!W233</f>
        <v>0</v>
      </c>
      <c r="AJ463" s="30">
        <f t="shared" si="214"/>
        <v>0</v>
      </c>
      <c r="AK463" s="121">
        <f>交易记录!W266</f>
        <v>0</v>
      </c>
      <c r="AL463" s="121">
        <f>交易记录!W297</f>
        <v>0</v>
      </c>
      <c r="AM463" s="30">
        <f t="shared" si="215"/>
        <v>0</v>
      </c>
      <c r="AN463" s="124">
        <f>交易记录!W330</f>
        <v>0</v>
      </c>
      <c r="AO463" s="124">
        <f>交易记录!W361</f>
        <v>0</v>
      </c>
      <c r="AP463" s="30">
        <f t="shared" si="216"/>
        <v>0</v>
      </c>
      <c r="AQ463" s="121">
        <f>交易记录!W394</f>
        <v>0</v>
      </c>
      <c r="AR463" s="121">
        <f>交易记录!W425</f>
        <v>0</v>
      </c>
      <c r="AS463" s="30">
        <f t="shared" si="217"/>
        <v>0</v>
      </c>
      <c r="AT463" s="124">
        <f>交易记录!W458</f>
        <v>0</v>
      </c>
      <c r="AU463" s="124">
        <f>交易记录!W489</f>
        <v>0</v>
      </c>
      <c r="AV463" s="30">
        <f t="shared" si="224"/>
        <v>0</v>
      </c>
      <c r="AW463" s="121">
        <f>交易记录!W522</f>
        <v>0</v>
      </c>
      <c r="AX463" s="121">
        <f>交易记录!W553</f>
        <v>0</v>
      </c>
      <c r="AY463" s="30">
        <f t="shared" si="225"/>
        <v>0</v>
      </c>
      <c r="AZ463" s="124">
        <f>交易记录!W586</f>
        <v>0</v>
      </c>
      <c r="BA463" s="124">
        <f>交易记录!W617</f>
        <v>0</v>
      </c>
      <c r="BB463" s="30">
        <f t="shared" si="226"/>
        <v>0</v>
      </c>
      <c r="BC463" s="121">
        <f>交易记录!W650</f>
        <v>0</v>
      </c>
      <c r="BD463" s="121">
        <f>交易记录!W681</f>
        <v>0</v>
      </c>
      <c r="BE463" s="30">
        <f t="shared" si="227"/>
        <v>0</v>
      </c>
      <c r="BF463" s="124">
        <f>交易记录!W714</f>
        <v>0</v>
      </c>
      <c r="BG463" s="124">
        <f>交易记录!W745</f>
        <v>0</v>
      </c>
      <c r="BH463" s="30">
        <f t="shared" si="228"/>
        <v>0</v>
      </c>
      <c r="BI463" s="121">
        <f>交易记录!W778</f>
        <v>0</v>
      </c>
      <c r="BJ463" s="121">
        <f>交易记录!W809</f>
        <v>0</v>
      </c>
      <c r="BK463" s="30">
        <f t="shared" si="229"/>
        <v>0</v>
      </c>
      <c r="BL463" s="124">
        <f>交易记录!W842</f>
        <v>0</v>
      </c>
      <c r="BM463" s="124">
        <f>交易记录!W873</f>
        <v>0</v>
      </c>
      <c r="BN463" s="30">
        <f t="shared" si="230"/>
        <v>0</v>
      </c>
      <c r="BO463" s="121">
        <f>交易记录!W906</f>
        <v>0</v>
      </c>
      <c r="BP463" s="121">
        <f>交易记录!W937</f>
        <v>0</v>
      </c>
      <c r="BQ463" s="30">
        <f t="shared" si="231"/>
        <v>0</v>
      </c>
    </row>
    <row r="464" spans="1:69" ht="15">
      <c r="A464" s="125">
        <f>'维护-日期'!A$22</f>
        <v>46285</v>
      </c>
      <c r="B464" s="7" t="s">
        <v>12</v>
      </c>
      <c r="C464" s="144">
        <f t="shared" si="232"/>
        <v>12.55</v>
      </c>
      <c r="D464" s="144">
        <f>ROUND(INDEX(持仓数据!$C$3:$AG$26,MATCH('计算过程-数据汇总'!B464,持仓数据!$B$3:$B$26,0),MATCH('计算过程-数据汇总'!A464,'维护-日期'!$B$2:$AF$2,0)),3)</f>
        <v>12.55</v>
      </c>
      <c r="E464" s="98">
        <f t="shared" si="233"/>
        <v>12.55</v>
      </c>
      <c r="F464" s="22">
        <f>持仓数据!V78</f>
        <v>0.106</v>
      </c>
      <c r="G464" s="97">
        <v>372</v>
      </c>
      <c r="H464" s="97">
        <v>372</v>
      </c>
      <c r="I464" s="64">
        <v>0</v>
      </c>
      <c r="J464" s="64">
        <v>0</v>
      </c>
      <c r="K464" s="21">
        <f>IF(持仓数据!V111="",0,持仓数据!V111)</f>
        <v>372.00000000000006</v>
      </c>
      <c r="L464" s="21">
        <f t="shared" si="234"/>
        <v>0</v>
      </c>
      <c r="M464" s="28">
        <f t="shared" si="218"/>
        <v>4668.6000000000004</v>
      </c>
      <c r="N464" s="28">
        <f t="shared" si="219"/>
        <v>0</v>
      </c>
      <c r="O464" s="28">
        <f t="shared" si="220"/>
        <v>0</v>
      </c>
      <c r="P464" s="28">
        <f t="shared" si="221"/>
        <v>6.0254023992456494E-15</v>
      </c>
      <c r="Q464" s="28">
        <f t="shared" si="235"/>
        <v>0</v>
      </c>
      <c r="R464" s="28">
        <f t="shared" si="222"/>
        <v>4668.6000000000013</v>
      </c>
      <c r="S464" s="28">
        <f t="shared" si="236"/>
        <v>0</v>
      </c>
      <c r="T464" s="28">
        <f t="shared" si="237"/>
        <v>-7.0735950430389498E-13</v>
      </c>
      <c r="U464" s="28">
        <f t="shared" si="240"/>
        <v>0</v>
      </c>
      <c r="V464" s="28">
        <f t="shared" si="238"/>
        <v>0</v>
      </c>
      <c r="W464" s="118"/>
      <c r="X464" s="143">
        <f t="shared" si="239"/>
        <v>14.954000000000001</v>
      </c>
      <c r="Y464" s="121">
        <f>交易记录!W11</f>
        <v>0.106</v>
      </c>
      <c r="Z464" s="121">
        <f>交易记录!W42</f>
        <v>372</v>
      </c>
      <c r="AA464" s="30">
        <f t="shared" si="223"/>
        <v>0</v>
      </c>
      <c r="AB464" s="124">
        <f>交易记录!W75</f>
        <v>0</v>
      </c>
      <c r="AC464" s="124">
        <f>交易记录!W106</f>
        <v>0</v>
      </c>
      <c r="AD464" s="30">
        <f t="shared" si="212"/>
        <v>0</v>
      </c>
      <c r="AE464" s="121">
        <f>交易记录!W139</f>
        <v>0</v>
      </c>
      <c r="AF464" s="121">
        <f>交易记录!W170</f>
        <v>0</v>
      </c>
      <c r="AG464" s="30">
        <f t="shared" si="213"/>
        <v>0</v>
      </c>
      <c r="AH464" s="124">
        <f>交易记录!W203</f>
        <v>0</v>
      </c>
      <c r="AI464" s="124">
        <f>交易记录!W234</f>
        <v>0</v>
      </c>
      <c r="AJ464" s="30">
        <f t="shared" si="214"/>
        <v>0</v>
      </c>
      <c r="AK464" s="121">
        <f>交易记录!W267</f>
        <v>0</v>
      </c>
      <c r="AL464" s="121">
        <f>交易记录!W298</f>
        <v>0</v>
      </c>
      <c r="AM464" s="30">
        <f t="shared" si="215"/>
        <v>0</v>
      </c>
      <c r="AN464" s="124">
        <f>交易记录!W331</f>
        <v>0</v>
      </c>
      <c r="AO464" s="124">
        <f>交易记录!W362</f>
        <v>0</v>
      </c>
      <c r="AP464" s="30">
        <f t="shared" si="216"/>
        <v>0</v>
      </c>
      <c r="AQ464" s="121">
        <f>交易记录!W395</f>
        <v>0</v>
      </c>
      <c r="AR464" s="121">
        <f>交易记录!W426</f>
        <v>0</v>
      </c>
      <c r="AS464" s="30">
        <f t="shared" si="217"/>
        <v>0</v>
      </c>
      <c r="AT464" s="124">
        <f>交易记录!W459</f>
        <v>0</v>
      </c>
      <c r="AU464" s="124">
        <f>交易记录!W490</f>
        <v>0</v>
      </c>
      <c r="AV464" s="30">
        <f t="shared" si="224"/>
        <v>0</v>
      </c>
      <c r="AW464" s="121">
        <f>交易记录!W523</f>
        <v>0</v>
      </c>
      <c r="AX464" s="121">
        <f>交易记录!W554</f>
        <v>0</v>
      </c>
      <c r="AY464" s="30">
        <f t="shared" si="225"/>
        <v>0</v>
      </c>
      <c r="AZ464" s="124">
        <f>交易记录!W587</f>
        <v>0</v>
      </c>
      <c r="BA464" s="124">
        <f>交易记录!W618</f>
        <v>0</v>
      </c>
      <c r="BB464" s="30">
        <f t="shared" si="226"/>
        <v>0</v>
      </c>
      <c r="BC464" s="121">
        <f>交易记录!W651</f>
        <v>0</v>
      </c>
      <c r="BD464" s="121">
        <f>交易记录!W682</f>
        <v>0</v>
      </c>
      <c r="BE464" s="30">
        <f t="shared" si="227"/>
        <v>0</v>
      </c>
      <c r="BF464" s="124">
        <f>交易记录!W715</f>
        <v>0</v>
      </c>
      <c r="BG464" s="124">
        <f>交易记录!W746</f>
        <v>0</v>
      </c>
      <c r="BH464" s="30">
        <f t="shared" si="228"/>
        <v>0</v>
      </c>
      <c r="BI464" s="121">
        <f>交易记录!W779</f>
        <v>0</v>
      </c>
      <c r="BJ464" s="121">
        <f>交易记录!W810</f>
        <v>0</v>
      </c>
      <c r="BK464" s="30">
        <f t="shared" si="229"/>
        <v>0</v>
      </c>
      <c r="BL464" s="124">
        <f>交易记录!W843</f>
        <v>0</v>
      </c>
      <c r="BM464" s="124">
        <f>交易记录!W874</f>
        <v>0</v>
      </c>
      <c r="BN464" s="30">
        <f t="shared" si="230"/>
        <v>0</v>
      </c>
      <c r="BO464" s="121">
        <f>交易记录!W907</f>
        <v>0</v>
      </c>
      <c r="BP464" s="121">
        <f>交易记录!W938</f>
        <v>0</v>
      </c>
      <c r="BQ464" s="30">
        <f t="shared" si="231"/>
        <v>0</v>
      </c>
    </row>
    <row r="465" spans="1:69" ht="15">
      <c r="A465" s="125">
        <f>'维护-日期'!A$22</f>
        <v>46285</v>
      </c>
      <c r="B465" s="7" t="s">
        <v>13</v>
      </c>
      <c r="C465" s="144">
        <f t="shared" si="232"/>
        <v>12.419</v>
      </c>
      <c r="D465" s="144">
        <f>ROUND(INDEX(持仓数据!$C$3:$AG$26,MATCH('计算过程-数据汇总'!B465,持仓数据!$B$3:$B$26,0),MATCH('计算过程-数据汇总'!A465,'维护-日期'!$B$2:$AF$2,0)),3)</f>
        <v>12.419</v>
      </c>
      <c r="E465" s="98">
        <f t="shared" si="233"/>
        <v>12.419</v>
      </c>
      <c r="F465" s="22">
        <f>持仓数据!V79</f>
        <v>0.11600000000000001</v>
      </c>
      <c r="G465" s="97">
        <v>372</v>
      </c>
      <c r="H465" s="97">
        <v>372</v>
      </c>
      <c r="I465" s="64">
        <v>0</v>
      </c>
      <c r="J465" s="64">
        <v>0</v>
      </c>
      <c r="K465" s="21">
        <f>IF(持仓数据!V112="",0,持仓数据!V112)</f>
        <v>372</v>
      </c>
      <c r="L465" s="21">
        <f t="shared" si="234"/>
        <v>0</v>
      </c>
      <c r="M465" s="28">
        <f t="shared" si="218"/>
        <v>4619.8680000000004</v>
      </c>
      <c r="N465" s="28">
        <f t="shared" si="219"/>
        <v>0</v>
      </c>
      <c r="O465" s="28">
        <f t="shared" si="220"/>
        <v>0</v>
      </c>
      <c r="P465" s="28">
        <f t="shared" si="221"/>
        <v>0</v>
      </c>
      <c r="Q465" s="28">
        <f t="shared" si="235"/>
        <v>0</v>
      </c>
      <c r="R465" s="28">
        <f t="shared" si="222"/>
        <v>4619.8680000000004</v>
      </c>
      <c r="S465" s="28">
        <f t="shared" si="236"/>
        <v>0</v>
      </c>
      <c r="T465" s="28">
        <f t="shared" si="237"/>
        <v>0</v>
      </c>
      <c r="U465" s="28">
        <f t="shared" si="240"/>
        <v>0</v>
      </c>
      <c r="V465" s="28">
        <f t="shared" si="238"/>
        <v>0</v>
      </c>
      <c r="W465" s="118"/>
      <c r="X465" s="143">
        <f t="shared" si="239"/>
        <v>14.787000000000001</v>
      </c>
      <c r="Y465" s="121">
        <f>交易记录!W12</f>
        <v>0.11600000000000001</v>
      </c>
      <c r="Z465" s="121">
        <f>交易记录!W43</f>
        <v>372</v>
      </c>
      <c r="AA465" s="30">
        <f t="shared" si="223"/>
        <v>0</v>
      </c>
      <c r="AB465" s="124">
        <f>交易记录!W76</f>
        <v>0</v>
      </c>
      <c r="AC465" s="124">
        <f>交易记录!W107</f>
        <v>0</v>
      </c>
      <c r="AD465" s="30">
        <f t="shared" si="212"/>
        <v>0</v>
      </c>
      <c r="AE465" s="121">
        <f>交易记录!W140</f>
        <v>0</v>
      </c>
      <c r="AF465" s="121">
        <f>交易记录!W171</f>
        <v>0</v>
      </c>
      <c r="AG465" s="30">
        <f t="shared" si="213"/>
        <v>0</v>
      </c>
      <c r="AH465" s="124">
        <f>交易记录!W204</f>
        <v>0</v>
      </c>
      <c r="AI465" s="124">
        <f>交易记录!W235</f>
        <v>0</v>
      </c>
      <c r="AJ465" s="30">
        <f t="shared" si="214"/>
        <v>0</v>
      </c>
      <c r="AK465" s="121">
        <f>交易记录!W268</f>
        <v>0</v>
      </c>
      <c r="AL465" s="121">
        <f>交易记录!W299</f>
        <v>0</v>
      </c>
      <c r="AM465" s="30">
        <f t="shared" si="215"/>
        <v>0</v>
      </c>
      <c r="AN465" s="124">
        <f>交易记录!W332</f>
        <v>0</v>
      </c>
      <c r="AO465" s="124">
        <f>交易记录!W363</f>
        <v>0</v>
      </c>
      <c r="AP465" s="30">
        <f t="shared" si="216"/>
        <v>0</v>
      </c>
      <c r="AQ465" s="121">
        <f>交易记录!W396</f>
        <v>0</v>
      </c>
      <c r="AR465" s="121">
        <f>交易记录!W427</f>
        <v>0</v>
      </c>
      <c r="AS465" s="30">
        <f t="shared" si="217"/>
        <v>0</v>
      </c>
      <c r="AT465" s="124">
        <f>交易记录!W460</f>
        <v>0</v>
      </c>
      <c r="AU465" s="124">
        <f>交易记录!W491</f>
        <v>0</v>
      </c>
      <c r="AV465" s="30">
        <f t="shared" si="224"/>
        <v>0</v>
      </c>
      <c r="AW465" s="121">
        <f>交易记录!W524</f>
        <v>0</v>
      </c>
      <c r="AX465" s="121">
        <f>交易记录!W555</f>
        <v>0</v>
      </c>
      <c r="AY465" s="30">
        <f t="shared" si="225"/>
        <v>0</v>
      </c>
      <c r="AZ465" s="124">
        <f>交易记录!W588</f>
        <v>0</v>
      </c>
      <c r="BA465" s="124">
        <f>交易记录!W619</f>
        <v>0</v>
      </c>
      <c r="BB465" s="30">
        <f t="shared" si="226"/>
        <v>0</v>
      </c>
      <c r="BC465" s="121">
        <f>交易记录!W652</f>
        <v>0</v>
      </c>
      <c r="BD465" s="121">
        <f>交易记录!W683</f>
        <v>0</v>
      </c>
      <c r="BE465" s="30">
        <f t="shared" si="227"/>
        <v>0</v>
      </c>
      <c r="BF465" s="124">
        <f>交易记录!W716</f>
        <v>0</v>
      </c>
      <c r="BG465" s="124">
        <f>交易记录!W747</f>
        <v>0</v>
      </c>
      <c r="BH465" s="30">
        <f t="shared" si="228"/>
        <v>0</v>
      </c>
      <c r="BI465" s="121">
        <f>交易记录!W780</f>
        <v>0</v>
      </c>
      <c r="BJ465" s="121">
        <f>交易记录!W811</f>
        <v>0</v>
      </c>
      <c r="BK465" s="30">
        <f t="shared" si="229"/>
        <v>0</v>
      </c>
      <c r="BL465" s="124">
        <f>交易记录!W844</f>
        <v>0</v>
      </c>
      <c r="BM465" s="124">
        <f>交易记录!W875</f>
        <v>0</v>
      </c>
      <c r="BN465" s="30">
        <f t="shared" si="230"/>
        <v>0</v>
      </c>
      <c r="BO465" s="121">
        <f>交易记录!W908</f>
        <v>0</v>
      </c>
      <c r="BP465" s="121">
        <f>交易记录!W939</f>
        <v>0</v>
      </c>
      <c r="BQ465" s="30">
        <f t="shared" si="231"/>
        <v>0</v>
      </c>
    </row>
    <row r="466" spans="1:69" ht="15">
      <c r="A466" s="125">
        <f>'维护-日期'!A$22</f>
        <v>46285</v>
      </c>
      <c r="B466" s="7" t="s">
        <v>14</v>
      </c>
      <c r="C466" s="144">
        <f t="shared" si="232"/>
        <v>13.66</v>
      </c>
      <c r="D466" s="144">
        <f>ROUND(INDEX(持仓数据!$C$3:$AG$26,MATCH('计算过程-数据汇总'!B466,持仓数据!$B$3:$B$26,0),MATCH('计算过程-数据汇总'!A466,'维护-日期'!$B$2:$AF$2,0)),3)</f>
        <v>13.66</v>
      </c>
      <c r="E466" s="98">
        <f t="shared" si="233"/>
        <v>13.66</v>
      </c>
      <c r="F466" s="22">
        <f>持仓数据!V80</f>
        <v>0.122</v>
      </c>
      <c r="G466" s="97">
        <v>372</v>
      </c>
      <c r="H466" s="97">
        <v>372</v>
      </c>
      <c r="I466" s="64">
        <v>0</v>
      </c>
      <c r="J466" s="64">
        <v>0</v>
      </c>
      <c r="K466" s="21">
        <f>IF(持仓数据!V113="",0,持仓数据!V113)</f>
        <v>372</v>
      </c>
      <c r="L466" s="21">
        <f t="shared" si="234"/>
        <v>0</v>
      </c>
      <c r="M466" s="28">
        <f t="shared" si="218"/>
        <v>5081.5200000000004</v>
      </c>
      <c r="N466" s="28">
        <f t="shared" si="219"/>
        <v>0</v>
      </c>
      <c r="O466" s="28">
        <f t="shared" si="220"/>
        <v>0</v>
      </c>
      <c r="P466" s="28">
        <f t="shared" si="221"/>
        <v>0</v>
      </c>
      <c r="Q466" s="28">
        <f t="shared" si="235"/>
        <v>0</v>
      </c>
      <c r="R466" s="28">
        <f t="shared" si="222"/>
        <v>5081.5200000000004</v>
      </c>
      <c r="S466" s="28">
        <f t="shared" si="236"/>
        <v>0</v>
      </c>
      <c r="T466" s="28">
        <f t="shared" si="237"/>
        <v>0</v>
      </c>
      <c r="U466" s="28">
        <f t="shared" si="240"/>
        <v>0</v>
      </c>
      <c r="V466" s="28">
        <f t="shared" si="238"/>
        <v>0</v>
      </c>
      <c r="W466" s="118"/>
      <c r="X466" s="143">
        <f t="shared" si="239"/>
        <v>16.27</v>
      </c>
      <c r="Y466" s="121">
        <f>交易记录!W13</f>
        <v>0.122</v>
      </c>
      <c r="Z466" s="121">
        <f>交易记录!W44</f>
        <v>372</v>
      </c>
      <c r="AA466" s="30">
        <f t="shared" si="223"/>
        <v>0</v>
      </c>
      <c r="AB466" s="124">
        <f>交易记录!W77</f>
        <v>0</v>
      </c>
      <c r="AC466" s="124">
        <f>交易记录!W108</f>
        <v>0</v>
      </c>
      <c r="AD466" s="30">
        <f t="shared" si="212"/>
        <v>0</v>
      </c>
      <c r="AE466" s="121">
        <f>交易记录!W141</f>
        <v>0</v>
      </c>
      <c r="AF466" s="121">
        <f>交易记录!W172</f>
        <v>0</v>
      </c>
      <c r="AG466" s="30">
        <f t="shared" si="213"/>
        <v>0</v>
      </c>
      <c r="AH466" s="124">
        <f>交易记录!W205</f>
        <v>0</v>
      </c>
      <c r="AI466" s="124">
        <f>交易记录!W236</f>
        <v>0</v>
      </c>
      <c r="AJ466" s="30">
        <f t="shared" si="214"/>
        <v>0</v>
      </c>
      <c r="AK466" s="121">
        <f>交易记录!W269</f>
        <v>0</v>
      </c>
      <c r="AL466" s="121">
        <f>交易记录!W300</f>
        <v>0</v>
      </c>
      <c r="AM466" s="30">
        <f t="shared" si="215"/>
        <v>0</v>
      </c>
      <c r="AN466" s="124">
        <f>交易记录!W333</f>
        <v>0</v>
      </c>
      <c r="AO466" s="124">
        <f>交易记录!W364</f>
        <v>0</v>
      </c>
      <c r="AP466" s="30">
        <f t="shared" si="216"/>
        <v>0</v>
      </c>
      <c r="AQ466" s="121">
        <f>交易记录!W397</f>
        <v>0</v>
      </c>
      <c r="AR466" s="121">
        <f>交易记录!W428</f>
        <v>0</v>
      </c>
      <c r="AS466" s="30">
        <f t="shared" si="217"/>
        <v>0</v>
      </c>
      <c r="AT466" s="124">
        <f>交易记录!W461</f>
        <v>0</v>
      </c>
      <c r="AU466" s="124">
        <f>交易记录!W492</f>
        <v>0</v>
      </c>
      <c r="AV466" s="30">
        <f t="shared" si="224"/>
        <v>0</v>
      </c>
      <c r="AW466" s="121">
        <f>交易记录!W525</f>
        <v>0</v>
      </c>
      <c r="AX466" s="121">
        <f>交易记录!W556</f>
        <v>0</v>
      </c>
      <c r="AY466" s="30">
        <f t="shared" si="225"/>
        <v>0</v>
      </c>
      <c r="AZ466" s="124">
        <f>交易记录!W589</f>
        <v>0</v>
      </c>
      <c r="BA466" s="124">
        <f>交易记录!W620</f>
        <v>0</v>
      </c>
      <c r="BB466" s="30">
        <f t="shared" si="226"/>
        <v>0</v>
      </c>
      <c r="BC466" s="121">
        <f>交易记录!W653</f>
        <v>0</v>
      </c>
      <c r="BD466" s="121">
        <f>交易记录!W684</f>
        <v>0</v>
      </c>
      <c r="BE466" s="30">
        <f t="shared" si="227"/>
        <v>0</v>
      </c>
      <c r="BF466" s="124">
        <f>交易记录!W717</f>
        <v>0</v>
      </c>
      <c r="BG466" s="124">
        <f>交易记录!W748</f>
        <v>0</v>
      </c>
      <c r="BH466" s="30">
        <f t="shared" si="228"/>
        <v>0</v>
      </c>
      <c r="BI466" s="121">
        <f>交易记录!W781</f>
        <v>0</v>
      </c>
      <c r="BJ466" s="121">
        <f>交易记录!W812</f>
        <v>0</v>
      </c>
      <c r="BK466" s="30">
        <f t="shared" si="229"/>
        <v>0</v>
      </c>
      <c r="BL466" s="124">
        <f>交易记录!W845</f>
        <v>0</v>
      </c>
      <c r="BM466" s="124">
        <f>交易记录!W876</f>
        <v>0</v>
      </c>
      <c r="BN466" s="30">
        <f t="shared" si="230"/>
        <v>0</v>
      </c>
      <c r="BO466" s="121">
        <f>交易记录!W909</f>
        <v>0</v>
      </c>
      <c r="BP466" s="121">
        <f>交易记录!W940</f>
        <v>0</v>
      </c>
      <c r="BQ466" s="30">
        <f t="shared" si="231"/>
        <v>0</v>
      </c>
    </row>
    <row r="467" spans="1:69" ht="15">
      <c r="A467" s="125">
        <f>'维护-日期'!A$22</f>
        <v>46285</v>
      </c>
      <c r="B467" s="7" t="s">
        <v>15</v>
      </c>
      <c r="C467" s="144">
        <f t="shared" si="232"/>
        <v>16.832999999999998</v>
      </c>
      <c r="D467" s="144">
        <f>ROUND(INDEX(持仓数据!$C$3:$AG$26,MATCH('计算过程-数据汇总'!B467,持仓数据!$B$3:$B$26,0),MATCH('计算过程-数据汇总'!A467,'维护-日期'!$B$2:$AF$2,0)),3)</f>
        <v>16.832999999999998</v>
      </c>
      <c r="E467" s="98">
        <f t="shared" si="233"/>
        <v>16.832999999999998</v>
      </c>
      <c r="F467" s="22">
        <f>持仓数据!V81</f>
        <v>0.127</v>
      </c>
      <c r="G467" s="97">
        <v>372</v>
      </c>
      <c r="H467" s="97">
        <v>372</v>
      </c>
      <c r="I467" s="64">
        <v>0</v>
      </c>
      <c r="J467" s="64">
        <v>0</v>
      </c>
      <c r="K467" s="21">
        <f>IF(持仓数据!V114="",0,持仓数据!V114)</f>
        <v>372</v>
      </c>
      <c r="L467" s="21">
        <f t="shared" si="234"/>
        <v>0</v>
      </c>
      <c r="M467" s="28">
        <f t="shared" si="218"/>
        <v>6261.8759999999993</v>
      </c>
      <c r="N467" s="28">
        <f t="shared" si="219"/>
        <v>0</v>
      </c>
      <c r="O467" s="28">
        <f t="shared" si="220"/>
        <v>0</v>
      </c>
      <c r="P467" s="28">
        <f t="shared" si="221"/>
        <v>0</v>
      </c>
      <c r="Q467" s="28">
        <f t="shared" si="235"/>
        <v>0</v>
      </c>
      <c r="R467" s="28">
        <f t="shared" si="222"/>
        <v>6261.8759999999993</v>
      </c>
      <c r="S467" s="28">
        <f t="shared" si="236"/>
        <v>0</v>
      </c>
      <c r="T467" s="28">
        <f t="shared" si="237"/>
        <v>0</v>
      </c>
      <c r="U467" s="28">
        <f t="shared" si="240"/>
        <v>0</v>
      </c>
      <c r="V467" s="28">
        <f t="shared" si="238"/>
        <v>0</v>
      </c>
      <c r="W467" s="118"/>
      <c r="X467" s="143">
        <f t="shared" si="239"/>
        <v>20.073</v>
      </c>
      <c r="Y467" s="121">
        <f>交易记录!W14</f>
        <v>0.127</v>
      </c>
      <c r="Z467" s="121">
        <f>交易记录!W45</f>
        <v>372</v>
      </c>
      <c r="AA467" s="30">
        <f t="shared" si="223"/>
        <v>0</v>
      </c>
      <c r="AB467" s="124">
        <f>交易记录!W78</f>
        <v>0</v>
      </c>
      <c r="AC467" s="124">
        <f>交易记录!W109</f>
        <v>0</v>
      </c>
      <c r="AD467" s="30">
        <f t="shared" si="212"/>
        <v>0</v>
      </c>
      <c r="AE467" s="121">
        <f>交易记录!W142</f>
        <v>0</v>
      </c>
      <c r="AF467" s="121">
        <f>交易记录!W173</f>
        <v>0</v>
      </c>
      <c r="AG467" s="30">
        <f t="shared" si="213"/>
        <v>0</v>
      </c>
      <c r="AH467" s="124">
        <f>交易记录!W206</f>
        <v>0</v>
      </c>
      <c r="AI467" s="124">
        <f>交易记录!W237</f>
        <v>0</v>
      </c>
      <c r="AJ467" s="30">
        <f t="shared" si="214"/>
        <v>0</v>
      </c>
      <c r="AK467" s="121">
        <f>交易记录!W270</f>
        <v>0</v>
      </c>
      <c r="AL467" s="121">
        <f>交易记录!W301</f>
        <v>0</v>
      </c>
      <c r="AM467" s="30">
        <f t="shared" si="215"/>
        <v>0</v>
      </c>
      <c r="AN467" s="124">
        <f>交易记录!W334</f>
        <v>0</v>
      </c>
      <c r="AO467" s="124">
        <f>交易记录!W365</f>
        <v>0</v>
      </c>
      <c r="AP467" s="30">
        <f t="shared" si="216"/>
        <v>0</v>
      </c>
      <c r="AQ467" s="121">
        <f>交易记录!W398</f>
        <v>0</v>
      </c>
      <c r="AR467" s="121">
        <f>交易记录!W429</f>
        <v>0</v>
      </c>
      <c r="AS467" s="30">
        <f t="shared" si="217"/>
        <v>0</v>
      </c>
      <c r="AT467" s="124">
        <f>交易记录!W462</f>
        <v>0</v>
      </c>
      <c r="AU467" s="124">
        <f>交易记录!W493</f>
        <v>0</v>
      </c>
      <c r="AV467" s="30">
        <f t="shared" si="224"/>
        <v>0</v>
      </c>
      <c r="AW467" s="121">
        <f>交易记录!W526</f>
        <v>0</v>
      </c>
      <c r="AX467" s="121">
        <f>交易记录!W557</f>
        <v>0</v>
      </c>
      <c r="AY467" s="30">
        <f t="shared" si="225"/>
        <v>0</v>
      </c>
      <c r="AZ467" s="124">
        <f>交易记录!W590</f>
        <v>0</v>
      </c>
      <c r="BA467" s="124">
        <f>交易记录!W621</f>
        <v>0</v>
      </c>
      <c r="BB467" s="30">
        <f t="shared" si="226"/>
        <v>0</v>
      </c>
      <c r="BC467" s="121">
        <f>交易记录!W654</f>
        <v>0</v>
      </c>
      <c r="BD467" s="121">
        <f>交易记录!W685</f>
        <v>0</v>
      </c>
      <c r="BE467" s="30">
        <f t="shared" si="227"/>
        <v>0</v>
      </c>
      <c r="BF467" s="124">
        <f>交易记录!W718</f>
        <v>0</v>
      </c>
      <c r="BG467" s="124">
        <f>交易记录!W749</f>
        <v>0</v>
      </c>
      <c r="BH467" s="30">
        <f t="shared" si="228"/>
        <v>0</v>
      </c>
      <c r="BI467" s="121">
        <f>交易记录!W782</f>
        <v>0</v>
      </c>
      <c r="BJ467" s="121">
        <f>交易记录!W813</f>
        <v>0</v>
      </c>
      <c r="BK467" s="30">
        <f t="shared" si="229"/>
        <v>0</v>
      </c>
      <c r="BL467" s="124">
        <f>交易记录!W846</f>
        <v>0</v>
      </c>
      <c r="BM467" s="124">
        <f>交易记录!W877</f>
        <v>0</v>
      </c>
      <c r="BN467" s="30">
        <f t="shared" si="230"/>
        <v>0</v>
      </c>
      <c r="BO467" s="121">
        <f>交易记录!W910</f>
        <v>0</v>
      </c>
      <c r="BP467" s="121">
        <f>交易记录!W941</f>
        <v>0</v>
      </c>
      <c r="BQ467" s="30">
        <f t="shared" si="231"/>
        <v>0</v>
      </c>
    </row>
    <row r="468" spans="1:69" ht="15">
      <c r="A468" s="125">
        <f>'维护-日期'!A$22</f>
        <v>46285</v>
      </c>
      <c r="B468" s="7" t="s">
        <v>16</v>
      </c>
      <c r="C468" s="144">
        <f t="shared" si="232"/>
        <v>18.838999999999999</v>
      </c>
      <c r="D468" s="144">
        <f>ROUND(INDEX(持仓数据!$C$3:$AG$26,MATCH('计算过程-数据汇总'!B468,持仓数据!$B$3:$B$26,0),MATCH('计算过程-数据汇总'!A468,'维护-日期'!$B$2:$AF$2,0)),3)</f>
        <v>18.838999999999999</v>
      </c>
      <c r="E468" s="98">
        <f t="shared" si="233"/>
        <v>18.838999999999999</v>
      </c>
      <c r="F468" s="22">
        <f>持仓数据!V82</f>
        <v>0.128</v>
      </c>
      <c r="G468" s="97">
        <v>372</v>
      </c>
      <c r="H468" s="97">
        <v>372</v>
      </c>
      <c r="I468" s="64">
        <v>0</v>
      </c>
      <c r="J468" s="64">
        <v>0</v>
      </c>
      <c r="K468" s="21">
        <f>IF(持仓数据!V115="",0,持仓数据!V115)</f>
        <v>372</v>
      </c>
      <c r="L468" s="21">
        <f t="shared" si="234"/>
        <v>0</v>
      </c>
      <c r="M468" s="28">
        <f t="shared" si="218"/>
        <v>7008.1079999999993</v>
      </c>
      <c r="N468" s="28">
        <f t="shared" si="219"/>
        <v>0</v>
      </c>
      <c r="O468" s="28">
        <f t="shared" si="220"/>
        <v>0</v>
      </c>
      <c r="P468" s="28">
        <f t="shared" si="221"/>
        <v>0</v>
      </c>
      <c r="Q468" s="28">
        <f t="shared" si="235"/>
        <v>0</v>
      </c>
      <c r="R468" s="28">
        <f t="shared" si="222"/>
        <v>7008.1079999999993</v>
      </c>
      <c r="S468" s="28">
        <f t="shared" si="236"/>
        <v>0</v>
      </c>
      <c r="T468" s="28">
        <f t="shared" si="237"/>
        <v>0</v>
      </c>
      <c r="U468" s="28">
        <f t="shared" si="240"/>
        <v>0</v>
      </c>
      <c r="V468" s="28">
        <f t="shared" si="238"/>
        <v>0</v>
      </c>
      <c r="W468" s="118"/>
      <c r="X468" s="143">
        <f t="shared" si="239"/>
        <v>22.478999999999999</v>
      </c>
      <c r="Y468" s="121">
        <f>交易记录!W15</f>
        <v>0.128</v>
      </c>
      <c r="Z468" s="121">
        <f>交易记录!W46</f>
        <v>372</v>
      </c>
      <c r="AA468" s="30">
        <f t="shared" si="223"/>
        <v>0</v>
      </c>
      <c r="AB468" s="124">
        <f>交易记录!W79</f>
        <v>0</v>
      </c>
      <c r="AC468" s="124">
        <f>交易记录!W110</f>
        <v>0</v>
      </c>
      <c r="AD468" s="30">
        <f t="shared" si="212"/>
        <v>0</v>
      </c>
      <c r="AE468" s="121">
        <f>交易记录!W143</f>
        <v>0</v>
      </c>
      <c r="AF468" s="121">
        <f>交易记录!W174</f>
        <v>0</v>
      </c>
      <c r="AG468" s="30">
        <f t="shared" si="213"/>
        <v>0</v>
      </c>
      <c r="AH468" s="124">
        <f>交易记录!W207</f>
        <v>0</v>
      </c>
      <c r="AI468" s="124">
        <f>交易记录!W238</f>
        <v>0</v>
      </c>
      <c r="AJ468" s="30">
        <f t="shared" si="214"/>
        <v>0</v>
      </c>
      <c r="AK468" s="121">
        <f>交易记录!W271</f>
        <v>0</v>
      </c>
      <c r="AL468" s="121">
        <f>交易记录!W302</f>
        <v>0</v>
      </c>
      <c r="AM468" s="30">
        <f t="shared" si="215"/>
        <v>0</v>
      </c>
      <c r="AN468" s="124">
        <f>交易记录!W335</f>
        <v>0</v>
      </c>
      <c r="AO468" s="124">
        <f>交易记录!W366</f>
        <v>0</v>
      </c>
      <c r="AP468" s="30">
        <f t="shared" si="216"/>
        <v>0</v>
      </c>
      <c r="AQ468" s="121">
        <f>交易记录!W399</f>
        <v>0</v>
      </c>
      <c r="AR468" s="121">
        <f>交易记录!W430</f>
        <v>0</v>
      </c>
      <c r="AS468" s="30">
        <f t="shared" si="217"/>
        <v>0</v>
      </c>
      <c r="AT468" s="124">
        <f>交易记录!W463</f>
        <v>0</v>
      </c>
      <c r="AU468" s="124">
        <f>交易记录!W494</f>
        <v>0</v>
      </c>
      <c r="AV468" s="30">
        <f t="shared" si="224"/>
        <v>0</v>
      </c>
      <c r="AW468" s="121">
        <f>交易记录!W527</f>
        <v>0</v>
      </c>
      <c r="AX468" s="121">
        <f>交易记录!W558</f>
        <v>0</v>
      </c>
      <c r="AY468" s="30">
        <f t="shared" si="225"/>
        <v>0</v>
      </c>
      <c r="AZ468" s="124">
        <f>交易记录!W591</f>
        <v>0</v>
      </c>
      <c r="BA468" s="124">
        <f>交易记录!W622</f>
        <v>0</v>
      </c>
      <c r="BB468" s="30">
        <f t="shared" si="226"/>
        <v>0</v>
      </c>
      <c r="BC468" s="121">
        <f>交易记录!W655</f>
        <v>0</v>
      </c>
      <c r="BD468" s="121">
        <f>交易记录!W686</f>
        <v>0</v>
      </c>
      <c r="BE468" s="30">
        <f t="shared" si="227"/>
        <v>0</v>
      </c>
      <c r="BF468" s="124">
        <f>交易记录!W719</f>
        <v>0</v>
      </c>
      <c r="BG468" s="124">
        <f>交易记录!W750</f>
        <v>0</v>
      </c>
      <c r="BH468" s="30">
        <f t="shared" si="228"/>
        <v>0</v>
      </c>
      <c r="BI468" s="121">
        <f>交易记录!W783</f>
        <v>0</v>
      </c>
      <c r="BJ468" s="121">
        <f>交易记录!W814</f>
        <v>0</v>
      </c>
      <c r="BK468" s="30">
        <f t="shared" si="229"/>
        <v>0</v>
      </c>
      <c r="BL468" s="124">
        <f>交易记录!W847</f>
        <v>0</v>
      </c>
      <c r="BM468" s="124">
        <f>交易记录!W878</f>
        <v>0</v>
      </c>
      <c r="BN468" s="30">
        <f t="shared" si="230"/>
        <v>0</v>
      </c>
      <c r="BO468" s="121">
        <f>交易记录!W911</f>
        <v>0</v>
      </c>
      <c r="BP468" s="121">
        <f>交易记录!W942</f>
        <v>0</v>
      </c>
      <c r="BQ468" s="30">
        <f t="shared" si="231"/>
        <v>0</v>
      </c>
    </row>
    <row r="469" spans="1:69" ht="15">
      <c r="A469" s="125">
        <f>'维护-日期'!A$22</f>
        <v>46285</v>
      </c>
      <c r="B469" s="7" t="s">
        <v>17</v>
      </c>
      <c r="C469" s="144">
        <f t="shared" si="232"/>
        <v>19.346</v>
      </c>
      <c r="D469" s="144">
        <f>ROUND(INDEX(持仓数据!$C$3:$AG$26,MATCH('计算过程-数据汇总'!B469,持仓数据!$B$3:$B$26,0),MATCH('计算过程-数据汇总'!A469,'维护-日期'!$B$2:$AF$2,0)),3)</f>
        <v>19.346</v>
      </c>
      <c r="E469" s="98">
        <f t="shared" si="233"/>
        <v>19.346</v>
      </c>
      <c r="F469" s="22">
        <f>持仓数据!V83</f>
        <v>0.13</v>
      </c>
      <c r="G469" s="97">
        <v>372</v>
      </c>
      <c r="H469" s="97">
        <v>372</v>
      </c>
      <c r="I469" s="64">
        <v>0</v>
      </c>
      <c r="J469" s="64">
        <v>0</v>
      </c>
      <c r="K469" s="21">
        <f>IF(持仓数据!V116="",0,持仓数据!V116)</f>
        <v>372</v>
      </c>
      <c r="L469" s="21">
        <f t="shared" si="234"/>
        <v>0</v>
      </c>
      <c r="M469" s="28">
        <f t="shared" si="218"/>
        <v>7196.7120000000004</v>
      </c>
      <c r="N469" s="28">
        <f t="shared" si="219"/>
        <v>0</v>
      </c>
      <c r="O469" s="28">
        <f t="shared" si="220"/>
        <v>0</v>
      </c>
      <c r="P469" s="28">
        <f t="shared" si="221"/>
        <v>0</v>
      </c>
      <c r="Q469" s="28">
        <f t="shared" si="235"/>
        <v>0</v>
      </c>
      <c r="R469" s="28">
        <f t="shared" si="222"/>
        <v>7196.7120000000004</v>
      </c>
      <c r="S469" s="28">
        <f t="shared" si="236"/>
        <v>0</v>
      </c>
      <c r="T469" s="28">
        <f t="shared" si="237"/>
        <v>0</v>
      </c>
      <c r="U469" s="28">
        <f t="shared" si="240"/>
        <v>0</v>
      </c>
      <c r="V469" s="28">
        <f t="shared" si="238"/>
        <v>0</v>
      </c>
      <c r="W469" s="118"/>
      <c r="X469" s="143">
        <f t="shared" si="239"/>
        <v>23.085000000000001</v>
      </c>
      <c r="Y469" s="121">
        <f>交易记录!W16</f>
        <v>0.13</v>
      </c>
      <c r="Z469" s="121">
        <f>交易记录!W47</f>
        <v>372</v>
      </c>
      <c r="AA469" s="30">
        <f t="shared" si="223"/>
        <v>0</v>
      </c>
      <c r="AB469" s="124">
        <f>交易记录!W80</f>
        <v>0</v>
      </c>
      <c r="AC469" s="124">
        <f>交易记录!W111</f>
        <v>0</v>
      </c>
      <c r="AD469" s="30">
        <f t="shared" si="212"/>
        <v>0</v>
      </c>
      <c r="AE469" s="121">
        <f>交易记录!W144</f>
        <v>0</v>
      </c>
      <c r="AF469" s="121">
        <f>交易记录!W175</f>
        <v>0</v>
      </c>
      <c r="AG469" s="30">
        <f t="shared" si="213"/>
        <v>0</v>
      </c>
      <c r="AH469" s="124">
        <f>交易记录!W208</f>
        <v>0</v>
      </c>
      <c r="AI469" s="124">
        <f>交易记录!W239</f>
        <v>0</v>
      </c>
      <c r="AJ469" s="30">
        <f t="shared" si="214"/>
        <v>0</v>
      </c>
      <c r="AK469" s="121">
        <f>交易记录!W272</f>
        <v>0</v>
      </c>
      <c r="AL469" s="121">
        <f>交易记录!W303</f>
        <v>0</v>
      </c>
      <c r="AM469" s="30">
        <f t="shared" si="215"/>
        <v>0</v>
      </c>
      <c r="AN469" s="124">
        <f>交易记录!W336</f>
        <v>0</v>
      </c>
      <c r="AO469" s="124">
        <f>交易记录!W367</f>
        <v>0</v>
      </c>
      <c r="AP469" s="30">
        <f t="shared" si="216"/>
        <v>0</v>
      </c>
      <c r="AQ469" s="121">
        <f>交易记录!W400</f>
        <v>0</v>
      </c>
      <c r="AR469" s="121">
        <f>交易记录!W431</f>
        <v>0</v>
      </c>
      <c r="AS469" s="30">
        <f t="shared" si="217"/>
        <v>0</v>
      </c>
      <c r="AT469" s="124">
        <f>交易记录!W464</f>
        <v>0</v>
      </c>
      <c r="AU469" s="124">
        <f>交易记录!W495</f>
        <v>0</v>
      </c>
      <c r="AV469" s="30">
        <f t="shared" si="224"/>
        <v>0</v>
      </c>
      <c r="AW469" s="121">
        <f>交易记录!W528</f>
        <v>0</v>
      </c>
      <c r="AX469" s="121">
        <f>交易记录!W559</f>
        <v>0</v>
      </c>
      <c r="AY469" s="30">
        <f t="shared" si="225"/>
        <v>0</v>
      </c>
      <c r="AZ469" s="124">
        <f>交易记录!W592</f>
        <v>0</v>
      </c>
      <c r="BA469" s="124">
        <f>交易记录!W623</f>
        <v>0</v>
      </c>
      <c r="BB469" s="30">
        <f t="shared" si="226"/>
        <v>0</v>
      </c>
      <c r="BC469" s="121">
        <f>交易记录!W656</f>
        <v>0</v>
      </c>
      <c r="BD469" s="121">
        <f>交易记录!W687</f>
        <v>0</v>
      </c>
      <c r="BE469" s="30">
        <f t="shared" si="227"/>
        <v>0</v>
      </c>
      <c r="BF469" s="124">
        <f>交易记录!W720</f>
        <v>0</v>
      </c>
      <c r="BG469" s="124">
        <f>交易记录!W751</f>
        <v>0</v>
      </c>
      <c r="BH469" s="30">
        <f t="shared" si="228"/>
        <v>0</v>
      </c>
      <c r="BI469" s="121">
        <f>交易记录!W784</f>
        <v>0</v>
      </c>
      <c r="BJ469" s="121">
        <f>交易记录!W815</f>
        <v>0</v>
      </c>
      <c r="BK469" s="30">
        <f t="shared" si="229"/>
        <v>0</v>
      </c>
      <c r="BL469" s="124">
        <f>交易记录!W848</f>
        <v>0</v>
      </c>
      <c r="BM469" s="124">
        <f>交易记录!W879</f>
        <v>0</v>
      </c>
      <c r="BN469" s="30">
        <f t="shared" si="230"/>
        <v>0</v>
      </c>
      <c r="BO469" s="121">
        <f>交易记录!W912</f>
        <v>0</v>
      </c>
      <c r="BP469" s="121">
        <f>交易记录!W943</f>
        <v>0</v>
      </c>
      <c r="BQ469" s="30">
        <f t="shared" si="231"/>
        <v>0</v>
      </c>
    </row>
    <row r="470" spans="1:69" ht="15">
      <c r="A470" s="125">
        <f>'维护-日期'!A$22</f>
        <v>46285</v>
      </c>
      <c r="B470" s="7" t="s">
        <v>18</v>
      </c>
      <c r="C470" s="144">
        <f t="shared" si="232"/>
        <v>20.166</v>
      </c>
      <c r="D470" s="144">
        <f>ROUND(INDEX(持仓数据!$C$3:$AG$26,MATCH('计算过程-数据汇总'!B470,持仓数据!$B$3:$B$26,0),MATCH('计算过程-数据汇总'!A470,'维护-日期'!$B$2:$AF$2,0)),3)</f>
        <v>20.166</v>
      </c>
      <c r="E470" s="98">
        <f t="shared" si="233"/>
        <v>20.166</v>
      </c>
      <c r="F470" s="22">
        <f>持仓数据!V84</f>
        <v>6.0999999999999999E-2</v>
      </c>
      <c r="G470" s="97">
        <v>372</v>
      </c>
      <c r="H470" s="97">
        <v>372</v>
      </c>
      <c r="I470" s="64">
        <v>0</v>
      </c>
      <c r="J470" s="64">
        <v>0</v>
      </c>
      <c r="K470" s="21">
        <f>IF(持仓数据!V117="",0,持仓数据!V117)</f>
        <v>372</v>
      </c>
      <c r="L470" s="21">
        <f t="shared" si="234"/>
        <v>0</v>
      </c>
      <c r="M470" s="28">
        <f t="shared" si="218"/>
        <v>7501.7520000000004</v>
      </c>
      <c r="N470" s="28">
        <f t="shared" si="219"/>
        <v>0</v>
      </c>
      <c r="O470" s="28">
        <f t="shared" si="220"/>
        <v>0</v>
      </c>
      <c r="P470" s="28">
        <f t="shared" si="221"/>
        <v>0</v>
      </c>
      <c r="Q470" s="28">
        <f t="shared" si="235"/>
        <v>0</v>
      </c>
      <c r="R470" s="28">
        <f t="shared" si="222"/>
        <v>7501.7520000000004</v>
      </c>
      <c r="S470" s="28">
        <f t="shared" si="236"/>
        <v>0</v>
      </c>
      <c r="T470" s="28">
        <f t="shared" si="237"/>
        <v>0</v>
      </c>
      <c r="U470" s="28">
        <f t="shared" si="240"/>
        <v>0</v>
      </c>
      <c r="V470" s="28">
        <f t="shared" si="238"/>
        <v>0</v>
      </c>
      <c r="W470" s="118"/>
      <c r="X470" s="143">
        <f t="shared" si="239"/>
        <v>24.138000000000002</v>
      </c>
      <c r="Y470" s="121">
        <f>交易记录!W17</f>
        <v>6.0999999999999999E-2</v>
      </c>
      <c r="Z470" s="121">
        <f>交易记录!W48</f>
        <v>372</v>
      </c>
      <c r="AA470" s="30">
        <f t="shared" si="223"/>
        <v>0</v>
      </c>
      <c r="AB470" s="124">
        <f>交易记录!W81</f>
        <v>0</v>
      </c>
      <c r="AC470" s="124">
        <f>交易记录!W112</f>
        <v>0</v>
      </c>
      <c r="AD470" s="30">
        <f t="shared" si="212"/>
        <v>0</v>
      </c>
      <c r="AE470" s="121">
        <f>交易记录!W145</f>
        <v>0</v>
      </c>
      <c r="AF470" s="121">
        <f>交易记录!W176</f>
        <v>0</v>
      </c>
      <c r="AG470" s="30">
        <f t="shared" si="213"/>
        <v>0</v>
      </c>
      <c r="AH470" s="124">
        <f>交易记录!W209</f>
        <v>0</v>
      </c>
      <c r="AI470" s="124">
        <f>交易记录!W240</f>
        <v>0</v>
      </c>
      <c r="AJ470" s="30">
        <f t="shared" si="214"/>
        <v>0</v>
      </c>
      <c r="AK470" s="121">
        <f>交易记录!W273</f>
        <v>0</v>
      </c>
      <c r="AL470" s="121">
        <f>交易记录!W304</f>
        <v>0</v>
      </c>
      <c r="AM470" s="30">
        <f t="shared" si="215"/>
        <v>0</v>
      </c>
      <c r="AN470" s="124">
        <f>交易记录!W337</f>
        <v>0</v>
      </c>
      <c r="AO470" s="124">
        <f>交易记录!W368</f>
        <v>0</v>
      </c>
      <c r="AP470" s="30">
        <f t="shared" si="216"/>
        <v>0</v>
      </c>
      <c r="AQ470" s="121">
        <f>交易记录!W401</f>
        <v>0</v>
      </c>
      <c r="AR470" s="121">
        <f>交易记录!W432</f>
        <v>0</v>
      </c>
      <c r="AS470" s="30">
        <f t="shared" si="217"/>
        <v>0</v>
      </c>
      <c r="AT470" s="124">
        <f>交易记录!W465</f>
        <v>0</v>
      </c>
      <c r="AU470" s="124">
        <f>交易记录!W496</f>
        <v>0</v>
      </c>
      <c r="AV470" s="30">
        <f t="shared" si="224"/>
        <v>0</v>
      </c>
      <c r="AW470" s="121">
        <f>交易记录!W529</f>
        <v>0</v>
      </c>
      <c r="AX470" s="121">
        <f>交易记录!W560</f>
        <v>0</v>
      </c>
      <c r="AY470" s="30">
        <f t="shared" si="225"/>
        <v>0</v>
      </c>
      <c r="AZ470" s="124">
        <f>交易记录!W593</f>
        <v>0</v>
      </c>
      <c r="BA470" s="124">
        <f>交易记录!W624</f>
        <v>0</v>
      </c>
      <c r="BB470" s="30">
        <f t="shared" si="226"/>
        <v>0</v>
      </c>
      <c r="BC470" s="121">
        <f>交易记录!W657</f>
        <v>0</v>
      </c>
      <c r="BD470" s="121">
        <f>交易记录!W688</f>
        <v>0</v>
      </c>
      <c r="BE470" s="30">
        <f t="shared" si="227"/>
        <v>0</v>
      </c>
      <c r="BF470" s="124">
        <f>交易记录!W721</f>
        <v>0</v>
      </c>
      <c r="BG470" s="124">
        <f>交易记录!W752</f>
        <v>0</v>
      </c>
      <c r="BH470" s="30">
        <f t="shared" si="228"/>
        <v>0</v>
      </c>
      <c r="BI470" s="121">
        <f>交易记录!W785</f>
        <v>0</v>
      </c>
      <c r="BJ470" s="121">
        <f>交易记录!W816</f>
        <v>0</v>
      </c>
      <c r="BK470" s="30">
        <f t="shared" si="229"/>
        <v>0</v>
      </c>
      <c r="BL470" s="124">
        <f>交易记录!W849</f>
        <v>0</v>
      </c>
      <c r="BM470" s="124">
        <f>交易记录!W880</f>
        <v>0</v>
      </c>
      <c r="BN470" s="30">
        <f t="shared" si="230"/>
        <v>0</v>
      </c>
      <c r="BO470" s="121">
        <f>交易记录!W913</f>
        <v>0</v>
      </c>
      <c r="BP470" s="121">
        <f>交易记录!W944</f>
        <v>0</v>
      </c>
      <c r="BQ470" s="30">
        <f t="shared" si="231"/>
        <v>0</v>
      </c>
    </row>
    <row r="471" spans="1:69" ht="15">
      <c r="A471" s="125">
        <f>'维护-日期'!A$22</f>
        <v>46285</v>
      </c>
      <c r="B471" s="7" t="s">
        <v>19</v>
      </c>
      <c r="C471" s="144">
        <f t="shared" si="232"/>
        <v>21.004999999999999</v>
      </c>
      <c r="D471" s="144">
        <f>ROUND(INDEX(持仓数据!$C$3:$AG$26,MATCH('计算过程-数据汇总'!B471,持仓数据!$B$3:$B$26,0),MATCH('计算过程-数据汇总'!A471,'维护-日期'!$B$2:$AF$2,0)),3)</f>
        <v>21.004999999999999</v>
      </c>
      <c r="E471" s="98">
        <f t="shared" si="233"/>
        <v>21.004999999999999</v>
      </c>
      <c r="F471" s="22">
        <f>持仓数据!V85</f>
        <v>8.1000000000000003E-2</v>
      </c>
      <c r="G471" s="97">
        <v>372</v>
      </c>
      <c r="H471" s="97">
        <v>372</v>
      </c>
      <c r="I471" s="64">
        <v>0</v>
      </c>
      <c r="J471" s="64">
        <v>0</v>
      </c>
      <c r="K471" s="21">
        <f>IF(持仓数据!V118="",0,持仓数据!V118)</f>
        <v>372</v>
      </c>
      <c r="L471" s="21">
        <f t="shared" si="234"/>
        <v>0</v>
      </c>
      <c r="M471" s="28">
        <f t="shared" si="218"/>
        <v>7813.86</v>
      </c>
      <c r="N471" s="28">
        <f t="shared" si="219"/>
        <v>0</v>
      </c>
      <c r="O471" s="28">
        <f t="shared" si="220"/>
        <v>0</v>
      </c>
      <c r="P471" s="28">
        <f t="shared" si="221"/>
        <v>0</v>
      </c>
      <c r="Q471" s="28">
        <f t="shared" si="235"/>
        <v>0</v>
      </c>
      <c r="R471" s="28">
        <f t="shared" si="222"/>
        <v>7813.86</v>
      </c>
      <c r="S471" s="28">
        <f t="shared" si="236"/>
        <v>0</v>
      </c>
      <c r="T471" s="28">
        <f t="shared" si="237"/>
        <v>0</v>
      </c>
      <c r="U471" s="28">
        <f t="shared" si="240"/>
        <v>0</v>
      </c>
      <c r="V471" s="28">
        <f t="shared" si="238"/>
        <v>0</v>
      </c>
      <c r="W471" s="118"/>
      <c r="X471" s="143">
        <f t="shared" si="239"/>
        <v>25.125</v>
      </c>
      <c r="Y471" s="121">
        <f>交易记录!W18</f>
        <v>8.1000000000000003E-2</v>
      </c>
      <c r="Z471" s="121">
        <f>交易记录!W49</f>
        <v>372</v>
      </c>
      <c r="AA471" s="30">
        <f t="shared" si="223"/>
        <v>0</v>
      </c>
      <c r="AB471" s="124">
        <f>交易记录!W82</f>
        <v>0</v>
      </c>
      <c r="AC471" s="124">
        <f>交易记录!W113</f>
        <v>0</v>
      </c>
      <c r="AD471" s="30">
        <f t="shared" si="212"/>
        <v>0</v>
      </c>
      <c r="AE471" s="121">
        <f>交易记录!W146</f>
        <v>0</v>
      </c>
      <c r="AF471" s="121">
        <f>交易记录!W177</f>
        <v>0</v>
      </c>
      <c r="AG471" s="30">
        <f t="shared" si="213"/>
        <v>0</v>
      </c>
      <c r="AH471" s="124">
        <f>交易记录!W210</f>
        <v>0</v>
      </c>
      <c r="AI471" s="124">
        <f>交易记录!W241</f>
        <v>0</v>
      </c>
      <c r="AJ471" s="30">
        <f t="shared" si="214"/>
        <v>0</v>
      </c>
      <c r="AK471" s="121">
        <f>交易记录!W274</f>
        <v>0</v>
      </c>
      <c r="AL471" s="121">
        <f>交易记录!W305</f>
        <v>0</v>
      </c>
      <c r="AM471" s="30">
        <f t="shared" si="215"/>
        <v>0</v>
      </c>
      <c r="AN471" s="124">
        <f>交易记录!W338</f>
        <v>0</v>
      </c>
      <c r="AO471" s="124">
        <f>交易记录!W369</f>
        <v>0</v>
      </c>
      <c r="AP471" s="30">
        <f t="shared" si="216"/>
        <v>0</v>
      </c>
      <c r="AQ471" s="121">
        <f>交易记录!W402</f>
        <v>0</v>
      </c>
      <c r="AR471" s="121">
        <f>交易记录!W433</f>
        <v>0</v>
      </c>
      <c r="AS471" s="30">
        <f t="shared" si="217"/>
        <v>0</v>
      </c>
      <c r="AT471" s="124">
        <f>交易记录!W466</f>
        <v>0</v>
      </c>
      <c r="AU471" s="124">
        <f>交易记录!W497</f>
        <v>0</v>
      </c>
      <c r="AV471" s="30">
        <f t="shared" si="224"/>
        <v>0</v>
      </c>
      <c r="AW471" s="121">
        <f>交易记录!W530</f>
        <v>0</v>
      </c>
      <c r="AX471" s="121">
        <f>交易记录!W561</f>
        <v>0</v>
      </c>
      <c r="AY471" s="30">
        <f t="shared" si="225"/>
        <v>0</v>
      </c>
      <c r="AZ471" s="124">
        <f>交易记录!W594</f>
        <v>0</v>
      </c>
      <c r="BA471" s="124">
        <f>交易记录!W625</f>
        <v>0</v>
      </c>
      <c r="BB471" s="30">
        <f t="shared" si="226"/>
        <v>0</v>
      </c>
      <c r="BC471" s="121">
        <f>交易记录!W658</f>
        <v>0</v>
      </c>
      <c r="BD471" s="121">
        <f>交易记录!W689</f>
        <v>0</v>
      </c>
      <c r="BE471" s="30">
        <f t="shared" si="227"/>
        <v>0</v>
      </c>
      <c r="BF471" s="124">
        <f>交易记录!W722</f>
        <v>0</v>
      </c>
      <c r="BG471" s="124">
        <f>交易记录!W753</f>
        <v>0</v>
      </c>
      <c r="BH471" s="30">
        <f t="shared" si="228"/>
        <v>0</v>
      </c>
      <c r="BI471" s="121">
        <f>交易记录!W786</f>
        <v>0</v>
      </c>
      <c r="BJ471" s="121">
        <f>交易记录!W817</f>
        <v>0</v>
      </c>
      <c r="BK471" s="30">
        <f t="shared" si="229"/>
        <v>0</v>
      </c>
      <c r="BL471" s="124">
        <f>交易记录!W850</f>
        <v>0</v>
      </c>
      <c r="BM471" s="124">
        <f>交易记录!W881</f>
        <v>0</v>
      </c>
      <c r="BN471" s="30">
        <f t="shared" si="230"/>
        <v>0</v>
      </c>
      <c r="BO471" s="121">
        <f>交易记录!W914</f>
        <v>0</v>
      </c>
      <c r="BP471" s="121">
        <f>交易记录!W945</f>
        <v>0</v>
      </c>
      <c r="BQ471" s="30">
        <f t="shared" si="231"/>
        <v>0</v>
      </c>
    </row>
    <row r="472" spans="1:69" ht="15">
      <c r="A472" s="125">
        <f>'维护-日期'!A$22</f>
        <v>46285</v>
      </c>
      <c r="B472" s="7" t="s">
        <v>20</v>
      </c>
      <c r="C472" s="144">
        <f t="shared" si="232"/>
        <v>20.777000000000001</v>
      </c>
      <c r="D472" s="144">
        <f>ROUND(INDEX(持仓数据!$C$3:$AG$26,MATCH('计算过程-数据汇总'!B472,持仓数据!$B$3:$B$26,0),MATCH('计算过程-数据汇总'!A472,'维护-日期'!$B$2:$AF$2,0)),3)</f>
        <v>20.777000000000001</v>
      </c>
      <c r="E472" s="98">
        <f t="shared" si="233"/>
        <v>20.777000000000001</v>
      </c>
      <c r="F472" s="22">
        <f>持仓数据!V86</f>
        <v>0.13</v>
      </c>
      <c r="G472" s="97">
        <v>372</v>
      </c>
      <c r="H472" s="97">
        <v>372</v>
      </c>
      <c r="I472" s="64">
        <v>0</v>
      </c>
      <c r="J472" s="64">
        <v>0</v>
      </c>
      <c r="K472" s="21">
        <f>IF(持仓数据!V119="",0,持仓数据!V119)</f>
        <v>372</v>
      </c>
      <c r="L472" s="21">
        <f t="shared" si="234"/>
        <v>0</v>
      </c>
      <c r="M472" s="28">
        <f t="shared" si="218"/>
        <v>7729.0440000000008</v>
      </c>
      <c r="N472" s="28">
        <f t="shared" si="219"/>
        <v>0</v>
      </c>
      <c r="O472" s="28">
        <f t="shared" si="220"/>
        <v>0</v>
      </c>
      <c r="P472" s="28">
        <f t="shared" si="221"/>
        <v>0</v>
      </c>
      <c r="Q472" s="28">
        <f t="shared" si="235"/>
        <v>0</v>
      </c>
      <c r="R472" s="28">
        <f t="shared" si="222"/>
        <v>7729.0440000000008</v>
      </c>
      <c r="S472" s="28">
        <f t="shared" si="236"/>
        <v>0</v>
      </c>
      <c r="T472" s="28">
        <f t="shared" si="237"/>
        <v>0</v>
      </c>
      <c r="U472" s="28">
        <f t="shared" si="240"/>
        <v>0</v>
      </c>
      <c r="V472" s="28">
        <f t="shared" si="238"/>
        <v>0</v>
      </c>
      <c r="W472" s="118"/>
      <c r="X472" s="143">
        <f t="shared" si="239"/>
        <v>24.802</v>
      </c>
      <c r="Y472" s="121">
        <f>交易记录!W19</f>
        <v>0.13</v>
      </c>
      <c r="Z472" s="121">
        <f>交易记录!W50</f>
        <v>372</v>
      </c>
      <c r="AA472" s="30">
        <f t="shared" si="223"/>
        <v>0</v>
      </c>
      <c r="AB472" s="124">
        <f>交易记录!W83</f>
        <v>0</v>
      </c>
      <c r="AC472" s="124">
        <f>交易记录!W114</f>
        <v>0</v>
      </c>
      <c r="AD472" s="30">
        <f t="shared" si="212"/>
        <v>0</v>
      </c>
      <c r="AE472" s="121">
        <f>交易记录!W147</f>
        <v>0</v>
      </c>
      <c r="AF472" s="121">
        <f>交易记录!W178</f>
        <v>0</v>
      </c>
      <c r="AG472" s="30">
        <f t="shared" si="213"/>
        <v>0</v>
      </c>
      <c r="AH472" s="124">
        <f>交易记录!W211</f>
        <v>0</v>
      </c>
      <c r="AI472" s="124">
        <f>交易记录!W242</f>
        <v>0</v>
      </c>
      <c r="AJ472" s="30">
        <f t="shared" si="214"/>
        <v>0</v>
      </c>
      <c r="AK472" s="121">
        <f>交易记录!W275</f>
        <v>0</v>
      </c>
      <c r="AL472" s="121">
        <f>交易记录!W306</f>
        <v>0</v>
      </c>
      <c r="AM472" s="30">
        <f t="shared" si="215"/>
        <v>0</v>
      </c>
      <c r="AN472" s="124">
        <f>交易记录!W339</f>
        <v>0</v>
      </c>
      <c r="AO472" s="124">
        <f>交易记录!W370</f>
        <v>0</v>
      </c>
      <c r="AP472" s="30">
        <f t="shared" si="216"/>
        <v>0</v>
      </c>
      <c r="AQ472" s="121">
        <f>交易记录!W403</f>
        <v>0</v>
      </c>
      <c r="AR472" s="121">
        <f>交易记录!W434</f>
        <v>0</v>
      </c>
      <c r="AS472" s="30">
        <f t="shared" si="217"/>
        <v>0</v>
      </c>
      <c r="AT472" s="124">
        <f>交易记录!W467</f>
        <v>0</v>
      </c>
      <c r="AU472" s="124">
        <f>交易记录!W498</f>
        <v>0</v>
      </c>
      <c r="AV472" s="30">
        <f t="shared" si="224"/>
        <v>0</v>
      </c>
      <c r="AW472" s="121">
        <f>交易记录!W531</f>
        <v>0</v>
      </c>
      <c r="AX472" s="121">
        <f>交易记录!W562</f>
        <v>0</v>
      </c>
      <c r="AY472" s="30">
        <f t="shared" si="225"/>
        <v>0</v>
      </c>
      <c r="AZ472" s="124">
        <f>交易记录!W595</f>
        <v>0</v>
      </c>
      <c r="BA472" s="124">
        <f>交易记录!W626</f>
        <v>0</v>
      </c>
      <c r="BB472" s="30">
        <f t="shared" si="226"/>
        <v>0</v>
      </c>
      <c r="BC472" s="121">
        <f>交易记录!W659</f>
        <v>0</v>
      </c>
      <c r="BD472" s="121">
        <f>交易记录!W690</f>
        <v>0</v>
      </c>
      <c r="BE472" s="30">
        <f t="shared" si="227"/>
        <v>0</v>
      </c>
      <c r="BF472" s="124">
        <f>交易记录!W723</f>
        <v>0</v>
      </c>
      <c r="BG472" s="124">
        <f>交易记录!W754</f>
        <v>0</v>
      </c>
      <c r="BH472" s="30">
        <f t="shared" si="228"/>
        <v>0</v>
      </c>
      <c r="BI472" s="121">
        <f>交易记录!W787</f>
        <v>0</v>
      </c>
      <c r="BJ472" s="121">
        <f>交易记录!W818</f>
        <v>0</v>
      </c>
      <c r="BK472" s="30">
        <f t="shared" si="229"/>
        <v>0</v>
      </c>
      <c r="BL472" s="124">
        <f>交易记录!W851</f>
        <v>0</v>
      </c>
      <c r="BM472" s="124">
        <f>交易记录!W882</f>
        <v>0</v>
      </c>
      <c r="BN472" s="30">
        <f t="shared" si="230"/>
        <v>0</v>
      </c>
      <c r="BO472" s="121">
        <f>交易记录!W915</f>
        <v>0</v>
      </c>
      <c r="BP472" s="121">
        <f>交易记录!W946</f>
        <v>0</v>
      </c>
      <c r="BQ472" s="30">
        <f t="shared" si="231"/>
        <v>0</v>
      </c>
    </row>
    <row r="473" spans="1:69" ht="15">
      <c r="A473" s="125">
        <f>'维护-日期'!A$22</f>
        <v>46285</v>
      </c>
      <c r="B473" s="7" t="s">
        <v>21</v>
      </c>
      <c r="C473" s="144">
        <f t="shared" si="232"/>
        <v>20.858000000000001</v>
      </c>
      <c r="D473" s="144">
        <f>ROUND(INDEX(持仓数据!$C$3:$AG$26,MATCH('计算过程-数据汇总'!B473,持仓数据!$B$3:$B$26,0),MATCH('计算过程-数据汇总'!A473,'维护-日期'!$B$2:$AF$2,0)),3)</f>
        <v>20.858000000000001</v>
      </c>
      <c r="E473" s="98">
        <f t="shared" si="233"/>
        <v>20.858000000000001</v>
      </c>
      <c r="F473" s="22">
        <f>持仓数据!V87</f>
        <v>0.13</v>
      </c>
      <c r="G473" s="97">
        <v>372</v>
      </c>
      <c r="H473" s="97">
        <v>372</v>
      </c>
      <c r="I473" s="64">
        <v>0</v>
      </c>
      <c r="J473" s="64">
        <v>0</v>
      </c>
      <c r="K473" s="21">
        <f>IF(持仓数据!V120="",0,持仓数据!V120)</f>
        <v>372</v>
      </c>
      <c r="L473" s="21">
        <f t="shared" si="234"/>
        <v>0</v>
      </c>
      <c r="M473" s="28">
        <f t="shared" si="218"/>
        <v>7759.1760000000004</v>
      </c>
      <c r="N473" s="28">
        <f t="shared" si="219"/>
        <v>0</v>
      </c>
      <c r="O473" s="28">
        <f t="shared" si="220"/>
        <v>0</v>
      </c>
      <c r="P473" s="28">
        <f t="shared" si="221"/>
        <v>0</v>
      </c>
      <c r="Q473" s="28">
        <f t="shared" si="235"/>
        <v>0</v>
      </c>
      <c r="R473" s="28">
        <f t="shared" si="222"/>
        <v>7759.1760000000004</v>
      </c>
      <c r="S473" s="28">
        <f t="shared" si="236"/>
        <v>0</v>
      </c>
      <c r="T473" s="28">
        <f t="shared" si="237"/>
        <v>0</v>
      </c>
      <c r="U473" s="28">
        <f t="shared" si="240"/>
        <v>0</v>
      </c>
      <c r="V473" s="28">
        <f t="shared" si="238"/>
        <v>0</v>
      </c>
      <c r="W473" s="118"/>
      <c r="X473" s="143">
        <f t="shared" si="239"/>
        <v>24.9</v>
      </c>
      <c r="Y473" s="121">
        <f>交易记录!W20</f>
        <v>0.13</v>
      </c>
      <c r="Z473" s="121">
        <f>交易记录!W51</f>
        <v>372</v>
      </c>
      <c r="AA473" s="30">
        <f t="shared" si="223"/>
        <v>0</v>
      </c>
      <c r="AB473" s="124">
        <f>交易记录!W84</f>
        <v>0</v>
      </c>
      <c r="AC473" s="124">
        <f>交易记录!W115</f>
        <v>0</v>
      </c>
      <c r="AD473" s="30">
        <f t="shared" si="212"/>
        <v>0</v>
      </c>
      <c r="AE473" s="121">
        <f>交易记录!W148</f>
        <v>0</v>
      </c>
      <c r="AF473" s="121">
        <f>交易记录!W179</f>
        <v>0</v>
      </c>
      <c r="AG473" s="30">
        <f t="shared" si="213"/>
        <v>0</v>
      </c>
      <c r="AH473" s="124">
        <f>交易记录!W212</f>
        <v>0</v>
      </c>
      <c r="AI473" s="124">
        <f>交易记录!W243</f>
        <v>0</v>
      </c>
      <c r="AJ473" s="30">
        <f t="shared" si="214"/>
        <v>0</v>
      </c>
      <c r="AK473" s="121">
        <f>交易记录!W276</f>
        <v>0</v>
      </c>
      <c r="AL473" s="121">
        <f>交易记录!W307</f>
        <v>0</v>
      </c>
      <c r="AM473" s="30">
        <f t="shared" si="215"/>
        <v>0</v>
      </c>
      <c r="AN473" s="124">
        <f>交易记录!W340</f>
        <v>0</v>
      </c>
      <c r="AO473" s="124">
        <f>交易记录!W371</f>
        <v>0</v>
      </c>
      <c r="AP473" s="30">
        <f t="shared" si="216"/>
        <v>0</v>
      </c>
      <c r="AQ473" s="121">
        <f>交易记录!W404</f>
        <v>0</v>
      </c>
      <c r="AR473" s="121">
        <f>交易记录!W435</f>
        <v>0</v>
      </c>
      <c r="AS473" s="30">
        <f t="shared" si="217"/>
        <v>0</v>
      </c>
      <c r="AT473" s="124">
        <f>交易记录!W468</f>
        <v>0</v>
      </c>
      <c r="AU473" s="124">
        <f>交易记录!W499</f>
        <v>0</v>
      </c>
      <c r="AV473" s="30">
        <f t="shared" si="224"/>
        <v>0</v>
      </c>
      <c r="AW473" s="121">
        <f>交易记录!W532</f>
        <v>0</v>
      </c>
      <c r="AX473" s="121">
        <f>交易记录!W563</f>
        <v>0</v>
      </c>
      <c r="AY473" s="30">
        <f t="shared" si="225"/>
        <v>0</v>
      </c>
      <c r="AZ473" s="124">
        <f>交易记录!W596</f>
        <v>0</v>
      </c>
      <c r="BA473" s="124">
        <f>交易记录!W627</f>
        <v>0</v>
      </c>
      <c r="BB473" s="30">
        <f t="shared" si="226"/>
        <v>0</v>
      </c>
      <c r="BC473" s="121">
        <f>交易记录!W660</f>
        <v>0</v>
      </c>
      <c r="BD473" s="121">
        <f>交易记录!W691</f>
        <v>0</v>
      </c>
      <c r="BE473" s="30">
        <f t="shared" si="227"/>
        <v>0</v>
      </c>
      <c r="BF473" s="124">
        <f>交易记录!W724</f>
        <v>0</v>
      </c>
      <c r="BG473" s="124">
        <f>交易记录!W755</f>
        <v>0</v>
      </c>
      <c r="BH473" s="30">
        <f t="shared" si="228"/>
        <v>0</v>
      </c>
      <c r="BI473" s="121">
        <f>交易记录!W788</f>
        <v>0</v>
      </c>
      <c r="BJ473" s="121">
        <f>交易记录!W819</f>
        <v>0</v>
      </c>
      <c r="BK473" s="30">
        <f t="shared" si="229"/>
        <v>0</v>
      </c>
      <c r="BL473" s="124">
        <f>交易记录!W852</f>
        <v>0</v>
      </c>
      <c r="BM473" s="124">
        <f>交易记录!W883</f>
        <v>0</v>
      </c>
      <c r="BN473" s="30">
        <f t="shared" si="230"/>
        <v>0</v>
      </c>
      <c r="BO473" s="121">
        <f>交易记录!W916</f>
        <v>0</v>
      </c>
      <c r="BP473" s="121">
        <f>交易记录!W947</f>
        <v>0</v>
      </c>
      <c r="BQ473" s="30">
        <f t="shared" si="231"/>
        <v>0</v>
      </c>
    </row>
    <row r="474" spans="1:69" ht="15">
      <c r="A474" s="125">
        <f>'维护-日期'!A$22</f>
        <v>46285</v>
      </c>
      <c r="B474" s="7" t="s">
        <v>22</v>
      </c>
      <c r="C474" s="144">
        <f t="shared" si="232"/>
        <v>21.905999999999999</v>
      </c>
      <c r="D474" s="144">
        <f>ROUND(INDEX(持仓数据!$C$3:$AG$26,MATCH('计算过程-数据汇总'!B474,持仓数据!$B$3:$B$26,0),MATCH('计算过程-数据汇总'!A474,'维护-日期'!$B$2:$AF$2,0)),3)</f>
        <v>21.905999999999999</v>
      </c>
      <c r="E474" s="98">
        <f t="shared" si="233"/>
        <v>21.905999999999999</v>
      </c>
      <c r="F474" s="22">
        <f>持仓数据!V88</f>
        <v>0.10200000000000001</v>
      </c>
      <c r="G474" s="97">
        <v>372</v>
      </c>
      <c r="H474" s="97">
        <v>372</v>
      </c>
      <c r="I474" s="64">
        <v>0</v>
      </c>
      <c r="J474" s="64">
        <v>0</v>
      </c>
      <c r="K474" s="21">
        <f>IF(持仓数据!V121="",0,持仓数据!V121)</f>
        <v>372</v>
      </c>
      <c r="L474" s="21">
        <f t="shared" si="234"/>
        <v>0</v>
      </c>
      <c r="M474" s="28">
        <f t="shared" si="218"/>
        <v>8149.0319999999992</v>
      </c>
      <c r="N474" s="28">
        <f t="shared" si="219"/>
        <v>0</v>
      </c>
      <c r="O474" s="28">
        <f t="shared" si="220"/>
        <v>0</v>
      </c>
      <c r="P474" s="28">
        <f t="shared" si="221"/>
        <v>0</v>
      </c>
      <c r="Q474" s="28">
        <f t="shared" si="235"/>
        <v>0</v>
      </c>
      <c r="R474" s="28">
        <f t="shared" si="222"/>
        <v>8149.0319999999992</v>
      </c>
      <c r="S474" s="28">
        <f t="shared" si="236"/>
        <v>0</v>
      </c>
      <c r="T474" s="28">
        <f t="shared" si="237"/>
        <v>0</v>
      </c>
      <c r="U474" s="28">
        <f t="shared" si="240"/>
        <v>0</v>
      </c>
      <c r="V474" s="28">
        <f t="shared" si="238"/>
        <v>0</v>
      </c>
      <c r="W474" s="118"/>
      <c r="X474" s="143">
        <f t="shared" si="239"/>
        <v>26.184999999999999</v>
      </c>
      <c r="Y474" s="121">
        <f>交易记录!W21</f>
        <v>0.10200000000000001</v>
      </c>
      <c r="Z474" s="121">
        <f>交易记录!W52</f>
        <v>372</v>
      </c>
      <c r="AA474" s="30">
        <f t="shared" si="223"/>
        <v>0</v>
      </c>
      <c r="AB474" s="124">
        <f>交易记录!W85</f>
        <v>0</v>
      </c>
      <c r="AC474" s="124">
        <f>交易记录!W116</f>
        <v>0</v>
      </c>
      <c r="AD474" s="30">
        <f t="shared" si="212"/>
        <v>0</v>
      </c>
      <c r="AE474" s="121">
        <f>交易记录!W149</f>
        <v>0</v>
      </c>
      <c r="AF474" s="121">
        <f>交易记录!W180</f>
        <v>0</v>
      </c>
      <c r="AG474" s="30">
        <f t="shared" si="213"/>
        <v>0</v>
      </c>
      <c r="AH474" s="124">
        <f>交易记录!W213</f>
        <v>0</v>
      </c>
      <c r="AI474" s="124">
        <f>交易记录!W244</f>
        <v>0</v>
      </c>
      <c r="AJ474" s="30">
        <f t="shared" si="214"/>
        <v>0</v>
      </c>
      <c r="AK474" s="121">
        <f>交易记录!W277</f>
        <v>0</v>
      </c>
      <c r="AL474" s="121">
        <f>交易记录!W308</f>
        <v>0</v>
      </c>
      <c r="AM474" s="30">
        <f t="shared" si="215"/>
        <v>0</v>
      </c>
      <c r="AN474" s="124">
        <f>交易记录!W341</f>
        <v>0</v>
      </c>
      <c r="AO474" s="124">
        <f>交易记录!W372</f>
        <v>0</v>
      </c>
      <c r="AP474" s="30">
        <f t="shared" si="216"/>
        <v>0</v>
      </c>
      <c r="AQ474" s="121">
        <f>交易记录!W405</f>
        <v>0</v>
      </c>
      <c r="AR474" s="121">
        <f>交易记录!W436</f>
        <v>0</v>
      </c>
      <c r="AS474" s="30">
        <f t="shared" si="217"/>
        <v>0</v>
      </c>
      <c r="AT474" s="124">
        <f>交易记录!W469</f>
        <v>0</v>
      </c>
      <c r="AU474" s="124">
        <f>交易记录!W500</f>
        <v>0</v>
      </c>
      <c r="AV474" s="30">
        <f t="shared" si="224"/>
        <v>0</v>
      </c>
      <c r="AW474" s="121">
        <f>交易记录!W533</f>
        <v>0</v>
      </c>
      <c r="AX474" s="121">
        <f>交易记录!W564</f>
        <v>0</v>
      </c>
      <c r="AY474" s="30">
        <f t="shared" si="225"/>
        <v>0</v>
      </c>
      <c r="AZ474" s="124">
        <f>交易记录!W597</f>
        <v>0</v>
      </c>
      <c r="BA474" s="124">
        <f>交易记录!W628</f>
        <v>0</v>
      </c>
      <c r="BB474" s="30">
        <f t="shared" si="226"/>
        <v>0</v>
      </c>
      <c r="BC474" s="121">
        <f>交易记录!W661</f>
        <v>0</v>
      </c>
      <c r="BD474" s="121">
        <f>交易记录!W692</f>
        <v>0</v>
      </c>
      <c r="BE474" s="30">
        <f t="shared" si="227"/>
        <v>0</v>
      </c>
      <c r="BF474" s="124">
        <f>交易记录!W725</f>
        <v>0</v>
      </c>
      <c r="BG474" s="124">
        <f>交易记录!W756</f>
        <v>0</v>
      </c>
      <c r="BH474" s="30">
        <f t="shared" si="228"/>
        <v>0</v>
      </c>
      <c r="BI474" s="121">
        <f>交易记录!W789</f>
        <v>0</v>
      </c>
      <c r="BJ474" s="121">
        <f>交易记录!W820</f>
        <v>0</v>
      </c>
      <c r="BK474" s="30">
        <f t="shared" si="229"/>
        <v>0</v>
      </c>
      <c r="BL474" s="124">
        <f>交易记录!W853</f>
        <v>0</v>
      </c>
      <c r="BM474" s="124">
        <f>交易记录!W884</f>
        <v>0</v>
      </c>
      <c r="BN474" s="30">
        <f t="shared" si="230"/>
        <v>0</v>
      </c>
      <c r="BO474" s="121">
        <f>交易记录!W917</f>
        <v>0</v>
      </c>
      <c r="BP474" s="121">
        <f>交易记录!W948</f>
        <v>0</v>
      </c>
      <c r="BQ474" s="30">
        <f t="shared" si="231"/>
        <v>0</v>
      </c>
    </row>
    <row r="475" spans="1:69" ht="15">
      <c r="A475" s="125">
        <f>'维护-日期'!A$22</f>
        <v>46285</v>
      </c>
      <c r="B475" s="7" t="s">
        <v>23</v>
      </c>
      <c r="C475" s="144">
        <f t="shared" si="232"/>
        <v>22.69</v>
      </c>
      <c r="D475" s="144">
        <f>ROUND(INDEX(持仓数据!$C$3:$AG$26,MATCH('计算过程-数据汇总'!B475,持仓数据!$B$3:$B$26,0),MATCH('计算过程-数据汇总'!A475,'维护-日期'!$B$2:$AF$2,0)),3)</f>
        <v>22.69</v>
      </c>
      <c r="E475" s="98">
        <f t="shared" si="233"/>
        <v>22.69</v>
      </c>
      <c r="F475" s="22">
        <f>持仓数据!V89</f>
        <v>0.127</v>
      </c>
      <c r="G475" s="97">
        <v>372</v>
      </c>
      <c r="H475" s="97">
        <v>372</v>
      </c>
      <c r="I475" s="64">
        <v>0</v>
      </c>
      <c r="J475" s="64">
        <v>0</v>
      </c>
      <c r="K475" s="21">
        <f>IF(持仓数据!V122="",0,持仓数据!V122)</f>
        <v>372</v>
      </c>
      <c r="L475" s="21">
        <f t="shared" si="234"/>
        <v>0</v>
      </c>
      <c r="M475" s="28">
        <f t="shared" si="218"/>
        <v>8440.68</v>
      </c>
      <c r="N475" s="28">
        <f t="shared" si="219"/>
        <v>0</v>
      </c>
      <c r="O475" s="28">
        <f t="shared" si="220"/>
        <v>0</v>
      </c>
      <c r="P475" s="28">
        <f t="shared" si="221"/>
        <v>0</v>
      </c>
      <c r="Q475" s="28">
        <f t="shared" si="235"/>
        <v>0</v>
      </c>
      <c r="R475" s="28">
        <f t="shared" si="222"/>
        <v>8440.68</v>
      </c>
      <c r="S475" s="28">
        <f t="shared" si="236"/>
        <v>0</v>
      </c>
      <c r="T475" s="28">
        <f t="shared" si="237"/>
        <v>0</v>
      </c>
      <c r="U475" s="28">
        <f t="shared" si="240"/>
        <v>0</v>
      </c>
      <c r="V475" s="28">
        <f t="shared" si="238"/>
        <v>0</v>
      </c>
      <c r="W475" s="118"/>
      <c r="X475" s="143">
        <f t="shared" si="239"/>
        <v>27.100999999999999</v>
      </c>
      <c r="Y475" s="121">
        <f>交易记录!W22</f>
        <v>0.127</v>
      </c>
      <c r="Z475" s="121">
        <f>交易记录!W53</f>
        <v>372</v>
      </c>
      <c r="AA475" s="30">
        <f t="shared" si="223"/>
        <v>0</v>
      </c>
      <c r="AB475" s="124">
        <f>交易记录!W86</f>
        <v>0</v>
      </c>
      <c r="AC475" s="124">
        <f>交易记录!W117</f>
        <v>0</v>
      </c>
      <c r="AD475" s="30">
        <f t="shared" ref="AD475:AD538" si="241">IFERROR((AC475-$G475)*AB475,0)</f>
        <v>0</v>
      </c>
      <c r="AE475" s="121">
        <f>交易记录!W150</f>
        <v>0</v>
      </c>
      <c r="AF475" s="121">
        <f>交易记录!W181</f>
        <v>0</v>
      </c>
      <c r="AG475" s="30">
        <f t="shared" ref="AG475:AG538" si="242">IFERROR((AF475-$G475)*AE475,0)</f>
        <v>0</v>
      </c>
      <c r="AH475" s="124">
        <f>交易记录!W214</f>
        <v>0</v>
      </c>
      <c r="AI475" s="124">
        <f>交易记录!W245</f>
        <v>0</v>
      </c>
      <c r="AJ475" s="30">
        <f t="shared" ref="AJ475:AJ538" si="243">IFERROR((AI475-$G475)*AH475,0)</f>
        <v>0</v>
      </c>
      <c r="AK475" s="121">
        <f>交易记录!W278</f>
        <v>0</v>
      </c>
      <c r="AL475" s="121">
        <f>交易记录!W309</f>
        <v>0</v>
      </c>
      <c r="AM475" s="30">
        <f t="shared" ref="AM475:AM538" si="244">IFERROR((AL475-$G475)*AK475,0)</f>
        <v>0</v>
      </c>
      <c r="AN475" s="124">
        <f>交易记录!W342</f>
        <v>0</v>
      </c>
      <c r="AO475" s="124">
        <f>交易记录!W373</f>
        <v>0</v>
      </c>
      <c r="AP475" s="30">
        <f t="shared" ref="AP475:AP538" si="245">IFERROR((AO475-$G475)*AN475,0)</f>
        <v>0</v>
      </c>
      <c r="AQ475" s="121">
        <f>交易记录!W406</f>
        <v>0</v>
      </c>
      <c r="AR475" s="121">
        <f>交易记录!W437</f>
        <v>0</v>
      </c>
      <c r="AS475" s="30">
        <f t="shared" ref="AS475:AS538" si="246">IFERROR((AR475-$G475)*AQ475,0)</f>
        <v>0</v>
      </c>
      <c r="AT475" s="124">
        <f>交易记录!W470</f>
        <v>0</v>
      </c>
      <c r="AU475" s="124">
        <f>交易记录!W501</f>
        <v>0</v>
      </c>
      <c r="AV475" s="30">
        <f t="shared" si="224"/>
        <v>0</v>
      </c>
      <c r="AW475" s="121">
        <f>交易记录!W534</f>
        <v>0</v>
      </c>
      <c r="AX475" s="121">
        <f>交易记录!W565</f>
        <v>0</v>
      </c>
      <c r="AY475" s="30">
        <f t="shared" si="225"/>
        <v>0</v>
      </c>
      <c r="AZ475" s="124">
        <f>交易记录!W598</f>
        <v>0</v>
      </c>
      <c r="BA475" s="124">
        <f>交易记录!W629</f>
        <v>0</v>
      </c>
      <c r="BB475" s="30">
        <f t="shared" si="226"/>
        <v>0</v>
      </c>
      <c r="BC475" s="121">
        <f>交易记录!W662</f>
        <v>0</v>
      </c>
      <c r="BD475" s="121">
        <f>交易记录!W693</f>
        <v>0</v>
      </c>
      <c r="BE475" s="30">
        <f t="shared" si="227"/>
        <v>0</v>
      </c>
      <c r="BF475" s="124">
        <f>交易记录!W726</f>
        <v>0</v>
      </c>
      <c r="BG475" s="124">
        <f>交易记录!W757</f>
        <v>0</v>
      </c>
      <c r="BH475" s="30">
        <f t="shared" si="228"/>
        <v>0</v>
      </c>
      <c r="BI475" s="121">
        <f>交易记录!W790</f>
        <v>0</v>
      </c>
      <c r="BJ475" s="121">
        <f>交易记录!W821</f>
        <v>0</v>
      </c>
      <c r="BK475" s="30">
        <f t="shared" si="229"/>
        <v>0</v>
      </c>
      <c r="BL475" s="124">
        <f>交易记录!W854</f>
        <v>0</v>
      </c>
      <c r="BM475" s="124">
        <f>交易记录!W885</f>
        <v>0</v>
      </c>
      <c r="BN475" s="30">
        <f t="shared" si="230"/>
        <v>0</v>
      </c>
      <c r="BO475" s="121">
        <f>交易记录!W918</f>
        <v>0</v>
      </c>
      <c r="BP475" s="121">
        <f>交易记录!W949</f>
        <v>0</v>
      </c>
      <c r="BQ475" s="30">
        <f t="shared" si="231"/>
        <v>0</v>
      </c>
    </row>
    <row r="476" spans="1:69" ht="15">
      <c r="A476" s="125">
        <f>'维护-日期'!A$22</f>
        <v>46285</v>
      </c>
      <c r="B476" s="7" t="s">
        <v>24</v>
      </c>
      <c r="C476" s="144">
        <f t="shared" si="232"/>
        <v>23.346</v>
      </c>
      <c r="D476" s="144">
        <f>ROUND(INDEX(持仓数据!$C$3:$AG$26,MATCH('计算过程-数据汇总'!B476,持仓数据!$B$3:$B$26,0),MATCH('计算过程-数据汇总'!A476,'维护-日期'!$B$2:$AF$2,0)),3)</f>
        <v>23.346</v>
      </c>
      <c r="E476" s="98">
        <f t="shared" si="233"/>
        <v>23.346</v>
      </c>
      <c r="F476" s="22">
        <f>持仓数据!V90</f>
        <v>0.128</v>
      </c>
      <c r="G476" s="97">
        <v>372</v>
      </c>
      <c r="H476" s="97">
        <v>372</v>
      </c>
      <c r="I476" s="64">
        <v>0</v>
      </c>
      <c r="J476" s="64">
        <v>0</v>
      </c>
      <c r="K476" s="21">
        <f>IF(持仓数据!V123="",0,持仓数据!V123)</f>
        <v>372</v>
      </c>
      <c r="L476" s="21">
        <f t="shared" si="234"/>
        <v>0</v>
      </c>
      <c r="M476" s="28">
        <f t="shared" si="218"/>
        <v>8684.7119999999995</v>
      </c>
      <c r="N476" s="28">
        <f t="shared" si="219"/>
        <v>0</v>
      </c>
      <c r="O476" s="28">
        <f t="shared" si="220"/>
        <v>0</v>
      </c>
      <c r="P476" s="28">
        <f t="shared" si="221"/>
        <v>0</v>
      </c>
      <c r="Q476" s="28">
        <f t="shared" si="235"/>
        <v>0</v>
      </c>
      <c r="R476" s="28">
        <f t="shared" si="222"/>
        <v>8684.7119999999995</v>
      </c>
      <c r="S476" s="28">
        <f t="shared" si="236"/>
        <v>0</v>
      </c>
      <c r="T476" s="28">
        <f t="shared" si="237"/>
        <v>0</v>
      </c>
      <c r="U476" s="28">
        <f t="shared" si="240"/>
        <v>0</v>
      </c>
      <c r="V476" s="28">
        <f t="shared" si="238"/>
        <v>0</v>
      </c>
      <c r="W476" s="118"/>
      <c r="X476" s="143">
        <f t="shared" si="239"/>
        <v>27.887</v>
      </c>
      <c r="Y476" s="121">
        <f>交易记录!W23</f>
        <v>0.128</v>
      </c>
      <c r="Z476" s="121">
        <f>交易记录!W54</f>
        <v>372</v>
      </c>
      <c r="AA476" s="30">
        <f t="shared" si="223"/>
        <v>0</v>
      </c>
      <c r="AB476" s="124">
        <f>交易记录!W87</f>
        <v>0</v>
      </c>
      <c r="AC476" s="124">
        <f>交易记录!W118</f>
        <v>0</v>
      </c>
      <c r="AD476" s="30">
        <f t="shared" si="241"/>
        <v>0</v>
      </c>
      <c r="AE476" s="121">
        <f>交易记录!W151</f>
        <v>0</v>
      </c>
      <c r="AF476" s="121">
        <f>交易记录!W182</f>
        <v>0</v>
      </c>
      <c r="AG476" s="30">
        <f t="shared" si="242"/>
        <v>0</v>
      </c>
      <c r="AH476" s="124">
        <f>交易记录!W215</f>
        <v>0</v>
      </c>
      <c r="AI476" s="124">
        <f>交易记录!W246</f>
        <v>0</v>
      </c>
      <c r="AJ476" s="30">
        <f t="shared" si="243"/>
        <v>0</v>
      </c>
      <c r="AK476" s="121">
        <f>交易记录!W279</f>
        <v>0</v>
      </c>
      <c r="AL476" s="121">
        <f>交易记录!W310</f>
        <v>0</v>
      </c>
      <c r="AM476" s="30">
        <f t="shared" si="244"/>
        <v>0</v>
      </c>
      <c r="AN476" s="124">
        <f>交易记录!W343</f>
        <v>0</v>
      </c>
      <c r="AO476" s="124">
        <f>交易记录!W374</f>
        <v>0</v>
      </c>
      <c r="AP476" s="30">
        <f t="shared" si="245"/>
        <v>0</v>
      </c>
      <c r="AQ476" s="121">
        <f>交易记录!W407</f>
        <v>0</v>
      </c>
      <c r="AR476" s="121">
        <f>交易记录!W438</f>
        <v>0</v>
      </c>
      <c r="AS476" s="30">
        <f t="shared" si="246"/>
        <v>0</v>
      </c>
      <c r="AT476" s="124">
        <f>交易记录!W471</f>
        <v>0</v>
      </c>
      <c r="AU476" s="124">
        <f>交易记录!W502</f>
        <v>0</v>
      </c>
      <c r="AV476" s="30">
        <f t="shared" si="224"/>
        <v>0</v>
      </c>
      <c r="AW476" s="121">
        <f>交易记录!W535</f>
        <v>0</v>
      </c>
      <c r="AX476" s="121">
        <f>交易记录!W566</f>
        <v>0</v>
      </c>
      <c r="AY476" s="30">
        <f t="shared" si="225"/>
        <v>0</v>
      </c>
      <c r="AZ476" s="124">
        <f>交易记录!W599</f>
        <v>0</v>
      </c>
      <c r="BA476" s="124">
        <f>交易记录!W630</f>
        <v>0</v>
      </c>
      <c r="BB476" s="30">
        <f t="shared" si="226"/>
        <v>0</v>
      </c>
      <c r="BC476" s="121">
        <f>交易记录!W663</f>
        <v>0</v>
      </c>
      <c r="BD476" s="121">
        <f>交易记录!W694</f>
        <v>0</v>
      </c>
      <c r="BE476" s="30">
        <f t="shared" si="227"/>
        <v>0</v>
      </c>
      <c r="BF476" s="124">
        <f>交易记录!W727</f>
        <v>0</v>
      </c>
      <c r="BG476" s="124">
        <f>交易记录!W758</f>
        <v>0</v>
      </c>
      <c r="BH476" s="30">
        <f t="shared" si="228"/>
        <v>0</v>
      </c>
      <c r="BI476" s="121">
        <f>交易记录!W791</f>
        <v>0</v>
      </c>
      <c r="BJ476" s="121">
        <f>交易记录!W822</f>
        <v>0</v>
      </c>
      <c r="BK476" s="30">
        <f t="shared" si="229"/>
        <v>0</v>
      </c>
      <c r="BL476" s="124">
        <f>交易记录!W855</f>
        <v>0</v>
      </c>
      <c r="BM476" s="124">
        <f>交易记录!W886</f>
        <v>0</v>
      </c>
      <c r="BN476" s="30">
        <f t="shared" si="230"/>
        <v>0</v>
      </c>
      <c r="BO476" s="121">
        <f>交易记录!W919</f>
        <v>0</v>
      </c>
      <c r="BP476" s="121">
        <f>交易记录!W950</f>
        <v>0</v>
      </c>
      <c r="BQ476" s="30">
        <f t="shared" si="231"/>
        <v>0</v>
      </c>
    </row>
    <row r="477" spans="1:69" ht="15">
      <c r="A477" s="125">
        <f>'维护-日期'!A$22</f>
        <v>46285</v>
      </c>
      <c r="B477" s="7" t="s">
        <v>25</v>
      </c>
      <c r="C477" s="144">
        <f t="shared" si="232"/>
        <v>23.771999999999998</v>
      </c>
      <c r="D477" s="144">
        <f>ROUND(INDEX(持仓数据!$C$3:$AG$26,MATCH('计算过程-数据汇总'!B477,持仓数据!$B$3:$B$26,0),MATCH('计算过程-数据汇总'!A477,'维护-日期'!$B$2:$AF$2,0)),3)</f>
        <v>23.771999999999998</v>
      </c>
      <c r="E477" s="98">
        <f t="shared" si="233"/>
        <v>23.771999999999998</v>
      </c>
      <c r="F477" s="22">
        <f>持仓数据!V91</f>
        <v>0.22399999999999998</v>
      </c>
      <c r="G477" s="97">
        <v>372</v>
      </c>
      <c r="H477" s="97">
        <v>372</v>
      </c>
      <c r="I477" s="64">
        <v>0</v>
      </c>
      <c r="J477" s="64">
        <v>0</v>
      </c>
      <c r="K477" s="21">
        <f>IF(持仓数据!V124="",0,持仓数据!V124)</f>
        <v>372</v>
      </c>
      <c r="L477" s="21">
        <f t="shared" si="234"/>
        <v>0</v>
      </c>
      <c r="M477" s="28">
        <f t="shared" si="218"/>
        <v>8843.1839999999993</v>
      </c>
      <c r="N477" s="28">
        <f t="shared" si="219"/>
        <v>0</v>
      </c>
      <c r="O477" s="28">
        <f t="shared" si="220"/>
        <v>0</v>
      </c>
      <c r="P477" s="28">
        <f t="shared" si="221"/>
        <v>0</v>
      </c>
      <c r="Q477" s="28">
        <f t="shared" si="235"/>
        <v>0</v>
      </c>
      <c r="R477" s="28">
        <f t="shared" si="222"/>
        <v>8843.1839999999993</v>
      </c>
      <c r="S477" s="28">
        <f t="shared" si="236"/>
        <v>0</v>
      </c>
      <c r="T477" s="28">
        <f t="shared" si="237"/>
        <v>0</v>
      </c>
      <c r="U477" s="28">
        <f t="shared" si="240"/>
        <v>0</v>
      </c>
      <c r="V477" s="28">
        <f t="shared" si="238"/>
        <v>0</v>
      </c>
      <c r="W477" s="118"/>
      <c r="X477" s="143">
        <f t="shared" si="239"/>
        <v>28.302</v>
      </c>
      <c r="Y477" s="121">
        <f>交易记录!W24</f>
        <v>0.22399999999999998</v>
      </c>
      <c r="Z477" s="121">
        <f>交易记录!W55</f>
        <v>372</v>
      </c>
      <c r="AA477" s="30">
        <f t="shared" si="223"/>
        <v>0</v>
      </c>
      <c r="AB477" s="124">
        <f>交易记录!W88</f>
        <v>0</v>
      </c>
      <c r="AC477" s="124">
        <f>交易记录!W119</f>
        <v>0</v>
      </c>
      <c r="AD477" s="30">
        <f t="shared" si="241"/>
        <v>0</v>
      </c>
      <c r="AE477" s="121">
        <f>交易记录!W152</f>
        <v>0</v>
      </c>
      <c r="AF477" s="121">
        <f>交易记录!W183</f>
        <v>0</v>
      </c>
      <c r="AG477" s="30">
        <f t="shared" si="242"/>
        <v>0</v>
      </c>
      <c r="AH477" s="124">
        <f>交易记录!W216</f>
        <v>0</v>
      </c>
      <c r="AI477" s="124">
        <f>交易记录!W247</f>
        <v>0</v>
      </c>
      <c r="AJ477" s="30">
        <f t="shared" si="243"/>
        <v>0</v>
      </c>
      <c r="AK477" s="121">
        <f>交易记录!W280</f>
        <v>0</v>
      </c>
      <c r="AL477" s="121">
        <f>交易记录!W311</f>
        <v>0</v>
      </c>
      <c r="AM477" s="30">
        <f t="shared" si="244"/>
        <v>0</v>
      </c>
      <c r="AN477" s="124">
        <f>交易记录!W344</f>
        <v>0</v>
      </c>
      <c r="AO477" s="124">
        <f>交易记录!W375</f>
        <v>0</v>
      </c>
      <c r="AP477" s="30">
        <f t="shared" si="245"/>
        <v>0</v>
      </c>
      <c r="AQ477" s="121">
        <f>交易记录!W408</f>
        <v>0</v>
      </c>
      <c r="AR477" s="121">
        <f>交易记录!W439</f>
        <v>0</v>
      </c>
      <c r="AS477" s="30">
        <f t="shared" si="246"/>
        <v>0</v>
      </c>
      <c r="AT477" s="124">
        <f>交易记录!W472</f>
        <v>0</v>
      </c>
      <c r="AU477" s="124">
        <f>交易记录!W503</f>
        <v>0</v>
      </c>
      <c r="AV477" s="30">
        <f t="shared" si="224"/>
        <v>0</v>
      </c>
      <c r="AW477" s="121">
        <f>交易记录!W536</f>
        <v>0</v>
      </c>
      <c r="AX477" s="121">
        <f>交易记录!W567</f>
        <v>0</v>
      </c>
      <c r="AY477" s="30">
        <f t="shared" si="225"/>
        <v>0</v>
      </c>
      <c r="AZ477" s="124">
        <f>交易记录!W600</f>
        <v>0</v>
      </c>
      <c r="BA477" s="124">
        <f>交易记录!W631</f>
        <v>0</v>
      </c>
      <c r="BB477" s="30">
        <f t="shared" si="226"/>
        <v>0</v>
      </c>
      <c r="BC477" s="121">
        <f>交易记录!W664</f>
        <v>0</v>
      </c>
      <c r="BD477" s="121">
        <f>交易记录!W695</f>
        <v>0</v>
      </c>
      <c r="BE477" s="30">
        <f t="shared" si="227"/>
        <v>0</v>
      </c>
      <c r="BF477" s="124">
        <f>交易记录!W728</f>
        <v>0</v>
      </c>
      <c r="BG477" s="124">
        <f>交易记录!W759</f>
        <v>0</v>
      </c>
      <c r="BH477" s="30">
        <f t="shared" si="228"/>
        <v>0</v>
      </c>
      <c r="BI477" s="121">
        <f>交易记录!W792</f>
        <v>0</v>
      </c>
      <c r="BJ477" s="121">
        <f>交易记录!W823</f>
        <v>0</v>
      </c>
      <c r="BK477" s="30">
        <f t="shared" si="229"/>
        <v>0</v>
      </c>
      <c r="BL477" s="124">
        <f>交易记录!W856</f>
        <v>0</v>
      </c>
      <c r="BM477" s="124">
        <f>交易记录!W887</f>
        <v>0</v>
      </c>
      <c r="BN477" s="30">
        <f t="shared" si="230"/>
        <v>0</v>
      </c>
      <c r="BO477" s="121">
        <f>交易记录!W920</f>
        <v>0</v>
      </c>
      <c r="BP477" s="121">
        <f>交易记录!W951</f>
        <v>0</v>
      </c>
      <c r="BQ477" s="30">
        <f t="shared" si="231"/>
        <v>0</v>
      </c>
    </row>
    <row r="478" spans="1:69" ht="15">
      <c r="A478" s="125">
        <f>'维护-日期'!A$22</f>
        <v>46285</v>
      </c>
      <c r="B478" s="7" t="s">
        <v>26</v>
      </c>
      <c r="C478" s="144">
        <f t="shared" si="232"/>
        <v>23.515000000000001</v>
      </c>
      <c r="D478" s="144">
        <f>ROUND(INDEX(持仓数据!$C$3:$AG$26,MATCH('计算过程-数据汇总'!B478,持仓数据!$B$3:$B$26,0),MATCH('计算过程-数据汇总'!A478,'维护-日期'!$B$2:$AF$2,0)),3)</f>
        <v>23.515000000000001</v>
      </c>
      <c r="E478" s="98">
        <f t="shared" si="233"/>
        <v>23.515000000000001</v>
      </c>
      <c r="F478" s="22">
        <f>持仓数据!V92</f>
        <v>0.16399999999999998</v>
      </c>
      <c r="G478" s="97">
        <v>372</v>
      </c>
      <c r="H478" s="97">
        <v>372</v>
      </c>
      <c r="I478" s="64">
        <v>0</v>
      </c>
      <c r="J478" s="64">
        <v>0</v>
      </c>
      <c r="K478" s="21">
        <f>IF(持仓数据!V125="",0,持仓数据!V125)</f>
        <v>372</v>
      </c>
      <c r="L478" s="21">
        <f t="shared" si="234"/>
        <v>0</v>
      </c>
      <c r="M478" s="28">
        <f t="shared" si="218"/>
        <v>8747.58</v>
      </c>
      <c r="N478" s="28">
        <f t="shared" si="219"/>
        <v>0</v>
      </c>
      <c r="O478" s="28">
        <f t="shared" si="220"/>
        <v>0</v>
      </c>
      <c r="P478" s="28">
        <f t="shared" si="221"/>
        <v>0</v>
      </c>
      <c r="Q478" s="28">
        <f t="shared" si="235"/>
        <v>0</v>
      </c>
      <c r="R478" s="28">
        <f t="shared" si="222"/>
        <v>8747.58</v>
      </c>
      <c r="S478" s="28">
        <f t="shared" si="236"/>
        <v>0</v>
      </c>
      <c r="T478" s="28">
        <f t="shared" si="237"/>
        <v>0</v>
      </c>
      <c r="U478" s="28">
        <f t="shared" si="240"/>
        <v>0</v>
      </c>
      <c r="V478" s="28">
        <f t="shared" si="238"/>
        <v>0</v>
      </c>
      <c r="W478" s="118"/>
      <c r="X478" s="143">
        <f t="shared" si="239"/>
        <v>28.053999999999998</v>
      </c>
      <c r="Y478" s="121">
        <f>交易记录!W25</f>
        <v>0.16399999999999998</v>
      </c>
      <c r="Z478" s="121">
        <f>交易记录!W56</f>
        <v>372</v>
      </c>
      <c r="AA478" s="30">
        <f t="shared" si="223"/>
        <v>0</v>
      </c>
      <c r="AB478" s="124">
        <f>交易记录!W89</f>
        <v>0</v>
      </c>
      <c r="AC478" s="124">
        <f>交易记录!W120</f>
        <v>0</v>
      </c>
      <c r="AD478" s="30">
        <f t="shared" si="241"/>
        <v>0</v>
      </c>
      <c r="AE478" s="121">
        <f>交易记录!W153</f>
        <v>0</v>
      </c>
      <c r="AF478" s="121">
        <f>交易记录!W184</f>
        <v>0</v>
      </c>
      <c r="AG478" s="30">
        <f t="shared" si="242"/>
        <v>0</v>
      </c>
      <c r="AH478" s="124">
        <f>交易记录!W217</f>
        <v>0</v>
      </c>
      <c r="AI478" s="124">
        <f>交易记录!W248</f>
        <v>0</v>
      </c>
      <c r="AJ478" s="30">
        <f t="shared" si="243"/>
        <v>0</v>
      </c>
      <c r="AK478" s="121">
        <f>交易记录!W281</f>
        <v>0</v>
      </c>
      <c r="AL478" s="121">
        <f>交易记录!W312</f>
        <v>0</v>
      </c>
      <c r="AM478" s="30">
        <f t="shared" si="244"/>
        <v>0</v>
      </c>
      <c r="AN478" s="124">
        <f>交易记录!W345</f>
        <v>0</v>
      </c>
      <c r="AO478" s="124">
        <f>交易记录!W376</f>
        <v>0</v>
      </c>
      <c r="AP478" s="30">
        <f t="shared" si="245"/>
        <v>0</v>
      </c>
      <c r="AQ478" s="121">
        <f>交易记录!W409</f>
        <v>0</v>
      </c>
      <c r="AR478" s="121">
        <f>交易记录!W440</f>
        <v>0</v>
      </c>
      <c r="AS478" s="30">
        <f t="shared" si="246"/>
        <v>0</v>
      </c>
      <c r="AT478" s="124">
        <f>交易记录!W473</f>
        <v>0</v>
      </c>
      <c r="AU478" s="124">
        <f>交易记录!W504</f>
        <v>0</v>
      </c>
      <c r="AV478" s="30">
        <f t="shared" si="224"/>
        <v>0</v>
      </c>
      <c r="AW478" s="121">
        <f>交易记录!W537</f>
        <v>0</v>
      </c>
      <c r="AX478" s="121">
        <f>交易记录!W568</f>
        <v>0</v>
      </c>
      <c r="AY478" s="30">
        <f t="shared" si="225"/>
        <v>0</v>
      </c>
      <c r="AZ478" s="124">
        <f>交易记录!W601</f>
        <v>0</v>
      </c>
      <c r="BA478" s="124">
        <f>交易记录!W632</f>
        <v>0</v>
      </c>
      <c r="BB478" s="30">
        <f t="shared" si="226"/>
        <v>0</v>
      </c>
      <c r="BC478" s="121">
        <f>交易记录!W665</f>
        <v>0</v>
      </c>
      <c r="BD478" s="121">
        <f>交易记录!W696</f>
        <v>0</v>
      </c>
      <c r="BE478" s="30">
        <f t="shared" si="227"/>
        <v>0</v>
      </c>
      <c r="BF478" s="124">
        <f>交易记录!W729</f>
        <v>0</v>
      </c>
      <c r="BG478" s="124">
        <f>交易记录!W760</f>
        <v>0</v>
      </c>
      <c r="BH478" s="30">
        <f t="shared" si="228"/>
        <v>0</v>
      </c>
      <c r="BI478" s="121">
        <f>交易记录!W793</f>
        <v>0</v>
      </c>
      <c r="BJ478" s="121">
        <f>交易记录!W824</f>
        <v>0</v>
      </c>
      <c r="BK478" s="30">
        <f t="shared" si="229"/>
        <v>0</v>
      </c>
      <c r="BL478" s="124">
        <f>交易记录!W857</f>
        <v>0</v>
      </c>
      <c r="BM478" s="124">
        <f>交易记录!W888</f>
        <v>0</v>
      </c>
      <c r="BN478" s="30">
        <f t="shared" si="230"/>
        <v>0</v>
      </c>
      <c r="BO478" s="121">
        <f>交易记录!W921</f>
        <v>0</v>
      </c>
      <c r="BP478" s="121">
        <f>交易记录!W952</f>
        <v>0</v>
      </c>
      <c r="BQ478" s="30">
        <f t="shared" si="231"/>
        <v>0</v>
      </c>
    </row>
    <row r="479" spans="1:69" ht="15">
      <c r="A479" s="125">
        <f>'维护-日期'!A$22</f>
        <v>46285</v>
      </c>
      <c r="B479" s="7" t="s">
        <v>27</v>
      </c>
      <c r="C479" s="144">
        <f t="shared" si="232"/>
        <v>22.122</v>
      </c>
      <c r="D479" s="144">
        <f>ROUND(INDEX(持仓数据!$C$3:$AG$26,MATCH('计算过程-数据汇总'!B479,持仓数据!$B$3:$B$26,0),MATCH('计算过程-数据汇总'!A479,'维护-日期'!$B$2:$AF$2,0)),3)</f>
        <v>22.122</v>
      </c>
      <c r="E479" s="98">
        <f t="shared" si="233"/>
        <v>22.122</v>
      </c>
      <c r="F479" s="22">
        <f>持仓数据!V93</f>
        <v>0.15200000000000002</v>
      </c>
      <c r="G479" s="97">
        <v>372</v>
      </c>
      <c r="H479" s="97">
        <v>372</v>
      </c>
      <c r="I479" s="64">
        <v>0</v>
      </c>
      <c r="J479" s="64">
        <v>0</v>
      </c>
      <c r="K479" s="21">
        <f>IF(持仓数据!V126="",0,持仓数据!V126)</f>
        <v>372</v>
      </c>
      <c r="L479" s="21">
        <f t="shared" si="234"/>
        <v>0</v>
      </c>
      <c r="M479" s="28">
        <f t="shared" si="218"/>
        <v>8229.384</v>
      </c>
      <c r="N479" s="28">
        <f t="shared" si="219"/>
        <v>0</v>
      </c>
      <c r="O479" s="28">
        <f t="shared" si="220"/>
        <v>0</v>
      </c>
      <c r="P479" s="28">
        <f t="shared" si="221"/>
        <v>0</v>
      </c>
      <c r="Q479" s="28">
        <f t="shared" si="235"/>
        <v>0</v>
      </c>
      <c r="R479" s="28">
        <f t="shared" si="222"/>
        <v>8229.384</v>
      </c>
      <c r="S479" s="28">
        <f t="shared" si="236"/>
        <v>0</v>
      </c>
      <c r="T479" s="28">
        <f t="shared" si="237"/>
        <v>0</v>
      </c>
      <c r="U479" s="28">
        <f t="shared" si="240"/>
        <v>0</v>
      </c>
      <c r="V479" s="28">
        <f t="shared" si="238"/>
        <v>0</v>
      </c>
      <c r="W479" s="118"/>
      <c r="X479" s="143">
        <f t="shared" si="239"/>
        <v>26.393999999999998</v>
      </c>
      <c r="Y479" s="121">
        <f>交易记录!W26</f>
        <v>0.15200000000000002</v>
      </c>
      <c r="Z479" s="121">
        <f>交易记录!W57</f>
        <v>372</v>
      </c>
      <c r="AA479" s="30">
        <f t="shared" si="223"/>
        <v>0</v>
      </c>
      <c r="AB479" s="124">
        <f>交易记录!W90</f>
        <v>0</v>
      </c>
      <c r="AC479" s="124">
        <f>交易记录!W121</f>
        <v>0</v>
      </c>
      <c r="AD479" s="30">
        <f t="shared" si="241"/>
        <v>0</v>
      </c>
      <c r="AE479" s="121">
        <f>交易记录!W154</f>
        <v>0</v>
      </c>
      <c r="AF479" s="121">
        <f>交易记录!W185</f>
        <v>0</v>
      </c>
      <c r="AG479" s="30">
        <f t="shared" si="242"/>
        <v>0</v>
      </c>
      <c r="AH479" s="124">
        <f>交易记录!W218</f>
        <v>0</v>
      </c>
      <c r="AI479" s="124">
        <f>交易记录!W249</f>
        <v>0</v>
      </c>
      <c r="AJ479" s="30">
        <f t="shared" si="243"/>
        <v>0</v>
      </c>
      <c r="AK479" s="121">
        <f>交易记录!W282</f>
        <v>0</v>
      </c>
      <c r="AL479" s="121">
        <f>交易记录!W313</f>
        <v>0</v>
      </c>
      <c r="AM479" s="30">
        <f t="shared" si="244"/>
        <v>0</v>
      </c>
      <c r="AN479" s="124">
        <f>交易记录!W346</f>
        <v>0</v>
      </c>
      <c r="AO479" s="124">
        <f>交易记录!W377</f>
        <v>0</v>
      </c>
      <c r="AP479" s="30">
        <f t="shared" si="245"/>
        <v>0</v>
      </c>
      <c r="AQ479" s="121">
        <f>交易记录!W410</f>
        <v>0</v>
      </c>
      <c r="AR479" s="121">
        <f>交易记录!W441</f>
        <v>0</v>
      </c>
      <c r="AS479" s="30">
        <f t="shared" si="246"/>
        <v>0</v>
      </c>
      <c r="AT479" s="124">
        <f>交易记录!W474</f>
        <v>0</v>
      </c>
      <c r="AU479" s="124">
        <f>交易记录!W505</f>
        <v>0</v>
      </c>
      <c r="AV479" s="30">
        <f t="shared" si="224"/>
        <v>0</v>
      </c>
      <c r="AW479" s="121">
        <f>交易记录!W538</f>
        <v>0</v>
      </c>
      <c r="AX479" s="121">
        <f>交易记录!W569</f>
        <v>0</v>
      </c>
      <c r="AY479" s="30">
        <f t="shared" si="225"/>
        <v>0</v>
      </c>
      <c r="AZ479" s="124">
        <f>交易记录!W602</f>
        <v>0</v>
      </c>
      <c r="BA479" s="124">
        <f>交易记录!W633</f>
        <v>0</v>
      </c>
      <c r="BB479" s="30">
        <f t="shared" si="226"/>
        <v>0</v>
      </c>
      <c r="BC479" s="121">
        <f>交易记录!W666</f>
        <v>0</v>
      </c>
      <c r="BD479" s="121">
        <f>交易记录!W697</f>
        <v>0</v>
      </c>
      <c r="BE479" s="30">
        <f t="shared" si="227"/>
        <v>0</v>
      </c>
      <c r="BF479" s="124">
        <f>交易记录!W730</f>
        <v>0</v>
      </c>
      <c r="BG479" s="124">
        <f>交易记录!W761</f>
        <v>0</v>
      </c>
      <c r="BH479" s="30">
        <f t="shared" si="228"/>
        <v>0</v>
      </c>
      <c r="BI479" s="121">
        <f>交易记录!W794</f>
        <v>0</v>
      </c>
      <c r="BJ479" s="121">
        <f>交易记录!W825</f>
        <v>0</v>
      </c>
      <c r="BK479" s="30">
        <f t="shared" si="229"/>
        <v>0</v>
      </c>
      <c r="BL479" s="124">
        <f>交易记录!W858</f>
        <v>0</v>
      </c>
      <c r="BM479" s="124">
        <f>交易记录!W889</f>
        <v>0</v>
      </c>
      <c r="BN479" s="30">
        <f t="shared" si="230"/>
        <v>0</v>
      </c>
      <c r="BO479" s="121">
        <f>交易记录!W922</f>
        <v>0</v>
      </c>
      <c r="BP479" s="121">
        <f>交易记录!W953</f>
        <v>0</v>
      </c>
      <c r="BQ479" s="30">
        <f t="shared" si="231"/>
        <v>0</v>
      </c>
    </row>
    <row r="480" spans="1:69" ht="15">
      <c r="A480" s="125">
        <f>'维护-日期'!A$22</f>
        <v>46285</v>
      </c>
      <c r="B480" s="7" t="s">
        <v>28</v>
      </c>
      <c r="C480" s="144">
        <f t="shared" si="232"/>
        <v>19.263000000000002</v>
      </c>
      <c r="D480" s="144">
        <f>ROUND(INDEX(持仓数据!$C$3:$AG$26,MATCH('计算过程-数据汇总'!B480,持仓数据!$B$3:$B$26,0),MATCH('计算过程-数据汇总'!A480,'维护-日期'!$B$2:$AF$2,0)),3)</f>
        <v>19.263000000000002</v>
      </c>
      <c r="E480" s="98">
        <f t="shared" si="233"/>
        <v>19.263000000000002</v>
      </c>
      <c r="F480" s="22">
        <f>持仓数据!V94</f>
        <v>0.111</v>
      </c>
      <c r="G480" s="97">
        <v>372</v>
      </c>
      <c r="H480" s="97">
        <v>372</v>
      </c>
      <c r="I480" s="64">
        <v>0</v>
      </c>
      <c r="J480" s="64">
        <v>0</v>
      </c>
      <c r="K480" s="21">
        <f>IF(持仓数据!V127="",0,持仓数据!V127)</f>
        <v>372</v>
      </c>
      <c r="L480" s="21">
        <f t="shared" si="234"/>
        <v>0</v>
      </c>
      <c r="M480" s="28">
        <f t="shared" si="218"/>
        <v>7165.8360000000002</v>
      </c>
      <c r="N480" s="28">
        <f t="shared" si="219"/>
        <v>0</v>
      </c>
      <c r="O480" s="28">
        <f t="shared" si="220"/>
        <v>0</v>
      </c>
      <c r="P480" s="28">
        <f t="shared" si="221"/>
        <v>0</v>
      </c>
      <c r="Q480" s="28">
        <f t="shared" si="235"/>
        <v>0</v>
      </c>
      <c r="R480" s="28">
        <f t="shared" si="222"/>
        <v>7165.8360000000002</v>
      </c>
      <c r="S480" s="28">
        <f t="shared" si="236"/>
        <v>0</v>
      </c>
      <c r="T480" s="28">
        <f t="shared" si="237"/>
        <v>0</v>
      </c>
      <c r="U480" s="28">
        <f t="shared" si="240"/>
        <v>0</v>
      </c>
      <c r="V480" s="28">
        <f t="shared" si="238"/>
        <v>0</v>
      </c>
      <c r="W480" s="118"/>
      <c r="X480" s="143">
        <f t="shared" si="239"/>
        <v>23.004999999999999</v>
      </c>
      <c r="Y480" s="121">
        <f>交易记录!W27</f>
        <v>0.111</v>
      </c>
      <c r="Z480" s="121">
        <f>交易记录!W58</f>
        <v>372</v>
      </c>
      <c r="AA480" s="30">
        <f t="shared" si="223"/>
        <v>0</v>
      </c>
      <c r="AB480" s="124">
        <f>交易记录!W91</f>
        <v>0</v>
      </c>
      <c r="AC480" s="124">
        <f>交易记录!W122</f>
        <v>0</v>
      </c>
      <c r="AD480" s="30">
        <f t="shared" si="241"/>
        <v>0</v>
      </c>
      <c r="AE480" s="121">
        <f>交易记录!W155</f>
        <v>0</v>
      </c>
      <c r="AF480" s="121">
        <f>交易记录!W186</f>
        <v>0</v>
      </c>
      <c r="AG480" s="30">
        <f t="shared" si="242"/>
        <v>0</v>
      </c>
      <c r="AH480" s="124">
        <f>交易记录!W219</f>
        <v>0</v>
      </c>
      <c r="AI480" s="124">
        <f>交易记录!W250</f>
        <v>0</v>
      </c>
      <c r="AJ480" s="30">
        <f t="shared" si="243"/>
        <v>0</v>
      </c>
      <c r="AK480" s="121">
        <f>交易记录!W283</f>
        <v>0</v>
      </c>
      <c r="AL480" s="121">
        <f>交易记录!W314</f>
        <v>0</v>
      </c>
      <c r="AM480" s="30">
        <f t="shared" si="244"/>
        <v>0</v>
      </c>
      <c r="AN480" s="124">
        <f>交易记录!W347</f>
        <v>0</v>
      </c>
      <c r="AO480" s="124">
        <f>交易记录!W378</f>
        <v>0</v>
      </c>
      <c r="AP480" s="30">
        <f t="shared" si="245"/>
        <v>0</v>
      </c>
      <c r="AQ480" s="121">
        <f>交易记录!W411</f>
        <v>0</v>
      </c>
      <c r="AR480" s="121">
        <f>交易记录!W442</f>
        <v>0</v>
      </c>
      <c r="AS480" s="30">
        <f t="shared" si="246"/>
        <v>0</v>
      </c>
      <c r="AT480" s="124">
        <f>交易记录!W475</f>
        <v>0</v>
      </c>
      <c r="AU480" s="124">
        <f>交易记录!W506</f>
        <v>0</v>
      </c>
      <c r="AV480" s="30">
        <f t="shared" si="224"/>
        <v>0</v>
      </c>
      <c r="AW480" s="121">
        <f>交易记录!W539</f>
        <v>0</v>
      </c>
      <c r="AX480" s="121">
        <f>交易记录!W570</f>
        <v>0</v>
      </c>
      <c r="AY480" s="30">
        <f t="shared" si="225"/>
        <v>0</v>
      </c>
      <c r="AZ480" s="124">
        <f>交易记录!W603</f>
        <v>0</v>
      </c>
      <c r="BA480" s="124">
        <f>交易记录!W634</f>
        <v>0</v>
      </c>
      <c r="BB480" s="30">
        <f t="shared" si="226"/>
        <v>0</v>
      </c>
      <c r="BC480" s="121">
        <f>交易记录!W667</f>
        <v>0</v>
      </c>
      <c r="BD480" s="121">
        <f>交易记录!W698</f>
        <v>0</v>
      </c>
      <c r="BE480" s="30">
        <f t="shared" si="227"/>
        <v>0</v>
      </c>
      <c r="BF480" s="124">
        <f>交易记录!W731</f>
        <v>0</v>
      </c>
      <c r="BG480" s="124">
        <f>交易记录!W762</f>
        <v>0</v>
      </c>
      <c r="BH480" s="30">
        <f t="shared" si="228"/>
        <v>0</v>
      </c>
      <c r="BI480" s="121">
        <f>交易记录!W795</f>
        <v>0</v>
      </c>
      <c r="BJ480" s="121">
        <f>交易记录!W826</f>
        <v>0</v>
      </c>
      <c r="BK480" s="30">
        <f t="shared" si="229"/>
        <v>0</v>
      </c>
      <c r="BL480" s="124">
        <f>交易记录!W859</f>
        <v>0</v>
      </c>
      <c r="BM480" s="124">
        <f>交易记录!W890</f>
        <v>0</v>
      </c>
      <c r="BN480" s="30">
        <f t="shared" si="230"/>
        <v>0</v>
      </c>
      <c r="BO480" s="121">
        <f>交易记录!W923</f>
        <v>0</v>
      </c>
      <c r="BP480" s="121">
        <f>交易记录!W954</f>
        <v>0</v>
      </c>
      <c r="BQ480" s="30">
        <f t="shared" si="231"/>
        <v>0</v>
      </c>
    </row>
    <row r="481" spans="1:69" ht="15">
      <c r="A481" s="125">
        <f>'维护-日期'!A$22</f>
        <v>46285</v>
      </c>
      <c r="B481" s="7" t="s">
        <v>29</v>
      </c>
      <c r="C481" s="144">
        <f t="shared" si="232"/>
        <v>16.701000000000001</v>
      </c>
      <c r="D481" s="144">
        <f>ROUND(INDEX(持仓数据!$C$3:$AG$26,MATCH('计算过程-数据汇总'!B481,持仓数据!$B$3:$B$26,0),MATCH('计算过程-数据汇总'!A481,'维护-日期'!$B$2:$AF$2,0)),3)</f>
        <v>16.701000000000001</v>
      </c>
      <c r="E481" s="98">
        <f t="shared" si="233"/>
        <v>16.701000000000001</v>
      </c>
      <c r="F481" s="22">
        <f>持仓数据!V95</f>
        <v>9.2999999999999999E-2</v>
      </c>
      <c r="G481" s="97">
        <v>372</v>
      </c>
      <c r="H481" s="97">
        <v>372</v>
      </c>
      <c r="I481" s="64">
        <v>0</v>
      </c>
      <c r="J481" s="64">
        <v>0</v>
      </c>
      <c r="K481" s="21">
        <f>IF(持仓数据!V128="",0,持仓数据!V128)</f>
        <v>371.99999999999994</v>
      </c>
      <c r="L481" s="21">
        <f t="shared" si="234"/>
        <v>0</v>
      </c>
      <c r="M481" s="28">
        <f t="shared" si="218"/>
        <v>6212.7719999999999</v>
      </c>
      <c r="N481" s="28">
        <f t="shared" si="219"/>
        <v>0</v>
      </c>
      <c r="O481" s="28">
        <f t="shared" si="220"/>
        <v>0</v>
      </c>
      <c r="P481" s="28">
        <f t="shared" si="221"/>
        <v>-5.2864379540551453E-15</v>
      </c>
      <c r="Q481" s="28">
        <f t="shared" si="235"/>
        <v>0</v>
      </c>
      <c r="R481" s="28">
        <f t="shared" si="222"/>
        <v>6212.771999999999</v>
      </c>
      <c r="S481" s="28">
        <f t="shared" si="236"/>
        <v>0</v>
      </c>
      <c r="T481" s="28">
        <f t="shared" si="237"/>
        <v>9.4405550044029954E-13</v>
      </c>
      <c r="U481" s="28">
        <f t="shared" si="240"/>
        <v>0</v>
      </c>
      <c r="V481" s="28">
        <f t="shared" si="238"/>
        <v>0</v>
      </c>
      <c r="W481" s="118"/>
      <c r="X481" s="143">
        <f t="shared" si="239"/>
        <v>19.948</v>
      </c>
      <c r="Y481" s="121">
        <f>交易记录!W28</f>
        <v>9.2999999999999999E-2</v>
      </c>
      <c r="Z481" s="121">
        <f>交易记录!W59</f>
        <v>372</v>
      </c>
      <c r="AA481" s="30">
        <f t="shared" si="223"/>
        <v>0</v>
      </c>
      <c r="AB481" s="124">
        <f>交易记录!W92</f>
        <v>0</v>
      </c>
      <c r="AC481" s="124">
        <f>交易记录!W123</f>
        <v>0</v>
      </c>
      <c r="AD481" s="30">
        <f t="shared" si="241"/>
        <v>0</v>
      </c>
      <c r="AE481" s="121">
        <f>交易记录!W156</f>
        <v>0</v>
      </c>
      <c r="AF481" s="121">
        <f>交易记录!W187</f>
        <v>0</v>
      </c>
      <c r="AG481" s="30">
        <f t="shared" si="242"/>
        <v>0</v>
      </c>
      <c r="AH481" s="124">
        <f>交易记录!W220</f>
        <v>0</v>
      </c>
      <c r="AI481" s="124">
        <f>交易记录!W251</f>
        <v>0</v>
      </c>
      <c r="AJ481" s="30">
        <f t="shared" si="243"/>
        <v>0</v>
      </c>
      <c r="AK481" s="121">
        <f>交易记录!W284</f>
        <v>0</v>
      </c>
      <c r="AL481" s="121">
        <f>交易记录!W315</f>
        <v>0</v>
      </c>
      <c r="AM481" s="30">
        <f t="shared" si="244"/>
        <v>0</v>
      </c>
      <c r="AN481" s="124">
        <f>交易记录!W348</f>
        <v>0</v>
      </c>
      <c r="AO481" s="124">
        <f>交易记录!W379</f>
        <v>0</v>
      </c>
      <c r="AP481" s="30">
        <f t="shared" si="245"/>
        <v>0</v>
      </c>
      <c r="AQ481" s="121">
        <f>交易记录!W412</f>
        <v>0</v>
      </c>
      <c r="AR481" s="121">
        <f>交易记录!W443</f>
        <v>0</v>
      </c>
      <c r="AS481" s="30">
        <f t="shared" si="246"/>
        <v>0</v>
      </c>
      <c r="AT481" s="124">
        <f>交易记录!W476</f>
        <v>0</v>
      </c>
      <c r="AU481" s="124">
        <f>交易记录!W507</f>
        <v>0</v>
      </c>
      <c r="AV481" s="30">
        <f t="shared" si="224"/>
        <v>0</v>
      </c>
      <c r="AW481" s="121">
        <f>交易记录!W540</f>
        <v>0</v>
      </c>
      <c r="AX481" s="121">
        <f>交易记录!W571</f>
        <v>0</v>
      </c>
      <c r="AY481" s="30">
        <f t="shared" si="225"/>
        <v>0</v>
      </c>
      <c r="AZ481" s="124">
        <f>交易记录!W604</f>
        <v>0</v>
      </c>
      <c r="BA481" s="124">
        <f>交易记录!W635</f>
        <v>0</v>
      </c>
      <c r="BB481" s="30">
        <f t="shared" si="226"/>
        <v>0</v>
      </c>
      <c r="BC481" s="121">
        <f>交易记录!W668</f>
        <v>0</v>
      </c>
      <c r="BD481" s="121">
        <f>交易记录!W699</f>
        <v>0</v>
      </c>
      <c r="BE481" s="30">
        <f t="shared" si="227"/>
        <v>0</v>
      </c>
      <c r="BF481" s="124">
        <f>交易记录!W732</f>
        <v>0</v>
      </c>
      <c r="BG481" s="124">
        <f>交易记录!W763</f>
        <v>0</v>
      </c>
      <c r="BH481" s="30">
        <f t="shared" si="228"/>
        <v>0</v>
      </c>
      <c r="BI481" s="121">
        <f>交易记录!W796</f>
        <v>0</v>
      </c>
      <c r="BJ481" s="121">
        <f>交易记录!W827</f>
        <v>0</v>
      </c>
      <c r="BK481" s="30">
        <f t="shared" si="229"/>
        <v>0</v>
      </c>
      <c r="BL481" s="124">
        <f>交易记录!W860</f>
        <v>0</v>
      </c>
      <c r="BM481" s="124">
        <f>交易记录!W891</f>
        <v>0</v>
      </c>
      <c r="BN481" s="30">
        <f t="shared" si="230"/>
        <v>0</v>
      </c>
      <c r="BO481" s="121">
        <f>交易记录!W924</f>
        <v>0</v>
      </c>
      <c r="BP481" s="121">
        <f>交易记录!W955</f>
        <v>0</v>
      </c>
      <c r="BQ481" s="30">
        <f t="shared" si="231"/>
        <v>0</v>
      </c>
    </row>
    <row r="482" spans="1:69" ht="15">
      <c r="A482" s="125">
        <f>'维护-日期'!A$23</f>
        <v>46286</v>
      </c>
      <c r="B482" s="7" t="s">
        <v>6</v>
      </c>
      <c r="C482" s="144">
        <f t="shared" si="232"/>
        <v>16.931000000000001</v>
      </c>
      <c r="D482" s="144">
        <f>ROUND(INDEX(持仓数据!$C$3:$AG$26,MATCH('计算过程-数据汇总'!B482,持仓数据!$B$3:$B$26,0),MATCH('计算过程-数据汇总'!A482,'维护-日期'!$B$2:$AF$2,0)),3)</f>
        <v>16.931000000000001</v>
      </c>
      <c r="E482" s="98">
        <f t="shared" si="233"/>
        <v>16.931000000000001</v>
      </c>
      <c r="F482" s="22">
        <f>持仓数据!W72</f>
        <v>0.39700000000000002</v>
      </c>
      <c r="G482" s="97">
        <v>372</v>
      </c>
      <c r="H482" s="97">
        <v>372</v>
      </c>
      <c r="I482" s="64">
        <v>0</v>
      </c>
      <c r="J482" s="64">
        <v>0</v>
      </c>
      <c r="K482" s="21">
        <f>IF(持仓数据!W105="",0,持仓数据!W105)</f>
        <v>372</v>
      </c>
      <c r="L482" s="21">
        <f t="shared" si="234"/>
        <v>0</v>
      </c>
      <c r="M482" s="28">
        <f t="shared" si="218"/>
        <v>6298.3320000000003</v>
      </c>
      <c r="N482" s="28">
        <f t="shared" si="219"/>
        <v>0</v>
      </c>
      <c r="O482" s="28">
        <f t="shared" si="220"/>
        <v>0</v>
      </c>
      <c r="P482" s="28">
        <f t="shared" si="221"/>
        <v>0</v>
      </c>
      <c r="Q482" s="28">
        <f t="shared" si="235"/>
        <v>0</v>
      </c>
      <c r="R482" s="28">
        <f t="shared" si="222"/>
        <v>6298.3320000000003</v>
      </c>
      <c r="S482" s="28">
        <f t="shared" si="236"/>
        <v>0</v>
      </c>
      <c r="T482" s="28">
        <f t="shared" si="237"/>
        <v>0</v>
      </c>
      <c r="U482" s="28">
        <f t="shared" si="240"/>
        <v>0</v>
      </c>
      <c r="V482" s="28">
        <f t="shared" si="238"/>
        <v>0</v>
      </c>
      <c r="W482" s="118"/>
      <c r="X482" s="143">
        <f t="shared" si="239"/>
        <v>19.920000000000002</v>
      </c>
      <c r="Y482" s="121">
        <f>交易记录!X5</f>
        <v>0.39700000000000002</v>
      </c>
      <c r="Z482" s="121">
        <f>交易记录!X36</f>
        <v>372</v>
      </c>
      <c r="AA482" s="30">
        <f t="shared" si="223"/>
        <v>0</v>
      </c>
      <c r="AB482" s="124">
        <f>交易记录!X69</f>
        <v>0</v>
      </c>
      <c r="AC482" s="124">
        <f>交易记录!X100</f>
        <v>0</v>
      </c>
      <c r="AD482" s="30">
        <f t="shared" si="241"/>
        <v>0</v>
      </c>
      <c r="AE482" s="121">
        <f>交易记录!X133</f>
        <v>0</v>
      </c>
      <c r="AF482" s="121">
        <f>交易记录!X164</f>
        <v>0</v>
      </c>
      <c r="AG482" s="30">
        <f t="shared" si="242"/>
        <v>0</v>
      </c>
      <c r="AH482" s="124">
        <f>交易记录!X197</f>
        <v>0</v>
      </c>
      <c r="AI482" s="124">
        <f>交易记录!X228</f>
        <v>0</v>
      </c>
      <c r="AJ482" s="30">
        <f t="shared" si="243"/>
        <v>0</v>
      </c>
      <c r="AK482" s="121">
        <f>交易记录!X261</f>
        <v>0</v>
      </c>
      <c r="AL482" s="121">
        <f>交易记录!X292</f>
        <v>0</v>
      </c>
      <c r="AM482" s="30">
        <f t="shared" si="244"/>
        <v>0</v>
      </c>
      <c r="AN482" s="124">
        <f>交易记录!X325</f>
        <v>0</v>
      </c>
      <c r="AO482" s="124">
        <f>交易记录!X356</f>
        <v>0</v>
      </c>
      <c r="AP482" s="30">
        <f t="shared" si="245"/>
        <v>0</v>
      </c>
      <c r="AQ482" s="121">
        <f>交易记录!X389</f>
        <v>0</v>
      </c>
      <c r="AR482" s="121">
        <f>交易记录!X420</f>
        <v>0</v>
      </c>
      <c r="AS482" s="30">
        <f t="shared" si="246"/>
        <v>0</v>
      </c>
      <c r="AT482" s="124">
        <f>交易记录!X453</f>
        <v>0</v>
      </c>
      <c r="AU482" s="124">
        <f>交易记录!X484</f>
        <v>0</v>
      </c>
      <c r="AV482" s="30">
        <f t="shared" si="224"/>
        <v>0</v>
      </c>
      <c r="AW482" s="121">
        <f>交易记录!X517</f>
        <v>0</v>
      </c>
      <c r="AX482" s="121">
        <f>交易记录!X548</f>
        <v>0</v>
      </c>
      <c r="AY482" s="30">
        <f t="shared" si="225"/>
        <v>0</v>
      </c>
      <c r="AZ482" s="124">
        <f>交易记录!X581</f>
        <v>0</v>
      </c>
      <c r="BA482" s="124">
        <f>交易记录!X612</f>
        <v>0</v>
      </c>
      <c r="BB482" s="30">
        <f t="shared" si="226"/>
        <v>0</v>
      </c>
      <c r="BC482" s="121">
        <f>交易记录!X645</f>
        <v>0</v>
      </c>
      <c r="BD482" s="121">
        <f>交易记录!X676</f>
        <v>0</v>
      </c>
      <c r="BE482" s="30">
        <f t="shared" si="227"/>
        <v>0</v>
      </c>
      <c r="BF482" s="124">
        <f>交易记录!X709</f>
        <v>0</v>
      </c>
      <c r="BG482" s="124">
        <f>交易记录!X740</f>
        <v>0</v>
      </c>
      <c r="BH482" s="30">
        <f t="shared" si="228"/>
        <v>0</v>
      </c>
      <c r="BI482" s="121">
        <f>交易记录!X773</f>
        <v>0</v>
      </c>
      <c r="BJ482" s="121">
        <f>交易记录!X804</f>
        <v>0</v>
      </c>
      <c r="BK482" s="30">
        <f t="shared" si="229"/>
        <v>0</v>
      </c>
      <c r="BL482" s="124">
        <f>交易记录!X837</f>
        <v>0</v>
      </c>
      <c r="BM482" s="124">
        <f>交易记录!X868</f>
        <v>0</v>
      </c>
      <c r="BN482" s="30">
        <f t="shared" si="230"/>
        <v>0</v>
      </c>
      <c r="BO482" s="121">
        <f>交易记录!X901</f>
        <v>0</v>
      </c>
      <c r="BP482" s="121">
        <f>交易记录!X932</f>
        <v>0</v>
      </c>
      <c r="BQ482" s="30">
        <f t="shared" si="231"/>
        <v>0</v>
      </c>
    </row>
    <row r="483" spans="1:69" ht="15">
      <c r="A483" s="125">
        <f>'维护-日期'!A$23</f>
        <v>46286</v>
      </c>
      <c r="B483" s="7" t="s">
        <v>7</v>
      </c>
      <c r="C483" s="144">
        <f t="shared" si="232"/>
        <v>15.778</v>
      </c>
      <c r="D483" s="144">
        <f>ROUND(INDEX(持仓数据!$C$3:$AG$26,MATCH('计算过程-数据汇总'!B483,持仓数据!$B$3:$B$26,0),MATCH('计算过程-数据汇总'!A483,'维护-日期'!$B$2:$AF$2,0)),3)</f>
        <v>15.778</v>
      </c>
      <c r="E483" s="98">
        <f t="shared" si="233"/>
        <v>15.778</v>
      </c>
      <c r="F483" s="22">
        <f>持仓数据!W73</f>
        <v>0.26500000000000001</v>
      </c>
      <c r="G483" s="97">
        <v>372</v>
      </c>
      <c r="H483" s="97">
        <v>372</v>
      </c>
      <c r="I483" s="64">
        <v>0</v>
      </c>
      <c r="J483" s="64">
        <v>0</v>
      </c>
      <c r="K483" s="21">
        <f>IF(持仓数据!W106="",0,持仓数据!W106)</f>
        <v>372</v>
      </c>
      <c r="L483" s="21">
        <f t="shared" si="234"/>
        <v>0</v>
      </c>
      <c r="M483" s="28">
        <f t="shared" si="218"/>
        <v>5869.4160000000002</v>
      </c>
      <c r="N483" s="28">
        <f t="shared" si="219"/>
        <v>0</v>
      </c>
      <c r="O483" s="28">
        <f t="shared" si="220"/>
        <v>0</v>
      </c>
      <c r="P483" s="28">
        <f t="shared" si="221"/>
        <v>0</v>
      </c>
      <c r="Q483" s="28">
        <f t="shared" si="235"/>
        <v>0</v>
      </c>
      <c r="R483" s="28">
        <f t="shared" si="222"/>
        <v>5869.4160000000002</v>
      </c>
      <c r="S483" s="28">
        <f t="shared" si="236"/>
        <v>0</v>
      </c>
      <c r="T483" s="28">
        <f t="shared" si="237"/>
        <v>0</v>
      </c>
      <c r="U483" s="28">
        <f t="shared" si="240"/>
        <v>0</v>
      </c>
      <c r="V483" s="28">
        <f t="shared" si="238"/>
        <v>0</v>
      </c>
      <c r="W483" s="118"/>
      <c r="X483" s="143">
        <f t="shared" si="239"/>
        <v>18.669</v>
      </c>
      <c r="Y483" s="121">
        <f>交易记录!X6</f>
        <v>0.26500000000000001</v>
      </c>
      <c r="Z483" s="121">
        <f>交易记录!X37</f>
        <v>372</v>
      </c>
      <c r="AA483" s="30">
        <f t="shared" si="223"/>
        <v>0</v>
      </c>
      <c r="AB483" s="124">
        <f>交易记录!X70</f>
        <v>0</v>
      </c>
      <c r="AC483" s="124">
        <f>交易记录!X101</f>
        <v>0</v>
      </c>
      <c r="AD483" s="30">
        <f t="shared" si="241"/>
        <v>0</v>
      </c>
      <c r="AE483" s="121">
        <f>交易记录!X134</f>
        <v>0</v>
      </c>
      <c r="AF483" s="121">
        <f>交易记录!X165</f>
        <v>0</v>
      </c>
      <c r="AG483" s="30">
        <f t="shared" si="242"/>
        <v>0</v>
      </c>
      <c r="AH483" s="124">
        <f>交易记录!X198</f>
        <v>0</v>
      </c>
      <c r="AI483" s="124">
        <f>交易记录!X229</f>
        <v>0</v>
      </c>
      <c r="AJ483" s="30">
        <f t="shared" si="243"/>
        <v>0</v>
      </c>
      <c r="AK483" s="121">
        <f>交易记录!X262</f>
        <v>0</v>
      </c>
      <c r="AL483" s="121">
        <f>交易记录!X293</f>
        <v>0</v>
      </c>
      <c r="AM483" s="30">
        <f t="shared" si="244"/>
        <v>0</v>
      </c>
      <c r="AN483" s="124">
        <f>交易记录!X326</f>
        <v>0</v>
      </c>
      <c r="AO483" s="124">
        <f>交易记录!X357</f>
        <v>0</v>
      </c>
      <c r="AP483" s="30">
        <f t="shared" si="245"/>
        <v>0</v>
      </c>
      <c r="AQ483" s="121">
        <f>交易记录!X390</f>
        <v>0</v>
      </c>
      <c r="AR483" s="121">
        <f>交易记录!X421</f>
        <v>0</v>
      </c>
      <c r="AS483" s="30">
        <f t="shared" si="246"/>
        <v>0</v>
      </c>
      <c r="AT483" s="124">
        <f>交易记录!X454</f>
        <v>0</v>
      </c>
      <c r="AU483" s="124">
        <f>交易记录!X485</f>
        <v>0</v>
      </c>
      <c r="AV483" s="30">
        <f t="shared" si="224"/>
        <v>0</v>
      </c>
      <c r="AW483" s="121">
        <f>交易记录!X518</f>
        <v>0</v>
      </c>
      <c r="AX483" s="121">
        <f>交易记录!X549</f>
        <v>0</v>
      </c>
      <c r="AY483" s="30">
        <f t="shared" si="225"/>
        <v>0</v>
      </c>
      <c r="AZ483" s="124">
        <f>交易记录!X582</f>
        <v>0</v>
      </c>
      <c r="BA483" s="124">
        <f>交易记录!X613</f>
        <v>0</v>
      </c>
      <c r="BB483" s="30">
        <f t="shared" si="226"/>
        <v>0</v>
      </c>
      <c r="BC483" s="121">
        <f>交易记录!X646</f>
        <v>0</v>
      </c>
      <c r="BD483" s="121">
        <f>交易记录!X677</f>
        <v>0</v>
      </c>
      <c r="BE483" s="30">
        <f t="shared" si="227"/>
        <v>0</v>
      </c>
      <c r="BF483" s="124">
        <f>交易记录!X710</f>
        <v>0</v>
      </c>
      <c r="BG483" s="124">
        <f>交易记录!X741</f>
        <v>0</v>
      </c>
      <c r="BH483" s="30">
        <f t="shared" si="228"/>
        <v>0</v>
      </c>
      <c r="BI483" s="121">
        <f>交易记录!X774</f>
        <v>0</v>
      </c>
      <c r="BJ483" s="121">
        <f>交易记录!X805</f>
        <v>0</v>
      </c>
      <c r="BK483" s="30">
        <f t="shared" si="229"/>
        <v>0</v>
      </c>
      <c r="BL483" s="124">
        <f>交易记录!X838</f>
        <v>0</v>
      </c>
      <c r="BM483" s="124">
        <f>交易记录!X869</f>
        <v>0</v>
      </c>
      <c r="BN483" s="30">
        <f t="shared" si="230"/>
        <v>0</v>
      </c>
      <c r="BO483" s="121">
        <f>交易记录!X902</f>
        <v>0</v>
      </c>
      <c r="BP483" s="121">
        <f>交易记录!X933</f>
        <v>0</v>
      </c>
      <c r="BQ483" s="30">
        <f t="shared" si="231"/>
        <v>0</v>
      </c>
    </row>
    <row r="484" spans="1:69" ht="15">
      <c r="A484" s="125">
        <f>'维护-日期'!A$23</f>
        <v>46286</v>
      </c>
      <c r="B484" s="7" t="s">
        <v>8</v>
      </c>
      <c r="C484" s="144">
        <f t="shared" si="232"/>
        <v>14.811999999999999</v>
      </c>
      <c r="D484" s="144">
        <f>ROUND(INDEX(持仓数据!$C$3:$AG$26,MATCH('计算过程-数据汇总'!B484,持仓数据!$B$3:$B$26,0),MATCH('计算过程-数据汇总'!A484,'维护-日期'!$B$2:$AF$2,0)),3)</f>
        <v>14.811999999999999</v>
      </c>
      <c r="E484" s="98">
        <f t="shared" si="233"/>
        <v>14.811999999999999</v>
      </c>
      <c r="F484" s="22">
        <f>持仓数据!W74</f>
        <v>0.24199999999999999</v>
      </c>
      <c r="G484" s="97">
        <v>372</v>
      </c>
      <c r="H484" s="97">
        <v>372</v>
      </c>
      <c r="I484" s="64">
        <v>0</v>
      </c>
      <c r="J484" s="64">
        <v>0</v>
      </c>
      <c r="K484" s="21">
        <f>IF(持仓数据!W107="",0,持仓数据!W107)</f>
        <v>372</v>
      </c>
      <c r="L484" s="21">
        <f t="shared" si="234"/>
        <v>0</v>
      </c>
      <c r="M484" s="28">
        <f t="shared" si="218"/>
        <v>5510.0639999999994</v>
      </c>
      <c r="N484" s="28">
        <f t="shared" si="219"/>
        <v>0</v>
      </c>
      <c r="O484" s="28">
        <f t="shared" si="220"/>
        <v>0</v>
      </c>
      <c r="P484" s="28">
        <f t="shared" si="221"/>
        <v>0</v>
      </c>
      <c r="Q484" s="28">
        <f t="shared" si="235"/>
        <v>0</v>
      </c>
      <c r="R484" s="28">
        <f t="shared" si="222"/>
        <v>5510.0639999999994</v>
      </c>
      <c r="S484" s="28">
        <f t="shared" si="236"/>
        <v>0</v>
      </c>
      <c r="T484" s="28">
        <f t="shared" si="237"/>
        <v>0</v>
      </c>
      <c r="U484" s="28">
        <f t="shared" si="240"/>
        <v>0</v>
      </c>
      <c r="V484" s="28">
        <f t="shared" si="238"/>
        <v>0</v>
      </c>
      <c r="W484" s="118"/>
      <c r="X484" s="143">
        <f t="shared" si="239"/>
        <v>17.532</v>
      </c>
      <c r="Y484" s="121">
        <f>交易记录!X7</f>
        <v>0.24199999999999999</v>
      </c>
      <c r="Z484" s="121">
        <f>交易记录!X38</f>
        <v>372</v>
      </c>
      <c r="AA484" s="30">
        <f t="shared" si="223"/>
        <v>0</v>
      </c>
      <c r="AB484" s="124">
        <f>交易记录!X71</f>
        <v>0</v>
      </c>
      <c r="AC484" s="124">
        <f>交易记录!X102</f>
        <v>0</v>
      </c>
      <c r="AD484" s="30">
        <f t="shared" si="241"/>
        <v>0</v>
      </c>
      <c r="AE484" s="121">
        <f>交易记录!X135</f>
        <v>0</v>
      </c>
      <c r="AF484" s="121">
        <f>交易记录!X166</f>
        <v>0</v>
      </c>
      <c r="AG484" s="30">
        <f t="shared" si="242"/>
        <v>0</v>
      </c>
      <c r="AH484" s="124">
        <f>交易记录!X199</f>
        <v>0</v>
      </c>
      <c r="AI484" s="124">
        <f>交易记录!X230</f>
        <v>0</v>
      </c>
      <c r="AJ484" s="30">
        <f t="shared" si="243"/>
        <v>0</v>
      </c>
      <c r="AK484" s="121">
        <f>交易记录!X263</f>
        <v>0</v>
      </c>
      <c r="AL484" s="121">
        <f>交易记录!X294</f>
        <v>0</v>
      </c>
      <c r="AM484" s="30">
        <f t="shared" si="244"/>
        <v>0</v>
      </c>
      <c r="AN484" s="124">
        <f>交易记录!X327</f>
        <v>0</v>
      </c>
      <c r="AO484" s="124">
        <f>交易记录!X358</f>
        <v>0</v>
      </c>
      <c r="AP484" s="30">
        <f t="shared" si="245"/>
        <v>0</v>
      </c>
      <c r="AQ484" s="121">
        <f>交易记录!X391</f>
        <v>0</v>
      </c>
      <c r="AR484" s="121">
        <f>交易记录!X422</f>
        <v>0</v>
      </c>
      <c r="AS484" s="30">
        <f t="shared" si="246"/>
        <v>0</v>
      </c>
      <c r="AT484" s="124">
        <f>交易记录!X455</f>
        <v>0</v>
      </c>
      <c r="AU484" s="124">
        <f>交易记录!X486</f>
        <v>0</v>
      </c>
      <c r="AV484" s="30">
        <f t="shared" si="224"/>
        <v>0</v>
      </c>
      <c r="AW484" s="121">
        <f>交易记录!X519</f>
        <v>0</v>
      </c>
      <c r="AX484" s="121">
        <f>交易记录!X550</f>
        <v>0</v>
      </c>
      <c r="AY484" s="30">
        <f t="shared" si="225"/>
        <v>0</v>
      </c>
      <c r="AZ484" s="124">
        <f>交易记录!X583</f>
        <v>0</v>
      </c>
      <c r="BA484" s="124">
        <f>交易记录!X614</f>
        <v>0</v>
      </c>
      <c r="BB484" s="30">
        <f t="shared" si="226"/>
        <v>0</v>
      </c>
      <c r="BC484" s="121">
        <f>交易记录!X647</f>
        <v>0</v>
      </c>
      <c r="BD484" s="121">
        <f>交易记录!X678</f>
        <v>0</v>
      </c>
      <c r="BE484" s="30">
        <f t="shared" si="227"/>
        <v>0</v>
      </c>
      <c r="BF484" s="124">
        <f>交易记录!X711</f>
        <v>0</v>
      </c>
      <c r="BG484" s="124">
        <f>交易记录!X742</f>
        <v>0</v>
      </c>
      <c r="BH484" s="30">
        <f t="shared" si="228"/>
        <v>0</v>
      </c>
      <c r="BI484" s="121">
        <f>交易记录!X775</f>
        <v>0</v>
      </c>
      <c r="BJ484" s="121">
        <f>交易记录!X806</f>
        <v>0</v>
      </c>
      <c r="BK484" s="30">
        <f t="shared" si="229"/>
        <v>0</v>
      </c>
      <c r="BL484" s="124">
        <f>交易记录!X839</f>
        <v>0</v>
      </c>
      <c r="BM484" s="124">
        <f>交易记录!X870</f>
        <v>0</v>
      </c>
      <c r="BN484" s="30">
        <f t="shared" si="230"/>
        <v>0</v>
      </c>
      <c r="BO484" s="121">
        <f>交易记录!X903</f>
        <v>0</v>
      </c>
      <c r="BP484" s="121">
        <f>交易记录!X934</f>
        <v>0</v>
      </c>
      <c r="BQ484" s="30">
        <f t="shared" si="231"/>
        <v>0</v>
      </c>
    </row>
    <row r="485" spans="1:69" ht="15">
      <c r="A485" s="125">
        <f>'维护-日期'!A$23</f>
        <v>46286</v>
      </c>
      <c r="B485" s="7" t="s">
        <v>9</v>
      </c>
      <c r="C485" s="144">
        <f t="shared" si="232"/>
        <v>13.836</v>
      </c>
      <c r="D485" s="144">
        <f>ROUND(INDEX(持仓数据!$C$3:$AG$26,MATCH('计算过程-数据汇总'!B485,持仓数据!$B$3:$B$26,0),MATCH('计算过程-数据汇总'!A485,'维护-日期'!$B$2:$AF$2,0)),3)</f>
        <v>13.836</v>
      </c>
      <c r="E485" s="98">
        <f t="shared" si="233"/>
        <v>13.836</v>
      </c>
      <c r="F485" s="22">
        <f>持仓数据!W75</f>
        <v>0.09</v>
      </c>
      <c r="G485" s="97">
        <v>372</v>
      </c>
      <c r="H485" s="97">
        <v>372</v>
      </c>
      <c r="I485" s="64">
        <v>0</v>
      </c>
      <c r="J485" s="64">
        <v>0</v>
      </c>
      <c r="K485" s="21">
        <f>IF(持仓数据!W108="",0,持仓数据!W108)</f>
        <v>372</v>
      </c>
      <c r="L485" s="21">
        <f t="shared" si="234"/>
        <v>0</v>
      </c>
      <c r="M485" s="28">
        <f t="shared" si="218"/>
        <v>5146.9920000000002</v>
      </c>
      <c r="N485" s="28">
        <f t="shared" si="219"/>
        <v>0</v>
      </c>
      <c r="O485" s="28">
        <f t="shared" si="220"/>
        <v>0</v>
      </c>
      <c r="P485" s="28">
        <f t="shared" si="221"/>
        <v>0</v>
      </c>
      <c r="Q485" s="28">
        <f t="shared" si="235"/>
        <v>0</v>
      </c>
      <c r="R485" s="28">
        <f t="shared" si="222"/>
        <v>5146.9920000000002</v>
      </c>
      <c r="S485" s="28">
        <f t="shared" si="236"/>
        <v>0</v>
      </c>
      <c r="T485" s="28">
        <f t="shared" si="237"/>
        <v>0</v>
      </c>
      <c r="U485" s="28">
        <f t="shared" si="240"/>
        <v>0</v>
      </c>
      <c r="V485" s="28">
        <f t="shared" si="238"/>
        <v>0</v>
      </c>
      <c r="W485" s="118"/>
      <c r="X485" s="143">
        <f t="shared" si="239"/>
        <v>16.513000000000002</v>
      </c>
      <c r="Y485" s="121">
        <f>交易记录!X8</f>
        <v>0.09</v>
      </c>
      <c r="Z485" s="121">
        <f>交易记录!X39</f>
        <v>372</v>
      </c>
      <c r="AA485" s="30">
        <f t="shared" si="223"/>
        <v>0</v>
      </c>
      <c r="AB485" s="124">
        <f>交易记录!X72</f>
        <v>0</v>
      </c>
      <c r="AC485" s="124">
        <f>交易记录!X103</f>
        <v>0</v>
      </c>
      <c r="AD485" s="30">
        <f t="shared" si="241"/>
        <v>0</v>
      </c>
      <c r="AE485" s="121">
        <f>交易记录!X136</f>
        <v>0</v>
      </c>
      <c r="AF485" s="121">
        <f>交易记录!X167</f>
        <v>0</v>
      </c>
      <c r="AG485" s="30">
        <f t="shared" si="242"/>
        <v>0</v>
      </c>
      <c r="AH485" s="124">
        <f>交易记录!X200</f>
        <v>0</v>
      </c>
      <c r="AI485" s="124">
        <f>交易记录!X231</f>
        <v>0</v>
      </c>
      <c r="AJ485" s="30">
        <f t="shared" si="243"/>
        <v>0</v>
      </c>
      <c r="AK485" s="121">
        <f>交易记录!X264</f>
        <v>0</v>
      </c>
      <c r="AL485" s="121">
        <f>交易记录!X295</f>
        <v>0</v>
      </c>
      <c r="AM485" s="30">
        <f t="shared" si="244"/>
        <v>0</v>
      </c>
      <c r="AN485" s="124">
        <f>交易记录!X328</f>
        <v>0</v>
      </c>
      <c r="AO485" s="124">
        <f>交易记录!X359</f>
        <v>0</v>
      </c>
      <c r="AP485" s="30">
        <f t="shared" si="245"/>
        <v>0</v>
      </c>
      <c r="AQ485" s="121">
        <f>交易记录!X392</f>
        <v>0</v>
      </c>
      <c r="AR485" s="121">
        <f>交易记录!X423</f>
        <v>0</v>
      </c>
      <c r="AS485" s="30">
        <f t="shared" si="246"/>
        <v>0</v>
      </c>
      <c r="AT485" s="124">
        <f>交易记录!X456</f>
        <v>0</v>
      </c>
      <c r="AU485" s="124">
        <f>交易记录!X487</f>
        <v>0</v>
      </c>
      <c r="AV485" s="30">
        <f t="shared" si="224"/>
        <v>0</v>
      </c>
      <c r="AW485" s="121">
        <f>交易记录!X520</f>
        <v>0</v>
      </c>
      <c r="AX485" s="121">
        <f>交易记录!X551</f>
        <v>0</v>
      </c>
      <c r="AY485" s="30">
        <f t="shared" si="225"/>
        <v>0</v>
      </c>
      <c r="AZ485" s="124">
        <f>交易记录!X584</f>
        <v>0</v>
      </c>
      <c r="BA485" s="124">
        <f>交易记录!X615</f>
        <v>0</v>
      </c>
      <c r="BB485" s="30">
        <f t="shared" si="226"/>
        <v>0</v>
      </c>
      <c r="BC485" s="121">
        <f>交易记录!X648</f>
        <v>0</v>
      </c>
      <c r="BD485" s="121">
        <f>交易记录!X679</f>
        <v>0</v>
      </c>
      <c r="BE485" s="30">
        <f t="shared" si="227"/>
        <v>0</v>
      </c>
      <c r="BF485" s="124">
        <f>交易记录!X712</f>
        <v>0</v>
      </c>
      <c r="BG485" s="124">
        <f>交易记录!X743</f>
        <v>0</v>
      </c>
      <c r="BH485" s="30">
        <f t="shared" si="228"/>
        <v>0</v>
      </c>
      <c r="BI485" s="121">
        <f>交易记录!X776</f>
        <v>0</v>
      </c>
      <c r="BJ485" s="121">
        <f>交易记录!X807</f>
        <v>0</v>
      </c>
      <c r="BK485" s="30">
        <f t="shared" si="229"/>
        <v>0</v>
      </c>
      <c r="BL485" s="124">
        <f>交易记录!X840</f>
        <v>0</v>
      </c>
      <c r="BM485" s="124">
        <f>交易记录!X871</f>
        <v>0</v>
      </c>
      <c r="BN485" s="30">
        <f t="shared" si="230"/>
        <v>0</v>
      </c>
      <c r="BO485" s="121">
        <f>交易记录!X904</f>
        <v>0</v>
      </c>
      <c r="BP485" s="121">
        <f>交易记录!X935</f>
        <v>0</v>
      </c>
      <c r="BQ485" s="30">
        <f t="shared" si="231"/>
        <v>0</v>
      </c>
    </row>
    <row r="486" spans="1:69" ht="15">
      <c r="A486" s="125">
        <f>'维护-日期'!A$23</f>
        <v>46286</v>
      </c>
      <c r="B486" s="7" t="s">
        <v>10</v>
      </c>
      <c r="C486" s="144">
        <f t="shared" si="232"/>
        <v>13.28</v>
      </c>
      <c r="D486" s="144">
        <f>ROUND(INDEX(持仓数据!$C$3:$AG$26,MATCH('计算过程-数据汇总'!B486,持仓数据!$B$3:$B$26,0),MATCH('计算过程-数据汇总'!A486,'维护-日期'!$B$2:$AF$2,0)),3)</f>
        <v>13.28</v>
      </c>
      <c r="E486" s="98">
        <f t="shared" si="233"/>
        <v>13.28</v>
      </c>
      <c r="F486" s="22">
        <f>持仓数据!W76</f>
        <v>8.6999999999999994E-2</v>
      </c>
      <c r="G486" s="97">
        <v>372</v>
      </c>
      <c r="H486" s="97">
        <v>372</v>
      </c>
      <c r="I486" s="64">
        <v>0</v>
      </c>
      <c r="J486" s="64">
        <v>0</v>
      </c>
      <c r="K486" s="21">
        <f>IF(持仓数据!W109="",0,持仓数据!W109)</f>
        <v>372</v>
      </c>
      <c r="L486" s="21">
        <f t="shared" si="234"/>
        <v>0</v>
      </c>
      <c r="M486" s="28">
        <f t="shared" si="218"/>
        <v>4940.16</v>
      </c>
      <c r="N486" s="28">
        <f t="shared" si="219"/>
        <v>0</v>
      </c>
      <c r="O486" s="28">
        <f t="shared" si="220"/>
        <v>0</v>
      </c>
      <c r="P486" s="28">
        <f t="shared" si="221"/>
        <v>0</v>
      </c>
      <c r="Q486" s="28">
        <f t="shared" si="235"/>
        <v>0</v>
      </c>
      <c r="R486" s="28">
        <f t="shared" si="222"/>
        <v>4940.16</v>
      </c>
      <c r="S486" s="28">
        <f t="shared" si="236"/>
        <v>0</v>
      </c>
      <c r="T486" s="28">
        <f t="shared" si="237"/>
        <v>0</v>
      </c>
      <c r="U486" s="28">
        <f t="shared" si="240"/>
        <v>0</v>
      </c>
      <c r="V486" s="28">
        <f t="shared" si="238"/>
        <v>0</v>
      </c>
      <c r="W486" s="118"/>
      <c r="X486" s="143">
        <f t="shared" si="239"/>
        <v>15.849</v>
      </c>
      <c r="Y486" s="121">
        <f>交易记录!X9</f>
        <v>8.6999999999999994E-2</v>
      </c>
      <c r="Z486" s="121">
        <f>交易记录!X40</f>
        <v>372</v>
      </c>
      <c r="AA486" s="30">
        <f t="shared" si="223"/>
        <v>0</v>
      </c>
      <c r="AB486" s="124">
        <f>交易记录!X73</f>
        <v>0</v>
      </c>
      <c r="AC486" s="124">
        <f>交易记录!X104</f>
        <v>0</v>
      </c>
      <c r="AD486" s="30">
        <f t="shared" si="241"/>
        <v>0</v>
      </c>
      <c r="AE486" s="121">
        <f>交易记录!X137</f>
        <v>0</v>
      </c>
      <c r="AF486" s="121">
        <f>交易记录!X168</f>
        <v>0</v>
      </c>
      <c r="AG486" s="30">
        <f t="shared" si="242"/>
        <v>0</v>
      </c>
      <c r="AH486" s="124">
        <f>交易记录!X201</f>
        <v>0</v>
      </c>
      <c r="AI486" s="124">
        <f>交易记录!X232</f>
        <v>0</v>
      </c>
      <c r="AJ486" s="30">
        <f t="shared" si="243"/>
        <v>0</v>
      </c>
      <c r="AK486" s="121">
        <f>交易记录!X265</f>
        <v>0</v>
      </c>
      <c r="AL486" s="121">
        <f>交易记录!X296</f>
        <v>0</v>
      </c>
      <c r="AM486" s="30">
        <f t="shared" si="244"/>
        <v>0</v>
      </c>
      <c r="AN486" s="124">
        <f>交易记录!X329</f>
        <v>0</v>
      </c>
      <c r="AO486" s="124">
        <f>交易记录!X360</f>
        <v>0</v>
      </c>
      <c r="AP486" s="30">
        <f t="shared" si="245"/>
        <v>0</v>
      </c>
      <c r="AQ486" s="121">
        <f>交易记录!X393</f>
        <v>0</v>
      </c>
      <c r="AR486" s="121">
        <f>交易记录!X424</f>
        <v>0</v>
      </c>
      <c r="AS486" s="30">
        <f t="shared" si="246"/>
        <v>0</v>
      </c>
      <c r="AT486" s="124">
        <f>交易记录!X457</f>
        <v>0</v>
      </c>
      <c r="AU486" s="124">
        <f>交易记录!X488</f>
        <v>0</v>
      </c>
      <c r="AV486" s="30">
        <f t="shared" si="224"/>
        <v>0</v>
      </c>
      <c r="AW486" s="121">
        <f>交易记录!X521</f>
        <v>0</v>
      </c>
      <c r="AX486" s="121">
        <f>交易记录!X552</f>
        <v>0</v>
      </c>
      <c r="AY486" s="30">
        <f t="shared" si="225"/>
        <v>0</v>
      </c>
      <c r="AZ486" s="124">
        <f>交易记录!X585</f>
        <v>0</v>
      </c>
      <c r="BA486" s="124">
        <f>交易记录!X616</f>
        <v>0</v>
      </c>
      <c r="BB486" s="30">
        <f t="shared" si="226"/>
        <v>0</v>
      </c>
      <c r="BC486" s="121">
        <f>交易记录!X649</f>
        <v>0</v>
      </c>
      <c r="BD486" s="121">
        <f>交易记录!X680</f>
        <v>0</v>
      </c>
      <c r="BE486" s="30">
        <f t="shared" si="227"/>
        <v>0</v>
      </c>
      <c r="BF486" s="124">
        <f>交易记录!X713</f>
        <v>0</v>
      </c>
      <c r="BG486" s="124">
        <f>交易记录!X744</f>
        <v>0</v>
      </c>
      <c r="BH486" s="30">
        <f t="shared" si="228"/>
        <v>0</v>
      </c>
      <c r="BI486" s="121">
        <f>交易记录!X777</f>
        <v>0</v>
      </c>
      <c r="BJ486" s="121">
        <f>交易记录!X808</f>
        <v>0</v>
      </c>
      <c r="BK486" s="30">
        <f t="shared" si="229"/>
        <v>0</v>
      </c>
      <c r="BL486" s="124">
        <f>交易记录!X841</f>
        <v>0</v>
      </c>
      <c r="BM486" s="124">
        <f>交易记录!X872</f>
        <v>0</v>
      </c>
      <c r="BN486" s="30">
        <f t="shared" si="230"/>
        <v>0</v>
      </c>
      <c r="BO486" s="121">
        <f>交易记录!X905</f>
        <v>0</v>
      </c>
      <c r="BP486" s="121">
        <f>交易记录!X936</f>
        <v>0</v>
      </c>
      <c r="BQ486" s="30">
        <f t="shared" si="231"/>
        <v>0</v>
      </c>
    </row>
    <row r="487" spans="1:69" ht="15">
      <c r="A487" s="125">
        <f>'维护-日期'!A$23</f>
        <v>46286</v>
      </c>
      <c r="B487" s="7" t="s">
        <v>11</v>
      </c>
      <c r="C487" s="144">
        <f t="shared" si="232"/>
        <v>12.787000000000001</v>
      </c>
      <c r="D487" s="144">
        <f>ROUND(INDEX(持仓数据!$C$3:$AG$26,MATCH('计算过程-数据汇总'!B487,持仓数据!$B$3:$B$26,0),MATCH('计算过程-数据汇总'!A487,'维护-日期'!$B$2:$AF$2,0)),3)</f>
        <v>12.787000000000001</v>
      </c>
      <c r="E487" s="98">
        <f t="shared" si="233"/>
        <v>12.787000000000001</v>
      </c>
      <c r="F487" s="22">
        <f>持仓数据!W77</f>
        <v>8.6999999999999994E-2</v>
      </c>
      <c r="G487" s="97">
        <v>372</v>
      </c>
      <c r="H487" s="97">
        <v>372</v>
      </c>
      <c r="I487" s="64">
        <v>0</v>
      </c>
      <c r="J487" s="64">
        <v>0</v>
      </c>
      <c r="K487" s="21">
        <f>IF(持仓数据!W110="",0,持仓数据!W110)</f>
        <v>372</v>
      </c>
      <c r="L487" s="21">
        <f t="shared" si="234"/>
        <v>0</v>
      </c>
      <c r="M487" s="28">
        <f t="shared" si="218"/>
        <v>4756.7640000000001</v>
      </c>
      <c r="N487" s="28">
        <f t="shared" si="219"/>
        <v>0</v>
      </c>
      <c r="O487" s="28">
        <f t="shared" si="220"/>
        <v>0</v>
      </c>
      <c r="P487" s="28">
        <f t="shared" si="221"/>
        <v>0</v>
      </c>
      <c r="Q487" s="28">
        <f t="shared" si="235"/>
        <v>0</v>
      </c>
      <c r="R487" s="28">
        <f t="shared" si="222"/>
        <v>4756.7640000000001</v>
      </c>
      <c r="S487" s="28">
        <f t="shared" si="236"/>
        <v>0</v>
      </c>
      <c r="T487" s="28">
        <f t="shared" si="237"/>
        <v>0</v>
      </c>
      <c r="U487" s="28">
        <f t="shared" si="240"/>
        <v>0</v>
      </c>
      <c r="V487" s="28">
        <f t="shared" si="238"/>
        <v>0</v>
      </c>
      <c r="W487" s="118"/>
      <c r="X487" s="143">
        <f t="shared" si="239"/>
        <v>15.257</v>
      </c>
      <c r="Y487" s="121">
        <f>交易记录!X10</f>
        <v>8.6999999999999994E-2</v>
      </c>
      <c r="Z487" s="121">
        <f>交易记录!X41</f>
        <v>372</v>
      </c>
      <c r="AA487" s="30">
        <f t="shared" si="223"/>
        <v>0</v>
      </c>
      <c r="AB487" s="124">
        <f>交易记录!X74</f>
        <v>0</v>
      </c>
      <c r="AC487" s="124">
        <f>交易记录!X105</f>
        <v>0</v>
      </c>
      <c r="AD487" s="30">
        <f t="shared" si="241"/>
        <v>0</v>
      </c>
      <c r="AE487" s="121">
        <f>交易记录!X138</f>
        <v>0</v>
      </c>
      <c r="AF487" s="121">
        <f>交易记录!X169</f>
        <v>0</v>
      </c>
      <c r="AG487" s="30">
        <f t="shared" si="242"/>
        <v>0</v>
      </c>
      <c r="AH487" s="124">
        <f>交易记录!X202</f>
        <v>0</v>
      </c>
      <c r="AI487" s="124">
        <f>交易记录!X233</f>
        <v>0</v>
      </c>
      <c r="AJ487" s="30">
        <f t="shared" si="243"/>
        <v>0</v>
      </c>
      <c r="AK487" s="121">
        <f>交易记录!X266</f>
        <v>0</v>
      </c>
      <c r="AL487" s="121">
        <f>交易记录!X297</f>
        <v>0</v>
      </c>
      <c r="AM487" s="30">
        <f t="shared" si="244"/>
        <v>0</v>
      </c>
      <c r="AN487" s="124">
        <f>交易记录!X330</f>
        <v>0</v>
      </c>
      <c r="AO487" s="124">
        <f>交易记录!X361</f>
        <v>0</v>
      </c>
      <c r="AP487" s="30">
        <f t="shared" si="245"/>
        <v>0</v>
      </c>
      <c r="AQ487" s="121">
        <f>交易记录!X394</f>
        <v>0</v>
      </c>
      <c r="AR487" s="121">
        <f>交易记录!X425</f>
        <v>0</v>
      </c>
      <c r="AS487" s="30">
        <f t="shared" si="246"/>
        <v>0</v>
      </c>
      <c r="AT487" s="124">
        <f>交易记录!X458</f>
        <v>0</v>
      </c>
      <c r="AU487" s="124">
        <f>交易记录!X489</f>
        <v>0</v>
      </c>
      <c r="AV487" s="30">
        <f t="shared" si="224"/>
        <v>0</v>
      </c>
      <c r="AW487" s="121">
        <f>交易记录!X522</f>
        <v>0</v>
      </c>
      <c r="AX487" s="121">
        <f>交易记录!X553</f>
        <v>0</v>
      </c>
      <c r="AY487" s="30">
        <f t="shared" si="225"/>
        <v>0</v>
      </c>
      <c r="AZ487" s="124">
        <f>交易记录!X586</f>
        <v>0</v>
      </c>
      <c r="BA487" s="124">
        <f>交易记录!X617</f>
        <v>0</v>
      </c>
      <c r="BB487" s="30">
        <f t="shared" si="226"/>
        <v>0</v>
      </c>
      <c r="BC487" s="121">
        <f>交易记录!X650</f>
        <v>0</v>
      </c>
      <c r="BD487" s="121">
        <f>交易记录!X681</f>
        <v>0</v>
      </c>
      <c r="BE487" s="30">
        <f t="shared" si="227"/>
        <v>0</v>
      </c>
      <c r="BF487" s="124">
        <f>交易记录!X714</f>
        <v>0</v>
      </c>
      <c r="BG487" s="124">
        <f>交易记录!X745</f>
        <v>0</v>
      </c>
      <c r="BH487" s="30">
        <f t="shared" si="228"/>
        <v>0</v>
      </c>
      <c r="BI487" s="121">
        <f>交易记录!X778</f>
        <v>0</v>
      </c>
      <c r="BJ487" s="121">
        <f>交易记录!X809</f>
        <v>0</v>
      </c>
      <c r="BK487" s="30">
        <f t="shared" si="229"/>
        <v>0</v>
      </c>
      <c r="BL487" s="124">
        <f>交易记录!X842</f>
        <v>0</v>
      </c>
      <c r="BM487" s="124">
        <f>交易记录!X873</f>
        <v>0</v>
      </c>
      <c r="BN487" s="30">
        <f t="shared" si="230"/>
        <v>0</v>
      </c>
      <c r="BO487" s="121">
        <f>交易记录!X906</f>
        <v>0</v>
      </c>
      <c r="BP487" s="121">
        <f>交易记录!X937</f>
        <v>0</v>
      </c>
      <c r="BQ487" s="30">
        <f t="shared" si="231"/>
        <v>0</v>
      </c>
    </row>
    <row r="488" spans="1:69" ht="15">
      <c r="A488" s="125">
        <f>'维护-日期'!A$23</f>
        <v>46286</v>
      </c>
      <c r="B488" s="7" t="s">
        <v>12</v>
      </c>
      <c r="C488" s="144">
        <f t="shared" si="232"/>
        <v>12.55</v>
      </c>
      <c r="D488" s="144">
        <f>ROUND(INDEX(持仓数据!$C$3:$AG$26,MATCH('计算过程-数据汇总'!B488,持仓数据!$B$3:$B$26,0),MATCH('计算过程-数据汇总'!A488,'维护-日期'!$B$2:$AF$2,0)),3)</f>
        <v>12.55</v>
      </c>
      <c r="E488" s="98">
        <f t="shared" si="233"/>
        <v>12.55</v>
      </c>
      <c r="F488" s="22">
        <f>持仓数据!W78</f>
        <v>0.14499999999999999</v>
      </c>
      <c r="G488" s="97">
        <v>372</v>
      </c>
      <c r="H488" s="97">
        <v>372</v>
      </c>
      <c r="I488" s="64">
        <v>0</v>
      </c>
      <c r="J488" s="64">
        <v>0</v>
      </c>
      <c r="K488" s="21">
        <f>IF(持仓数据!W111="",0,持仓数据!W111)</f>
        <v>372</v>
      </c>
      <c r="L488" s="21">
        <f t="shared" si="234"/>
        <v>0</v>
      </c>
      <c r="M488" s="28">
        <f t="shared" si="218"/>
        <v>4668.6000000000004</v>
      </c>
      <c r="N488" s="28">
        <f t="shared" si="219"/>
        <v>0</v>
      </c>
      <c r="O488" s="28">
        <f t="shared" si="220"/>
        <v>0</v>
      </c>
      <c r="P488" s="28">
        <f t="shared" si="221"/>
        <v>0</v>
      </c>
      <c r="Q488" s="28">
        <f t="shared" si="235"/>
        <v>0</v>
      </c>
      <c r="R488" s="28">
        <f t="shared" si="222"/>
        <v>4668.6000000000004</v>
      </c>
      <c r="S488" s="28">
        <f t="shared" si="236"/>
        <v>0</v>
      </c>
      <c r="T488" s="28">
        <f t="shared" si="237"/>
        <v>0</v>
      </c>
      <c r="U488" s="28">
        <f t="shared" si="240"/>
        <v>0</v>
      </c>
      <c r="V488" s="28">
        <f t="shared" si="238"/>
        <v>0</v>
      </c>
      <c r="W488" s="118"/>
      <c r="X488" s="143">
        <f t="shared" si="239"/>
        <v>14.914999999999999</v>
      </c>
      <c r="Y488" s="121">
        <f>交易记录!X11</f>
        <v>0.14499999999999999</v>
      </c>
      <c r="Z488" s="121">
        <f>交易记录!X42</f>
        <v>372</v>
      </c>
      <c r="AA488" s="30">
        <f t="shared" si="223"/>
        <v>0</v>
      </c>
      <c r="AB488" s="124">
        <f>交易记录!X75</f>
        <v>0</v>
      </c>
      <c r="AC488" s="124">
        <f>交易记录!X106</f>
        <v>0</v>
      </c>
      <c r="AD488" s="30">
        <f t="shared" si="241"/>
        <v>0</v>
      </c>
      <c r="AE488" s="121">
        <f>交易记录!X139</f>
        <v>0</v>
      </c>
      <c r="AF488" s="121">
        <f>交易记录!X170</f>
        <v>0</v>
      </c>
      <c r="AG488" s="30">
        <f t="shared" si="242"/>
        <v>0</v>
      </c>
      <c r="AH488" s="124">
        <f>交易记录!X203</f>
        <v>0</v>
      </c>
      <c r="AI488" s="124">
        <f>交易记录!X234</f>
        <v>0</v>
      </c>
      <c r="AJ488" s="30">
        <f t="shared" si="243"/>
        <v>0</v>
      </c>
      <c r="AK488" s="121">
        <f>交易记录!X267</f>
        <v>0</v>
      </c>
      <c r="AL488" s="121">
        <f>交易记录!X298</f>
        <v>0</v>
      </c>
      <c r="AM488" s="30">
        <f t="shared" si="244"/>
        <v>0</v>
      </c>
      <c r="AN488" s="124">
        <f>交易记录!X331</f>
        <v>0</v>
      </c>
      <c r="AO488" s="124">
        <f>交易记录!X362</f>
        <v>0</v>
      </c>
      <c r="AP488" s="30">
        <f t="shared" si="245"/>
        <v>0</v>
      </c>
      <c r="AQ488" s="121">
        <f>交易记录!X395</f>
        <v>0</v>
      </c>
      <c r="AR488" s="121">
        <f>交易记录!X426</f>
        <v>0</v>
      </c>
      <c r="AS488" s="30">
        <f t="shared" si="246"/>
        <v>0</v>
      </c>
      <c r="AT488" s="124">
        <f>交易记录!X459</f>
        <v>0</v>
      </c>
      <c r="AU488" s="124">
        <f>交易记录!X490</f>
        <v>0</v>
      </c>
      <c r="AV488" s="30">
        <f t="shared" si="224"/>
        <v>0</v>
      </c>
      <c r="AW488" s="121">
        <f>交易记录!X523</f>
        <v>0</v>
      </c>
      <c r="AX488" s="121">
        <f>交易记录!X554</f>
        <v>0</v>
      </c>
      <c r="AY488" s="30">
        <f t="shared" si="225"/>
        <v>0</v>
      </c>
      <c r="AZ488" s="124">
        <f>交易记录!X587</f>
        <v>0</v>
      </c>
      <c r="BA488" s="124">
        <f>交易记录!X618</f>
        <v>0</v>
      </c>
      <c r="BB488" s="30">
        <f t="shared" si="226"/>
        <v>0</v>
      </c>
      <c r="BC488" s="121">
        <f>交易记录!X651</f>
        <v>0</v>
      </c>
      <c r="BD488" s="121">
        <f>交易记录!X682</f>
        <v>0</v>
      </c>
      <c r="BE488" s="30">
        <f t="shared" si="227"/>
        <v>0</v>
      </c>
      <c r="BF488" s="124">
        <f>交易记录!X715</f>
        <v>0</v>
      </c>
      <c r="BG488" s="124">
        <f>交易记录!X746</f>
        <v>0</v>
      </c>
      <c r="BH488" s="30">
        <f t="shared" si="228"/>
        <v>0</v>
      </c>
      <c r="BI488" s="121">
        <f>交易记录!X779</f>
        <v>0</v>
      </c>
      <c r="BJ488" s="121">
        <f>交易记录!X810</f>
        <v>0</v>
      </c>
      <c r="BK488" s="30">
        <f t="shared" si="229"/>
        <v>0</v>
      </c>
      <c r="BL488" s="124">
        <f>交易记录!X843</f>
        <v>0</v>
      </c>
      <c r="BM488" s="124">
        <f>交易记录!X874</f>
        <v>0</v>
      </c>
      <c r="BN488" s="30">
        <f t="shared" si="230"/>
        <v>0</v>
      </c>
      <c r="BO488" s="121">
        <f>交易记录!X907</f>
        <v>0</v>
      </c>
      <c r="BP488" s="121">
        <f>交易记录!X938</f>
        <v>0</v>
      </c>
      <c r="BQ488" s="30">
        <f t="shared" si="231"/>
        <v>0</v>
      </c>
    </row>
    <row r="489" spans="1:69" ht="15">
      <c r="A489" s="125">
        <f>'维护-日期'!A$23</f>
        <v>46286</v>
      </c>
      <c r="B489" s="7" t="s">
        <v>13</v>
      </c>
      <c r="C489" s="144">
        <f t="shared" si="232"/>
        <v>12.419</v>
      </c>
      <c r="D489" s="144">
        <f>ROUND(INDEX(持仓数据!$C$3:$AG$26,MATCH('计算过程-数据汇总'!B489,持仓数据!$B$3:$B$26,0),MATCH('计算过程-数据汇总'!A489,'维护-日期'!$B$2:$AF$2,0)),3)</f>
        <v>12.419</v>
      </c>
      <c r="E489" s="98">
        <f t="shared" si="233"/>
        <v>12.419</v>
      </c>
      <c r="F489" s="22">
        <f>持仓数据!W79</f>
        <v>0.307</v>
      </c>
      <c r="G489" s="97">
        <v>372</v>
      </c>
      <c r="H489" s="97">
        <v>372</v>
      </c>
      <c r="I489" s="64">
        <v>0</v>
      </c>
      <c r="J489" s="64">
        <v>0</v>
      </c>
      <c r="K489" s="21">
        <f>IF(持仓数据!W112="",0,持仓数据!W112)</f>
        <v>372</v>
      </c>
      <c r="L489" s="21">
        <f t="shared" si="234"/>
        <v>0</v>
      </c>
      <c r="M489" s="28">
        <f t="shared" si="218"/>
        <v>4619.8680000000004</v>
      </c>
      <c r="N489" s="28">
        <f t="shared" si="219"/>
        <v>0</v>
      </c>
      <c r="O489" s="28">
        <f t="shared" si="220"/>
        <v>0</v>
      </c>
      <c r="P489" s="28">
        <f t="shared" si="221"/>
        <v>0</v>
      </c>
      <c r="Q489" s="28">
        <f t="shared" si="235"/>
        <v>0</v>
      </c>
      <c r="R489" s="28">
        <f t="shared" si="222"/>
        <v>4619.8680000000004</v>
      </c>
      <c r="S489" s="28">
        <f t="shared" si="236"/>
        <v>0</v>
      </c>
      <c r="T489" s="28">
        <f t="shared" si="237"/>
        <v>0</v>
      </c>
      <c r="U489" s="28">
        <f t="shared" si="240"/>
        <v>0</v>
      </c>
      <c r="V489" s="28">
        <f t="shared" si="238"/>
        <v>0</v>
      </c>
      <c r="W489" s="118"/>
      <c r="X489" s="143">
        <f t="shared" si="239"/>
        <v>14.596</v>
      </c>
      <c r="Y489" s="121">
        <f>交易记录!X12</f>
        <v>0.307</v>
      </c>
      <c r="Z489" s="121">
        <f>交易记录!X43</f>
        <v>372</v>
      </c>
      <c r="AA489" s="30">
        <f t="shared" si="223"/>
        <v>0</v>
      </c>
      <c r="AB489" s="124">
        <f>交易记录!X76</f>
        <v>0</v>
      </c>
      <c r="AC489" s="124">
        <f>交易记录!X107</f>
        <v>0</v>
      </c>
      <c r="AD489" s="30">
        <f t="shared" si="241"/>
        <v>0</v>
      </c>
      <c r="AE489" s="121">
        <f>交易记录!X140</f>
        <v>0</v>
      </c>
      <c r="AF489" s="121">
        <f>交易记录!X171</f>
        <v>0</v>
      </c>
      <c r="AG489" s="30">
        <f t="shared" si="242"/>
        <v>0</v>
      </c>
      <c r="AH489" s="124">
        <f>交易记录!X204</f>
        <v>0</v>
      </c>
      <c r="AI489" s="124">
        <f>交易记录!X235</f>
        <v>0</v>
      </c>
      <c r="AJ489" s="30">
        <f t="shared" si="243"/>
        <v>0</v>
      </c>
      <c r="AK489" s="121">
        <f>交易记录!X268</f>
        <v>0</v>
      </c>
      <c r="AL489" s="121">
        <f>交易记录!X299</f>
        <v>0</v>
      </c>
      <c r="AM489" s="30">
        <f t="shared" si="244"/>
        <v>0</v>
      </c>
      <c r="AN489" s="124">
        <f>交易记录!X332</f>
        <v>0</v>
      </c>
      <c r="AO489" s="124">
        <f>交易记录!X363</f>
        <v>0</v>
      </c>
      <c r="AP489" s="30">
        <f t="shared" si="245"/>
        <v>0</v>
      </c>
      <c r="AQ489" s="121">
        <f>交易记录!X396</f>
        <v>0</v>
      </c>
      <c r="AR489" s="121">
        <f>交易记录!X427</f>
        <v>0</v>
      </c>
      <c r="AS489" s="30">
        <f t="shared" si="246"/>
        <v>0</v>
      </c>
      <c r="AT489" s="124">
        <f>交易记录!X460</f>
        <v>0</v>
      </c>
      <c r="AU489" s="124">
        <f>交易记录!X491</f>
        <v>0</v>
      </c>
      <c r="AV489" s="30">
        <f t="shared" si="224"/>
        <v>0</v>
      </c>
      <c r="AW489" s="121">
        <f>交易记录!X524</f>
        <v>0</v>
      </c>
      <c r="AX489" s="121">
        <f>交易记录!X555</f>
        <v>0</v>
      </c>
      <c r="AY489" s="30">
        <f t="shared" si="225"/>
        <v>0</v>
      </c>
      <c r="AZ489" s="124">
        <f>交易记录!X588</f>
        <v>0</v>
      </c>
      <c r="BA489" s="124">
        <f>交易记录!X619</f>
        <v>0</v>
      </c>
      <c r="BB489" s="30">
        <f t="shared" si="226"/>
        <v>0</v>
      </c>
      <c r="BC489" s="121">
        <f>交易记录!X652</f>
        <v>0</v>
      </c>
      <c r="BD489" s="121">
        <f>交易记录!X683</f>
        <v>0</v>
      </c>
      <c r="BE489" s="30">
        <f t="shared" si="227"/>
        <v>0</v>
      </c>
      <c r="BF489" s="124">
        <f>交易记录!X716</f>
        <v>0</v>
      </c>
      <c r="BG489" s="124">
        <f>交易记录!X747</f>
        <v>0</v>
      </c>
      <c r="BH489" s="30">
        <f t="shared" si="228"/>
        <v>0</v>
      </c>
      <c r="BI489" s="121">
        <f>交易记录!X780</f>
        <v>0</v>
      </c>
      <c r="BJ489" s="121">
        <f>交易记录!X811</f>
        <v>0</v>
      </c>
      <c r="BK489" s="30">
        <f t="shared" si="229"/>
        <v>0</v>
      </c>
      <c r="BL489" s="124">
        <f>交易记录!X844</f>
        <v>0</v>
      </c>
      <c r="BM489" s="124">
        <f>交易记录!X875</f>
        <v>0</v>
      </c>
      <c r="BN489" s="30">
        <f t="shared" si="230"/>
        <v>0</v>
      </c>
      <c r="BO489" s="121">
        <f>交易记录!X908</f>
        <v>0</v>
      </c>
      <c r="BP489" s="121">
        <f>交易记录!X939</f>
        <v>0</v>
      </c>
      <c r="BQ489" s="30">
        <f t="shared" si="231"/>
        <v>0</v>
      </c>
    </row>
    <row r="490" spans="1:69" ht="15">
      <c r="A490" s="125">
        <f>'维护-日期'!A$23</f>
        <v>46286</v>
      </c>
      <c r="B490" s="7" t="s">
        <v>14</v>
      </c>
      <c r="C490" s="144">
        <f t="shared" si="232"/>
        <v>13.66</v>
      </c>
      <c r="D490" s="144">
        <f>ROUND(INDEX(持仓数据!$C$3:$AG$26,MATCH('计算过程-数据汇总'!B490,持仓数据!$B$3:$B$26,0),MATCH('计算过程-数据汇总'!A490,'维护-日期'!$B$2:$AF$2,0)),3)</f>
        <v>13.66</v>
      </c>
      <c r="E490" s="98">
        <f t="shared" si="233"/>
        <v>13.66</v>
      </c>
      <c r="F490" s="22">
        <f>持仓数据!W80</f>
        <v>0.42800000000000005</v>
      </c>
      <c r="G490" s="97">
        <v>372</v>
      </c>
      <c r="H490" s="97">
        <v>372</v>
      </c>
      <c r="I490" s="64">
        <v>0</v>
      </c>
      <c r="J490" s="64">
        <v>0</v>
      </c>
      <c r="K490" s="21">
        <f>IF(持仓数据!W113="",0,持仓数据!W113)</f>
        <v>372</v>
      </c>
      <c r="L490" s="21">
        <f t="shared" si="234"/>
        <v>0</v>
      </c>
      <c r="M490" s="28">
        <f t="shared" si="218"/>
        <v>5081.5200000000004</v>
      </c>
      <c r="N490" s="28">
        <f t="shared" si="219"/>
        <v>0</v>
      </c>
      <c r="O490" s="28">
        <f t="shared" si="220"/>
        <v>0</v>
      </c>
      <c r="P490" s="28">
        <f t="shared" si="221"/>
        <v>0</v>
      </c>
      <c r="Q490" s="28">
        <f t="shared" si="235"/>
        <v>0</v>
      </c>
      <c r="R490" s="28">
        <f t="shared" si="222"/>
        <v>5081.5200000000004</v>
      </c>
      <c r="S490" s="28">
        <f t="shared" si="236"/>
        <v>0</v>
      </c>
      <c r="T490" s="28">
        <f t="shared" si="237"/>
        <v>0</v>
      </c>
      <c r="U490" s="28">
        <f t="shared" si="240"/>
        <v>0</v>
      </c>
      <c r="V490" s="28">
        <f t="shared" si="238"/>
        <v>0</v>
      </c>
      <c r="W490" s="118"/>
      <c r="X490" s="143">
        <f t="shared" si="239"/>
        <v>15.964</v>
      </c>
      <c r="Y490" s="121">
        <f>交易记录!X13</f>
        <v>0.42800000000000005</v>
      </c>
      <c r="Z490" s="121">
        <f>交易记录!X44</f>
        <v>372</v>
      </c>
      <c r="AA490" s="30">
        <f t="shared" si="223"/>
        <v>0</v>
      </c>
      <c r="AB490" s="124">
        <f>交易记录!X77</f>
        <v>0</v>
      </c>
      <c r="AC490" s="124">
        <f>交易记录!X108</f>
        <v>0</v>
      </c>
      <c r="AD490" s="30">
        <f t="shared" si="241"/>
        <v>0</v>
      </c>
      <c r="AE490" s="121">
        <f>交易记录!X141</f>
        <v>0</v>
      </c>
      <c r="AF490" s="121">
        <f>交易记录!X172</f>
        <v>0</v>
      </c>
      <c r="AG490" s="30">
        <f t="shared" si="242"/>
        <v>0</v>
      </c>
      <c r="AH490" s="124">
        <f>交易记录!X205</f>
        <v>0</v>
      </c>
      <c r="AI490" s="124">
        <f>交易记录!X236</f>
        <v>0</v>
      </c>
      <c r="AJ490" s="30">
        <f t="shared" si="243"/>
        <v>0</v>
      </c>
      <c r="AK490" s="121">
        <f>交易记录!X269</f>
        <v>0</v>
      </c>
      <c r="AL490" s="121">
        <f>交易记录!X300</f>
        <v>0</v>
      </c>
      <c r="AM490" s="30">
        <f t="shared" si="244"/>
        <v>0</v>
      </c>
      <c r="AN490" s="124">
        <f>交易记录!X333</f>
        <v>0</v>
      </c>
      <c r="AO490" s="124">
        <f>交易记录!X364</f>
        <v>0</v>
      </c>
      <c r="AP490" s="30">
        <f t="shared" si="245"/>
        <v>0</v>
      </c>
      <c r="AQ490" s="121">
        <f>交易记录!X397</f>
        <v>0</v>
      </c>
      <c r="AR490" s="121">
        <f>交易记录!X428</f>
        <v>0</v>
      </c>
      <c r="AS490" s="30">
        <f t="shared" si="246"/>
        <v>0</v>
      </c>
      <c r="AT490" s="124">
        <f>交易记录!X461</f>
        <v>0</v>
      </c>
      <c r="AU490" s="124">
        <f>交易记录!X492</f>
        <v>0</v>
      </c>
      <c r="AV490" s="30">
        <f t="shared" si="224"/>
        <v>0</v>
      </c>
      <c r="AW490" s="121">
        <f>交易记录!X525</f>
        <v>0</v>
      </c>
      <c r="AX490" s="121">
        <f>交易记录!X556</f>
        <v>0</v>
      </c>
      <c r="AY490" s="30">
        <f t="shared" si="225"/>
        <v>0</v>
      </c>
      <c r="AZ490" s="124">
        <f>交易记录!X589</f>
        <v>0</v>
      </c>
      <c r="BA490" s="124">
        <f>交易记录!X620</f>
        <v>0</v>
      </c>
      <c r="BB490" s="30">
        <f t="shared" si="226"/>
        <v>0</v>
      </c>
      <c r="BC490" s="121">
        <f>交易记录!X653</f>
        <v>0</v>
      </c>
      <c r="BD490" s="121">
        <f>交易记录!X684</f>
        <v>0</v>
      </c>
      <c r="BE490" s="30">
        <f t="shared" si="227"/>
        <v>0</v>
      </c>
      <c r="BF490" s="124">
        <f>交易记录!X717</f>
        <v>0</v>
      </c>
      <c r="BG490" s="124">
        <f>交易记录!X748</f>
        <v>0</v>
      </c>
      <c r="BH490" s="30">
        <f t="shared" si="228"/>
        <v>0</v>
      </c>
      <c r="BI490" s="121">
        <f>交易记录!X781</f>
        <v>0</v>
      </c>
      <c r="BJ490" s="121">
        <f>交易记录!X812</f>
        <v>0</v>
      </c>
      <c r="BK490" s="30">
        <f t="shared" si="229"/>
        <v>0</v>
      </c>
      <c r="BL490" s="124">
        <f>交易记录!X845</f>
        <v>0</v>
      </c>
      <c r="BM490" s="124">
        <f>交易记录!X876</f>
        <v>0</v>
      </c>
      <c r="BN490" s="30">
        <f t="shared" si="230"/>
        <v>0</v>
      </c>
      <c r="BO490" s="121">
        <f>交易记录!X909</f>
        <v>0</v>
      </c>
      <c r="BP490" s="121">
        <f>交易记录!X940</f>
        <v>0</v>
      </c>
      <c r="BQ490" s="30">
        <f t="shared" si="231"/>
        <v>0</v>
      </c>
    </row>
    <row r="491" spans="1:69" ht="15">
      <c r="A491" s="125">
        <f>'维护-日期'!A$23</f>
        <v>46286</v>
      </c>
      <c r="B491" s="7" t="s">
        <v>15</v>
      </c>
      <c r="C491" s="144">
        <f t="shared" si="232"/>
        <v>16.832999999999998</v>
      </c>
      <c r="D491" s="144">
        <f>ROUND(INDEX(持仓数据!$C$3:$AG$26,MATCH('计算过程-数据汇总'!B491,持仓数据!$B$3:$B$26,0),MATCH('计算过程-数据汇总'!A491,'维护-日期'!$B$2:$AF$2,0)),3)</f>
        <v>16.832999999999998</v>
      </c>
      <c r="E491" s="98">
        <f t="shared" si="233"/>
        <v>16.832999999999998</v>
      </c>
      <c r="F491" s="22">
        <f>持仓数据!W81</f>
        <v>0.46100000000000002</v>
      </c>
      <c r="G491" s="97">
        <v>372</v>
      </c>
      <c r="H491" s="97">
        <v>372</v>
      </c>
      <c r="I491" s="64">
        <v>0</v>
      </c>
      <c r="J491" s="64">
        <v>0</v>
      </c>
      <c r="K491" s="21">
        <f>IF(持仓数据!W114="",0,持仓数据!W114)</f>
        <v>372</v>
      </c>
      <c r="L491" s="21">
        <f t="shared" si="234"/>
        <v>0</v>
      </c>
      <c r="M491" s="28">
        <f t="shared" si="218"/>
        <v>6261.8759999999993</v>
      </c>
      <c r="N491" s="28">
        <f t="shared" si="219"/>
        <v>0</v>
      </c>
      <c r="O491" s="28">
        <f t="shared" si="220"/>
        <v>0</v>
      </c>
      <c r="P491" s="28">
        <f t="shared" si="221"/>
        <v>0</v>
      </c>
      <c r="Q491" s="28">
        <f t="shared" si="235"/>
        <v>0</v>
      </c>
      <c r="R491" s="28">
        <f t="shared" si="222"/>
        <v>6261.8759999999993</v>
      </c>
      <c r="S491" s="28">
        <f t="shared" si="236"/>
        <v>0</v>
      </c>
      <c r="T491" s="28">
        <f t="shared" si="237"/>
        <v>0</v>
      </c>
      <c r="U491" s="28">
        <f t="shared" si="240"/>
        <v>0</v>
      </c>
      <c r="V491" s="28">
        <f t="shared" si="238"/>
        <v>0</v>
      </c>
      <c r="W491" s="118"/>
      <c r="X491" s="143">
        <f t="shared" si="239"/>
        <v>19.739000000000001</v>
      </c>
      <c r="Y491" s="121">
        <f>交易记录!X14</f>
        <v>0.46100000000000002</v>
      </c>
      <c r="Z491" s="121">
        <f>交易记录!X45</f>
        <v>372</v>
      </c>
      <c r="AA491" s="30">
        <f t="shared" si="223"/>
        <v>0</v>
      </c>
      <c r="AB491" s="124">
        <f>交易记录!X78</f>
        <v>0</v>
      </c>
      <c r="AC491" s="124">
        <f>交易记录!X109</f>
        <v>0</v>
      </c>
      <c r="AD491" s="30">
        <f t="shared" si="241"/>
        <v>0</v>
      </c>
      <c r="AE491" s="121">
        <f>交易记录!X142</f>
        <v>0</v>
      </c>
      <c r="AF491" s="121">
        <f>交易记录!X173</f>
        <v>0</v>
      </c>
      <c r="AG491" s="30">
        <f t="shared" si="242"/>
        <v>0</v>
      </c>
      <c r="AH491" s="124">
        <f>交易记录!X206</f>
        <v>0</v>
      </c>
      <c r="AI491" s="124">
        <f>交易记录!X237</f>
        <v>0</v>
      </c>
      <c r="AJ491" s="30">
        <f t="shared" si="243"/>
        <v>0</v>
      </c>
      <c r="AK491" s="121">
        <f>交易记录!X270</f>
        <v>0</v>
      </c>
      <c r="AL491" s="121">
        <f>交易记录!X301</f>
        <v>0</v>
      </c>
      <c r="AM491" s="30">
        <f t="shared" si="244"/>
        <v>0</v>
      </c>
      <c r="AN491" s="124">
        <f>交易记录!X334</f>
        <v>0</v>
      </c>
      <c r="AO491" s="124">
        <f>交易记录!X365</f>
        <v>0</v>
      </c>
      <c r="AP491" s="30">
        <f t="shared" si="245"/>
        <v>0</v>
      </c>
      <c r="AQ491" s="121">
        <f>交易记录!X398</f>
        <v>0</v>
      </c>
      <c r="AR491" s="121">
        <f>交易记录!X429</f>
        <v>0</v>
      </c>
      <c r="AS491" s="30">
        <f t="shared" si="246"/>
        <v>0</v>
      </c>
      <c r="AT491" s="124">
        <f>交易记录!X462</f>
        <v>0</v>
      </c>
      <c r="AU491" s="124">
        <f>交易记录!X493</f>
        <v>0</v>
      </c>
      <c r="AV491" s="30">
        <f t="shared" si="224"/>
        <v>0</v>
      </c>
      <c r="AW491" s="121">
        <f>交易记录!X526</f>
        <v>0</v>
      </c>
      <c r="AX491" s="121">
        <f>交易记录!X557</f>
        <v>0</v>
      </c>
      <c r="AY491" s="30">
        <f t="shared" si="225"/>
        <v>0</v>
      </c>
      <c r="AZ491" s="124">
        <f>交易记录!X590</f>
        <v>0</v>
      </c>
      <c r="BA491" s="124">
        <f>交易记录!X621</f>
        <v>0</v>
      </c>
      <c r="BB491" s="30">
        <f t="shared" si="226"/>
        <v>0</v>
      </c>
      <c r="BC491" s="121">
        <f>交易记录!X654</f>
        <v>0</v>
      </c>
      <c r="BD491" s="121">
        <f>交易记录!X685</f>
        <v>0</v>
      </c>
      <c r="BE491" s="30">
        <f t="shared" si="227"/>
        <v>0</v>
      </c>
      <c r="BF491" s="124">
        <f>交易记录!X718</f>
        <v>0</v>
      </c>
      <c r="BG491" s="124">
        <f>交易记录!X749</f>
        <v>0</v>
      </c>
      <c r="BH491" s="30">
        <f t="shared" si="228"/>
        <v>0</v>
      </c>
      <c r="BI491" s="121">
        <f>交易记录!X782</f>
        <v>0</v>
      </c>
      <c r="BJ491" s="121">
        <f>交易记录!X813</f>
        <v>0</v>
      </c>
      <c r="BK491" s="30">
        <f t="shared" si="229"/>
        <v>0</v>
      </c>
      <c r="BL491" s="124">
        <f>交易记录!X846</f>
        <v>0</v>
      </c>
      <c r="BM491" s="124">
        <f>交易记录!X877</f>
        <v>0</v>
      </c>
      <c r="BN491" s="30">
        <f t="shared" si="230"/>
        <v>0</v>
      </c>
      <c r="BO491" s="121">
        <f>交易记录!X910</f>
        <v>0</v>
      </c>
      <c r="BP491" s="121">
        <f>交易记录!X941</f>
        <v>0</v>
      </c>
      <c r="BQ491" s="30">
        <f t="shared" si="231"/>
        <v>0</v>
      </c>
    </row>
    <row r="492" spans="1:69" ht="15">
      <c r="A492" s="125">
        <f>'维护-日期'!A$23</f>
        <v>46286</v>
      </c>
      <c r="B492" s="7" t="s">
        <v>16</v>
      </c>
      <c r="C492" s="144">
        <f t="shared" si="232"/>
        <v>18.838999999999999</v>
      </c>
      <c r="D492" s="144">
        <f>ROUND(INDEX(持仓数据!$C$3:$AG$26,MATCH('计算过程-数据汇总'!B492,持仓数据!$B$3:$B$26,0),MATCH('计算过程-数据汇总'!A492,'维护-日期'!$B$2:$AF$2,0)),3)</f>
        <v>18.838999999999999</v>
      </c>
      <c r="E492" s="98">
        <f t="shared" si="233"/>
        <v>18.838999999999999</v>
      </c>
      <c r="F492" s="22">
        <f>持仓数据!W82</f>
        <v>0.46700000000000003</v>
      </c>
      <c r="G492" s="97">
        <v>372</v>
      </c>
      <c r="H492" s="97">
        <v>372</v>
      </c>
      <c r="I492" s="64">
        <v>0</v>
      </c>
      <c r="J492" s="64">
        <v>0</v>
      </c>
      <c r="K492" s="21">
        <f>IF(持仓数据!W115="",0,持仓数据!W115)</f>
        <v>372</v>
      </c>
      <c r="L492" s="21">
        <f t="shared" si="234"/>
        <v>0</v>
      </c>
      <c r="M492" s="28">
        <f t="shared" si="218"/>
        <v>7008.1079999999993</v>
      </c>
      <c r="N492" s="28">
        <f t="shared" si="219"/>
        <v>0</v>
      </c>
      <c r="O492" s="28">
        <f t="shared" si="220"/>
        <v>0</v>
      </c>
      <c r="P492" s="28">
        <f t="shared" si="221"/>
        <v>0</v>
      </c>
      <c r="Q492" s="28">
        <f t="shared" si="235"/>
        <v>0</v>
      </c>
      <c r="R492" s="28">
        <f t="shared" si="222"/>
        <v>7008.1079999999993</v>
      </c>
      <c r="S492" s="28">
        <f t="shared" si="236"/>
        <v>0</v>
      </c>
      <c r="T492" s="28">
        <f t="shared" si="237"/>
        <v>0</v>
      </c>
      <c r="U492" s="28">
        <f t="shared" si="240"/>
        <v>0</v>
      </c>
      <c r="V492" s="28">
        <f t="shared" si="238"/>
        <v>0</v>
      </c>
      <c r="W492" s="118"/>
      <c r="X492" s="143">
        <f t="shared" si="239"/>
        <v>22.14</v>
      </c>
      <c r="Y492" s="121">
        <f>交易记录!X15</f>
        <v>0.46700000000000003</v>
      </c>
      <c r="Z492" s="121">
        <f>交易记录!X46</f>
        <v>372</v>
      </c>
      <c r="AA492" s="30">
        <f t="shared" si="223"/>
        <v>0</v>
      </c>
      <c r="AB492" s="124">
        <f>交易记录!X79</f>
        <v>0</v>
      </c>
      <c r="AC492" s="124">
        <f>交易记录!X110</f>
        <v>0</v>
      </c>
      <c r="AD492" s="30">
        <f t="shared" si="241"/>
        <v>0</v>
      </c>
      <c r="AE492" s="121">
        <f>交易记录!X143</f>
        <v>0</v>
      </c>
      <c r="AF492" s="121">
        <f>交易记录!X174</f>
        <v>0</v>
      </c>
      <c r="AG492" s="30">
        <f t="shared" si="242"/>
        <v>0</v>
      </c>
      <c r="AH492" s="124">
        <f>交易记录!X207</f>
        <v>0</v>
      </c>
      <c r="AI492" s="124">
        <f>交易记录!X238</f>
        <v>0</v>
      </c>
      <c r="AJ492" s="30">
        <f t="shared" si="243"/>
        <v>0</v>
      </c>
      <c r="AK492" s="121">
        <f>交易记录!X271</f>
        <v>0</v>
      </c>
      <c r="AL492" s="121">
        <f>交易记录!X302</f>
        <v>0</v>
      </c>
      <c r="AM492" s="30">
        <f t="shared" si="244"/>
        <v>0</v>
      </c>
      <c r="AN492" s="124">
        <f>交易记录!X335</f>
        <v>0</v>
      </c>
      <c r="AO492" s="124">
        <f>交易记录!X366</f>
        <v>0</v>
      </c>
      <c r="AP492" s="30">
        <f t="shared" si="245"/>
        <v>0</v>
      </c>
      <c r="AQ492" s="121">
        <f>交易记录!X399</f>
        <v>0</v>
      </c>
      <c r="AR492" s="121">
        <f>交易记录!X430</f>
        <v>0</v>
      </c>
      <c r="AS492" s="30">
        <f t="shared" si="246"/>
        <v>0</v>
      </c>
      <c r="AT492" s="124">
        <f>交易记录!X463</f>
        <v>0</v>
      </c>
      <c r="AU492" s="124">
        <f>交易记录!X494</f>
        <v>0</v>
      </c>
      <c r="AV492" s="30">
        <f t="shared" si="224"/>
        <v>0</v>
      </c>
      <c r="AW492" s="121">
        <f>交易记录!X527</f>
        <v>0</v>
      </c>
      <c r="AX492" s="121">
        <f>交易记录!X558</f>
        <v>0</v>
      </c>
      <c r="AY492" s="30">
        <f t="shared" si="225"/>
        <v>0</v>
      </c>
      <c r="AZ492" s="124">
        <f>交易记录!X591</f>
        <v>0</v>
      </c>
      <c r="BA492" s="124">
        <f>交易记录!X622</f>
        <v>0</v>
      </c>
      <c r="BB492" s="30">
        <f t="shared" si="226"/>
        <v>0</v>
      </c>
      <c r="BC492" s="121">
        <f>交易记录!X655</f>
        <v>0</v>
      </c>
      <c r="BD492" s="121">
        <f>交易记录!X686</f>
        <v>0</v>
      </c>
      <c r="BE492" s="30">
        <f t="shared" si="227"/>
        <v>0</v>
      </c>
      <c r="BF492" s="124">
        <f>交易记录!X719</f>
        <v>0</v>
      </c>
      <c r="BG492" s="124">
        <f>交易记录!X750</f>
        <v>0</v>
      </c>
      <c r="BH492" s="30">
        <f t="shared" si="228"/>
        <v>0</v>
      </c>
      <c r="BI492" s="121">
        <f>交易记录!X783</f>
        <v>0</v>
      </c>
      <c r="BJ492" s="121">
        <f>交易记录!X814</f>
        <v>0</v>
      </c>
      <c r="BK492" s="30">
        <f t="shared" si="229"/>
        <v>0</v>
      </c>
      <c r="BL492" s="124">
        <f>交易记录!X847</f>
        <v>0</v>
      </c>
      <c r="BM492" s="124">
        <f>交易记录!X878</f>
        <v>0</v>
      </c>
      <c r="BN492" s="30">
        <f t="shared" si="230"/>
        <v>0</v>
      </c>
      <c r="BO492" s="121">
        <f>交易记录!X911</f>
        <v>0</v>
      </c>
      <c r="BP492" s="121">
        <f>交易记录!X942</f>
        <v>0</v>
      </c>
      <c r="BQ492" s="30">
        <f t="shared" si="231"/>
        <v>0</v>
      </c>
    </row>
    <row r="493" spans="1:69" ht="15">
      <c r="A493" s="125">
        <f>'维护-日期'!A$23</f>
        <v>46286</v>
      </c>
      <c r="B493" s="7" t="s">
        <v>17</v>
      </c>
      <c r="C493" s="144">
        <f t="shared" si="232"/>
        <v>19.346</v>
      </c>
      <c r="D493" s="144">
        <f>ROUND(INDEX(持仓数据!$C$3:$AG$26,MATCH('计算过程-数据汇总'!B493,持仓数据!$B$3:$B$26,0),MATCH('计算过程-数据汇总'!A493,'维护-日期'!$B$2:$AF$2,0)),3)</f>
        <v>19.346</v>
      </c>
      <c r="E493" s="98">
        <f t="shared" si="233"/>
        <v>19.346</v>
      </c>
      <c r="F493" s="22">
        <f>持仓数据!W83</f>
        <v>0.32100000000000001</v>
      </c>
      <c r="G493" s="97">
        <v>372</v>
      </c>
      <c r="H493" s="97">
        <v>372</v>
      </c>
      <c r="I493" s="64">
        <v>0</v>
      </c>
      <c r="J493" s="64">
        <v>0</v>
      </c>
      <c r="K493" s="21">
        <f>IF(持仓数据!W116="",0,持仓数据!W116)</f>
        <v>372</v>
      </c>
      <c r="L493" s="21">
        <f t="shared" si="234"/>
        <v>0</v>
      </c>
      <c r="M493" s="28">
        <f t="shared" si="218"/>
        <v>7196.7120000000004</v>
      </c>
      <c r="N493" s="28">
        <f t="shared" si="219"/>
        <v>0</v>
      </c>
      <c r="O493" s="28">
        <f t="shared" si="220"/>
        <v>0</v>
      </c>
      <c r="P493" s="28">
        <f t="shared" si="221"/>
        <v>0</v>
      </c>
      <c r="Q493" s="28">
        <f t="shared" si="235"/>
        <v>0</v>
      </c>
      <c r="R493" s="28">
        <f t="shared" si="222"/>
        <v>7196.7120000000004</v>
      </c>
      <c r="S493" s="28">
        <f t="shared" si="236"/>
        <v>0</v>
      </c>
      <c r="T493" s="28">
        <f t="shared" si="237"/>
        <v>0</v>
      </c>
      <c r="U493" s="28">
        <f t="shared" si="240"/>
        <v>0</v>
      </c>
      <c r="V493" s="28">
        <f t="shared" si="238"/>
        <v>0</v>
      </c>
      <c r="W493" s="118"/>
      <c r="X493" s="143">
        <f t="shared" si="239"/>
        <v>22.893999999999998</v>
      </c>
      <c r="Y493" s="121">
        <f>交易记录!X16</f>
        <v>0.32100000000000001</v>
      </c>
      <c r="Z493" s="121">
        <f>交易记录!X47</f>
        <v>372</v>
      </c>
      <c r="AA493" s="30">
        <f t="shared" si="223"/>
        <v>0</v>
      </c>
      <c r="AB493" s="124">
        <f>交易记录!X80</f>
        <v>0</v>
      </c>
      <c r="AC493" s="124">
        <f>交易记录!X111</f>
        <v>0</v>
      </c>
      <c r="AD493" s="30">
        <f t="shared" si="241"/>
        <v>0</v>
      </c>
      <c r="AE493" s="121">
        <f>交易记录!X144</f>
        <v>0</v>
      </c>
      <c r="AF493" s="121">
        <f>交易记录!X175</f>
        <v>0</v>
      </c>
      <c r="AG493" s="30">
        <f t="shared" si="242"/>
        <v>0</v>
      </c>
      <c r="AH493" s="124">
        <f>交易记录!X208</f>
        <v>0</v>
      </c>
      <c r="AI493" s="124">
        <f>交易记录!X239</f>
        <v>0</v>
      </c>
      <c r="AJ493" s="30">
        <f t="shared" si="243"/>
        <v>0</v>
      </c>
      <c r="AK493" s="121">
        <f>交易记录!X272</f>
        <v>0</v>
      </c>
      <c r="AL493" s="121">
        <f>交易记录!X303</f>
        <v>0</v>
      </c>
      <c r="AM493" s="30">
        <f t="shared" si="244"/>
        <v>0</v>
      </c>
      <c r="AN493" s="124">
        <f>交易记录!X336</f>
        <v>0</v>
      </c>
      <c r="AO493" s="124">
        <f>交易记录!X367</f>
        <v>0</v>
      </c>
      <c r="AP493" s="30">
        <f t="shared" si="245"/>
        <v>0</v>
      </c>
      <c r="AQ493" s="121">
        <f>交易记录!X400</f>
        <v>0</v>
      </c>
      <c r="AR493" s="121">
        <f>交易记录!X431</f>
        <v>0</v>
      </c>
      <c r="AS493" s="30">
        <f t="shared" si="246"/>
        <v>0</v>
      </c>
      <c r="AT493" s="124">
        <f>交易记录!X464</f>
        <v>0</v>
      </c>
      <c r="AU493" s="124">
        <f>交易记录!X495</f>
        <v>0</v>
      </c>
      <c r="AV493" s="30">
        <f t="shared" si="224"/>
        <v>0</v>
      </c>
      <c r="AW493" s="121">
        <f>交易记录!X528</f>
        <v>0</v>
      </c>
      <c r="AX493" s="121">
        <f>交易记录!X559</f>
        <v>0</v>
      </c>
      <c r="AY493" s="30">
        <f t="shared" si="225"/>
        <v>0</v>
      </c>
      <c r="AZ493" s="124">
        <f>交易记录!X592</f>
        <v>0</v>
      </c>
      <c r="BA493" s="124">
        <f>交易记录!X623</f>
        <v>0</v>
      </c>
      <c r="BB493" s="30">
        <f t="shared" si="226"/>
        <v>0</v>
      </c>
      <c r="BC493" s="121">
        <f>交易记录!X656</f>
        <v>0</v>
      </c>
      <c r="BD493" s="121">
        <f>交易记录!X687</f>
        <v>0</v>
      </c>
      <c r="BE493" s="30">
        <f t="shared" si="227"/>
        <v>0</v>
      </c>
      <c r="BF493" s="124">
        <f>交易记录!X720</f>
        <v>0</v>
      </c>
      <c r="BG493" s="124">
        <f>交易记录!X751</f>
        <v>0</v>
      </c>
      <c r="BH493" s="30">
        <f t="shared" si="228"/>
        <v>0</v>
      </c>
      <c r="BI493" s="121">
        <f>交易记录!X784</f>
        <v>0</v>
      </c>
      <c r="BJ493" s="121">
        <f>交易记录!X815</f>
        <v>0</v>
      </c>
      <c r="BK493" s="30">
        <f t="shared" si="229"/>
        <v>0</v>
      </c>
      <c r="BL493" s="124">
        <f>交易记录!X848</f>
        <v>0</v>
      </c>
      <c r="BM493" s="124">
        <f>交易记录!X879</f>
        <v>0</v>
      </c>
      <c r="BN493" s="30">
        <f t="shared" si="230"/>
        <v>0</v>
      </c>
      <c r="BO493" s="121">
        <f>交易记录!X912</f>
        <v>0</v>
      </c>
      <c r="BP493" s="121">
        <f>交易记录!X943</f>
        <v>0</v>
      </c>
      <c r="BQ493" s="30">
        <f t="shared" si="231"/>
        <v>0</v>
      </c>
    </row>
    <row r="494" spans="1:69" ht="15">
      <c r="A494" s="125">
        <f>'维护-日期'!A$23</f>
        <v>46286</v>
      </c>
      <c r="B494" s="7" t="s">
        <v>18</v>
      </c>
      <c r="C494" s="144">
        <f t="shared" si="232"/>
        <v>20.166</v>
      </c>
      <c r="D494" s="144">
        <f>ROUND(INDEX(持仓数据!$C$3:$AG$26,MATCH('计算过程-数据汇总'!B494,持仓数据!$B$3:$B$26,0),MATCH('计算过程-数据汇总'!A494,'维护-日期'!$B$2:$AF$2,0)),3)</f>
        <v>20.166</v>
      </c>
      <c r="E494" s="98">
        <f t="shared" si="233"/>
        <v>20.166</v>
      </c>
      <c r="F494" s="22">
        <f>持仓数据!W84</f>
        <v>7.8E-2</v>
      </c>
      <c r="G494" s="97">
        <v>372</v>
      </c>
      <c r="H494" s="97">
        <v>372</v>
      </c>
      <c r="I494" s="64">
        <v>0</v>
      </c>
      <c r="J494" s="64">
        <v>0</v>
      </c>
      <c r="K494" s="21">
        <f>IF(持仓数据!W117="",0,持仓数据!W117)</f>
        <v>372</v>
      </c>
      <c r="L494" s="21">
        <f t="shared" si="234"/>
        <v>0</v>
      </c>
      <c r="M494" s="28">
        <f t="shared" si="218"/>
        <v>7501.7520000000004</v>
      </c>
      <c r="N494" s="28">
        <f t="shared" si="219"/>
        <v>0</v>
      </c>
      <c r="O494" s="28">
        <f t="shared" si="220"/>
        <v>0</v>
      </c>
      <c r="P494" s="28">
        <f t="shared" si="221"/>
        <v>0</v>
      </c>
      <c r="Q494" s="28">
        <f t="shared" si="235"/>
        <v>0</v>
      </c>
      <c r="R494" s="28">
        <f t="shared" si="222"/>
        <v>7501.7520000000004</v>
      </c>
      <c r="S494" s="28">
        <f t="shared" si="236"/>
        <v>0</v>
      </c>
      <c r="T494" s="28">
        <f t="shared" si="237"/>
        <v>0</v>
      </c>
      <c r="U494" s="28">
        <f t="shared" si="240"/>
        <v>0</v>
      </c>
      <c r="V494" s="28">
        <f t="shared" si="238"/>
        <v>0</v>
      </c>
      <c r="W494" s="118"/>
      <c r="X494" s="143">
        <f t="shared" si="239"/>
        <v>24.120999999999999</v>
      </c>
      <c r="Y494" s="121">
        <f>交易记录!X17</f>
        <v>7.8E-2</v>
      </c>
      <c r="Z494" s="121">
        <f>交易记录!X48</f>
        <v>372</v>
      </c>
      <c r="AA494" s="30">
        <f t="shared" si="223"/>
        <v>0</v>
      </c>
      <c r="AB494" s="124">
        <f>交易记录!X81</f>
        <v>0</v>
      </c>
      <c r="AC494" s="124">
        <f>交易记录!X112</f>
        <v>0</v>
      </c>
      <c r="AD494" s="30">
        <f t="shared" si="241"/>
        <v>0</v>
      </c>
      <c r="AE494" s="121">
        <f>交易记录!X145</f>
        <v>0</v>
      </c>
      <c r="AF494" s="121">
        <f>交易记录!X176</f>
        <v>0</v>
      </c>
      <c r="AG494" s="30">
        <f t="shared" si="242"/>
        <v>0</v>
      </c>
      <c r="AH494" s="124">
        <f>交易记录!X209</f>
        <v>0</v>
      </c>
      <c r="AI494" s="124">
        <f>交易记录!X240</f>
        <v>0</v>
      </c>
      <c r="AJ494" s="30">
        <f t="shared" si="243"/>
        <v>0</v>
      </c>
      <c r="AK494" s="121">
        <f>交易记录!X273</f>
        <v>0</v>
      </c>
      <c r="AL494" s="121">
        <f>交易记录!X304</f>
        <v>0</v>
      </c>
      <c r="AM494" s="30">
        <f t="shared" si="244"/>
        <v>0</v>
      </c>
      <c r="AN494" s="124">
        <f>交易记录!X337</f>
        <v>0</v>
      </c>
      <c r="AO494" s="124">
        <f>交易记录!X368</f>
        <v>0</v>
      </c>
      <c r="AP494" s="30">
        <f t="shared" si="245"/>
        <v>0</v>
      </c>
      <c r="AQ494" s="121">
        <f>交易记录!X401</f>
        <v>0</v>
      </c>
      <c r="AR494" s="121">
        <f>交易记录!X432</f>
        <v>0</v>
      </c>
      <c r="AS494" s="30">
        <f t="shared" si="246"/>
        <v>0</v>
      </c>
      <c r="AT494" s="124">
        <f>交易记录!X465</f>
        <v>0</v>
      </c>
      <c r="AU494" s="124">
        <f>交易记录!X496</f>
        <v>0</v>
      </c>
      <c r="AV494" s="30">
        <f t="shared" si="224"/>
        <v>0</v>
      </c>
      <c r="AW494" s="121">
        <f>交易记录!X529</f>
        <v>0</v>
      </c>
      <c r="AX494" s="121">
        <f>交易记录!X560</f>
        <v>0</v>
      </c>
      <c r="AY494" s="30">
        <f t="shared" si="225"/>
        <v>0</v>
      </c>
      <c r="AZ494" s="124">
        <f>交易记录!X593</f>
        <v>0</v>
      </c>
      <c r="BA494" s="124">
        <f>交易记录!X624</f>
        <v>0</v>
      </c>
      <c r="BB494" s="30">
        <f t="shared" si="226"/>
        <v>0</v>
      </c>
      <c r="BC494" s="121">
        <f>交易记录!X657</f>
        <v>0</v>
      </c>
      <c r="BD494" s="121">
        <f>交易记录!X688</f>
        <v>0</v>
      </c>
      <c r="BE494" s="30">
        <f t="shared" si="227"/>
        <v>0</v>
      </c>
      <c r="BF494" s="124">
        <f>交易记录!X721</f>
        <v>0</v>
      </c>
      <c r="BG494" s="124">
        <f>交易记录!X752</f>
        <v>0</v>
      </c>
      <c r="BH494" s="30">
        <f t="shared" si="228"/>
        <v>0</v>
      </c>
      <c r="BI494" s="121">
        <f>交易记录!X785</f>
        <v>0</v>
      </c>
      <c r="BJ494" s="121">
        <f>交易记录!X816</f>
        <v>0</v>
      </c>
      <c r="BK494" s="30">
        <f t="shared" si="229"/>
        <v>0</v>
      </c>
      <c r="BL494" s="124">
        <f>交易记录!X849</f>
        <v>0</v>
      </c>
      <c r="BM494" s="124">
        <f>交易记录!X880</f>
        <v>0</v>
      </c>
      <c r="BN494" s="30">
        <f t="shared" si="230"/>
        <v>0</v>
      </c>
      <c r="BO494" s="121">
        <f>交易记录!X913</f>
        <v>0</v>
      </c>
      <c r="BP494" s="121">
        <f>交易记录!X944</f>
        <v>0</v>
      </c>
      <c r="BQ494" s="30">
        <f t="shared" si="231"/>
        <v>0</v>
      </c>
    </row>
    <row r="495" spans="1:69" ht="15">
      <c r="A495" s="125">
        <f>'维护-日期'!A$23</f>
        <v>46286</v>
      </c>
      <c r="B495" s="7" t="s">
        <v>19</v>
      </c>
      <c r="C495" s="144">
        <f t="shared" si="232"/>
        <v>21.004999999999999</v>
      </c>
      <c r="D495" s="144">
        <f>ROUND(INDEX(持仓数据!$C$3:$AG$26,MATCH('计算过程-数据汇总'!B495,持仓数据!$B$3:$B$26,0),MATCH('计算过程-数据汇总'!A495,'维护-日期'!$B$2:$AF$2,0)),3)</f>
        <v>21.004999999999999</v>
      </c>
      <c r="E495" s="98">
        <f t="shared" si="233"/>
        <v>21.004999999999999</v>
      </c>
      <c r="F495" s="22">
        <f>持仓数据!W85</f>
        <v>0.19500000000000001</v>
      </c>
      <c r="G495" s="97">
        <v>372</v>
      </c>
      <c r="H495" s="97">
        <v>372</v>
      </c>
      <c r="I495" s="64">
        <v>0</v>
      </c>
      <c r="J495" s="64">
        <v>0</v>
      </c>
      <c r="K495" s="21">
        <f>IF(持仓数据!W118="",0,持仓数据!W118)</f>
        <v>372</v>
      </c>
      <c r="L495" s="21">
        <f t="shared" si="234"/>
        <v>0</v>
      </c>
      <c r="M495" s="28">
        <f t="shared" si="218"/>
        <v>7813.86</v>
      </c>
      <c r="N495" s="28">
        <f t="shared" si="219"/>
        <v>0</v>
      </c>
      <c r="O495" s="28">
        <f t="shared" si="220"/>
        <v>0</v>
      </c>
      <c r="P495" s="28">
        <f t="shared" si="221"/>
        <v>0</v>
      </c>
      <c r="Q495" s="28">
        <f t="shared" si="235"/>
        <v>0</v>
      </c>
      <c r="R495" s="28">
        <f t="shared" si="222"/>
        <v>7813.86</v>
      </c>
      <c r="S495" s="28">
        <f t="shared" si="236"/>
        <v>0</v>
      </c>
      <c r="T495" s="28">
        <f t="shared" si="237"/>
        <v>0</v>
      </c>
      <c r="U495" s="28">
        <f t="shared" si="240"/>
        <v>0</v>
      </c>
      <c r="V495" s="28">
        <f t="shared" si="238"/>
        <v>0</v>
      </c>
      <c r="W495" s="118"/>
      <c r="X495" s="143">
        <f t="shared" si="239"/>
        <v>25.010999999999999</v>
      </c>
      <c r="Y495" s="121">
        <f>交易记录!X18</f>
        <v>0.19500000000000001</v>
      </c>
      <c r="Z495" s="121">
        <f>交易记录!X49</f>
        <v>372</v>
      </c>
      <c r="AA495" s="30">
        <f t="shared" si="223"/>
        <v>0</v>
      </c>
      <c r="AB495" s="124">
        <f>交易记录!X82</f>
        <v>0</v>
      </c>
      <c r="AC495" s="124">
        <f>交易记录!X113</f>
        <v>0</v>
      </c>
      <c r="AD495" s="30">
        <f t="shared" si="241"/>
        <v>0</v>
      </c>
      <c r="AE495" s="121">
        <f>交易记录!X146</f>
        <v>0</v>
      </c>
      <c r="AF495" s="121">
        <f>交易记录!X177</f>
        <v>0</v>
      </c>
      <c r="AG495" s="30">
        <f t="shared" si="242"/>
        <v>0</v>
      </c>
      <c r="AH495" s="124">
        <f>交易记录!X210</f>
        <v>0</v>
      </c>
      <c r="AI495" s="124">
        <f>交易记录!X241</f>
        <v>0</v>
      </c>
      <c r="AJ495" s="30">
        <f t="shared" si="243"/>
        <v>0</v>
      </c>
      <c r="AK495" s="121">
        <f>交易记录!X274</f>
        <v>0</v>
      </c>
      <c r="AL495" s="121">
        <f>交易记录!X305</f>
        <v>0</v>
      </c>
      <c r="AM495" s="30">
        <f t="shared" si="244"/>
        <v>0</v>
      </c>
      <c r="AN495" s="124">
        <f>交易记录!X338</f>
        <v>0</v>
      </c>
      <c r="AO495" s="124">
        <f>交易记录!X369</f>
        <v>0</v>
      </c>
      <c r="AP495" s="30">
        <f t="shared" si="245"/>
        <v>0</v>
      </c>
      <c r="AQ495" s="121">
        <f>交易记录!X402</f>
        <v>0</v>
      </c>
      <c r="AR495" s="121">
        <f>交易记录!X433</f>
        <v>0</v>
      </c>
      <c r="AS495" s="30">
        <f t="shared" si="246"/>
        <v>0</v>
      </c>
      <c r="AT495" s="124">
        <f>交易记录!X466</f>
        <v>0</v>
      </c>
      <c r="AU495" s="124">
        <f>交易记录!X497</f>
        <v>0</v>
      </c>
      <c r="AV495" s="30">
        <f t="shared" si="224"/>
        <v>0</v>
      </c>
      <c r="AW495" s="121">
        <f>交易记录!X530</f>
        <v>0</v>
      </c>
      <c r="AX495" s="121">
        <f>交易记录!X561</f>
        <v>0</v>
      </c>
      <c r="AY495" s="30">
        <f t="shared" si="225"/>
        <v>0</v>
      </c>
      <c r="AZ495" s="124">
        <f>交易记录!X594</f>
        <v>0</v>
      </c>
      <c r="BA495" s="124">
        <f>交易记录!X625</f>
        <v>0</v>
      </c>
      <c r="BB495" s="30">
        <f t="shared" si="226"/>
        <v>0</v>
      </c>
      <c r="BC495" s="121">
        <f>交易记录!X658</f>
        <v>0</v>
      </c>
      <c r="BD495" s="121">
        <f>交易记录!X689</f>
        <v>0</v>
      </c>
      <c r="BE495" s="30">
        <f t="shared" si="227"/>
        <v>0</v>
      </c>
      <c r="BF495" s="124">
        <f>交易记录!X722</f>
        <v>0</v>
      </c>
      <c r="BG495" s="124">
        <f>交易记录!X753</f>
        <v>0</v>
      </c>
      <c r="BH495" s="30">
        <f t="shared" si="228"/>
        <v>0</v>
      </c>
      <c r="BI495" s="121">
        <f>交易记录!X786</f>
        <v>0</v>
      </c>
      <c r="BJ495" s="121">
        <f>交易记录!X817</f>
        <v>0</v>
      </c>
      <c r="BK495" s="30">
        <f t="shared" si="229"/>
        <v>0</v>
      </c>
      <c r="BL495" s="124">
        <f>交易记录!X850</f>
        <v>0</v>
      </c>
      <c r="BM495" s="124">
        <f>交易记录!X881</f>
        <v>0</v>
      </c>
      <c r="BN495" s="30">
        <f t="shared" si="230"/>
        <v>0</v>
      </c>
      <c r="BO495" s="121">
        <f>交易记录!X914</f>
        <v>0</v>
      </c>
      <c r="BP495" s="121">
        <f>交易记录!X945</f>
        <v>0</v>
      </c>
      <c r="BQ495" s="30">
        <f t="shared" si="231"/>
        <v>0</v>
      </c>
    </row>
    <row r="496" spans="1:69" ht="15">
      <c r="A496" s="125">
        <f>'维护-日期'!A$23</f>
        <v>46286</v>
      </c>
      <c r="B496" s="7" t="s">
        <v>20</v>
      </c>
      <c r="C496" s="144">
        <f t="shared" si="232"/>
        <v>20.777000000000001</v>
      </c>
      <c r="D496" s="144">
        <f>ROUND(INDEX(持仓数据!$C$3:$AG$26,MATCH('计算过程-数据汇总'!B496,持仓数据!$B$3:$B$26,0),MATCH('计算过程-数据汇总'!A496,'维护-日期'!$B$2:$AF$2,0)),3)</f>
        <v>20.777000000000001</v>
      </c>
      <c r="E496" s="98">
        <f t="shared" si="233"/>
        <v>20.777000000000001</v>
      </c>
      <c r="F496" s="22">
        <f>持仓数据!W86</f>
        <v>0.34599999999999997</v>
      </c>
      <c r="G496" s="97">
        <v>372</v>
      </c>
      <c r="H496" s="97">
        <v>372</v>
      </c>
      <c r="I496" s="64">
        <v>0</v>
      </c>
      <c r="J496" s="64">
        <v>0</v>
      </c>
      <c r="K496" s="21">
        <f>IF(持仓数据!W119="",0,持仓数据!W119)</f>
        <v>372</v>
      </c>
      <c r="L496" s="21">
        <f t="shared" si="234"/>
        <v>0</v>
      </c>
      <c r="M496" s="28">
        <f t="shared" si="218"/>
        <v>7729.0440000000008</v>
      </c>
      <c r="N496" s="28">
        <f t="shared" si="219"/>
        <v>0</v>
      </c>
      <c r="O496" s="28">
        <f t="shared" si="220"/>
        <v>0</v>
      </c>
      <c r="P496" s="28">
        <f t="shared" si="221"/>
        <v>0</v>
      </c>
      <c r="Q496" s="28">
        <f t="shared" si="235"/>
        <v>0</v>
      </c>
      <c r="R496" s="28">
        <f t="shared" si="222"/>
        <v>7729.0440000000008</v>
      </c>
      <c r="S496" s="28">
        <f t="shared" si="236"/>
        <v>0</v>
      </c>
      <c r="T496" s="28">
        <f t="shared" si="237"/>
        <v>0</v>
      </c>
      <c r="U496" s="28">
        <f t="shared" si="240"/>
        <v>0</v>
      </c>
      <c r="V496" s="28">
        <f t="shared" si="238"/>
        <v>0</v>
      </c>
      <c r="W496" s="118"/>
      <c r="X496" s="143">
        <f t="shared" si="239"/>
        <v>24.585999999999999</v>
      </c>
      <c r="Y496" s="121">
        <f>交易记录!X19</f>
        <v>0.34599999999999997</v>
      </c>
      <c r="Z496" s="121">
        <f>交易记录!X50</f>
        <v>372</v>
      </c>
      <c r="AA496" s="30">
        <f t="shared" si="223"/>
        <v>0</v>
      </c>
      <c r="AB496" s="124">
        <f>交易记录!X83</f>
        <v>0</v>
      </c>
      <c r="AC496" s="124">
        <f>交易记录!X114</f>
        <v>0</v>
      </c>
      <c r="AD496" s="30">
        <f t="shared" si="241"/>
        <v>0</v>
      </c>
      <c r="AE496" s="121">
        <f>交易记录!X147</f>
        <v>0</v>
      </c>
      <c r="AF496" s="121">
        <f>交易记录!X178</f>
        <v>0</v>
      </c>
      <c r="AG496" s="30">
        <f t="shared" si="242"/>
        <v>0</v>
      </c>
      <c r="AH496" s="124">
        <f>交易记录!X211</f>
        <v>0</v>
      </c>
      <c r="AI496" s="124">
        <f>交易记录!X242</f>
        <v>0</v>
      </c>
      <c r="AJ496" s="30">
        <f t="shared" si="243"/>
        <v>0</v>
      </c>
      <c r="AK496" s="121">
        <f>交易记录!X275</f>
        <v>0</v>
      </c>
      <c r="AL496" s="121">
        <f>交易记录!X306</f>
        <v>0</v>
      </c>
      <c r="AM496" s="30">
        <f t="shared" si="244"/>
        <v>0</v>
      </c>
      <c r="AN496" s="124">
        <f>交易记录!X339</f>
        <v>0</v>
      </c>
      <c r="AO496" s="124">
        <f>交易记录!X370</f>
        <v>0</v>
      </c>
      <c r="AP496" s="30">
        <f t="shared" si="245"/>
        <v>0</v>
      </c>
      <c r="AQ496" s="121">
        <f>交易记录!X403</f>
        <v>0</v>
      </c>
      <c r="AR496" s="121">
        <f>交易记录!X434</f>
        <v>0</v>
      </c>
      <c r="AS496" s="30">
        <f t="shared" si="246"/>
        <v>0</v>
      </c>
      <c r="AT496" s="124">
        <f>交易记录!X467</f>
        <v>0</v>
      </c>
      <c r="AU496" s="124">
        <f>交易记录!X498</f>
        <v>0</v>
      </c>
      <c r="AV496" s="30">
        <f t="shared" si="224"/>
        <v>0</v>
      </c>
      <c r="AW496" s="121">
        <f>交易记录!X531</f>
        <v>0</v>
      </c>
      <c r="AX496" s="121">
        <f>交易记录!X562</f>
        <v>0</v>
      </c>
      <c r="AY496" s="30">
        <f t="shared" si="225"/>
        <v>0</v>
      </c>
      <c r="AZ496" s="124">
        <f>交易记录!X595</f>
        <v>0</v>
      </c>
      <c r="BA496" s="124">
        <f>交易记录!X626</f>
        <v>0</v>
      </c>
      <c r="BB496" s="30">
        <f t="shared" si="226"/>
        <v>0</v>
      </c>
      <c r="BC496" s="121">
        <f>交易记录!X659</f>
        <v>0</v>
      </c>
      <c r="BD496" s="121">
        <f>交易记录!X690</f>
        <v>0</v>
      </c>
      <c r="BE496" s="30">
        <f t="shared" si="227"/>
        <v>0</v>
      </c>
      <c r="BF496" s="124">
        <f>交易记录!X723</f>
        <v>0</v>
      </c>
      <c r="BG496" s="124">
        <f>交易记录!X754</f>
        <v>0</v>
      </c>
      <c r="BH496" s="30">
        <f t="shared" si="228"/>
        <v>0</v>
      </c>
      <c r="BI496" s="121">
        <f>交易记录!X787</f>
        <v>0</v>
      </c>
      <c r="BJ496" s="121">
        <f>交易记录!X818</f>
        <v>0</v>
      </c>
      <c r="BK496" s="30">
        <f t="shared" si="229"/>
        <v>0</v>
      </c>
      <c r="BL496" s="124">
        <f>交易记录!X851</f>
        <v>0</v>
      </c>
      <c r="BM496" s="124">
        <f>交易记录!X882</f>
        <v>0</v>
      </c>
      <c r="BN496" s="30">
        <f t="shared" si="230"/>
        <v>0</v>
      </c>
      <c r="BO496" s="121">
        <f>交易记录!X915</f>
        <v>0</v>
      </c>
      <c r="BP496" s="121">
        <f>交易记录!X946</f>
        <v>0</v>
      </c>
      <c r="BQ496" s="30">
        <f t="shared" si="231"/>
        <v>0</v>
      </c>
    </row>
    <row r="497" spans="1:69" ht="15">
      <c r="A497" s="125">
        <f>'维护-日期'!A$23</f>
        <v>46286</v>
      </c>
      <c r="B497" s="7" t="s">
        <v>21</v>
      </c>
      <c r="C497" s="144">
        <f t="shared" si="232"/>
        <v>20.858000000000001</v>
      </c>
      <c r="D497" s="144">
        <f>ROUND(INDEX(持仓数据!$C$3:$AG$26,MATCH('计算过程-数据汇总'!B497,持仓数据!$B$3:$B$26,0),MATCH('计算过程-数据汇总'!A497,'维护-日期'!$B$2:$AF$2,0)),3)</f>
        <v>20.858000000000001</v>
      </c>
      <c r="E497" s="98">
        <f t="shared" si="233"/>
        <v>20.858000000000001</v>
      </c>
      <c r="F497" s="22">
        <f>持仓数据!W87</f>
        <v>0.38</v>
      </c>
      <c r="G497" s="97">
        <v>372</v>
      </c>
      <c r="H497" s="97">
        <v>372</v>
      </c>
      <c r="I497" s="64">
        <v>0</v>
      </c>
      <c r="J497" s="64">
        <v>0</v>
      </c>
      <c r="K497" s="21">
        <f>IF(持仓数据!W120="",0,持仓数据!W120)</f>
        <v>372.00000000000006</v>
      </c>
      <c r="L497" s="21">
        <f t="shared" si="234"/>
        <v>0</v>
      </c>
      <c r="M497" s="28">
        <f t="shared" si="218"/>
        <v>7759.1760000000004</v>
      </c>
      <c r="N497" s="28">
        <f t="shared" si="219"/>
        <v>0</v>
      </c>
      <c r="O497" s="28">
        <f t="shared" si="220"/>
        <v>0</v>
      </c>
      <c r="P497" s="28">
        <f t="shared" si="221"/>
        <v>2.1600499167107046E-14</v>
      </c>
      <c r="Q497" s="28">
        <f t="shared" si="235"/>
        <v>0</v>
      </c>
      <c r="R497" s="28">
        <f t="shared" si="222"/>
        <v>7759.1760000000013</v>
      </c>
      <c r="S497" s="28">
        <f t="shared" si="236"/>
        <v>0</v>
      </c>
      <c r="T497" s="28">
        <f t="shared" si="237"/>
        <v>-1.1640395314316266E-12</v>
      </c>
      <c r="U497" s="28">
        <f t="shared" si="240"/>
        <v>0</v>
      </c>
      <c r="V497" s="28">
        <f t="shared" si="238"/>
        <v>0</v>
      </c>
      <c r="W497" s="118"/>
      <c r="X497" s="143">
        <f t="shared" si="239"/>
        <v>24.65</v>
      </c>
      <c r="Y497" s="121">
        <f>交易记录!X20</f>
        <v>0.38</v>
      </c>
      <c r="Z497" s="121">
        <f>交易记录!X51</f>
        <v>372</v>
      </c>
      <c r="AA497" s="30">
        <f t="shared" si="223"/>
        <v>0</v>
      </c>
      <c r="AB497" s="124">
        <f>交易记录!X84</f>
        <v>0</v>
      </c>
      <c r="AC497" s="124">
        <f>交易记录!X115</f>
        <v>0</v>
      </c>
      <c r="AD497" s="30">
        <f t="shared" si="241"/>
        <v>0</v>
      </c>
      <c r="AE497" s="121">
        <f>交易记录!X148</f>
        <v>0</v>
      </c>
      <c r="AF497" s="121">
        <f>交易记录!X179</f>
        <v>0</v>
      </c>
      <c r="AG497" s="30">
        <f t="shared" si="242"/>
        <v>0</v>
      </c>
      <c r="AH497" s="124">
        <f>交易记录!X212</f>
        <v>0</v>
      </c>
      <c r="AI497" s="124">
        <f>交易记录!X243</f>
        <v>0</v>
      </c>
      <c r="AJ497" s="30">
        <f t="shared" si="243"/>
        <v>0</v>
      </c>
      <c r="AK497" s="121">
        <f>交易记录!X276</f>
        <v>0</v>
      </c>
      <c r="AL497" s="121">
        <f>交易记录!X307</f>
        <v>0</v>
      </c>
      <c r="AM497" s="30">
        <f t="shared" si="244"/>
        <v>0</v>
      </c>
      <c r="AN497" s="124">
        <f>交易记录!X340</f>
        <v>0</v>
      </c>
      <c r="AO497" s="124">
        <f>交易记录!X371</f>
        <v>0</v>
      </c>
      <c r="AP497" s="30">
        <f t="shared" si="245"/>
        <v>0</v>
      </c>
      <c r="AQ497" s="121">
        <f>交易记录!X404</f>
        <v>0</v>
      </c>
      <c r="AR497" s="121">
        <f>交易记录!X435</f>
        <v>0</v>
      </c>
      <c r="AS497" s="30">
        <f t="shared" si="246"/>
        <v>0</v>
      </c>
      <c r="AT497" s="124">
        <f>交易记录!X468</f>
        <v>0</v>
      </c>
      <c r="AU497" s="124">
        <f>交易记录!X499</f>
        <v>0</v>
      </c>
      <c r="AV497" s="30">
        <f t="shared" si="224"/>
        <v>0</v>
      </c>
      <c r="AW497" s="121">
        <f>交易记录!X532</f>
        <v>0</v>
      </c>
      <c r="AX497" s="121">
        <f>交易记录!X563</f>
        <v>0</v>
      </c>
      <c r="AY497" s="30">
        <f t="shared" si="225"/>
        <v>0</v>
      </c>
      <c r="AZ497" s="124">
        <f>交易记录!X596</f>
        <v>0</v>
      </c>
      <c r="BA497" s="124">
        <f>交易记录!X627</f>
        <v>0</v>
      </c>
      <c r="BB497" s="30">
        <f t="shared" si="226"/>
        <v>0</v>
      </c>
      <c r="BC497" s="121">
        <f>交易记录!X660</f>
        <v>0</v>
      </c>
      <c r="BD497" s="121">
        <f>交易记录!X691</f>
        <v>0</v>
      </c>
      <c r="BE497" s="30">
        <f t="shared" si="227"/>
        <v>0</v>
      </c>
      <c r="BF497" s="124">
        <f>交易记录!X724</f>
        <v>0</v>
      </c>
      <c r="BG497" s="124">
        <f>交易记录!X755</f>
        <v>0</v>
      </c>
      <c r="BH497" s="30">
        <f t="shared" si="228"/>
        <v>0</v>
      </c>
      <c r="BI497" s="121">
        <f>交易记录!X788</f>
        <v>0</v>
      </c>
      <c r="BJ497" s="121">
        <f>交易记录!X819</f>
        <v>0</v>
      </c>
      <c r="BK497" s="30">
        <f t="shared" si="229"/>
        <v>0</v>
      </c>
      <c r="BL497" s="124">
        <f>交易记录!X852</f>
        <v>0</v>
      </c>
      <c r="BM497" s="124">
        <f>交易记录!X883</f>
        <v>0</v>
      </c>
      <c r="BN497" s="30">
        <f t="shared" si="230"/>
        <v>0</v>
      </c>
      <c r="BO497" s="121">
        <f>交易记录!X916</f>
        <v>0</v>
      </c>
      <c r="BP497" s="121">
        <f>交易记录!X947</f>
        <v>0</v>
      </c>
      <c r="BQ497" s="30">
        <f t="shared" si="231"/>
        <v>0</v>
      </c>
    </row>
    <row r="498" spans="1:69" ht="15">
      <c r="A498" s="125">
        <f>'维护-日期'!A$23</f>
        <v>46286</v>
      </c>
      <c r="B498" s="7" t="s">
        <v>22</v>
      </c>
      <c r="C498" s="144">
        <f t="shared" si="232"/>
        <v>21.905999999999999</v>
      </c>
      <c r="D498" s="144">
        <f>ROUND(INDEX(持仓数据!$C$3:$AG$26,MATCH('计算过程-数据汇总'!B498,持仓数据!$B$3:$B$26,0),MATCH('计算过程-数据汇总'!A498,'维护-日期'!$B$2:$AF$2,0)),3)</f>
        <v>21.905999999999999</v>
      </c>
      <c r="E498" s="98">
        <f t="shared" si="233"/>
        <v>21.905999999999999</v>
      </c>
      <c r="F498" s="22">
        <f>持仓数据!W88</f>
        <v>0.58600000000000008</v>
      </c>
      <c r="G498" s="97">
        <v>372</v>
      </c>
      <c r="H498" s="97">
        <v>372</v>
      </c>
      <c r="I498" s="64">
        <v>0</v>
      </c>
      <c r="J498" s="64">
        <v>0</v>
      </c>
      <c r="K498" s="21">
        <f>IF(持仓数据!W121="",0,持仓数据!W121)</f>
        <v>372</v>
      </c>
      <c r="L498" s="21">
        <f t="shared" si="234"/>
        <v>0</v>
      </c>
      <c r="M498" s="28">
        <f t="shared" si="218"/>
        <v>8149.0319999999992</v>
      </c>
      <c r="N498" s="28">
        <f t="shared" si="219"/>
        <v>0</v>
      </c>
      <c r="O498" s="28">
        <f t="shared" si="220"/>
        <v>0</v>
      </c>
      <c r="P498" s="28">
        <f t="shared" si="221"/>
        <v>0</v>
      </c>
      <c r="Q498" s="28">
        <f t="shared" si="235"/>
        <v>0</v>
      </c>
      <c r="R498" s="28">
        <f t="shared" si="222"/>
        <v>8149.0319999999992</v>
      </c>
      <c r="S498" s="28">
        <f t="shared" si="236"/>
        <v>0</v>
      </c>
      <c r="T498" s="28">
        <f t="shared" si="237"/>
        <v>0</v>
      </c>
      <c r="U498" s="28">
        <f t="shared" si="240"/>
        <v>0</v>
      </c>
      <c r="V498" s="28">
        <f t="shared" si="238"/>
        <v>0</v>
      </c>
      <c r="W498" s="118"/>
      <c r="X498" s="143">
        <f t="shared" si="239"/>
        <v>25.701000000000001</v>
      </c>
      <c r="Y498" s="121">
        <f>交易记录!X21</f>
        <v>0.58600000000000008</v>
      </c>
      <c r="Z498" s="121">
        <f>交易记录!X52</f>
        <v>372</v>
      </c>
      <c r="AA498" s="30">
        <f t="shared" si="223"/>
        <v>0</v>
      </c>
      <c r="AB498" s="124">
        <f>交易记录!X85</f>
        <v>0</v>
      </c>
      <c r="AC498" s="124">
        <f>交易记录!X116</f>
        <v>0</v>
      </c>
      <c r="AD498" s="30">
        <f t="shared" si="241"/>
        <v>0</v>
      </c>
      <c r="AE498" s="121">
        <f>交易记录!X149</f>
        <v>0</v>
      </c>
      <c r="AF498" s="121">
        <f>交易记录!X180</f>
        <v>0</v>
      </c>
      <c r="AG498" s="30">
        <f t="shared" si="242"/>
        <v>0</v>
      </c>
      <c r="AH498" s="124">
        <f>交易记录!X213</f>
        <v>0</v>
      </c>
      <c r="AI498" s="124">
        <f>交易记录!X244</f>
        <v>0</v>
      </c>
      <c r="AJ498" s="30">
        <f t="shared" si="243"/>
        <v>0</v>
      </c>
      <c r="AK498" s="121">
        <f>交易记录!X277</f>
        <v>0</v>
      </c>
      <c r="AL498" s="121">
        <f>交易记录!X308</f>
        <v>0</v>
      </c>
      <c r="AM498" s="30">
        <f t="shared" si="244"/>
        <v>0</v>
      </c>
      <c r="AN498" s="124">
        <f>交易记录!X341</f>
        <v>0</v>
      </c>
      <c r="AO498" s="124">
        <f>交易记录!X372</f>
        <v>0</v>
      </c>
      <c r="AP498" s="30">
        <f t="shared" si="245"/>
        <v>0</v>
      </c>
      <c r="AQ498" s="121">
        <f>交易记录!X405</f>
        <v>0</v>
      </c>
      <c r="AR498" s="121">
        <f>交易记录!X436</f>
        <v>0</v>
      </c>
      <c r="AS498" s="30">
        <f t="shared" si="246"/>
        <v>0</v>
      </c>
      <c r="AT498" s="124">
        <f>交易记录!X469</f>
        <v>0</v>
      </c>
      <c r="AU498" s="124">
        <f>交易记录!X500</f>
        <v>0</v>
      </c>
      <c r="AV498" s="30">
        <f t="shared" si="224"/>
        <v>0</v>
      </c>
      <c r="AW498" s="121">
        <f>交易记录!X533</f>
        <v>0</v>
      </c>
      <c r="AX498" s="121">
        <f>交易记录!X564</f>
        <v>0</v>
      </c>
      <c r="AY498" s="30">
        <f t="shared" si="225"/>
        <v>0</v>
      </c>
      <c r="AZ498" s="124">
        <f>交易记录!X597</f>
        <v>0</v>
      </c>
      <c r="BA498" s="124">
        <f>交易记录!X628</f>
        <v>0</v>
      </c>
      <c r="BB498" s="30">
        <f t="shared" si="226"/>
        <v>0</v>
      </c>
      <c r="BC498" s="121">
        <f>交易记录!X661</f>
        <v>0</v>
      </c>
      <c r="BD498" s="121">
        <f>交易记录!X692</f>
        <v>0</v>
      </c>
      <c r="BE498" s="30">
        <f t="shared" si="227"/>
        <v>0</v>
      </c>
      <c r="BF498" s="124">
        <f>交易记录!X725</f>
        <v>0</v>
      </c>
      <c r="BG498" s="124">
        <f>交易记录!X756</f>
        <v>0</v>
      </c>
      <c r="BH498" s="30">
        <f t="shared" si="228"/>
        <v>0</v>
      </c>
      <c r="BI498" s="121">
        <f>交易记录!X789</f>
        <v>0</v>
      </c>
      <c r="BJ498" s="121">
        <f>交易记录!X820</f>
        <v>0</v>
      </c>
      <c r="BK498" s="30">
        <f t="shared" si="229"/>
        <v>0</v>
      </c>
      <c r="BL498" s="124">
        <f>交易记录!X853</f>
        <v>0</v>
      </c>
      <c r="BM498" s="124">
        <f>交易记录!X884</f>
        <v>0</v>
      </c>
      <c r="BN498" s="30">
        <f t="shared" si="230"/>
        <v>0</v>
      </c>
      <c r="BO498" s="121">
        <f>交易记录!X917</f>
        <v>0</v>
      </c>
      <c r="BP498" s="121">
        <f>交易记录!X948</f>
        <v>0</v>
      </c>
      <c r="BQ498" s="30">
        <f t="shared" si="231"/>
        <v>0</v>
      </c>
    </row>
    <row r="499" spans="1:69" ht="15">
      <c r="A499" s="125">
        <f>'维护-日期'!A$23</f>
        <v>46286</v>
      </c>
      <c r="B499" s="7" t="s">
        <v>23</v>
      </c>
      <c r="C499" s="144">
        <f t="shared" si="232"/>
        <v>22.69</v>
      </c>
      <c r="D499" s="144">
        <f>ROUND(INDEX(持仓数据!$C$3:$AG$26,MATCH('计算过程-数据汇总'!B499,持仓数据!$B$3:$B$26,0),MATCH('计算过程-数据汇总'!A499,'维护-日期'!$B$2:$AF$2,0)),3)</f>
        <v>22.69</v>
      </c>
      <c r="E499" s="98">
        <f t="shared" si="233"/>
        <v>22.69</v>
      </c>
      <c r="F499" s="22">
        <f>持仓数据!W89</f>
        <v>0.63300000000000001</v>
      </c>
      <c r="G499" s="97">
        <v>372</v>
      </c>
      <c r="H499" s="97">
        <v>372</v>
      </c>
      <c r="I499" s="64">
        <v>0</v>
      </c>
      <c r="J499" s="64">
        <v>0</v>
      </c>
      <c r="K499" s="21">
        <f>IF(持仓数据!W122="",0,持仓数据!W122)</f>
        <v>372</v>
      </c>
      <c r="L499" s="21">
        <f t="shared" si="234"/>
        <v>0</v>
      </c>
      <c r="M499" s="28">
        <f t="shared" si="218"/>
        <v>8440.68</v>
      </c>
      <c r="N499" s="28">
        <f t="shared" si="219"/>
        <v>0</v>
      </c>
      <c r="O499" s="28">
        <f t="shared" si="220"/>
        <v>0</v>
      </c>
      <c r="P499" s="28">
        <f t="shared" si="221"/>
        <v>0</v>
      </c>
      <c r="Q499" s="28">
        <f t="shared" si="235"/>
        <v>0</v>
      </c>
      <c r="R499" s="28">
        <f t="shared" si="222"/>
        <v>8440.68</v>
      </c>
      <c r="S499" s="28">
        <f t="shared" si="236"/>
        <v>0</v>
      </c>
      <c r="T499" s="28">
        <f t="shared" si="237"/>
        <v>0</v>
      </c>
      <c r="U499" s="28">
        <f t="shared" si="240"/>
        <v>0</v>
      </c>
      <c r="V499" s="28">
        <f t="shared" si="238"/>
        <v>0</v>
      </c>
      <c r="W499" s="118"/>
      <c r="X499" s="143">
        <f t="shared" si="239"/>
        <v>26.594999999999999</v>
      </c>
      <c r="Y499" s="121">
        <f>交易记录!X22</f>
        <v>0.63300000000000001</v>
      </c>
      <c r="Z499" s="121">
        <f>交易记录!X53</f>
        <v>372</v>
      </c>
      <c r="AA499" s="30">
        <f t="shared" si="223"/>
        <v>0</v>
      </c>
      <c r="AB499" s="124">
        <f>交易记录!X86</f>
        <v>0</v>
      </c>
      <c r="AC499" s="124">
        <f>交易记录!X117</f>
        <v>0</v>
      </c>
      <c r="AD499" s="30">
        <f t="shared" si="241"/>
        <v>0</v>
      </c>
      <c r="AE499" s="121">
        <f>交易记录!X150</f>
        <v>0</v>
      </c>
      <c r="AF499" s="121">
        <f>交易记录!X181</f>
        <v>0</v>
      </c>
      <c r="AG499" s="30">
        <f t="shared" si="242"/>
        <v>0</v>
      </c>
      <c r="AH499" s="124">
        <f>交易记录!X214</f>
        <v>0</v>
      </c>
      <c r="AI499" s="124">
        <f>交易记录!X245</f>
        <v>0</v>
      </c>
      <c r="AJ499" s="30">
        <f t="shared" si="243"/>
        <v>0</v>
      </c>
      <c r="AK499" s="121">
        <f>交易记录!X278</f>
        <v>0</v>
      </c>
      <c r="AL499" s="121">
        <f>交易记录!X309</f>
        <v>0</v>
      </c>
      <c r="AM499" s="30">
        <f t="shared" si="244"/>
        <v>0</v>
      </c>
      <c r="AN499" s="124">
        <f>交易记录!X342</f>
        <v>0</v>
      </c>
      <c r="AO499" s="124">
        <f>交易记录!X373</f>
        <v>0</v>
      </c>
      <c r="AP499" s="30">
        <f t="shared" si="245"/>
        <v>0</v>
      </c>
      <c r="AQ499" s="121">
        <f>交易记录!X406</f>
        <v>0</v>
      </c>
      <c r="AR499" s="121">
        <f>交易记录!X437</f>
        <v>0</v>
      </c>
      <c r="AS499" s="30">
        <f t="shared" si="246"/>
        <v>0</v>
      </c>
      <c r="AT499" s="124">
        <f>交易记录!X470</f>
        <v>0</v>
      </c>
      <c r="AU499" s="124">
        <f>交易记录!X501</f>
        <v>0</v>
      </c>
      <c r="AV499" s="30">
        <f t="shared" si="224"/>
        <v>0</v>
      </c>
      <c r="AW499" s="121">
        <f>交易记录!X534</f>
        <v>0</v>
      </c>
      <c r="AX499" s="121">
        <f>交易记录!X565</f>
        <v>0</v>
      </c>
      <c r="AY499" s="30">
        <f t="shared" si="225"/>
        <v>0</v>
      </c>
      <c r="AZ499" s="124">
        <f>交易记录!X598</f>
        <v>0</v>
      </c>
      <c r="BA499" s="124">
        <f>交易记录!X629</f>
        <v>0</v>
      </c>
      <c r="BB499" s="30">
        <f t="shared" si="226"/>
        <v>0</v>
      </c>
      <c r="BC499" s="121">
        <f>交易记录!X662</f>
        <v>0</v>
      </c>
      <c r="BD499" s="121">
        <f>交易记录!X693</f>
        <v>0</v>
      </c>
      <c r="BE499" s="30">
        <f t="shared" si="227"/>
        <v>0</v>
      </c>
      <c r="BF499" s="124">
        <f>交易记录!X726</f>
        <v>0</v>
      </c>
      <c r="BG499" s="124">
        <f>交易记录!X757</f>
        <v>0</v>
      </c>
      <c r="BH499" s="30">
        <f t="shared" si="228"/>
        <v>0</v>
      </c>
      <c r="BI499" s="121">
        <f>交易记录!X790</f>
        <v>0</v>
      </c>
      <c r="BJ499" s="121">
        <f>交易记录!X821</f>
        <v>0</v>
      </c>
      <c r="BK499" s="30">
        <f t="shared" si="229"/>
        <v>0</v>
      </c>
      <c r="BL499" s="124">
        <f>交易记录!X854</f>
        <v>0</v>
      </c>
      <c r="BM499" s="124">
        <f>交易记录!X885</f>
        <v>0</v>
      </c>
      <c r="BN499" s="30">
        <f t="shared" si="230"/>
        <v>0</v>
      </c>
      <c r="BO499" s="121">
        <f>交易记录!X918</f>
        <v>0</v>
      </c>
      <c r="BP499" s="121">
        <f>交易记录!X949</f>
        <v>0</v>
      </c>
      <c r="BQ499" s="30">
        <f t="shared" si="231"/>
        <v>0</v>
      </c>
    </row>
    <row r="500" spans="1:69" ht="15">
      <c r="A500" s="125">
        <f>'维护-日期'!A$23</f>
        <v>46286</v>
      </c>
      <c r="B500" s="7" t="s">
        <v>24</v>
      </c>
      <c r="C500" s="144">
        <f t="shared" si="232"/>
        <v>23.346</v>
      </c>
      <c r="D500" s="144">
        <f>ROUND(INDEX(持仓数据!$C$3:$AG$26,MATCH('计算过程-数据汇总'!B500,持仓数据!$B$3:$B$26,0),MATCH('计算过程-数据汇总'!A500,'维护-日期'!$B$2:$AF$2,0)),3)</f>
        <v>23.346</v>
      </c>
      <c r="E500" s="98">
        <f t="shared" si="233"/>
        <v>23.346</v>
      </c>
      <c r="F500" s="22">
        <f>持仓数据!W90</f>
        <v>0.45400000000000001</v>
      </c>
      <c r="G500" s="97">
        <v>372</v>
      </c>
      <c r="H500" s="97">
        <v>372</v>
      </c>
      <c r="I500" s="64">
        <v>0</v>
      </c>
      <c r="J500" s="64">
        <v>0</v>
      </c>
      <c r="K500" s="21">
        <f>IF(持仓数据!W123="",0,持仓数据!W123)</f>
        <v>372</v>
      </c>
      <c r="L500" s="21">
        <f t="shared" si="234"/>
        <v>0</v>
      </c>
      <c r="M500" s="28">
        <f t="shared" si="218"/>
        <v>8684.7119999999995</v>
      </c>
      <c r="N500" s="28">
        <f t="shared" si="219"/>
        <v>0</v>
      </c>
      <c r="O500" s="28">
        <f t="shared" si="220"/>
        <v>0</v>
      </c>
      <c r="P500" s="28">
        <f t="shared" si="221"/>
        <v>0</v>
      </c>
      <c r="Q500" s="28">
        <f t="shared" si="235"/>
        <v>0</v>
      </c>
      <c r="R500" s="28">
        <f t="shared" si="222"/>
        <v>8684.7119999999995</v>
      </c>
      <c r="S500" s="28">
        <f t="shared" si="236"/>
        <v>0</v>
      </c>
      <c r="T500" s="28">
        <f t="shared" si="237"/>
        <v>0</v>
      </c>
      <c r="U500" s="28">
        <f t="shared" si="240"/>
        <v>0</v>
      </c>
      <c r="V500" s="28">
        <f t="shared" si="238"/>
        <v>0</v>
      </c>
      <c r="W500" s="118"/>
      <c r="X500" s="143">
        <f t="shared" si="239"/>
        <v>27.561</v>
      </c>
      <c r="Y500" s="121">
        <f>交易记录!X23</f>
        <v>0.45400000000000001</v>
      </c>
      <c r="Z500" s="121">
        <f>交易记录!X54</f>
        <v>372</v>
      </c>
      <c r="AA500" s="30">
        <f t="shared" si="223"/>
        <v>0</v>
      </c>
      <c r="AB500" s="124">
        <f>交易记录!X87</f>
        <v>0</v>
      </c>
      <c r="AC500" s="124">
        <f>交易记录!X118</f>
        <v>0</v>
      </c>
      <c r="AD500" s="30">
        <f t="shared" si="241"/>
        <v>0</v>
      </c>
      <c r="AE500" s="121">
        <f>交易记录!X151</f>
        <v>0</v>
      </c>
      <c r="AF500" s="121">
        <f>交易记录!X182</f>
        <v>0</v>
      </c>
      <c r="AG500" s="30">
        <f t="shared" si="242"/>
        <v>0</v>
      </c>
      <c r="AH500" s="124">
        <f>交易记录!X215</f>
        <v>0</v>
      </c>
      <c r="AI500" s="124">
        <f>交易记录!X246</f>
        <v>0</v>
      </c>
      <c r="AJ500" s="30">
        <f t="shared" si="243"/>
        <v>0</v>
      </c>
      <c r="AK500" s="121">
        <f>交易记录!X279</f>
        <v>0</v>
      </c>
      <c r="AL500" s="121">
        <f>交易记录!X310</f>
        <v>0</v>
      </c>
      <c r="AM500" s="30">
        <f t="shared" si="244"/>
        <v>0</v>
      </c>
      <c r="AN500" s="124">
        <f>交易记录!X343</f>
        <v>0</v>
      </c>
      <c r="AO500" s="124">
        <f>交易记录!X374</f>
        <v>0</v>
      </c>
      <c r="AP500" s="30">
        <f t="shared" si="245"/>
        <v>0</v>
      </c>
      <c r="AQ500" s="121">
        <f>交易记录!X407</f>
        <v>0</v>
      </c>
      <c r="AR500" s="121">
        <f>交易记录!X438</f>
        <v>0</v>
      </c>
      <c r="AS500" s="30">
        <f t="shared" si="246"/>
        <v>0</v>
      </c>
      <c r="AT500" s="124">
        <f>交易记录!X471</f>
        <v>0</v>
      </c>
      <c r="AU500" s="124">
        <f>交易记录!X502</f>
        <v>0</v>
      </c>
      <c r="AV500" s="30">
        <f t="shared" si="224"/>
        <v>0</v>
      </c>
      <c r="AW500" s="121">
        <f>交易记录!X535</f>
        <v>0</v>
      </c>
      <c r="AX500" s="121">
        <f>交易记录!X566</f>
        <v>0</v>
      </c>
      <c r="AY500" s="30">
        <f t="shared" si="225"/>
        <v>0</v>
      </c>
      <c r="AZ500" s="124">
        <f>交易记录!X599</f>
        <v>0</v>
      </c>
      <c r="BA500" s="124">
        <f>交易记录!X630</f>
        <v>0</v>
      </c>
      <c r="BB500" s="30">
        <f t="shared" si="226"/>
        <v>0</v>
      </c>
      <c r="BC500" s="121">
        <f>交易记录!X663</f>
        <v>0</v>
      </c>
      <c r="BD500" s="121">
        <f>交易记录!X694</f>
        <v>0</v>
      </c>
      <c r="BE500" s="30">
        <f t="shared" si="227"/>
        <v>0</v>
      </c>
      <c r="BF500" s="124">
        <f>交易记录!X727</f>
        <v>0</v>
      </c>
      <c r="BG500" s="124">
        <f>交易记录!X758</f>
        <v>0</v>
      </c>
      <c r="BH500" s="30">
        <f t="shared" si="228"/>
        <v>0</v>
      </c>
      <c r="BI500" s="121">
        <f>交易记录!X791</f>
        <v>0</v>
      </c>
      <c r="BJ500" s="121">
        <f>交易记录!X822</f>
        <v>0</v>
      </c>
      <c r="BK500" s="30">
        <f t="shared" si="229"/>
        <v>0</v>
      </c>
      <c r="BL500" s="124">
        <f>交易记录!X855</f>
        <v>0</v>
      </c>
      <c r="BM500" s="124">
        <f>交易记录!X886</f>
        <v>0</v>
      </c>
      <c r="BN500" s="30">
        <f t="shared" si="230"/>
        <v>0</v>
      </c>
      <c r="BO500" s="121">
        <f>交易记录!X919</f>
        <v>0</v>
      </c>
      <c r="BP500" s="121">
        <f>交易记录!X950</f>
        <v>0</v>
      </c>
      <c r="BQ500" s="30">
        <f t="shared" si="231"/>
        <v>0</v>
      </c>
    </row>
    <row r="501" spans="1:69" ht="15">
      <c r="A501" s="125">
        <f>'维护-日期'!A$23</f>
        <v>46286</v>
      </c>
      <c r="B501" s="7" t="s">
        <v>25</v>
      </c>
      <c r="C501" s="144">
        <f t="shared" si="232"/>
        <v>23.771999999999998</v>
      </c>
      <c r="D501" s="144">
        <f>ROUND(INDEX(持仓数据!$C$3:$AG$26,MATCH('计算过程-数据汇总'!B501,持仓数据!$B$3:$B$26,0),MATCH('计算过程-数据汇总'!A501,'维护-日期'!$B$2:$AF$2,0)),3)</f>
        <v>23.771999999999998</v>
      </c>
      <c r="E501" s="98">
        <f t="shared" si="233"/>
        <v>23.771999999999998</v>
      </c>
      <c r="F501" s="22">
        <f>持仓数据!W91</f>
        <v>1.1160000000000001</v>
      </c>
      <c r="G501" s="97">
        <v>372</v>
      </c>
      <c r="H501" s="97">
        <v>372</v>
      </c>
      <c r="I501" s="64">
        <v>0</v>
      </c>
      <c r="J501" s="64">
        <v>0</v>
      </c>
      <c r="K501" s="21">
        <f>IF(持仓数据!W124="",0,持仓数据!W124)</f>
        <v>372</v>
      </c>
      <c r="L501" s="21">
        <f t="shared" si="234"/>
        <v>0</v>
      </c>
      <c r="M501" s="28">
        <f t="shared" si="218"/>
        <v>8843.1839999999993</v>
      </c>
      <c r="N501" s="28">
        <f t="shared" si="219"/>
        <v>0</v>
      </c>
      <c r="O501" s="28">
        <f t="shared" si="220"/>
        <v>0</v>
      </c>
      <c r="P501" s="28">
        <f t="shared" si="221"/>
        <v>0</v>
      </c>
      <c r="Q501" s="28">
        <f t="shared" si="235"/>
        <v>0</v>
      </c>
      <c r="R501" s="28">
        <f t="shared" si="222"/>
        <v>8843.1839999999993</v>
      </c>
      <c r="S501" s="28">
        <f t="shared" si="236"/>
        <v>0</v>
      </c>
      <c r="T501" s="28">
        <f t="shared" si="237"/>
        <v>0</v>
      </c>
      <c r="U501" s="28">
        <f t="shared" si="240"/>
        <v>0</v>
      </c>
      <c r="V501" s="28">
        <f t="shared" si="238"/>
        <v>0</v>
      </c>
      <c r="W501" s="118"/>
      <c r="X501" s="143">
        <f t="shared" si="239"/>
        <v>27.41</v>
      </c>
      <c r="Y501" s="121">
        <f>交易记录!X24</f>
        <v>1.1160000000000001</v>
      </c>
      <c r="Z501" s="121">
        <f>交易记录!X55</f>
        <v>372</v>
      </c>
      <c r="AA501" s="30">
        <f t="shared" si="223"/>
        <v>0</v>
      </c>
      <c r="AB501" s="124">
        <f>交易记录!X88</f>
        <v>0</v>
      </c>
      <c r="AC501" s="124">
        <f>交易记录!X119</f>
        <v>0</v>
      </c>
      <c r="AD501" s="30">
        <f t="shared" si="241"/>
        <v>0</v>
      </c>
      <c r="AE501" s="121">
        <f>交易记录!X152</f>
        <v>0</v>
      </c>
      <c r="AF501" s="121">
        <f>交易记录!X183</f>
        <v>0</v>
      </c>
      <c r="AG501" s="30">
        <f t="shared" si="242"/>
        <v>0</v>
      </c>
      <c r="AH501" s="124">
        <f>交易记录!X216</f>
        <v>0</v>
      </c>
      <c r="AI501" s="124">
        <f>交易记录!X247</f>
        <v>0</v>
      </c>
      <c r="AJ501" s="30">
        <f t="shared" si="243"/>
        <v>0</v>
      </c>
      <c r="AK501" s="121">
        <f>交易记录!X280</f>
        <v>0</v>
      </c>
      <c r="AL501" s="121">
        <f>交易记录!X311</f>
        <v>0</v>
      </c>
      <c r="AM501" s="30">
        <f t="shared" si="244"/>
        <v>0</v>
      </c>
      <c r="AN501" s="124">
        <f>交易记录!X344</f>
        <v>0</v>
      </c>
      <c r="AO501" s="124">
        <f>交易记录!X375</f>
        <v>0</v>
      </c>
      <c r="AP501" s="30">
        <f t="shared" si="245"/>
        <v>0</v>
      </c>
      <c r="AQ501" s="121">
        <f>交易记录!X408</f>
        <v>0</v>
      </c>
      <c r="AR501" s="121">
        <f>交易记录!X439</f>
        <v>0</v>
      </c>
      <c r="AS501" s="30">
        <f t="shared" si="246"/>
        <v>0</v>
      </c>
      <c r="AT501" s="124">
        <f>交易记录!X472</f>
        <v>0</v>
      </c>
      <c r="AU501" s="124">
        <f>交易记录!X503</f>
        <v>0</v>
      </c>
      <c r="AV501" s="30">
        <f t="shared" si="224"/>
        <v>0</v>
      </c>
      <c r="AW501" s="121">
        <f>交易记录!X536</f>
        <v>0</v>
      </c>
      <c r="AX501" s="121">
        <f>交易记录!X567</f>
        <v>0</v>
      </c>
      <c r="AY501" s="30">
        <f t="shared" si="225"/>
        <v>0</v>
      </c>
      <c r="AZ501" s="124">
        <f>交易记录!X600</f>
        <v>0</v>
      </c>
      <c r="BA501" s="124">
        <f>交易记录!X631</f>
        <v>0</v>
      </c>
      <c r="BB501" s="30">
        <f t="shared" si="226"/>
        <v>0</v>
      </c>
      <c r="BC501" s="121">
        <f>交易记录!X664</f>
        <v>0</v>
      </c>
      <c r="BD501" s="121">
        <f>交易记录!X695</f>
        <v>0</v>
      </c>
      <c r="BE501" s="30">
        <f t="shared" si="227"/>
        <v>0</v>
      </c>
      <c r="BF501" s="124">
        <f>交易记录!X728</f>
        <v>0</v>
      </c>
      <c r="BG501" s="124">
        <f>交易记录!X759</f>
        <v>0</v>
      </c>
      <c r="BH501" s="30">
        <f t="shared" si="228"/>
        <v>0</v>
      </c>
      <c r="BI501" s="121">
        <f>交易记录!X792</f>
        <v>0</v>
      </c>
      <c r="BJ501" s="121">
        <f>交易记录!X823</f>
        <v>0</v>
      </c>
      <c r="BK501" s="30">
        <f t="shared" si="229"/>
        <v>0</v>
      </c>
      <c r="BL501" s="124">
        <f>交易记录!X856</f>
        <v>0</v>
      </c>
      <c r="BM501" s="124">
        <f>交易记录!X887</f>
        <v>0</v>
      </c>
      <c r="BN501" s="30">
        <f t="shared" si="230"/>
        <v>0</v>
      </c>
      <c r="BO501" s="121">
        <f>交易记录!X920</f>
        <v>0</v>
      </c>
      <c r="BP501" s="121">
        <f>交易记录!X951</f>
        <v>0</v>
      </c>
      <c r="BQ501" s="30">
        <f t="shared" si="231"/>
        <v>0</v>
      </c>
    </row>
    <row r="502" spans="1:69" ht="15">
      <c r="A502" s="125">
        <f>'维护-日期'!A$23</f>
        <v>46286</v>
      </c>
      <c r="B502" s="7" t="s">
        <v>26</v>
      </c>
      <c r="C502" s="144">
        <f t="shared" si="232"/>
        <v>23.515000000000001</v>
      </c>
      <c r="D502" s="144">
        <f>ROUND(INDEX(持仓数据!$C$3:$AG$26,MATCH('计算过程-数据汇总'!B502,持仓数据!$B$3:$B$26,0),MATCH('计算过程-数据汇总'!A502,'维护-日期'!$B$2:$AF$2,0)),3)</f>
        <v>23.515000000000001</v>
      </c>
      <c r="E502" s="98">
        <f t="shared" si="233"/>
        <v>23.515000000000001</v>
      </c>
      <c r="F502" s="22">
        <f>持仓数据!W92</f>
        <v>1</v>
      </c>
      <c r="G502" s="97">
        <v>372</v>
      </c>
      <c r="H502" s="97">
        <v>372</v>
      </c>
      <c r="I502" s="64">
        <v>0</v>
      </c>
      <c r="J502" s="64">
        <v>0</v>
      </c>
      <c r="K502" s="21">
        <f>IF(持仓数据!W125="",0,持仓数据!W125)</f>
        <v>372</v>
      </c>
      <c r="L502" s="21">
        <f t="shared" si="234"/>
        <v>0</v>
      </c>
      <c r="M502" s="28">
        <f t="shared" si="218"/>
        <v>8747.58</v>
      </c>
      <c r="N502" s="28">
        <f t="shared" si="219"/>
        <v>0</v>
      </c>
      <c r="O502" s="28">
        <f t="shared" si="220"/>
        <v>0</v>
      </c>
      <c r="P502" s="28">
        <f t="shared" si="221"/>
        <v>0</v>
      </c>
      <c r="Q502" s="28">
        <f t="shared" si="235"/>
        <v>0</v>
      </c>
      <c r="R502" s="28">
        <f t="shared" si="222"/>
        <v>8747.58</v>
      </c>
      <c r="S502" s="28">
        <f t="shared" si="236"/>
        <v>0</v>
      </c>
      <c r="T502" s="28">
        <f t="shared" si="237"/>
        <v>0</v>
      </c>
      <c r="U502" s="28">
        <f t="shared" si="240"/>
        <v>0</v>
      </c>
      <c r="V502" s="28">
        <f t="shared" si="238"/>
        <v>0</v>
      </c>
      <c r="W502" s="118"/>
      <c r="X502" s="143">
        <f t="shared" si="239"/>
        <v>27.218</v>
      </c>
      <c r="Y502" s="121">
        <f>交易记录!X25</f>
        <v>1</v>
      </c>
      <c r="Z502" s="121">
        <f>交易记录!X56</f>
        <v>372</v>
      </c>
      <c r="AA502" s="30">
        <f t="shared" si="223"/>
        <v>0</v>
      </c>
      <c r="AB502" s="124">
        <f>交易记录!X89</f>
        <v>0</v>
      </c>
      <c r="AC502" s="124">
        <f>交易记录!X120</f>
        <v>0</v>
      </c>
      <c r="AD502" s="30">
        <f t="shared" si="241"/>
        <v>0</v>
      </c>
      <c r="AE502" s="121">
        <f>交易记录!X153</f>
        <v>0</v>
      </c>
      <c r="AF502" s="121">
        <f>交易记录!X184</f>
        <v>0</v>
      </c>
      <c r="AG502" s="30">
        <f t="shared" si="242"/>
        <v>0</v>
      </c>
      <c r="AH502" s="124">
        <f>交易记录!X217</f>
        <v>0</v>
      </c>
      <c r="AI502" s="124">
        <f>交易记录!X248</f>
        <v>0</v>
      </c>
      <c r="AJ502" s="30">
        <f t="shared" si="243"/>
        <v>0</v>
      </c>
      <c r="AK502" s="121">
        <f>交易记录!X281</f>
        <v>0</v>
      </c>
      <c r="AL502" s="121">
        <f>交易记录!X312</f>
        <v>0</v>
      </c>
      <c r="AM502" s="30">
        <f t="shared" si="244"/>
        <v>0</v>
      </c>
      <c r="AN502" s="124">
        <f>交易记录!X345</f>
        <v>0</v>
      </c>
      <c r="AO502" s="124">
        <f>交易记录!X376</f>
        <v>0</v>
      </c>
      <c r="AP502" s="30">
        <f t="shared" si="245"/>
        <v>0</v>
      </c>
      <c r="AQ502" s="121">
        <f>交易记录!X409</f>
        <v>0</v>
      </c>
      <c r="AR502" s="121">
        <f>交易记录!X440</f>
        <v>0</v>
      </c>
      <c r="AS502" s="30">
        <f t="shared" si="246"/>
        <v>0</v>
      </c>
      <c r="AT502" s="124">
        <f>交易记录!X473</f>
        <v>0</v>
      </c>
      <c r="AU502" s="124">
        <f>交易记录!X504</f>
        <v>0</v>
      </c>
      <c r="AV502" s="30">
        <f t="shared" si="224"/>
        <v>0</v>
      </c>
      <c r="AW502" s="121">
        <f>交易记录!X537</f>
        <v>0</v>
      </c>
      <c r="AX502" s="121">
        <f>交易记录!X568</f>
        <v>0</v>
      </c>
      <c r="AY502" s="30">
        <f t="shared" si="225"/>
        <v>0</v>
      </c>
      <c r="AZ502" s="124">
        <f>交易记录!X601</f>
        <v>0</v>
      </c>
      <c r="BA502" s="124">
        <f>交易记录!X632</f>
        <v>0</v>
      </c>
      <c r="BB502" s="30">
        <f t="shared" si="226"/>
        <v>0</v>
      </c>
      <c r="BC502" s="121">
        <f>交易记录!X665</f>
        <v>0</v>
      </c>
      <c r="BD502" s="121">
        <f>交易记录!X696</f>
        <v>0</v>
      </c>
      <c r="BE502" s="30">
        <f t="shared" si="227"/>
        <v>0</v>
      </c>
      <c r="BF502" s="124">
        <f>交易记录!X729</f>
        <v>0</v>
      </c>
      <c r="BG502" s="124">
        <f>交易记录!X760</f>
        <v>0</v>
      </c>
      <c r="BH502" s="30">
        <f t="shared" si="228"/>
        <v>0</v>
      </c>
      <c r="BI502" s="121">
        <f>交易记录!X793</f>
        <v>0</v>
      </c>
      <c r="BJ502" s="121">
        <f>交易记录!X824</f>
        <v>0</v>
      </c>
      <c r="BK502" s="30">
        <f t="shared" si="229"/>
        <v>0</v>
      </c>
      <c r="BL502" s="124">
        <f>交易记录!X857</f>
        <v>0</v>
      </c>
      <c r="BM502" s="124">
        <f>交易记录!X888</f>
        <v>0</v>
      </c>
      <c r="BN502" s="30">
        <f t="shared" si="230"/>
        <v>0</v>
      </c>
      <c r="BO502" s="121">
        <f>交易记录!X921</f>
        <v>0</v>
      </c>
      <c r="BP502" s="121">
        <f>交易记录!X952</f>
        <v>0</v>
      </c>
      <c r="BQ502" s="30">
        <f t="shared" si="231"/>
        <v>0</v>
      </c>
    </row>
    <row r="503" spans="1:69" ht="15">
      <c r="A503" s="125">
        <f>'维护-日期'!A$23</f>
        <v>46286</v>
      </c>
      <c r="B503" s="7" t="s">
        <v>27</v>
      </c>
      <c r="C503" s="144">
        <f t="shared" si="232"/>
        <v>22.122</v>
      </c>
      <c r="D503" s="144">
        <f>ROUND(INDEX(持仓数据!$C$3:$AG$26,MATCH('计算过程-数据汇总'!B503,持仓数据!$B$3:$B$26,0),MATCH('计算过程-数据汇总'!A503,'维护-日期'!$B$2:$AF$2,0)),3)</f>
        <v>22.122</v>
      </c>
      <c r="E503" s="98">
        <f t="shared" si="233"/>
        <v>22.122</v>
      </c>
      <c r="F503" s="22">
        <f>持仓数据!W93</f>
        <v>0.95199999999999996</v>
      </c>
      <c r="G503" s="97">
        <v>372</v>
      </c>
      <c r="H503" s="97">
        <v>372</v>
      </c>
      <c r="I503" s="64">
        <v>0</v>
      </c>
      <c r="J503" s="64">
        <v>0</v>
      </c>
      <c r="K503" s="21">
        <f>IF(持仓数据!W126="",0,持仓数据!W126)</f>
        <v>372</v>
      </c>
      <c r="L503" s="21">
        <f t="shared" si="234"/>
        <v>0</v>
      </c>
      <c r="M503" s="28">
        <f t="shared" si="218"/>
        <v>8229.384</v>
      </c>
      <c r="N503" s="28">
        <f t="shared" si="219"/>
        <v>0</v>
      </c>
      <c r="O503" s="28">
        <f t="shared" si="220"/>
        <v>0</v>
      </c>
      <c r="P503" s="28">
        <f t="shared" si="221"/>
        <v>0</v>
      </c>
      <c r="Q503" s="28">
        <f t="shared" si="235"/>
        <v>0</v>
      </c>
      <c r="R503" s="28">
        <f t="shared" si="222"/>
        <v>8229.384</v>
      </c>
      <c r="S503" s="28">
        <f t="shared" si="236"/>
        <v>0</v>
      </c>
      <c r="T503" s="28">
        <f t="shared" si="237"/>
        <v>0</v>
      </c>
      <c r="U503" s="28">
        <f t="shared" si="240"/>
        <v>0</v>
      </c>
      <c r="V503" s="28">
        <f t="shared" si="238"/>
        <v>0</v>
      </c>
      <c r="W503" s="118"/>
      <c r="X503" s="143">
        <f t="shared" si="239"/>
        <v>25.594000000000001</v>
      </c>
      <c r="Y503" s="121">
        <f>交易记录!X26</f>
        <v>0.95199999999999996</v>
      </c>
      <c r="Z503" s="121">
        <f>交易记录!X57</f>
        <v>372</v>
      </c>
      <c r="AA503" s="30">
        <f t="shared" si="223"/>
        <v>0</v>
      </c>
      <c r="AB503" s="124">
        <f>交易记录!X90</f>
        <v>0</v>
      </c>
      <c r="AC503" s="124">
        <f>交易记录!X121</f>
        <v>0</v>
      </c>
      <c r="AD503" s="30">
        <f t="shared" si="241"/>
        <v>0</v>
      </c>
      <c r="AE503" s="121">
        <f>交易记录!X154</f>
        <v>0</v>
      </c>
      <c r="AF503" s="121">
        <f>交易记录!X185</f>
        <v>0</v>
      </c>
      <c r="AG503" s="30">
        <f t="shared" si="242"/>
        <v>0</v>
      </c>
      <c r="AH503" s="124">
        <f>交易记录!X218</f>
        <v>0</v>
      </c>
      <c r="AI503" s="124">
        <f>交易记录!X249</f>
        <v>0</v>
      </c>
      <c r="AJ503" s="30">
        <f t="shared" si="243"/>
        <v>0</v>
      </c>
      <c r="AK503" s="121">
        <f>交易记录!X282</f>
        <v>0</v>
      </c>
      <c r="AL503" s="121">
        <f>交易记录!X313</f>
        <v>0</v>
      </c>
      <c r="AM503" s="30">
        <f t="shared" si="244"/>
        <v>0</v>
      </c>
      <c r="AN503" s="124">
        <f>交易记录!X346</f>
        <v>0</v>
      </c>
      <c r="AO503" s="124">
        <f>交易记录!X377</f>
        <v>0</v>
      </c>
      <c r="AP503" s="30">
        <f t="shared" si="245"/>
        <v>0</v>
      </c>
      <c r="AQ503" s="121">
        <f>交易记录!X410</f>
        <v>0</v>
      </c>
      <c r="AR503" s="121">
        <f>交易记录!X441</f>
        <v>0</v>
      </c>
      <c r="AS503" s="30">
        <f t="shared" si="246"/>
        <v>0</v>
      </c>
      <c r="AT503" s="124">
        <f>交易记录!X474</f>
        <v>0</v>
      </c>
      <c r="AU503" s="124">
        <f>交易记录!X505</f>
        <v>0</v>
      </c>
      <c r="AV503" s="30">
        <f t="shared" si="224"/>
        <v>0</v>
      </c>
      <c r="AW503" s="121">
        <f>交易记录!X538</f>
        <v>0</v>
      </c>
      <c r="AX503" s="121">
        <f>交易记录!X569</f>
        <v>0</v>
      </c>
      <c r="AY503" s="30">
        <f t="shared" si="225"/>
        <v>0</v>
      </c>
      <c r="AZ503" s="124">
        <f>交易记录!X602</f>
        <v>0</v>
      </c>
      <c r="BA503" s="124">
        <f>交易记录!X633</f>
        <v>0</v>
      </c>
      <c r="BB503" s="30">
        <f t="shared" si="226"/>
        <v>0</v>
      </c>
      <c r="BC503" s="121">
        <f>交易记录!X666</f>
        <v>0</v>
      </c>
      <c r="BD503" s="121">
        <f>交易记录!X697</f>
        <v>0</v>
      </c>
      <c r="BE503" s="30">
        <f t="shared" si="227"/>
        <v>0</v>
      </c>
      <c r="BF503" s="124">
        <f>交易记录!X730</f>
        <v>0</v>
      </c>
      <c r="BG503" s="124">
        <f>交易记录!X761</f>
        <v>0</v>
      </c>
      <c r="BH503" s="30">
        <f t="shared" si="228"/>
        <v>0</v>
      </c>
      <c r="BI503" s="121">
        <f>交易记录!X794</f>
        <v>0</v>
      </c>
      <c r="BJ503" s="121">
        <f>交易记录!X825</f>
        <v>0</v>
      </c>
      <c r="BK503" s="30">
        <f t="shared" si="229"/>
        <v>0</v>
      </c>
      <c r="BL503" s="124">
        <f>交易记录!X858</f>
        <v>0</v>
      </c>
      <c r="BM503" s="124">
        <f>交易记录!X889</f>
        <v>0</v>
      </c>
      <c r="BN503" s="30">
        <f t="shared" si="230"/>
        <v>0</v>
      </c>
      <c r="BO503" s="121">
        <f>交易记录!X922</f>
        <v>0</v>
      </c>
      <c r="BP503" s="121">
        <f>交易记录!X953</f>
        <v>0</v>
      </c>
      <c r="BQ503" s="30">
        <f t="shared" si="231"/>
        <v>0</v>
      </c>
    </row>
    <row r="504" spans="1:69" ht="15">
      <c r="A504" s="125">
        <f>'维护-日期'!A$23</f>
        <v>46286</v>
      </c>
      <c r="B504" s="7" t="s">
        <v>28</v>
      </c>
      <c r="C504" s="144">
        <f t="shared" si="232"/>
        <v>19.263000000000002</v>
      </c>
      <c r="D504" s="144">
        <f>ROUND(INDEX(持仓数据!$C$3:$AG$26,MATCH('计算过程-数据汇总'!B504,持仓数据!$B$3:$B$26,0),MATCH('计算过程-数据汇总'!A504,'维护-日期'!$B$2:$AF$2,0)),3)</f>
        <v>19.263000000000002</v>
      </c>
      <c r="E504" s="98">
        <f t="shared" si="233"/>
        <v>19.263000000000002</v>
      </c>
      <c r="F504" s="22">
        <f>持仓数据!W94</f>
        <v>0.84300000000000008</v>
      </c>
      <c r="G504" s="97">
        <v>372</v>
      </c>
      <c r="H504" s="97">
        <v>372</v>
      </c>
      <c r="I504" s="64">
        <v>0</v>
      </c>
      <c r="J504" s="64">
        <v>0</v>
      </c>
      <c r="K504" s="21">
        <f>IF(持仓数据!W127="",0,持仓数据!W127)</f>
        <v>371.99999999999994</v>
      </c>
      <c r="L504" s="21">
        <f t="shared" si="234"/>
        <v>0</v>
      </c>
      <c r="M504" s="28">
        <f t="shared" si="218"/>
        <v>7165.8360000000002</v>
      </c>
      <c r="N504" s="28">
        <f t="shared" si="219"/>
        <v>0</v>
      </c>
      <c r="O504" s="28">
        <f t="shared" si="220"/>
        <v>0</v>
      </c>
      <c r="P504" s="28">
        <f t="shared" si="221"/>
        <v>-4.7919002099661161E-14</v>
      </c>
      <c r="Q504" s="28">
        <f t="shared" si="235"/>
        <v>0</v>
      </c>
      <c r="R504" s="28">
        <f t="shared" si="222"/>
        <v>7165.8359999999993</v>
      </c>
      <c r="S504" s="28">
        <f t="shared" si="236"/>
        <v>0</v>
      </c>
      <c r="T504" s="28">
        <f t="shared" si="237"/>
        <v>1.0470557754160837E-12</v>
      </c>
      <c r="U504" s="28">
        <f t="shared" si="240"/>
        <v>0</v>
      </c>
      <c r="V504" s="28">
        <f t="shared" si="238"/>
        <v>0</v>
      </c>
      <c r="W504" s="118"/>
      <c r="X504" s="143">
        <f t="shared" si="239"/>
        <v>22.273</v>
      </c>
      <c r="Y504" s="121">
        <f>交易记录!X27</f>
        <v>0.84300000000000008</v>
      </c>
      <c r="Z504" s="121">
        <f>交易记录!X58</f>
        <v>372</v>
      </c>
      <c r="AA504" s="30">
        <f t="shared" si="223"/>
        <v>0</v>
      </c>
      <c r="AB504" s="124">
        <f>交易记录!X91</f>
        <v>0</v>
      </c>
      <c r="AC504" s="124">
        <f>交易记录!X122</f>
        <v>0</v>
      </c>
      <c r="AD504" s="30">
        <f t="shared" si="241"/>
        <v>0</v>
      </c>
      <c r="AE504" s="121">
        <f>交易记录!X155</f>
        <v>0</v>
      </c>
      <c r="AF504" s="121">
        <f>交易记录!X186</f>
        <v>0</v>
      </c>
      <c r="AG504" s="30">
        <f t="shared" si="242"/>
        <v>0</v>
      </c>
      <c r="AH504" s="124">
        <f>交易记录!X219</f>
        <v>0</v>
      </c>
      <c r="AI504" s="124">
        <f>交易记录!X250</f>
        <v>0</v>
      </c>
      <c r="AJ504" s="30">
        <f t="shared" si="243"/>
        <v>0</v>
      </c>
      <c r="AK504" s="121">
        <f>交易记录!X283</f>
        <v>0</v>
      </c>
      <c r="AL504" s="121">
        <f>交易记录!X314</f>
        <v>0</v>
      </c>
      <c r="AM504" s="30">
        <f t="shared" si="244"/>
        <v>0</v>
      </c>
      <c r="AN504" s="124">
        <f>交易记录!X347</f>
        <v>0</v>
      </c>
      <c r="AO504" s="124">
        <f>交易记录!X378</f>
        <v>0</v>
      </c>
      <c r="AP504" s="30">
        <f t="shared" si="245"/>
        <v>0</v>
      </c>
      <c r="AQ504" s="121">
        <f>交易记录!X411</f>
        <v>0</v>
      </c>
      <c r="AR504" s="121">
        <f>交易记录!X442</f>
        <v>0</v>
      </c>
      <c r="AS504" s="30">
        <f t="shared" si="246"/>
        <v>0</v>
      </c>
      <c r="AT504" s="124">
        <f>交易记录!X475</f>
        <v>0</v>
      </c>
      <c r="AU504" s="124">
        <f>交易记录!X506</f>
        <v>0</v>
      </c>
      <c r="AV504" s="30">
        <f t="shared" si="224"/>
        <v>0</v>
      </c>
      <c r="AW504" s="121">
        <f>交易记录!X539</f>
        <v>0</v>
      </c>
      <c r="AX504" s="121">
        <f>交易记录!X570</f>
        <v>0</v>
      </c>
      <c r="AY504" s="30">
        <f t="shared" si="225"/>
        <v>0</v>
      </c>
      <c r="AZ504" s="124">
        <f>交易记录!X603</f>
        <v>0</v>
      </c>
      <c r="BA504" s="124">
        <f>交易记录!X634</f>
        <v>0</v>
      </c>
      <c r="BB504" s="30">
        <f t="shared" si="226"/>
        <v>0</v>
      </c>
      <c r="BC504" s="121">
        <f>交易记录!X667</f>
        <v>0</v>
      </c>
      <c r="BD504" s="121">
        <f>交易记录!X698</f>
        <v>0</v>
      </c>
      <c r="BE504" s="30">
        <f t="shared" si="227"/>
        <v>0</v>
      </c>
      <c r="BF504" s="124">
        <f>交易记录!X731</f>
        <v>0</v>
      </c>
      <c r="BG504" s="124">
        <f>交易记录!X762</f>
        <v>0</v>
      </c>
      <c r="BH504" s="30">
        <f t="shared" si="228"/>
        <v>0</v>
      </c>
      <c r="BI504" s="121">
        <f>交易记录!X795</f>
        <v>0</v>
      </c>
      <c r="BJ504" s="121">
        <f>交易记录!X826</f>
        <v>0</v>
      </c>
      <c r="BK504" s="30">
        <f t="shared" si="229"/>
        <v>0</v>
      </c>
      <c r="BL504" s="124">
        <f>交易记录!X859</f>
        <v>0</v>
      </c>
      <c r="BM504" s="124">
        <f>交易记录!X890</f>
        <v>0</v>
      </c>
      <c r="BN504" s="30">
        <f t="shared" si="230"/>
        <v>0</v>
      </c>
      <c r="BO504" s="121">
        <f>交易记录!X923</f>
        <v>0</v>
      </c>
      <c r="BP504" s="121">
        <f>交易记录!X954</f>
        <v>0</v>
      </c>
      <c r="BQ504" s="30">
        <f t="shared" si="231"/>
        <v>0</v>
      </c>
    </row>
    <row r="505" spans="1:69" ht="15">
      <c r="A505" s="125">
        <f>'维护-日期'!A$23</f>
        <v>46286</v>
      </c>
      <c r="B505" s="7" t="s">
        <v>29</v>
      </c>
      <c r="C505" s="144">
        <f t="shared" si="232"/>
        <v>16.701000000000001</v>
      </c>
      <c r="D505" s="144">
        <f>ROUND(INDEX(持仓数据!$C$3:$AG$26,MATCH('计算过程-数据汇总'!B505,持仓数据!$B$3:$B$26,0),MATCH('计算过程-数据汇总'!A505,'维护-日期'!$B$2:$AF$2,0)),3)</f>
        <v>16.701000000000001</v>
      </c>
      <c r="E505" s="98">
        <f t="shared" si="233"/>
        <v>16.701000000000001</v>
      </c>
      <c r="F505" s="22">
        <f>持仓数据!W95</f>
        <v>0.33299999999999996</v>
      </c>
      <c r="G505" s="97">
        <v>372</v>
      </c>
      <c r="H505" s="97">
        <v>372</v>
      </c>
      <c r="I505" s="64">
        <v>0</v>
      </c>
      <c r="J505" s="64">
        <v>0</v>
      </c>
      <c r="K505" s="21">
        <f>IF(持仓数据!W128="",0,持仓数据!W128)</f>
        <v>372</v>
      </c>
      <c r="L505" s="21">
        <f t="shared" si="234"/>
        <v>0</v>
      </c>
      <c r="M505" s="28">
        <f t="shared" si="218"/>
        <v>6212.7719999999999</v>
      </c>
      <c r="N505" s="28">
        <f t="shared" si="219"/>
        <v>0</v>
      </c>
      <c r="O505" s="28">
        <f t="shared" si="220"/>
        <v>0</v>
      </c>
      <c r="P505" s="28">
        <f t="shared" si="221"/>
        <v>0</v>
      </c>
      <c r="Q505" s="28">
        <f t="shared" si="235"/>
        <v>0</v>
      </c>
      <c r="R505" s="28">
        <f t="shared" si="222"/>
        <v>6212.7719999999999</v>
      </c>
      <c r="S505" s="28">
        <f t="shared" si="236"/>
        <v>0</v>
      </c>
      <c r="T505" s="28">
        <f t="shared" si="237"/>
        <v>0</v>
      </c>
      <c r="U505" s="28">
        <f t="shared" si="240"/>
        <v>0</v>
      </c>
      <c r="V505" s="28">
        <f t="shared" si="238"/>
        <v>0</v>
      </c>
      <c r="W505" s="118"/>
      <c r="X505" s="143">
        <f t="shared" si="239"/>
        <v>19.707999999999998</v>
      </c>
      <c r="Y505" s="121">
        <f>交易记录!X28</f>
        <v>0.33299999999999996</v>
      </c>
      <c r="Z505" s="121">
        <f>交易记录!X59</f>
        <v>372</v>
      </c>
      <c r="AA505" s="30">
        <f t="shared" si="223"/>
        <v>0</v>
      </c>
      <c r="AB505" s="124">
        <f>交易记录!X92</f>
        <v>0</v>
      </c>
      <c r="AC505" s="124">
        <f>交易记录!X123</f>
        <v>0</v>
      </c>
      <c r="AD505" s="30">
        <f t="shared" si="241"/>
        <v>0</v>
      </c>
      <c r="AE505" s="121">
        <f>交易记录!X156</f>
        <v>0</v>
      </c>
      <c r="AF505" s="121">
        <f>交易记录!X187</f>
        <v>0</v>
      </c>
      <c r="AG505" s="30">
        <f t="shared" si="242"/>
        <v>0</v>
      </c>
      <c r="AH505" s="124">
        <f>交易记录!X220</f>
        <v>0</v>
      </c>
      <c r="AI505" s="124">
        <f>交易记录!X251</f>
        <v>0</v>
      </c>
      <c r="AJ505" s="30">
        <f t="shared" si="243"/>
        <v>0</v>
      </c>
      <c r="AK505" s="121">
        <f>交易记录!X284</f>
        <v>0</v>
      </c>
      <c r="AL505" s="121">
        <f>交易记录!X315</f>
        <v>0</v>
      </c>
      <c r="AM505" s="30">
        <f t="shared" si="244"/>
        <v>0</v>
      </c>
      <c r="AN505" s="124">
        <f>交易记录!X348</f>
        <v>0</v>
      </c>
      <c r="AO505" s="124">
        <f>交易记录!X379</f>
        <v>0</v>
      </c>
      <c r="AP505" s="30">
        <f t="shared" si="245"/>
        <v>0</v>
      </c>
      <c r="AQ505" s="121">
        <f>交易记录!X412</f>
        <v>0</v>
      </c>
      <c r="AR505" s="121">
        <f>交易记录!X443</f>
        <v>0</v>
      </c>
      <c r="AS505" s="30">
        <f t="shared" si="246"/>
        <v>0</v>
      </c>
      <c r="AT505" s="124">
        <f>交易记录!X476</f>
        <v>0</v>
      </c>
      <c r="AU505" s="124">
        <f>交易记录!X507</f>
        <v>0</v>
      </c>
      <c r="AV505" s="30">
        <f t="shared" si="224"/>
        <v>0</v>
      </c>
      <c r="AW505" s="121">
        <f>交易记录!X540</f>
        <v>0</v>
      </c>
      <c r="AX505" s="121">
        <f>交易记录!X571</f>
        <v>0</v>
      </c>
      <c r="AY505" s="30">
        <f t="shared" si="225"/>
        <v>0</v>
      </c>
      <c r="AZ505" s="124">
        <f>交易记录!X604</f>
        <v>0</v>
      </c>
      <c r="BA505" s="124">
        <f>交易记录!X635</f>
        <v>0</v>
      </c>
      <c r="BB505" s="30">
        <f t="shared" si="226"/>
        <v>0</v>
      </c>
      <c r="BC505" s="121">
        <f>交易记录!X668</f>
        <v>0</v>
      </c>
      <c r="BD505" s="121">
        <f>交易记录!X699</f>
        <v>0</v>
      </c>
      <c r="BE505" s="30">
        <f t="shared" si="227"/>
        <v>0</v>
      </c>
      <c r="BF505" s="124">
        <f>交易记录!X732</f>
        <v>0</v>
      </c>
      <c r="BG505" s="124">
        <f>交易记录!X763</f>
        <v>0</v>
      </c>
      <c r="BH505" s="30">
        <f t="shared" si="228"/>
        <v>0</v>
      </c>
      <c r="BI505" s="121">
        <f>交易记录!X796</f>
        <v>0</v>
      </c>
      <c r="BJ505" s="121">
        <f>交易记录!X827</f>
        <v>0</v>
      </c>
      <c r="BK505" s="30">
        <f t="shared" si="229"/>
        <v>0</v>
      </c>
      <c r="BL505" s="124">
        <f>交易记录!X860</f>
        <v>0</v>
      </c>
      <c r="BM505" s="124">
        <f>交易记录!X891</f>
        <v>0</v>
      </c>
      <c r="BN505" s="30">
        <f t="shared" si="230"/>
        <v>0</v>
      </c>
      <c r="BO505" s="121">
        <f>交易记录!X924</f>
        <v>0</v>
      </c>
      <c r="BP505" s="121">
        <f>交易记录!X955</f>
        <v>0</v>
      </c>
      <c r="BQ505" s="30">
        <f t="shared" si="231"/>
        <v>0</v>
      </c>
    </row>
    <row r="506" spans="1:69" ht="15">
      <c r="A506" s="125">
        <f>'维护-日期'!A$24</f>
        <v>46287</v>
      </c>
      <c r="B506" s="7" t="s">
        <v>6</v>
      </c>
      <c r="C506" s="144">
        <f t="shared" si="232"/>
        <v>16.655999999999999</v>
      </c>
      <c r="D506" s="144">
        <f>ROUND(INDEX(持仓数据!$C$3:$AG$26,MATCH('计算过程-数据汇总'!B506,持仓数据!$B$3:$B$26,0),MATCH('计算过程-数据汇总'!A506,'维护-日期'!$B$2:$AF$2,0)),3)</f>
        <v>16.655999999999999</v>
      </c>
      <c r="E506" s="98">
        <f t="shared" si="233"/>
        <v>16.655999999999999</v>
      </c>
      <c r="F506" s="22">
        <f>持仓数据!X72</f>
        <v>0.39700000000000002</v>
      </c>
      <c r="G506" s="97">
        <v>372</v>
      </c>
      <c r="H506" s="97">
        <v>372</v>
      </c>
      <c r="I506" s="64">
        <v>0</v>
      </c>
      <c r="J506" s="64">
        <v>0</v>
      </c>
      <c r="K506" s="21">
        <f>IF(持仓数据!X105="",0,持仓数据!X105)</f>
        <v>372</v>
      </c>
      <c r="L506" s="21">
        <f t="shared" si="234"/>
        <v>0</v>
      </c>
      <c r="M506" s="28">
        <f t="shared" si="218"/>
        <v>6196.0319999999992</v>
      </c>
      <c r="N506" s="28">
        <f t="shared" si="219"/>
        <v>0</v>
      </c>
      <c r="O506" s="28">
        <f t="shared" si="220"/>
        <v>0</v>
      </c>
      <c r="P506" s="28">
        <f t="shared" si="221"/>
        <v>0</v>
      </c>
      <c r="Q506" s="28">
        <f t="shared" si="235"/>
        <v>0</v>
      </c>
      <c r="R506" s="28">
        <f t="shared" si="222"/>
        <v>6196.0319999999992</v>
      </c>
      <c r="S506" s="28">
        <f t="shared" si="236"/>
        <v>0</v>
      </c>
      <c r="T506" s="28">
        <f t="shared" si="237"/>
        <v>0</v>
      </c>
      <c r="U506" s="28">
        <f t="shared" si="240"/>
        <v>0</v>
      </c>
      <c r="V506" s="28">
        <f t="shared" si="238"/>
        <v>0</v>
      </c>
      <c r="W506" s="118"/>
      <c r="X506" s="143">
        <f t="shared" si="239"/>
        <v>19.59</v>
      </c>
      <c r="Y506" s="121">
        <f>交易记录!Y5</f>
        <v>0.39700000000000002</v>
      </c>
      <c r="Z506" s="121">
        <f>交易记录!Y36</f>
        <v>372</v>
      </c>
      <c r="AA506" s="30">
        <f t="shared" si="223"/>
        <v>0</v>
      </c>
      <c r="AB506" s="124">
        <f>交易记录!Y69</f>
        <v>0</v>
      </c>
      <c r="AC506" s="124">
        <f>交易记录!Y100</f>
        <v>0</v>
      </c>
      <c r="AD506" s="30">
        <f t="shared" si="241"/>
        <v>0</v>
      </c>
      <c r="AE506" s="121">
        <f>交易记录!Y133</f>
        <v>0</v>
      </c>
      <c r="AF506" s="121">
        <f>交易记录!Y164</f>
        <v>0</v>
      </c>
      <c r="AG506" s="30">
        <f t="shared" si="242"/>
        <v>0</v>
      </c>
      <c r="AH506" s="124">
        <f>交易记录!Y197</f>
        <v>0</v>
      </c>
      <c r="AI506" s="124">
        <f>交易记录!Y228</f>
        <v>0</v>
      </c>
      <c r="AJ506" s="30">
        <f t="shared" si="243"/>
        <v>0</v>
      </c>
      <c r="AK506" s="121">
        <f>交易记录!Y261</f>
        <v>0</v>
      </c>
      <c r="AL506" s="121">
        <f>交易记录!Y292</f>
        <v>0</v>
      </c>
      <c r="AM506" s="30">
        <f t="shared" si="244"/>
        <v>0</v>
      </c>
      <c r="AN506" s="124">
        <f>交易记录!Y325</f>
        <v>0</v>
      </c>
      <c r="AO506" s="124">
        <f>交易记录!Y356</f>
        <v>0</v>
      </c>
      <c r="AP506" s="30">
        <f t="shared" si="245"/>
        <v>0</v>
      </c>
      <c r="AQ506" s="121">
        <f>交易记录!Y389</f>
        <v>0</v>
      </c>
      <c r="AR506" s="121">
        <f>交易记录!Y420</f>
        <v>0</v>
      </c>
      <c r="AS506" s="30">
        <f t="shared" si="246"/>
        <v>0</v>
      </c>
      <c r="AT506" s="124">
        <f>交易记录!Y453</f>
        <v>0</v>
      </c>
      <c r="AU506" s="124">
        <f>交易记录!Y484</f>
        <v>0</v>
      </c>
      <c r="AV506" s="30">
        <f t="shared" si="224"/>
        <v>0</v>
      </c>
      <c r="AW506" s="121">
        <f>交易记录!Y517</f>
        <v>0</v>
      </c>
      <c r="AX506" s="121">
        <f>交易记录!Y548</f>
        <v>0</v>
      </c>
      <c r="AY506" s="30">
        <f t="shared" si="225"/>
        <v>0</v>
      </c>
      <c r="AZ506" s="124">
        <f>交易记录!Y581</f>
        <v>0</v>
      </c>
      <c r="BA506" s="124">
        <f>交易记录!Y612</f>
        <v>0</v>
      </c>
      <c r="BB506" s="30">
        <f t="shared" si="226"/>
        <v>0</v>
      </c>
      <c r="BC506" s="121">
        <f>交易记录!Y645</f>
        <v>0</v>
      </c>
      <c r="BD506" s="121">
        <f>交易记录!Y676</f>
        <v>0</v>
      </c>
      <c r="BE506" s="30">
        <f t="shared" si="227"/>
        <v>0</v>
      </c>
      <c r="BF506" s="124">
        <f>交易记录!Y709</f>
        <v>0</v>
      </c>
      <c r="BG506" s="124">
        <f>交易记录!Y740</f>
        <v>0</v>
      </c>
      <c r="BH506" s="30">
        <f t="shared" si="228"/>
        <v>0</v>
      </c>
      <c r="BI506" s="121">
        <f>交易记录!Y773</f>
        <v>0</v>
      </c>
      <c r="BJ506" s="121">
        <f>交易记录!Y804</f>
        <v>0</v>
      </c>
      <c r="BK506" s="30">
        <f t="shared" si="229"/>
        <v>0</v>
      </c>
      <c r="BL506" s="124">
        <f>交易记录!Y837</f>
        <v>0</v>
      </c>
      <c r="BM506" s="124">
        <f>交易记录!Y868</f>
        <v>0</v>
      </c>
      <c r="BN506" s="30">
        <f t="shared" si="230"/>
        <v>0</v>
      </c>
      <c r="BO506" s="121">
        <f>交易记录!Y901</f>
        <v>0</v>
      </c>
      <c r="BP506" s="121">
        <f>交易记录!Y932</f>
        <v>0</v>
      </c>
      <c r="BQ506" s="30">
        <f t="shared" si="231"/>
        <v>0</v>
      </c>
    </row>
    <row r="507" spans="1:69" ht="15">
      <c r="A507" s="125">
        <f>'维护-日期'!A$24</f>
        <v>46287</v>
      </c>
      <c r="B507" s="7" t="s">
        <v>7</v>
      </c>
      <c r="C507" s="144">
        <f t="shared" si="232"/>
        <v>15.792</v>
      </c>
      <c r="D507" s="144">
        <f>ROUND(INDEX(持仓数据!$C$3:$AG$26,MATCH('计算过程-数据汇总'!B507,持仓数据!$B$3:$B$26,0),MATCH('计算过程-数据汇总'!A507,'维护-日期'!$B$2:$AF$2,0)),3)</f>
        <v>15.792</v>
      </c>
      <c r="E507" s="98">
        <f t="shared" si="233"/>
        <v>15.792</v>
      </c>
      <c r="F507" s="22">
        <f>持仓数据!X73</f>
        <v>0.26500000000000001</v>
      </c>
      <c r="G507" s="97">
        <v>372</v>
      </c>
      <c r="H507" s="97">
        <v>372</v>
      </c>
      <c r="I507" s="64">
        <v>0</v>
      </c>
      <c r="J507" s="64">
        <v>0</v>
      </c>
      <c r="K507" s="21">
        <f>IF(持仓数据!X106="",0,持仓数据!X106)</f>
        <v>372</v>
      </c>
      <c r="L507" s="21">
        <f t="shared" si="234"/>
        <v>0</v>
      </c>
      <c r="M507" s="28">
        <f t="shared" si="218"/>
        <v>5874.6239999999998</v>
      </c>
      <c r="N507" s="28">
        <f t="shared" si="219"/>
        <v>0</v>
      </c>
      <c r="O507" s="28">
        <f t="shared" si="220"/>
        <v>0</v>
      </c>
      <c r="P507" s="28">
        <f t="shared" si="221"/>
        <v>0</v>
      </c>
      <c r="Q507" s="28">
        <f t="shared" si="235"/>
        <v>0</v>
      </c>
      <c r="R507" s="28">
        <f t="shared" si="222"/>
        <v>5874.6239999999998</v>
      </c>
      <c r="S507" s="28">
        <f t="shared" si="236"/>
        <v>0</v>
      </c>
      <c r="T507" s="28">
        <f t="shared" si="237"/>
        <v>0</v>
      </c>
      <c r="U507" s="28">
        <f t="shared" si="240"/>
        <v>0</v>
      </c>
      <c r="V507" s="28">
        <f t="shared" si="238"/>
        <v>0</v>
      </c>
      <c r="W507" s="118"/>
      <c r="X507" s="143">
        <f t="shared" si="239"/>
        <v>18.684999999999999</v>
      </c>
      <c r="Y507" s="121">
        <f>交易记录!Y6</f>
        <v>0.26500000000000001</v>
      </c>
      <c r="Z507" s="121">
        <f>交易记录!Y37</f>
        <v>372</v>
      </c>
      <c r="AA507" s="30">
        <f t="shared" si="223"/>
        <v>0</v>
      </c>
      <c r="AB507" s="124">
        <f>交易记录!Y70</f>
        <v>0</v>
      </c>
      <c r="AC507" s="124">
        <f>交易记录!Y101</f>
        <v>0</v>
      </c>
      <c r="AD507" s="30">
        <f t="shared" si="241"/>
        <v>0</v>
      </c>
      <c r="AE507" s="121">
        <f>交易记录!Y134</f>
        <v>0</v>
      </c>
      <c r="AF507" s="121">
        <f>交易记录!Y165</f>
        <v>0</v>
      </c>
      <c r="AG507" s="30">
        <f t="shared" si="242"/>
        <v>0</v>
      </c>
      <c r="AH507" s="124">
        <f>交易记录!Y198</f>
        <v>0</v>
      </c>
      <c r="AI507" s="124">
        <f>交易记录!Y229</f>
        <v>0</v>
      </c>
      <c r="AJ507" s="30">
        <f t="shared" si="243"/>
        <v>0</v>
      </c>
      <c r="AK507" s="121">
        <f>交易记录!Y262</f>
        <v>0</v>
      </c>
      <c r="AL507" s="121">
        <f>交易记录!Y293</f>
        <v>0</v>
      </c>
      <c r="AM507" s="30">
        <f t="shared" si="244"/>
        <v>0</v>
      </c>
      <c r="AN507" s="124">
        <f>交易记录!Y326</f>
        <v>0</v>
      </c>
      <c r="AO507" s="124">
        <f>交易记录!Y357</f>
        <v>0</v>
      </c>
      <c r="AP507" s="30">
        <f t="shared" si="245"/>
        <v>0</v>
      </c>
      <c r="AQ507" s="121">
        <f>交易记录!Y390</f>
        <v>0</v>
      </c>
      <c r="AR507" s="121">
        <f>交易记录!Y421</f>
        <v>0</v>
      </c>
      <c r="AS507" s="30">
        <f t="shared" si="246"/>
        <v>0</v>
      </c>
      <c r="AT507" s="124">
        <f>交易记录!Y454</f>
        <v>0</v>
      </c>
      <c r="AU507" s="124">
        <f>交易记录!Y485</f>
        <v>0</v>
      </c>
      <c r="AV507" s="30">
        <f t="shared" si="224"/>
        <v>0</v>
      </c>
      <c r="AW507" s="121">
        <f>交易记录!Y518</f>
        <v>0</v>
      </c>
      <c r="AX507" s="121">
        <f>交易记录!Y549</f>
        <v>0</v>
      </c>
      <c r="AY507" s="30">
        <f t="shared" si="225"/>
        <v>0</v>
      </c>
      <c r="AZ507" s="124">
        <f>交易记录!Y582</f>
        <v>0</v>
      </c>
      <c r="BA507" s="124">
        <f>交易记录!Y613</f>
        <v>0</v>
      </c>
      <c r="BB507" s="30">
        <f t="shared" si="226"/>
        <v>0</v>
      </c>
      <c r="BC507" s="121">
        <f>交易记录!Y646</f>
        <v>0</v>
      </c>
      <c r="BD507" s="121">
        <f>交易记录!Y677</f>
        <v>0</v>
      </c>
      <c r="BE507" s="30">
        <f t="shared" si="227"/>
        <v>0</v>
      </c>
      <c r="BF507" s="124">
        <f>交易记录!Y710</f>
        <v>0</v>
      </c>
      <c r="BG507" s="124">
        <f>交易记录!Y741</f>
        <v>0</v>
      </c>
      <c r="BH507" s="30">
        <f t="shared" si="228"/>
        <v>0</v>
      </c>
      <c r="BI507" s="121">
        <f>交易记录!Y774</f>
        <v>0</v>
      </c>
      <c r="BJ507" s="121">
        <f>交易记录!Y805</f>
        <v>0</v>
      </c>
      <c r="BK507" s="30">
        <f t="shared" si="229"/>
        <v>0</v>
      </c>
      <c r="BL507" s="124">
        <f>交易记录!Y838</f>
        <v>0</v>
      </c>
      <c r="BM507" s="124">
        <f>交易记录!Y869</f>
        <v>0</v>
      </c>
      <c r="BN507" s="30">
        <f t="shared" si="230"/>
        <v>0</v>
      </c>
      <c r="BO507" s="121">
        <f>交易记录!Y902</f>
        <v>0</v>
      </c>
      <c r="BP507" s="121">
        <f>交易记录!Y933</f>
        <v>0</v>
      </c>
      <c r="BQ507" s="30">
        <f t="shared" si="231"/>
        <v>0</v>
      </c>
    </row>
    <row r="508" spans="1:69" ht="15">
      <c r="A508" s="125">
        <f>'维护-日期'!A$24</f>
        <v>46287</v>
      </c>
      <c r="B508" s="7" t="s">
        <v>8</v>
      </c>
      <c r="C508" s="144">
        <f t="shared" si="232"/>
        <v>14.821999999999999</v>
      </c>
      <c r="D508" s="144">
        <f>ROUND(INDEX(持仓数据!$C$3:$AG$26,MATCH('计算过程-数据汇总'!B508,持仓数据!$B$3:$B$26,0),MATCH('计算过程-数据汇总'!A508,'维护-日期'!$B$2:$AF$2,0)),3)</f>
        <v>14.821999999999999</v>
      </c>
      <c r="E508" s="98">
        <f t="shared" si="233"/>
        <v>14.821999999999999</v>
      </c>
      <c r="F508" s="22">
        <f>持仓数据!X74</f>
        <v>0.24199999999999999</v>
      </c>
      <c r="G508" s="97">
        <v>372</v>
      </c>
      <c r="H508" s="97">
        <v>372</v>
      </c>
      <c r="I508" s="64">
        <v>0</v>
      </c>
      <c r="J508" s="64">
        <v>0</v>
      </c>
      <c r="K508" s="21">
        <f>IF(持仓数据!X107="",0,持仓数据!X107)</f>
        <v>372</v>
      </c>
      <c r="L508" s="21">
        <f t="shared" si="234"/>
        <v>0</v>
      </c>
      <c r="M508" s="28">
        <f t="shared" si="218"/>
        <v>5513.7839999999997</v>
      </c>
      <c r="N508" s="28">
        <f t="shared" si="219"/>
        <v>0</v>
      </c>
      <c r="O508" s="28">
        <f t="shared" si="220"/>
        <v>0</v>
      </c>
      <c r="P508" s="28">
        <f t="shared" si="221"/>
        <v>0</v>
      </c>
      <c r="Q508" s="28">
        <f t="shared" si="235"/>
        <v>0</v>
      </c>
      <c r="R508" s="28">
        <f t="shared" si="222"/>
        <v>5513.7839999999997</v>
      </c>
      <c r="S508" s="28">
        <f t="shared" si="236"/>
        <v>0</v>
      </c>
      <c r="T508" s="28">
        <f t="shared" si="237"/>
        <v>0</v>
      </c>
      <c r="U508" s="28">
        <f t="shared" si="240"/>
        <v>0</v>
      </c>
      <c r="V508" s="28">
        <f t="shared" si="238"/>
        <v>0</v>
      </c>
      <c r="W508" s="118"/>
      <c r="X508" s="143">
        <f t="shared" si="239"/>
        <v>17.544</v>
      </c>
      <c r="Y508" s="121">
        <f>交易记录!Y7</f>
        <v>0.24199999999999999</v>
      </c>
      <c r="Z508" s="121">
        <f>交易记录!Y38</f>
        <v>372</v>
      </c>
      <c r="AA508" s="30">
        <f t="shared" si="223"/>
        <v>0</v>
      </c>
      <c r="AB508" s="124">
        <f>交易记录!Y71</f>
        <v>0</v>
      </c>
      <c r="AC508" s="124">
        <f>交易记录!Y102</f>
        <v>0</v>
      </c>
      <c r="AD508" s="30">
        <f t="shared" si="241"/>
        <v>0</v>
      </c>
      <c r="AE508" s="121">
        <f>交易记录!Y135</f>
        <v>0</v>
      </c>
      <c r="AF508" s="121">
        <f>交易记录!Y166</f>
        <v>0</v>
      </c>
      <c r="AG508" s="30">
        <f t="shared" si="242"/>
        <v>0</v>
      </c>
      <c r="AH508" s="124">
        <f>交易记录!Y199</f>
        <v>0</v>
      </c>
      <c r="AI508" s="124">
        <f>交易记录!Y230</f>
        <v>0</v>
      </c>
      <c r="AJ508" s="30">
        <f t="shared" si="243"/>
        <v>0</v>
      </c>
      <c r="AK508" s="121">
        <f>交易记录!Y263</f>
        <v>0</v>
      </c>
      <c r="AL508" s="121">
        <f>交易记录!Y294</f>
        <v>0</v>
      </c>
      <c r="AM508" s="30">
        <f t="shared" si="244"/>
        <v>0</v>
      </c>
      <c r="AN508" s="124">
        <f>交易记录!Y327</f>
        <v>0</v>
      </c>
      <c r="AO508" s="124">
        <f>交易记录!Y358</f>
        <v>0</v>
      </c>
      <c r="AP508" s="30">
        <f t="shared" si="245"/>
        <v>0</v>
      </c>
      <c r="AQ508" s="121">
        <f>交易记录!Y391</f>
        <v>0</v>
      </c>
      <c r="AR508" s="121">
        <f>交易记录!Y422</f>
        <v>0</v>
      </c>
      <c r="AS508" s="30">
        <f t="shared" si="246"/>
        <v>0</v>
      </c>
      <c r="AT508" s="124">
        <f>交易记录!Y455</f>
        <v>0</v>
      </c>
      <c r="AU508" s="124">
        <f>交易记录!Y486</f>
        <v>0</v>
      </c>
      <c r="AV508" s="30">
        <f t="shared" si="224"/>
        <v>0</v>
      </c>
      <c r="AW508" s="121">
        <f>交易记录!Y519</f>
        <v>0</v>
      </c>
      <c r="AX508" s="121">
        <f>交易记录!Y550</f>
        <v>0</v>
      </c>
      <c r="AY508" s="30">
        <f t="shared" si="225"/>
        <v>0</v>
      </c>
      <c r="AZ508" s="124">
        <f>交易记录!Y583</f>
        <v>0</v>
      </c>
      <c r="BA508" s="124">
        <f>交易记录!Y614</f>
        <v>0</v>
      </c>
      <c r="BB508" s="30">
        <f t="shared" si="226"/>
        <v>0</v>
      </c>
      <c r="BC508" s="121">
        <f>交易记录!Y647</f>
        <v>0</v>
      </c>
      <c r="BD508" s="121">
        <f>交易记录!Y678</f>
        <v>0</v>
      </c>
      <c r="BE508" s="30">
        <f t="shared" si="227"/>
        <v>0</v>
      </c>
      <c r="BF508" s="124">
        <f>交易记录!Y711</f>
        <v>0</v>
      </c>
      <c r="BG508" s="124">
        <f>交易记录!Y742</f>
        <v>0</v>
      </c>
      <c r="BH508" s="30">
        <f t="shared" si="228"/>
        <v>0</v>
      </c>
      <c r="BI508" s="121">
        <f>交易记录!Y775</f>
        <v>0</v>
      </c>
      <c r="BJ508" s="121">
        <f>交易记录!Y806</f>
        <v>0</v>
      </c>
      <c r="BK508" s="30">
        <f t="shared" si="229"/>
        <v>0</v>
      </c>
      <c r="BL508" s="124">
        <f>交易记录!Y839</f>
        <v>0</v>
      </c>
      <c r="BM508" s="124">
        <f>交易记录!Y870</f>
        <v>0</v>
      </c>
      <c r="BN508" s="30">
        <f t="shared" si="230"/>
        <v>0</v>
      </c>
      <c r="BO508" s="121">
        <f>交易记录!Y903</f>
        <v>0</v>
      </c>
      <c r="BP508" s="121">
        <f>交易记录!Y934</f>
        <v>0</v>
      </c>
      <c r="BQ508" s="30">
        <f t="shared" si="231"/>
        <v>0</v>
      </c>
    </row>
    <row r="509" spans="1:69" ht="15">
      <c r="A509" s="125">
        <f>'维护-日期'!A$24</f>
        <v>46287</v>
      </c>
      <c r="B509" s="7" t="s">
        <v>9</v>
      </c>
      <c r="C509" s="144">
        <f t="shared" si="232"/>
        <v>13.817</v>
      </c>
      <c r="D509" s="144">
        <f>ROUND(INDEX(持仓数据!$C$3:$AG$26,MATCH('计算过程-数据汇总'!B509,持仓数据!$B$3:$B$26,0),MATCH('计算过程-数据汇总'!A509,'维护-日期'!$B$2:$AF$2,0)),3)</f>
        <v>13.817</v>
      </c>
      <c r="E509" s="98">
        <f t="shared" si="233"/>
        <v>13.817</v>
      </c>
      <c r="F509" s="22">
        <f>持仓数据!X75</f>
        <v>0.09</v>
      </c>
      <c r="G509" s="97">
        <v>372</v>
      </c>
      <c r="H509" s="97">
        <v>372</v>
      </c>
      <c r="I509" s="64">
        <v>0</v>
      </c>
      <c r="J509" s="64">
        <v>0</v>
      </c>
      <c r="K509" s="21">
        <f>IF(持仓数据!X108="",0,持仓数据!X108)</f>
        <v>372</v>
      </c>
      <c r="L509" s="21">
        <f t="shared" si="234"/>
        <v>0</v>
      </c>
      <c r="M509" s="28">
        <f t="shared" si="218"/>
        <v>5139.924</v>
      </c>
      <c r="N509" s="28">
        <f t="shared" si="219"/>
        <v>0</v>
      </c>
      <c r="O509" s="28">
        <f t="shared" si="220"/>
        <v>0</v>
      </c>
      <c r="P509" s="28">
        <f t="shared" si="221"/>
        <v>0</v>
      </c>
      <c r="Q509" s="28">
        <f t="shared" si="235"/>
        <v>0</v>
      </c>
      <c r="R509" s="28">
        <f t="shared" si="222"/>
        <v>5139.924</v>
      </c>
      <c r="S509" s="28">
        <f t="shared" si="236"/>
        <v>0</v>
      </c>
      <c r="T509" s="28">
        <f t="shared" si="237"/>
        <v>0</v>
      </c>
      <c r="U509" s="28">
        <f t="shared" si="240"/>
        <v>0</v>
      </c>
      <c r="V509" s="28">
        <f t="shared" si="238"/>
        <v>0</v>
      </c>
      <c r="W509" s="118"/>
      <c r="X509" s="143">
        <f t="shared" si="239"/>
        <v>16.489999999999998</v>
      </c>
      <c r="Y509" s="121">
        <f>交易记录!Y8</f>
        <v>0.09</v>
      </c>
      <c r="Z509" s="121">
        <f>交易记录!Y39</f>
        <v>372</v>
      </c>
      <c r="AA509" s="30">
        <f t="shared" si="223"/>
        <v>0</v>
      </c>
      <c r="AB509" s="124">
        <f>交易记录!Y72</f>
        <v>0</v>
      </c>
      <c r="AC509" s="124">
        <f>交易记录!Y103</f>
        <v>0</v>
      </c>
      <c r="AD509" s="30">
        <f t="shared" si="241"/>
        <v>0</v>
      </c>
      <c r="AE509" s="121">
        <f>交易记录!Y136</f>
        <v>0</v>
      </c>
      <c r="AF509" s="121">
        <f>交易记录!Y167</f>
        <v>0</v>
      </c>
      <c r="AG509" s="30">
        <f t="shared" si="242"/>
        <v>0</v>
      </c>
      <c r="AH509" s="124">
        <f>交易记录!Y200</f>
        <v>0</v>
      </c>
      <c r="AI509" s="124">
        <f>交易记录!Y231</f>
        <v>0</v>
      </c>
      <c r="AJ509" s="30">
        <f t="shared" si="243"/>
        <v>0</v>
      </c>
      <c r="AK509" s="121">
        <f>交易记录!Y264</f>
        <v>0</v>
      </c>
      <c r="AL509" s="121">
        <f>交易记录!Y295</f>
        <v>0</v>
      </c>
      <c r="AM509" s="30">
        <f t="shared" si="244"/>
        <v>0</v>
      </c>
      <c r="AN509" s="124">
        <f>交易记录!Y328</f>
        <v>0</v>
      </c>
      <c r="AO509" s="124">
        <f>交易记录!Y359</f>
        <v>0</v>
      </c>
      <c r="AP509" s="30">
        <f t="shared" si="245"/>
        <v>0</v>
      </c>
      <c r="AQ509" s="121">
        <f>交易记录!Y392</f>
        <v>0</v>
      </c>
      <c r="AR509" s="121">
        <f>交易记录!Y423</f>
        <v>0</v>
      </c>
      <c r="AS509" s="30">
        <f t="shared" si="246"/>
        <v>0</v>
      </c>
      <c r="AT509" s="124">
        <f>交易记录!Y456</f>
        <v>0</v>
      </c>
      <c r="AU509" s="124">
        <f>交易记录!Y487</f>
        <v>0</v>
      </c>
      <c r="AV509" s="30">
        <f t="shared" si="224"/>
        <v>0</v>
      </c>
      <c r="AW509" s="121">
        <f>交易记录!Y520</f>
        <v>0</v>
      </c>
      <c r="AX509" s="121">
        <f>交易记录!Y551</f>
        <v>0</v>
      </c>
      <c r="AY509" s="30">
        <f t="shared" si="225"/>
        <v>0</v>
      </c>
      <c r="AZ509" s="124">
        <f>交易记录!Y584</f>
        <v>0</v>
      </c>
      <c r="BA509" s="124">
        <f>交易记录!Y615</f>
        <v>0</v>
      </c>
      <c r="BB509" s="30">
        <f t="shared" si="226"/>
        <v>0</v>
      </c>
      <c r="BC509" s="121">
        <f>交易记录!Y648</f>
        <v>0</v>
      </c>
      <c r="BD509" s="121">
        <f>交易记录!Y679</f>
        <v>0</v>
      </c>
      <c r="BE509" s="30">
        <f t="shared" si="227"/>
        <v>0</v>
      </c>
      <c r="BF509" s="124">
        <f>交易记录!Y712</f>
        <v>0</v>
      </c>
      <c r="BG509" s="124">
        <f>交易记录!Y743</f>
        <v>0</v>
      </c>
      <c r="BH509" s="30">
        <f t="shared" si="228"/>
        <v>0</v>
      </c>
      <c r="BI509" s="121">
        <f>交易记录!Y776</f>
        <v>0</v>
      </c>
      <c r="BJ509" s="121">
        <f>交易记录!Y807</f>
        <v>0</v>
      </c>
      <c r="BK509" s="30">
        <f t="shared" si="229"/>
        <v>0</v>
      </c>
      <c r="BL509" s="124">
        <f>交易记录!Y840</f>
        <v>0</v>
      </c>
      <c r="BM509" s="124">
        <f>交易记录!Y871</f>
        <v>0</v>
      </c>
      <c r="BN509" s="30">
        <f t="shared" si="230"/>
        <v>0</v>
      </c>
      <c r="BO509" s="121">
        <f>交易记录!Y904</f>
        <v>0</v>
      </c>
      <c r="BP509" s="121">
        <f>交易记录!Y935</f>
        <v>0</v>
      </c>
      <c r="BQ509" s="30">
        <f t="shared" si="231"/>
        <v>0</v>
      </c>
    </row>
    <row r="510" spans="1:69" ht="15">
      <c r="A510" s="125">
        <f>'维护-日期'!A$24</f>
        <v>46287</v>
      </c>
      <c r="B510" s="7" t="s">
        <v>10</v>
      </c>
      <c r="C510" s="144">
        <f t="shared" si="232"/>
        <v>13.388</v>
      </c>
      <c r="D510" s="144">
        <f>ROUND(INDEX(持仓数据!$C$3:$AG$26,MATCH('计算过程-数据汇总'!B510,持仓数据!$B$3:$B$26,0),MATCH('计算过程-数据汇总'!A510,'维护-日期'!$B$2:$AF$2,0)),3)</f>
        <v>13.388</v>
      </c>
      <c r="E510" s="98">
        <f t="shared" si="233"/>
        <v>13.388</v>
      </c>
      <c r="F510" s="22">
        <f>持仓数据!X76</f>
        <v>8.6999999999999994E-2</v>
      </c>
      <c r="G510" s="97">
        <v>372</v>
      </c>
      <c r="H510" s="97">
        <v>372</v>
      </c>
      <c r="I510" s="64">
        <v>0</v>
      </c>
      <c r="J510" s="64">
        <v>0</v>
      </c>
      <c r="K510" s="21">
        <f>IF(持仓数据!X109="",0,持仓数据!X109)</f>
        <v>372</v>
      </c>
      <c r="L510" s="21">
        <f t="shared" si="234"/>
        <v>0</v>
      </c>
      <c r="M510" s="28">
        <f t="shared" si="218"/>
        <v>4980.3360000000002</v>
      </c>
      <c r="N510" s="28">
        <f t="shared" si="219"/>
        <v>0</v>
      </c>
      <c r="O510" s="28">
        <f t="shared" si="220"/>
        <v>0</v>
      </c>
      <c r="P510" s="28">
        <f t="shared" si="221"/>
        <v>0</v>
      </c>
      <c r="Q510" s="28">
        <f t="shared" si="235"/>
        <v>0</v>
      </c>
      <c r="R510" s="28">
        <f t="shared" si="222"/>
        <v>4980.3360000000002</v>
      </c>
      <c r="S510" s="28">
        <f t="shared" si="236"/>
        <v>0</v>
      </c>
      <c r="T510" s="28">
        <f t="shared" si="237"/>
        <v>0</v>
      </c>
      <c r="U510" s="28">
        <f t="shared" si="240"/>
        <v>0</v>
      </c>
      <c r="V510" s="28">
        <f t="shared" si="238"/>
        <v>0</v>
      </c>
      <c r="W510" s="118"/>
      <c r="X510" s="143">
        <f t="shared" si="239"/>
        <v>15.978999999999999</v>
      </c>
      <c r="Y510" s="121">
        <f>交易记录!Y9</f>
        <v>8.6999999999999994E-2</v>
      </c>
      <c r="Z510" s="121">
        <f>交易记录!Y40</f>
        <v>372</v>
      </c>
      <c r="AA510" s="30">
        <f t="shared" si="223"/>
        <v>0</v>
      </c>
      <c r="AB510" s="124">
        <f>交易记录!Y73</f>
        <v>0</v>
      </c>
      <c r="AC510" s="124">
        <f>交易记录!Y104</f>
        <v>0</v>
      </c>
      <c r="AD510" s="30">
        <f t="shared" si="241"/>
        <v>0</v>
      </c>
      <c r="AE510" s="121">
        <f>交易记录!Y137</f>
        <v>0</v>
      </c>
      <c r="AF510" s="121">
        <f>交易记录!Y168</f>
        <v>0</v>
      </c>
      <c r="AG510" s="30">
        <f t="shared" si="242"/>
        <v>0</v>
      </c>
      <c r="AH510" s="124">
        <f>交易记录!Y201</f>
        <v>0</v>
      </c>
      <c r="AI510" s="124">
        <f>交易记录!Y232</f>
        <v>0</v>
      </c>
      <c r="AJ510" s="30">
        <f t="shared" si="243"/>
        <v>0</v>
      </c>
      <c r="AK510" s="121">
        <f>交易记录!Y265</f>
        <v>0</v>
      </c>
      <c r="AL510" s="121">
        <f>交易记录!Y296</f>
        <v>0</v>
      </c>
      <c r="AM510" s="30">
        <f t="shared" si="244"/>
        <v>0</v>
      </c>
      <c r="AN510" s="124">
        <f>交易记录!Y329</f>
        <v>0</v>
      </c>
      <c r="AO510" s="124">
        <f>交易记录!Y360</f>
        <v>0</v>
      </c>
      <c r="AP510" s="30">
        <f t="shared" si="245"/>
        <v>0</v>
      </c>
      <c r="AQ510" s="121">
        <f>交易记录!Y393</f>
        <v>0</v>
      </c>
      <c r="AR510" s="121">
        <f>交易记录!Y424</f>
        <v>0</v>
      </c>
      <c r="AS510" s="30">
        <f t="shared" si="246"/>
        <v>0</v>
      </c>
      <c r="AT510" s="124">
        <f>交易记录!Y457</f>
        <v>0</v>
      </c>
      <c r="AU510" s="124">
        <f>交易记录!Y488</f>
        <v>0</v>
      </c>
      <c r="AV510" s="30">
        <f t="shared" si="224"/>
        <v>0</v>
      </c>
      <c r="AW510" s="121">
        <f>交易记录!Y521</f>
        <v>0</v>
      </c>
      <c r="AX510" s="121">
        <f>交易记录!Y552</f>
        <v>0</v>
      </c>
      <c r="AY510" s="30">
        <f t="shared" si="225"/>
        <v>0</v>
      </c>
      <c r="AZ510" s="124">
        <f>交易记录!Y585</f>
        <v>0</v>
      </c>
      <c r="BA510" s="124">
        <f>交易记录!Y616</f>
        <v>0</v>
      </c>
      <c r="BB510" s="30">
        <f t="shared" si="226"/>
        <v>0</v>
      </c>
      <c r="BC510" s="121">
        <f>交易记录!Y649</f>
        <v>0</v>
      </c>
      <c r="BD510" s="121">
        <f>交易记录!Y680</f>
        <v>0</v>
      </c>
      <c r="BE510" s="30">
        <f t="shared" si="227"/>
        <v>0</v>
      </c>
      <c r="BF510" s="124">
        <f>交易记录!Y713</f>
        <v>0</v>
      </c>
      <c r="BG510" s="124">
        <f>交易记录!Y744</f>
        <v>0</v>
      </c>
      <c r="BH510" s="30">
        <f t="shared" si="228"/>
        <v>0</v>
      </c>
      <c r="BI510" s="121">
        <f>交易记录!Y777</f>
        <v>0</v>
      </c>
      <c r="BJ510" s="121">
        <f>交易记录!Y808</f>
        <v>0</v>
      </c>
      <c r="BK510" s="30">
        <f t="shared" si="229"/>
        <v>0</v>
      </c>
      <c r="BL510" s="124">
        <f>交易记录!Y841</f>
        <v>0</v>
      </c>
      <c r="BM510" s="124">
        <f>交易记录!Y872</f>
        <v>0</v>
      </c>
      <c r="BN510" s="30">
        <f t="shared" si="230"/>
        <v>0</v>
      </c>
      <c r="BO510" s="121">
        <f>交易记录!Y905</f>
        <v>0</v>
      </c>
      <c r="BP510" s="121">
        <f>交易记录!Y936</f>
        <v>0</v>
      </c>
      <c r="BQ510" s="30">
        <f t="shared" si="231"/>
        <v>0</v>
      </c>
    </row>
    <row r="511" spans="1:69" ht="15">
      <c r="A511" s="125">
        <f>'维护-日期'!A$24</f>
        <v>46287</v>
      </c>
      <c r="B511" s="7" t="s">
        <v>11</v>
      </c>
      <c r="C511" s="144">
        <f t="shared" si="232"/>
        <v>13.087</v>
      </c>
      <c r="D511" s="144">
        <f>ROUND(INDEX(持仓数据!$C$3:$AG$26,MATCH('计算过程-数据汇总'!B511,持仓数据!$B$3:$B$26,0),MATCH('计算过程-数据汇总'!A511,'维护-日期'!$B$2:$AF$2,0)),3)</f>
        <v>13.087</v>
      </c>
      <c r="E511" s="98">
        <f t="shared" si="233"/>
        <v>13.087</v>
      </c>
      <c r="F511" s="22">
        <f>持仓数据!X77</f>
        <v>8.6999999999999994E-2</v>
      </c>
      <c r="G511" s="97">
        <v>372</v>
      </c>
      <c r="H511" s="97">
        <v>372</v>
      </c>
      <c r="I511" s="64">
        <v>0</v>
      </c>
      <c r="J511" s="64">
        <v>0</v>
      </c>
      <c r="K511" s="21">
        <f>IF(持仓数据!X110="",0,持仓数据!X110)</f>
        <v>372</v>
      </c>
      <c r="L511" s="21">
        <f t="shared" si="234"/>
        <v>0</v>
      </c>
      <c r="M511" s="28">
        <f t="shared" si="218"/>
        <v>4868.3639999999996</v>
      </c>
      <c r="N511" s="28">
        <f t="shared" si="219"/>
        <v>0</v>
      </c>
      <c r="O511" s="28">
        <f t="shared" si="220"/>
        <v>0</v>
      </c>
      <c r="P511" s="28">
        <f t="shared" si="221"/>
        <v>0</v>
      </c>
      <c r="Q511" s="28">
        <f t="shared" si="235"/>
        <v>0</v>
      </c>
      <c r="R511" s="28">
        <f t="shared" si="222"/>
        <v>4868.3639999999996</v>
      </c>
      <c r="S511" s="28">
        <f t="shared" si="236"/>
        <v>0</v>
      </c>
      <c r="T511" s="28">
        <f t="shared" si="237"/>
        <v>0</v>
      </c>
      <c r="U511" s="28">
        <f t="shared" si="240"/>
        <v>0</v>
      </c>
      <c r="V511" s="28">
        <f t="shared" si="238"/>
        <v>0</v>
      </c>
      <c r="W511" s="118"/>
      <c r="X511" s="143">
        <f t="shared" si="239"/>
        <v>15.617000000000001</v>
      </c>
      <c r="Y511" s="121">
        <f>交易记录!Y10</f>
        <v>8.6999999999999994E-2</v>
      </c>
      <c r="Z511" s="121">
        <f>交易记录!Y41</f>
        <v>372</v>
      </c>
      <c r="AA511" s="30">
        <f t="shared" si="223"/>
        <v>0</v>
      </c>
      <c r="AB511" s="124">
        <f>交易记录!Y74</f>
        <v>0</v>
      </c>
      <c r="AC511" s="124">
        <f>交易记录!Y105</f>
        <v>0</v>
      </c>
      <c r="AD511" s="30">
        <f t="shared" si="241"/>
        <v>0</v>
      </c>
      <c r="AE511" s="121">
        <f>交易记录!Y138</f>
        <v>0</v>
      </c>
      <c r="AF511" s="121">
        <f>交易记录!Y169</f>
        <v>0</v>
      </c>
      <c r="AG511" s="30">
        <f t="shared" si="242"/>
        <v>0</v>
      </c>
      <c r="AH511" s="124">
        <f>交易记录!Y202</f>
        <v>0</v>
      </c>
      <c r="AI511" s="124">
        <f>交易记录!Y233</f>
        <v>0</v>
      </c>
      <c r="AJ511" s="30">
        <f t="shared" si="243"/>
        <v>0</v>
      </c>
      <c r="AK511" s="121">
        <f>交易记录!Y266</f>
        <v>0</v>
      </c>
      <c r="AL511" s="121">
        <f>交易记录!Y297</f>
        <v>0</v>
      </c>
      <c r="AM511" s="30">
        <f t="shared" si="244"/>
        <v>0</v>
      </c>
      <c r="AN511" s="124">
        <f>交易记录!Y330</f>
        <v>0</v>
      </c>
      <c r="AO511" s="124">
        <f>交易记录!Y361</f>
        <v>0</v>
      </c>
      <c r="AP511" s="30">
        <f t="shared" si="245"/>
        <v>0</v>
      </c>
      <c r="AQ511" s="121">
        <f>交易记录!Y394</f>
        <v>0</v>
      </c>
      <c r="AR511" s="121">
        <f>交易记录!Y425</f>
        <v>0</v>
      </c>
      <c r="AS511" s="30">
        <f t="shared" si="246"/>
        <v>0</v>
      </c>
      <c r="AT511" s="124">
        <f>交易记录!Y458</f>
        <v>0</v>
      </c>
      <c r="AU511" s="124">
        <f>交易记录!Y489</f>
        <v>0</v>
      </c>
      <c r="AV511" s="30">
        <f t="shared" si="224"/>
        <v>0</v>
      </c>
      <c r="AW511" s="121">
        <f>交易记录!Y522</f>
        <v>0</v>
      </c>
      <c r="AX511" s="121">
        <f>交易记录!Y553</f>
        <v>0</v>
      </c>
      <c r="AY511" s="30">
        <f t="shared" si="225"/>
        <v>0</v>
      </c>
      <c r="AZ511" s="124">
        <f>交易记录!Y586</f>
        <v>0</v>
      </c>
      <c r="BA511" s="124">
        <f>交易记录!Y617</f>
        <v>0</v>
      </c>
      <c r="BB511" s="30">
        <f t="shared" si="226"/>
        <v>0</v>
      </c>
      <c r="BC511" s="121">
        <f>交易记录!Y650</f>
        <v>0</v>
      </c>
      <c r="BD511" s="121">
        <f>交易记录!Y681</f>
        <v>0</v>
      </c>
      <c r="BE511" s="30">
        <f t="shared" si="227"/>
        <v>0</v>
      </c>
      <c r="BF511" s="124">
        <f>交易记录!Y714</f>
        <v>0</v>
      </c>
      <c r="BG511" s="124">
        <f>交易记录!Y745</f>
        <v>0</v>
      </c>
      <c r="BH511" s="30">
        <f t="shared" si="228"/>
        <v>0</v>
      </c>
      <c r="BI511" s="121">
        <f>交易记录!Y778</f>
        <v>0</v>
      </c>
      <c r="BJ511" s="121">
        <f>交易记录!Y809</f>
        <v>0</v>
      </c>
      <c r="BK511" s="30">
        <f t="shared" si="229"/>
        <v>0</v>
      </c>
      <c r="BL511" s="124">
        <f>交易记录!Y842</f>
        <v>0</v>
      </c>
      <c r="BM511" s="124">
        <f>交易记录!Y873</f>
        <v>0</v>
      </c>
      <c r="BN511" s="30">
        <f t="shared" si="230"/>
        <v>0</v>
      </c>
      <c r="BO511" s="121">
        <f>交易记录!Y906</f>
        <v>0</v>
      </c>
      <c r="BP511" s="121">
        <f>交易记录!Y937</f>
        <v>0</v>
      </c>
      <c r="BQ511" s="30">
        <f t="shared" si="231"/>
        <v>0</v>
      </c>
    </row>
    <row r="512" spans="1:69" ht="15">
      <c r="A512" s="125">
        <f>'维护-日期'!A$24</f>
        <v>46287</v>
      </c>
      <c r="B512" s="7" t="s">
        <v>12</v>
      </c>
      <c r="C512" s="144">
        <f t="shared" si="232"/>
        <v>12.95</v>
      </c>
      <c r="D512" s="144">
        <f>ROUND(INDEX(持仓数据!$C$3:$AG$26,MATCH('计算过程-数据汇总'!B512,持仓数据!$B$3:$B$26,0),MATCH('计算过程-数据汇总'!A512,'维护-日期'!$B$2:$AF$2,0)),3)</f>
        <v>12.95</v>
      </c>
      <c r="E512" s="98">
        <f t="shared" si="233"/>
        <v>12.95</v>
      </c>
      <c r="F512" s="22">
        <f>持仓数据!X78</f>
        <v>0.14499999999999999</v>
      </c>
      <c r="G512" s="97">
        <v>372</v>
      </c>
      <c r="H512" s="97">
        <v>372</v>
      </c>
      <c r="I512" s="64">
        <v>0</v>
      </c>
      <c r="J512" s="64">
        <v>0</v>
      </c>
      <c r="K512" s="21">
        <f>IF(持仓数据!X111="",0,持仓数据!X111)</f>
        <v>372</v>
      </c>
      <c r="L512" s="21">
        <f t="shared" si="234"/>
        <v>0</v>
      </c>
      <c r="M512" s="28">
        <f t="shared" si="218"/>
        <v>4817.3999999999996</v>
      </c>
      <c r="N512" s="28">
        <f t="shared" si="219"/>
        <v>0</v>
      </c>
      <c r="O512" s="28">
        <f t="shared" si="220"/>
        <v>0</v>
      </c>
      <c r="P512" s="28">
        <f t="shared" si="221"/>
        <v>0</v>
      </c>
      <c r="Q512" s="28">
        <f t="shared" si="235"/>
        <v>0</v>
      </c>
      <c r="R512" s="28">
        <f t="shared" si="222"/>
        <v>4817.3999999999996</v>
      </c>
      <c r="S512" s="28">
        <f t="shared" si="236"/>
        <v>0</v>
      </c>
      <c r="T512" s="28">
        <f t="shared" si="237"/>
        <v>0</v>
      </c>
      <c r="U512" s="28">
        <f t="shared" si="240"/>
        <v>0</v>
      </c>
      <c r="V512" s="28">
        <f t="shared" si="238"/>
        <v>0</v>
      </c>
      <c r="W512" s="118"/>
      <c r="X512" s="143">
        <f t="shared" si="239"/>
        <v>15.395</v>
      </c>
      <c r="Y512" s="121">
        <f>交易记录!Y11</f>
        <v>0.14499999999999999</v>
      </c>
      <c r="Z512" s="121">
        <f>交易记录!Y42</f>
        <v>372</v>
      </c>
      <c r="AA512" s="30">
        <f t="shared" si="223"/>
        <v>0</v>
      </c>
      <c r="AB512" s="124">
        <f>交易记录!Y75</f>
        <v>0</v>
      </c>
      <c r="AC512" s="124">
        <f>交易记录!Y106</f>
        <v>0</v>
      </c>
      <c r="AD512" s="30">
        <f t="shared" si="241"/>
        <v>0</v>
      </c>
      <c r="AE512" s="121">
        <f>交易记录!Y139</f>
        <v>0</v>
      </c>
      <c r="AF512" s="121">
        <f>交易记录!Y170</f>
        <v>0</v>
      </c>
      <c r="AG512" s="30">
        <f t="shared" si="242"/>
        <v>0</v>
      </c>
      <c r="AH512" s="124">
        <f>交易记录!Y203</f>
        <v>0</v>
      </c>
      <c r="AI512" s="124">
        <f>交易记录!Y234</f>
        <v>0</v>
      </c>
      <c r="AJ512" s="30">
        <f t="shared" si="243"/>
        <v>0</v>
      </c>
      <c r="AK512" s="121">
        <f>交易记录!Y267</f>
        <v>0</v>
      </c>
      <c r="AL512" s="121">
        <f>交易记录!Y298</f>
        <v>0</v>
      </c>
      <c r="AM512" s="30">
        <f t="shared" si="244"/>
        <v>0</v>
      </c>
      <c r="AN512" s="124">
        <f>交易记录!Y331</f>
        <v>0</v>
      </c>
      <c r="AO512" s="124">
        <f>交易记录!Y362</f>
        <v>0</v>
      </c>
      <c r="AP512" s="30">
        <f t="shared" si="245"/>
        <v>0</v>
      </c>
      <c r="AQ512" s="121">
        <f>交易记录!Y395</f>
        <v>0</v>
      </c>
      <c r="AR512" s="121">
        <f>交易记录!Y426</f>
        <v>0</v>
      </c>
      <c r="AS512" s="30">
        <f t="shared" si="246"/>
        <v>0</v>
      </c>
      <c r="AT512" s="124">
        <f>交易记录!Y459</f>
        <v>0</v>
      </c>
      <c r="AU512" s="124">
        <f>交易记录!Y490</f>
        <v>0</v>
      </c>
      <c r="AV512" s="30">
        <f t="shared" si="224"/>
        <v>0</v>
      </c>
      <c r="AW512" s="121">
        <f>交易记录!Y523</f>
        <v>0</v>
      </c>
      <c r="AX512" s="121">
        <f>交易记录!Y554</f>
        <v>0</v>
      </c>
      <c r="AY512" s="30">
        <f t="shared" si="225"/>
        <v>0</v>
      </c>
      <c r="AZ512" s="124">
        <f>交易记录!Y587</f>
        <v>0</v>
      </c>
      <c r="BA512" s="124">
        <f>交易记录!Y618</f>
        <v>0</v>
      </c>
      <c r="BB512" s="30">
        <f t="shared" si="226"/>
        <v>0</v>
      </c>
      <c r="BC512" s="121">
        <f>交易记录!Y651</f>
        <v>0</v>
      </c>
      <c r="BD512" s="121">
        <f>交易记录!Y682</f>
        <v>0</v>
      </c>
      <c r="BE512" s="30">
        <f t="shared" si="227"/>
        <v>0</v>
      </c>
      <c r="BF512" s="124">
        <f>交易记录!Y715</f>
        <v>0</v>
      </c>
      <c r="BG512" s="124">
        <f>交易记录!Y746</f>
        <v>0</v>
      </c>
      <c r="BH512" s="30">
        <f t="shared" si="228"/>
        <v>0</v>
      </c>
      <c r="BI512" s="121">
        <f>交易记录!Y779</f>
        <v>0</v>
      </c>
      <c r="BJ512" s="121">
        <f>交易记录!Y810</f>
        <v>0</v>
      </c>
      <c r="BK512" s="30">
        <f t="shared" si="229"/>
        <v>0</v>
      </c>
      <c r="BL512" s="124">
        <f>交易记录!Y843</f>
        <v>0</v>
      </c>
      <c r="BM512" s="124">
        <f>交易记录!Y874</f>
        <v>0</v>
      </c>
      <c r="BN512" s="30">
        <f t="shared" si="230"/>
        <v>0</v>
      </c>
      <c r="BO512" s="121">
        <f>交易记录!Y907</f>
        <v>0</v>
      </c>
      <c r="BP512" s="121">
        <f>交易记录!Y938</f>
        <v>0</v>
      </c>
      <c r="BQ512" s="30">
        <f t="shared" si="231"/>
        <v>0</v>
      </c>
    </row>
    <row r="513" spans="1:69" ht="15">
      <c r="A513" s="125">
        <f>'维护-日期'!A$24</f>
        <v>46287</v>
      </c>
      <c r="B513" s="7" t="s">
        <v>13</v>
      </c>
      <c r="C513" s="144">
        <f t="shared" si="232"/>
        <v>13.266999999999999</v>
      </c>
      <c r="D513" s="144">
        <f>ROUND(INDEX(持仓数据!$C$3:$AG$26,MATCH('计算过程-数据汇总'!B513,持仓数据!$B$3:$B$26,0),MATCH('计算过程-数据汇总'!A513,'维护-日期'!$B$2:$AF$2,0)),3)</f>
        <v>13.266999999999999</v>
      </c>
      <c r="E513" s="98">
        <f t="shared" si="233"/>
        <v>13.266999999999999</v>
      </c>
      <c r="F513" s="22">
        <f>持仓数据!X79</f>
        <v>0.307</v>
      </c>
      <c r="G513" s="97">
        <v>372</v>
      </c>
      <c r="H513" s="97">
        <v>372</v>
      </c>
      <c r="I513" s="64">
        <v>0</v>
      </c>
      <c r="J513" s="64">
        <v>0</v>
      </c>
      <c r="K513" s="21">
        <f>IF(持仓数据!X112="",0,持仓数据!X112)</f>
        <v>372</v>
      </c>
      <c r="L513" s="21">
        <f t="shared" si="234"/>
        <v>0</v>
      </c>
      <c r="M513" s="28">
        <f t="shared" si="218"/>
        <v>4935.3239999999996</v>
      </c>
      <c r="N513" s="28">
        <f t="shared" si="219"/>
        <v>0</v>
      </c>
      <c r="O513" s="28">
        <f t="shared" si="220"/>
        <v>0</v>
      </c>
      <c r="P513" s="28">
        <f t="shared" si="221"/>
        <v>0</v>
      </c>
      <c r="Q513" s="28">
        <f t="shared" si="235"/>
        <v>0</v>
      </c>
      <c r="R513" s="28">
        <f t="shared" si="222"/>
        <v>4935.3239999999996</v>
      </c>
      <c r="S513" s="28">
        <f t="shared" si="236"/>
        <v>0</v>
      </c>
      <c r="T513" s="28">
        <f t="shared" si="237"/>
        <v>0</v>
      </c>
      <c r="U513" s="28">
        <f t="shared" si="240"/>
        <v>0</v>
      </c>
      <c r="V513" s="28">
        <f t="shared" si="238"/>
        <v>0</v>
      </c>
      <c r="W513" s="118"/>
      <c r="X513" s="143">
        <f t="shared" si="239"/>
        <v>15.613</v>
      </c>
      <c r="Y513" s="121">
        <f>交易记录!Y12</f>
        <v>0.307</v>
      </c>
      <c r="Z513" s="121">
        <f>交易记录!Y43</f>
        <v>372</v>
      </c>
      <c r="AA513" s="30">
        <f t="shared" si="223"/>
        <v>0</v>
      </c>
      <c r="AB513" s="124">
        <f>交易记录!Y76</f>
        <v>0</v>
      </c>
      <c r="AC513" s="124">
        <f>交易记录!Y107</f>
        <v>0</v>
      </c>
      <c r="AD513" s="30">
        <f t="shared" si="241"/>
        <v>0</v>
      </c>
      <c r="AE513" s="121">
        <f>交易记录!Y140</f>
        <v>0</v>
      </c>
      <c r="AF513" s="121">
        <f>交易记录!Y171</f>
        <v>0</v>
      </c>
      <c r="AG513" s="30">
        <f t="shared" si="242"/>
        <v>0</v>
      </c>
      <c r="AH513" s="124">
        <f>交易记录!Y204</f>
        <v>0</v>
      </c>
      <c r="AI513" s="124">
        <f>交易记录!Y235</f>
        <v>0</v>
      </c>
      <c r="AJ513" s="30">
        <f t="shared" si="243"/>
        <v>0</v>
      </c>
      <c r="AK513" s="121">
        <f>交易记录!Y268</f>
        <v>0</v>
      </c>
      <c r="AL513" s="121">
        <f>交易记录!Y299</f>
        <v>0</v>
      </c>
      <c r="AM513" s="30">
        <f t="shared" si="244"/>
        <v>0</v>
      </c>
      <c r="AN513" s="124">
        <f>交易记录!Y332</f>
        <v>0</v>
      </c>
      <c r="AO513" s="124">
        <f>交易记录!Y363</f>
        <v>0</v>
      </c>
      <c r="AP513" s="30">
        <f t="shared" si="245"/>
        <v>0</v>
      </c>
      <c r="AQ513" s="121">
        <f>交易记录!Y396</f>
        <v>0</v>
      </c>
      <c r="AR513" s="121">
        <f>交易记录!Y427</f>
        <v>0</v>
      </c>
      <c r="AS513" s="30">
        <f t="shared" si="246"/>
        <v>0</v>
      </c>
      <c r="AT513" s="124">
        <f>交易记录!Y460</f>
        <v>0</v>
      </c>
      <c r="AU513" s="124">
        <f>交易记录!Y491</f>
        <v>0</v>
      </c>
      <c r="AV513" s="30">
        <f t="shared" si="224"/>
        <v>0</v>
      </c>
      <c r="AW513" s="121">
        <f>交易记录!Y524</f>
        <v>0</v>
      </c>
      <c r="AX513" s="121">
        <f>交易记录!Y555</f>
        <v>0</v>
      </c>
      <c r="AY513" s="30">
        <f t="shared" si="225"/>
        <v>0</v>
      </c>
      <c r="AZ513" s="124">
        <f>交易记录!Y588</f>
        <v>0</v>
      </c>
      <c r="BA513" s="124">
        <f>交易记录!Y619</f>
        <v>0</v>
      </c>
      <c r="BB513" s="30">
        <f t="shared" si="226"/>
        <v>0</v>
      </c>
      <c r="BC513" s="121">
        <f>交易记录!Y652</f>
        <v>0</v>
      </c>
      <c r="BD513" s="121">
        <f>交易记录!Y683</f>
        <v>0</v>
      </c>
      <c r="BE513" s="30">
        <f t="shared" si="227"/>
        <v>0</v>
      </c>
      <c r="BF513" s="124">
        <f>交易记录!Y716</f>
        <v>0</v>
      </c>
      <c r="BG513" s="124">
        <f>交易记录!Y747</f>
        <v>0</v>
      </c>
      <c r="BH513" s="30">
        <f t="shared" si="228"/>
        <v>0</v>
      </c>
      <c r="BI513" s="121">
        <f>交易记录!Y780</f>
        <v>0</v>
      </c>
      <c r="BJ513" s="121">
        <f>交易记录!Y811</f>
        <v>0</v>
      </c>
      <c r="BK513" s="30">
        <f t="shared" si="229"/>
        <v>0</v>
      </c>
      <c r="BL513" s="124">
        <f>交易记录!Y844</f>
        <v>0</v>
      </c>
      <c r="BM513" s="124">
        <f>交易记录!Y875</f>
        <v>0</v>
      </c>
      <c r="BN513" s="30">
        <f t="shared" si="230"/>
        <v>0</v>
      </c>
      <c r="BO513" s="121">
        <f>交易记录!Y908</f>
        <v>0</v>
      </c>
      <c r="BP513" s="121">
        <f>交易记录!Y939</f>
        <v>0</v>
      </c>
      <c r="BQ513" s="30">
        <f t="shared" si="231"/>
        <v>0</v>
      </c>
    </row>
    <row r="514" spans="1:69" ht="15">
      <c r="A514" s="125">
        <f>'维护-日期'!A$24</f>
        <v>46287</v>
      </c>
      <c r="B514" s="7" t="s">
        <v>14</v>
      </c>
      <c r="C514" s="144">
        <f t="shared" si="232"/>
        <v>15.795999999999999</v>
      </c>
      <c r="D514" s="144">
        <f>ROUND(INDEX(持仓数据!$C$3:$AG$26,MATCH('计算过程-数据汇总'!B514,持仓数据!$B$3:$B$26,0),MATCH('计算过程-数据汇总'!A514,'维护-日期'!$B$2:$AF$2,0)),3)</f>
        <v>15.795999999999999</v>
      </c>
      <c r="E514" s="98">
        <f t="shared" si="233"/>
        <v>15.795999999999999</v>
      </c>
      <c r="F514" s="22">
        <f>持仓数据!X80</f>
        <v>0.42800000000000005</v>
      </c>
      <c r="G514" s="97">
        <v>372</v>
      </c>
      <c r="H514" s="97">
        <v>372</v>
      </c>
      <c r="I514" s="64">
        <v>0</v>
      </c>
      <c r="J514" s="64">
        <v>0</v>
      </c>
      <c r="K514" s="21">
        <f>IF(持仓数据!X113="",0,持仓数据!X113)</f>
        <v>372</v>
      </c>
      <c r="L514" s="21">
        <f t="shared" si="234"/>
        <v>0</v>
      </c>
      <c r="M514" s="28">
        <f t="shared" ref="M514:M577" si="247">IFERROR(C514*G514,0)</f>
        <v>5876.1120000000001</v>
      </c>
      <c r="N514" s="28">
        <f t="shared" ref="N514:N577" si="248">IFERROR((D514-C514)*(G514-H514),0)</f>
        <v>0</v>
      </c>
      <c r="O514" s="28">
        <f t="shared" ref="O514:O577" si="249">IFERROR((E514-D514)*(G514-H514),0)</f>
        <v>0</v>
      </c>
      <c r="P514" s="28">
        <f t="shared" ref="P514:P577" si="250">IFERROR(F514*(K514-G514),0)</f>
        <v>0</v>
      </c>
      <c r="Q514" s="28">
        <f t="shared" si="235"/>
        <v>0</v>
      </c>
      <c r="R514" s="28">
        <f t="shared" ref="R514:R577" si="251">IFERROR(K514*C514,0)</f>
        <v>5876.1120000000001</v>
      </c>
      <c r="S514" s="28">
        <f t="shared" si="236"/>
        <v>0</v>
      </c>
      <c r="T514" s="28">
        <f t="shared" si="237"/>
        <v>0</v>
      </c>
      <c r="U514" s="28">
        <f t="shared" si="240"/>
        <v>0</v>
      </c>
      <c r="V514" s="28">
        <f t="shared" si="238"/>
        <v>0</v>
      </c>
      <c r="W514" s="118"/>
      <c r="X514" s="143">
        <f t="shared" si="239"/>
        <v>18.527000000000001</v>
      </c>
      <c r="Y514" s="121">
        <f>交易记录!Y13</f>
        <v>0.42800000000000005</v>
      </c>
      <c r="Z514" s="121">
        <f>交易记录!Y44</f>
        <v>372</v>
      </c>
      <c r="AA514" s="30">
        <f t="shared" ref="AA514:AA577" si="252">IFERROR((Z514-G514)*Y514,0)</f>
        <v>0</v>
      </c>
      <c r="AB514" s="124">
        <f>交易记录!Y77</f>
        <v>0</v>
      </c>
      <c r="AC514" s="124">
        <f>交易记录!Y108</f>
        <v>0</v>
      </c>
      <c r="AD514" s="30">
        <f t="shared" si="241"/>
        <v>0</v>
      </c>
      <c r="AE514" s="121">
        <f>交易记录!Y141</f>
        <v>0</v>
      </c>
      <c r="AF514" s="121">
        <f>交易记录!Y172</f>
        <v>0</v>
      </c>
      <c r="AG514" s="30">
        <f t="shared" si="242"/>
        <v>0</v>
      </c>
      <c r="AH514" s="124">
        <f>交易记录!Y205</f>
        <v>0</v>
      </c>
      <c r="AI514" s="124">
        <f>交易记录!Y236</f>
        <v>0</v>
      </c>
      <c r="AJ514" s="30">
        <f t="shared" si="243"/>
        <v>0</v>
      </c>
      <c r="AK514" s="121">
        <f>交易记录!Y269</f>
        <v>0</v>
      </c>
      <c r="AL514" s="121">
        <f>交易记录!Y300</f>
        <v>0</v>
      </c>
      <c r="AM514" s="30">
        <f t="shared" si="244"/>
        <v>0</v>
      </c>
      <c r="AN514" s="124">
        <f>交易记录!Y333</f>
        <v>0</v>
      </c>
      <c r="AO514" s="124">
        <f>交易记录!Y364</f>
        <v>0</v>
      </c>
      <c r="AP514" s="30">
        <f t="shared" si="245"/>
        <v>0</v>
      </c>
      <c r="AQ514" s="121">
        <f>交易记录!Y397</f>
        <v>0</v>
      </c>
      <c r="AR514" s="121">
        <f>交易记录!Y428</f>
        <v>0</v>
      </c>
      <c r="AS514" s="30">
        <f t="shared" si="246"/>
        <v>0</v>
      </c>
      <c r="AT514" s="124">
        <f>交易记录!Y461</f>
        <v>0</v>
      </c>
      <c r="AU514" s="124">
        <f>交易记录!Y492</f>
        <v>0</v>
      </c>
      <c r="AV514" s="30">
        <f t="shared" ref="AV514:AV577" si="253">IFERROR((AU514-$G514)*AT514,0)</f>
        <v>0</v>
      </c>
      <c r="AW514" s="121">
        <f>交易记录!Y525</f>
        <v>0</v>
      </c>
      <c r="AX514" s="121">
        <f>交易记录!Y556</f>
        <v>0</v>
      </c>
      <c r="AY514" s="30">
        <f t="shared" ref="AY514:AY577" si="254">IFERROR((AX514-$G514)*AW514,0)</f>
        <v>0</v>
      </c>
      <c r="AZ514" s="124">
        <f>交易记录!Y589</f>
        <v>0</v>
      </c>
      <c r="BA514" s="124">
        <f>交易记录!Y620</f>
        <v>0</v>
      </c>
      <c r="BB514" s="30">
        <f t="shared" ref="BB514:BB577" si="255">IFERROR((BA514-$G514)*AZ514,0)</f>
        <v>0</v>
      </c>
      <c r="BC514" s="121">
        <f>交易记录!Y653</f>
        <v>0</v>
      </c>
      <c r="BD514" s="121">
        <f>交易记录!Y684</f>
        <v>0</v>
      </c>
      <c r="BE514" s="30">
        <f t="shared" ref="BE514:BE577" si="256">IFERROR((BD514-$G514)*BC514,0)</f>
        <v>0</v>
      </c>
      <c r="BF514" s="124">
        <f>交易记录!Y717</f>
        <v>0</v>
      </c>
      <c r="BG514" s="124">
        <f>交易记录!Y748</f>
        <v>0</v>
      </c>
      <c r="BH514" s="30">
        <f t="shared" ref="BH514:BH577" si="257">IFERROR((BG514-$G514)*BF514,0)</f>
        <v>0</v>
      </c>
      <c r="BI514" s="121">
        <f>交易记录!Y781</f>
        <v>0</v>
      </c>
      <c r="BJ514" s="121">
        <f>交易记录!Y812</f>
        <v>0</v>
      </c>
      <c r="BK514" s="30">
        <f t="shared" ref="BK514:BK577" si="258">IFERROR((BJ514-$G514)*BI514,0)</f>
        <v>0</v>
      </c>
      <c r="BL514" s="124">
        <f>交易记录!Y845</f>
        <v>0</v>
      </c>
      <c r="BM514" s="124">
        <f>交易记录!Y876</f>
        <v>0</v>
      </c>
      <c r="BN514" s="30">
        <f t="shared" ref="BN514:BN577" si="259">IFERROR((BM514-$G514)*BL514,0)</f>
        <v>0</v>
      </c>
      <c r="BO514" s="121">
        <f>交易记录!Y909</f>
        <v>0</v>
      </c>
      <c r="BP514" s="121">
        <f>交易记录!Y940</f>
        <v>0</v>
      </c>
      <c r="BQ514" s="30">
        <f t="shared" ref="BQ514:BQ577" si="260">IFERROR((BP514-$G514)*BO514,0)</f>
        <v>0</v>
      </c>
    </row>
    <row r="515" spans="1:69" ht="15">
      <c r="A515" s="125">
        <f>'维护-日期'!A$24</f>
        <v>46287</v>
      </c>
      <c r="B515" s="7" t="s">
        <v>15</v>
      </c>
      <c r="C515" s="144">
        <f t="shared" ref="C515:C578" si="261">D515</f>
        <v>19.308</v>
      </c>
      <c r="D515" s="144">
        <f>ROUND(INDEX(持仓数据!$C$3:$AG$26,MATCH('计算过程-数据汇总'!B515,持仓数据!$B$3:$B$26,0),MATCH('计算过程-数据汇总'!A515,'维护-日期'!$B$2:$AF$2,0)),3)</f>
        <v>19.308</v>
      </c>
      <c r="E515" s="98">
        <f t="shared" ref="E515:E578" si="262">D515*1</f>
        <v>19.308</v>
      </c>
      <c r="F515" s="22">
        <f>持仓数据!X81</f>
        <v>0.46100000000000002</v>
      </c>
      <c r="G515" s="97">
        <v>372</v>
      </c>
      <c r="H515" s="97">
        <v>372</v>
      </c>
      <c r="I515" s="64">
        <v>0</v>
      </c>
      <c r="J515" s="64">
        <v>0</v>
      </c>
      <c r="K515" s="21">
        <f>IF(持仓数据!X114="",0,持仓数据!X114)</f>
        <v>372</v>
      </c>
      <c r="L515" s="21">
        <f t="shared" ref="L515:L578" si="263">I515*J515</f>
        <v>0</v>
      </c>
      <c r="M515" s="28">
        <f t="shared" si="247"/>
        <v>7182.576</v>
      </c>
      <c r="N515" s="28">
        <f t="shared" si="248"/>
        <v>0</v>
      </c>
      <c r="O515" s="28">
        <f t="shared" si="249"/>
        <v>0</v>
      </c>
      <c r="P515" s="28">
        <f t="shared" si="250"/>
        <v>0</v>
      </c>
      <c r="Q515" s="28">
        <f t="shared" ref="Q515:Q578" si="264">IFERROR(IF(ABS((E515-C515)/C515)&gt;0.2,IF(SUM(N515:O515)&lt;0,ABS(G515-H515)*(ABS(C515-E515)-C515*0.2),0),0),IF(SUM(N515:O515)&lt;0,ABS(G515-H515)*(ABS(C515-E515)-C515*0.2),0))</f>
        <v>0</v>
      </c>
      <c r="R515" s="28">
        <f t="shared" si="251"/>
        <v>7182.576</v>
      </c>
      <c r="S515" s="28">
        <f t="shared" ref="S515:S578" si="265">IFERROR((D515-E515)*(K515-G515),0)</f>
        <v>0</v>
      </c>
      <c r="T515" s="28">
        <f t="shared" ref="T515:T578" si="266">IFERROR((F515-D515)*(K515-G515),0)</f>
        <v>0</v>
      </c>
      <c r="U515" s="28">
        <f t="shared" si="240"/>
        <v>0</v>
      </c>
      <c r="V515" s="28">
        <f t="shared" ref="V515:V578" si="267">IFERROR((E515-D515)*(K515-H515),0)</f>
        <v>0</v>
      </c>
      <c r="W515" s="118"/>
      <c r="X515" s="143">
        <f t="shared" ref="X515:X578" si="268">ROUND(D515*1.2-SUM(Y515,AB515,AE515,AH515,AK515,AN515,AQ515,AT515,AW515,AZ515,BC515,BF515,BI515,BL515,BO515),3)</f>
        <v>22.709</v>
      </c>
      <c r="Y515" s="121">
        <f>交易记录!Y14</f>
        <v>0.46100000000000002</v>
      </c>
      <c r="Z515" s="121">
        <f>交易记录!Y45</f>
        <v>372</v>
      </c>
      <c r="AA515" s="30">
        <f t="shared" si="252"/>
        <v>0</v>
      </c>
      <c r="AB515" s="124">
        <f>交易记录!Y78</f>
        <v>0</v>
      </c>
      <c r="AC515" s="124">
        <f>交易记录!Y109</f>
        <v>0</v>
      </c>
      <c r="AD515" s="30">
        <f t="shared" si="241"/>
        <v>0</v>
      </c>
      <c r="AE515" s="121">
        <f>交易记录!Y142</f>
        <v>0</v>
      </c>
      <c r="AF515" s="121">
        <f>交易记录!Y173</f>
        <v>0</v>
      </c>
      <c r="AG515" s="30">
        <f t="shared" si="242"/>
        <v>0</v>
      </c>
      <c r="AH515" s="124">
        <f>交易记录!Y206</f>
        <v>0</v>
      </c>
      <c r="AI515" s="124">
        <f>交易记录!Y237</f>
        <v>0</v>
      </c>
      <c r="AJ515" s="30">
        <f t="shared" si="243"/>
        <v>0</v>
      </c>
      <c r="AK515" s="121">
        <f>交易记录!Y270</f>
        <v>0</v>
      </c>
      <c r="AL515" s="121">
        <f>交易记录!Y301</f>
        <v>0</v>
      </c>
      <c r="AM515" s="30">
        <f t="shared" si="244"/>
        <v>0</v>
      </c>
      <c r="AN515" s="124">
        <f>交易记录!Y334</f>
        <v>0</v>
      </c>
      <c r="AO515" s="124">
        <f>交易记录!Y365</f>
        <v>0</v>
      </c>
      <c r="AP515" s="30">
        <f t="shared" si="245"/>
        <v>0</v>
      </c>
      <c r="AQ515" s="121">
        <f>交易记录!Y398</f>
        <v>0</v>
      </c>
      <c r="AR515" s="121">
        <f>交易记录!Y429</f>
        <v>0</v>
      </c>
      <c r="AS515" s="30">
        <f t="shared" si="246"/>
        <v>0</v>
      </c>
      <c r="AT515" s="124">
        <f>交易记录!Y462</f>
        <v>0</v>
      </c>
      <c r="AU515" s="124">
        <f>交易记录!Y493</f>
        <v>0</v>
      </c>
      <c r="AV515" s="30">
        <f t="shared" si="253"/>
        <v>0</v>
      </c>
      <c r="AW515" s="121">
        <f>交易记录!Y526</f>
        <v>0</v>
      </c>
      <c r="AX515" s="121">
        <f>交易记录!Y557</f>
        <v>0</v>
      </c>
      <c r="AY515" s="30">
        <f t="shared" si="254"/>
        <v>0</v>
      </c>
      <c r="AZ515" s="124">
        <f>交易记录!Y590</f>
        <v>0</v>
      </c>
      <c r="BA515" s="124">
        <f>交易记录!Y621</f>
        <v>0</v>
      </c>
      <c r="BB515" s="30">
        <f t="shared" si="255"/>
        <v>0</v>
      </c>
      <c r="BC515" s="121">
        <f>交易记录!Y654</f>
        <v>0</v>
      </c>
      <c r="BD515" s="121">
        <f>交易记录!Y685</f>
        <v>0</v>
      </c>
      <c r="BE515" s="30">
        <f t="shared" si="256"/>
        <v>0</v>
      </c>
      <c r="BF515" s="124">
        <f>交易记录!Y718</f>
        <v>0</v>
      </c>
      <c r="BG515" s="124">
        <f>交易记录!Y749</f>
        <v>0</v>
      </c>
      <c r="BH515" s="30">
        <f t="shared" si="257"/>
        <v>0</v>
      </c>
      <c r="BI515" s="121">
        <f>交易记录!Y782</f>
        <v>0</v>
      </c>
      <c r="BJ515" s="121">
        <f>交易记录!Y813</f>
        <v>0</v>
      </c>
      <c r="BK515" s="30">
        <f t="shared" si="258"/>
        <v>0</v>
      </c>
      <c r="BL515" s="124">
        <f>交易记录!Y846</f>
        <v>0</v>
      </c>
      <c r="BM515" s="124">
        <f>交易记录!Y877</f>
        <v>0</v>
      </c>
      <c r="BN515" s="30">
        <f t="shared" si="259"/>
        <v>0</v>
      </c>
      <c r="BO515" s="121">
        <f>交易记录!Y910</f>
        <v>0</v>
      </c>
      <c r="BP515" s="121">
        <f>交易记录!Y941</f>
        <v>0</v>
      </c>
      <c r="BQ515" s="30">
        <f t="shared" si="260"/>
        <v>0</v>
      </c>
    </row>
    <row r="516" spans="1:69" ht="15">
      <c r="A516" s="125">
        <f>'维护-日期'!A$24</f>
        <v>46287</v>
      </c>
      <c r="B516" s="7" t="s">
        <v>16</v>
      </c>
      <c r="C516" s="144">
        <f t="shared" si="261"/>
        <v>21.01</v>
      </c>
      <c r="D516" s="144">
        <f>ROUND(INDEX(持仓数据!$C$3:$AG$26,MATCH('计算过程-数据汇总'!B516,持仓数据!$B$3:$B$26,0),MATCH('计算过程-数据汇总'!A516,'维护-日期'!$B$2:$AF$2,0)),3)</f>
        <v>21.01</v>
      </c>
      <c r="E516" s="98">
        <f t="shared" si="262"/>
        <v>21.01</v>
      </c>
      <c r="F516" s="22">
        <f>持仓数据!X82</f>
        <v>0.46700000000000003</v>
      </c>
      <c r="G516" s="97">
        <v>372</v>
      </c>
      <c r="H516" s="97">
        <v>372</v>
      </c>
      <c r="I516" s="64">
        <v>0</v>
      </c>
      <c r="J516" s="64">
        <v>0</v>
      </c>
      <c r="K516" s="21">
        <f>IF(持仓数据!X115="",0,持仓数据!X115)</f>
        <v>372</v>
      </c>
      <c r="L516" s="21">
        <f t="shared" si="263"/>
        <v>0</v>
      </c>
      <c r="M516" s="28">
        <f t="shared" si="247"/>
        <v>7815.72</v>
      </c>
      <c r="N516" s="28">
        <f t="shared" si="248"/>
        <v>0</v>
      </c>
      <c r="O516" s="28">
        <f t="shared" si="249"/>
        <v>0</v>
      </c>
      <c r="P516" s="28">
        <f t="shared" si="250"/>
        <v>0</v>
      </c>
      <c r="Q516" s="28">
        <f t="shared" si="264"/>
        <v>0</v>
      </c>
      <c r="R516" s="28">
        <f t="shared" si="251"/>
        <v>7815.72</v>
      </c>
      <c r="S516" s="28">
        <f t="shared" si="265"/>
        <v>0</v>
      </c>
      <c r="T516" s="28">
        <f t="shared" si="266"/>
        <v>0</v>
      </c>
      <c r="U516" s="28">
        <f t="shared" ref="U516:U579" si="269">IFERROR((D516-C516)*(K516-H516),0)</f>
        <v>0</v>
      </c>
      <c r="V516" s="28">
        <f t="shared" si="267"/>
        <v>0</v>
      </c>
      <c r="W516" s="118"/>
      <c r="X516" s="143">
        <f t="shared" si="268"/>
        <v>24.745000000000001</v>
      </c>
      <c r="Y516" s="121">
        <f>交易记录!Y15</f>
        <v>0.46700000000000003</v>
      </c>
      <c r="Z516" s="121">
        <f>交易记录!Y46</f>
        <v>372</v>
      </c>
      <c r="AA516" s="30">
        <f t="shared" si="252"/>
        <v>0</v>
      </c>
      <c r="AB516" s="124">
        <f>交易记录!Y79</f>
        <v>0</v>
      </c>
      <c r="AC516" s="124">
        <f>交易记录!Y110</f>
        <v>0</v>
      </c>
      <c r="AD516" s="30">
        <f t="shared" si="241"/>
        <v>0</v>
      </c>
      <c r="AE516" s="121">
        <f>交易记录!Y143</f>
        <v>0</v>
      </c>
      <c r="AF516" s="121">
        <f>交易记录!Y174</f>
        <v>0</v>
      </c>
      <c r="AG516" s="30">
        <f t="shared" si="242"/>
        <v>0</v>
      </c>
      <c r="AH516" s="124">
        <f>交易记录!Y207</f>
        <v>0</v>
      </c>
      <c r="AI516" s="124">
        <f>交易记录!Y238</f>
        <v>0</v>
      </c>
      <c r="AJ516" s="30">
        <f t="shared" si="243"/>
        <v>0</v>
      </c>
      <c r="AK516" s="121">
        <f>交易记录!Y271</f>
        <v>0</v>
      </c>
      <c r="AL516" s="121">
        <f>交易记录!Y302</f>
        <v>0</v>
      </c>
      <c r="AM516" s="30">
        <f t="shared" si="244"/>
        <v>0</v>
      </c>
      <c r="AN516" s="124">
        <f>交易记录!Y335</f>
        <v>0</v>
      </c>
      <c r="AO516" s="124">
        <f>交易记录!Y366</f>
        <v>0</v>
      </c>
      <c r="AP516" s="30">
        <f t="shared" si="245"/>
        <v>0</v>
      </c>
      <c r="AQ516" s="121">
        <f>交易记录!Y399</f>
        <v>0</v>
      </c>
      <c r="AR516" s="121">
        <f>交易记录!Y430</f>
        <v>0</v>
      </c>
      <c r="AS516" s="30">
        <f t="shared" si="246"/>
        <v>0</v>
      </c>
      <c r="AT516" s="124">
        <f>交易记录!Y463</f>
        <v>0</v>
      </c>
      <c r="AU516" s="124">
        <f>交易记录!Y494</f>
        <v>0</v>
      </c>
      <c r="AV516" s="30">
        <f t="shared" si="253"/>
        <v>0</v>
      </c>
      <c r="AW516" s="121">
        <f>交易记录!Y527</f>
        <v>0</v>
      </c>
      <c r="AX516" s="121">
        <f>交易记录!Y558</f>
        <v>0</v>
      </c>
      <c r="AY516" s="30">
        <f t="shared" si="254"/>
        <v>0</v>
      </c>
      <c r="AZ516" s="124">
        <f>交易记录!Y591</f>
        <v>0</v>
      </c>
      <c r="BA516" s="124">
        <f>交易记录!Y622</f>
        <v>0</v>
      </c>
      <c r="BB516" s="30">
        <f t="shared" si="255"/>
        <v>0</v>
      </c>
      <c r="BC516" s="121">
        <f>交易记录!Y655</f>
        <v>0</v>
      </c>
      <c r="BD516" s="121">
        <f>交易记录!Y686</f>
        <v>0</v>
      </c>
      <c r="BE516" s="30">
        <f t="shared" si="256"/>
        <v>0</v>
      </c>
      <c r="BF516" s="124">
        <f>交易记录!Y719</f>
        <v>0</v>
      </c>
      <c r="BG516" s="124">
        <f>交易记录!Y750</f>
        <v>0</v>
      </c>
      <c r="BH516" s="30">
        <f t="shared" si="257"/>
        <v>0</v>
      </c>
      <c r="BI516" s="121">
        <f>交易记录!Y783</f>
        <v>0</v>
      </c>
      <c r="BJ516" s="121">
        <f>交易记录!Y814</f>
        <v>0</v>
      </c>
      <c r="BK516" s="30">
        <f t="shared" si="258"/>
        <v>0</v>
      </c>
      <c r="BL516" s="124">
        <f>交易记录!Y847</f>
        <v>0</v>
      </c>
      <c r="BM516" s="124">
        <f>交易记录!Y878</f>
        <v>0</v>
      </c>
      <c r="BN516" s="30">
        <f t="shared" si="259"/>
        <v>0</v>
      </c>
      <c r="BO516" s="121">
        <f>交易记录!Y911</f>
        <v>0</v>
      </c>
      <c r="BP516" s="121">
        <f>交易记录!Y942</f>
        <v>0</v>
      </c>
      <c r="BQ516" s="30">
        <f t="shared" si="260"/>
        <v>0</v>
      </c>
    </row>
    <row r="517" spans="1:69" ht="15">
      <c r="A517" s="125">
        <f>'维护-日期'!A$24</f>
        <v>46287</v>
      </c>
      <c r="B517" s="7" t="s">
        <v>17</v>
      </c>
      <c r="C517" s="144">
        <f t="shared" si="261"/>
        <v>21.329000000000001</v>
      </c>
      <c r="D517" s="144">
        <f>ROUND(INDEX(持仓数据!$C$3:$AG$26,MATCH('计算过程-数据汇总'!B517,持仓数据!$B$3:$B$26,0),MATCH('计算过程-数据汇总'!A517,'维护-日期'!$B$2:$AF$2,0)),3)</f>
        <v>21.329000000000001</v>
      </c>
      <c r="E517" s="98">
        <f t="shared" si="262"/>
        <v>21.329000000000001</v>
      </c>
      <c r="F517" s="22">
        <f>持仓数据!X83</f>
        <v>0.32100000000000001</v>
      </c>
      <c r="G517" s="97">
        <v>372</v>
      </c>
      <c r="H517" s="97">
        <v>372</v>
      </c>
      <c r="I517" s="64">
        <v>0</v>
      </c>
      <c r="J517" s="64">
        <v>0</v>
      </c>
      <c r="K517" s="21">
        <f>IF(持仓数据!X116="",0,持仓数据!X116)</f>
        <v>372</v>
      </c>
      <c r="L517" s="21">
        <f t="shared" si="263"/>
        <v>0</v>
      </c>
      <c r="M517" s="28">
        <f t="shared" si="247"/>
        <v>7934.3879999999999</v>
      </c>
      <c r="N517" s="28">
        <f t="shared" si="248"/>
        <v>0</v>
      </c>
      <c r="O517" s="28">
        <f t="shared" si="249"/>
        <v>0</v>
      </c>
      <c r="P517" s="28">
        <f t="shared" si="250"/>
        <v>0</v>
      </c>
      <c r="Q517" s="28">
        <f t="shared" si="264"/>
        <v>0</v>
      </c>
      <c r="R517" s="28">
        <f t="shared" si="251"/>
        <v>7934.3879999999999</v>
      </c>
      <c r="S517" s="28">
        <f t="shared" si="265"/>
        <v>0</v>
      </c>
      <c r="T517" s="28">
        <f t="shared" si="266"/>
        <v>0</v>
      </c>
      <c r="U517" s="28">
        <f t="shared" si="269"/>
        <v>0</v>
      </c>
      <c r="V517" s="28">
        <f t="shared" si="267"/>
        <v>0</v>
      </c>
      <c r="W517" s="118"/>
      <c r="X517" s="143">
        <f t="shared" si="268"/>
        <v>25.274000000000001</v>
      </c>
      <c r="Y517" s="121">
        <f>交易记录!Y16</f>
        <v>0.32100000000000001</v>
      </c>
      <c r="Z517" s="121">
        <f>交易记录!Y47</f>
        <v>372</v>
      </c>
      <c r="AA517" s="30">
        <f t="shared" si="252"/>
        <v>0</v>
      </c>
      <c r="AB517" s="124">
        <f>交易记录!Y80</f>
        <v>0</v>
      </c>
      <c r="AC517" s="124">
        <f>交易记录!Y111</f>
        <v>0</v>
      </c>
      <c r="AD517" s="30">
        <f t="shared" si="241"/>
        <v>0</v>
      </c>
      <c r="AE517" s="121">
        <f>交易记录!Y144</f>
        <v>0</v>
      </c>
      <c r="AF517" s="121">
        <f>交易记录!Y175</f>
        <v>0</v>
      </c>
      <c r="AG517" s="30">
        <f t="shared" si="242"/>
        <v>0</v>
      </c>
      <c r="AH517" s="124">
        <f>交易记录!Y208</f>
        <v>0</v>
      </c>
      <c r="AI517" s="124">
        <f>交易记录!Y239</f>
        <v>0</v>
      </c>
      <c r="AJ517" s="30">
        <f t="shared" si="243"/>
        <v>0</v>
      </c>
      <c r="AK517" s="121">
        <f>交易记录!Y272</f>
        <v>0</v>
      </c>
      <c r="AL517" s="121">
        <f>交易记录!Y303</f>
        <v>0</v>
      </c>
      <c r="AM517" s="30">
        <f t="shared" si="244"/>
        <v>0</v>
      </c>
      <c r="AN517" s="124">
        <f>交易记录!Y336</f>
        <v>0</v>
      </c>
      <c r="AO517" s="124">
        <f>交易记录!Y367</f>
        <v>0</v>
      </c>
      <c r="AP517" s="30">
        <f t="shared" si="245"/>
        <v>0</v>
      </c>
      <c r="AQ517" s="121">
        <f>交易记录!Y400</f>
        <v>0</v>
      </c>
      <c r="AR517" s="121">
        <f>交易记录!Y431</f>
        <v>0</v>
      </c>
      <c r="AS517" s="30">
        <f t="shared" si="246"/>
        <v>0</v>
      </c>
      <c r="AT517" s="124">
        <f>交易记录!Y464</f>
        <v>0</v>
      </c>
      <c r="AU517" s="124">
        <f>交易记录!Y495</f>
        <v>0</v>
      </c>
      <c r="AV517" s="30">
        <f t="shared" si="253"/>
        <v>0</v>
      </c>
      <c r="AW517" s="121">
        <f>交易记录!Y528</f>
        <v>0</v>
      </c>
      <c r="AX517" s="121">
        <f>交易记录!Y559</f>
        <v>0</v>
      </c>
      <c r="AY517" s="30">
        <f t="shared" si="254"/>
        <v>0</v>
      </c>
      <c r="AZ517" s="124">
        <f>交易记录!Y592</f>
        <v>0</v>
      </c>
      <c r="BA517" s="124">
        <f>交易记录!Y623</f>
        <v>0</v>
      </c>
      <c r="BB517" s="30">
        <f t="shared" si="255"/>
        <v>0</v>
      </c>
      <c r="BC517" s="121">
        <f>交易记录!Y656</f>
        <v>0</v>
      </c>
      <c r="BD517" s="121">
        <f>交易记录!Y687</f>
        <v>0</v>
      </c>
      <c r="BE517" s="30">
        <f t="shared" si="256"/>
        <v>0</v>
      </c>
      <c r="BF517" s="124">
        <f>交易记录!Y720</f>
        <v>0</v>
      </c>
      <c r="BG517" s="124">
        <f>交易记录!Y751</f>
        <v>0</v>
      </c>
      <c r="BH517" s="30">
        <f t="shared" si="257"/>
        <v>0</v>
      </c>
      <c r="BI517" s="121">
        <f>交易记录!Y784</f>
        <v>0</v>
      </c>
      <c r="BJ517" s="121">
        <f>交易记录!Y815</f>
        <v>0</v>
      </c>
      <c r="BK517" s="30">
        <f t="shared" si="258"/>
        <v>0</v>
      </c>
      <c r="BL517" s="124">
        <f>交易记录!Y848</f>
        <v>0</v>
      </c>
      <c r="BM517" s="124">
        <f>交易记录!Y879</f>
        <v>0</v>
      </c>
      <c r="BN517" s="30">
        <f t="shared" si="259"/>
        <v>0</v>
      </c>
      <c r="BO517" s="121">
        <f>交易记录!Y912</f>
        <v>0</v>
      </c>
      <c r="BP517" s="121">
        <f>交易记录!Y943</f>
        <v>0</v>
      </c>
      <c r="BQ517" s="30">
        <f t="shared" si="260"/>
        <v>0</v>
      </c>
    </row>
    <row r="518" spans="1:69" ht="15">
      <c r="A518" s="125">
        <f>'维护-日期'!A$24</f>
        <v>46287</v>
      </c>
      <c r="B518" s="7" t="s">
        <v>18</v>
      </c>
      <c r="C518" s="144">
        <f t="shared" si="261"/>
        <v>22.643999999999998</v>
      </c>
      <c r="D518" s="144">
        <f>ROUND(INDEX(持仓数据!$C$3:$AG$26,MATCH('计算过程-数据汇总'!B518,持仓数据!$B$3:$B$26,0),MATCH('计算过程-数据汇总'!A518,'维护-日期'!$B$2:$AF$2,0)),3)</f>
        <v>22.643999999999998</v>
      </c>
      <c r="E518" s="98">
        <f t="shared" si="262"/>
        <v>22.643999999999998</v>
      </c>
      <c r="F518" s="22">
        <f>持仓数据!X84</f>
        <v>7.8E-2</v>
      </c>
      <c r="G518" s="97">
        <v>372</v>
      </c>
      <c r="H518" s="97">
        <v>372</v>
      </c>
      <c r="I518" s="64">
        <v>0</v>
      </c>
      <c r="J518" s="64">
        <v>0</v>
      </c>
      <c r="K518" s="21">
        <f>IF(持仓数据!X117="",0,持仓数据!X117)</f>
        <v>372</v>
      </c>
      <c r="L518" s="21">
        <f t="shared" si="263"/>
        <v>0</v>
      </c>
      <c r="M518" s="28">
        <f t="shared" si="247"/>
        <v>8423.5679999999993</v>
      </c>
      <c r="N518" s="28">
        <f t="shared" si="248"/>
        <v>0</v>
      </c>
      <c r="O518" s="28">
        <f t="shared" si="249"/>
        <v>0</v>
      </c>
      <c r="P518" s="28">
        <f t="shared" si="250"/>
        <v>0</v>
      </c>
      <c r="Q518" s="28">
        <f t="shared" si="264"/>
        <v>0</v>
      </c>
      <c r="R518" s="28">
        <f t="shared" si="251"/>
        <v>8423.5679999999993</v>
      </c>
      <c r="S518" s="28">
        <f t="shared" si="265"/>
        <v>0</v>
      </c>
      <c r="T518" s="28">
        <f t="shared" si="266"/>
        <v>0</v>
      </c>
      <c r="U518" s="28">
        <f t="shared" si="269"/>
        <v>0</v>
      </c>
      <c r="V518" s="28">
        <f t="shared" si="267"/>
        <v>0</v>
      </c>
      <c r="W518" s="118"/>
      <c r="X518" s="143">
        <f t="shared" si="268"/>
        <v>27.094999999999999</v>
      </c>
      <c r="Y518" s="121">
        <f>交易记录!Y17</f>
        <v>7.8E-2</v>
      </c>
      <c r="Z518" s="121">
        <f>交易记录!Y48</f>
        <v>372</v>
      </c>
      <c r="AA518" s="30">
        <f t="shared" si="252"/>
        <v>0</v>
      </c>
      <c r="AB518" s="124">
        <f>交易记录!Y81</f>
        <v>0</v>
      </c>
      <c r="AC518" s="124">
        <f>交易记录!Y112</f>
        <v>0</v>
      </c>
      <c r="AD518" s="30">
        <f t="shared" si="241"/>
        <v>0</v>
      </c>
      <c r="AE518" s="121">
        <f>交易记录!Y145</f>
        <v>0</v>
      </c>
      <c r="AF518" s="121">
        <f>交易记录!Y176</f>
        <v>0</v>
      </c>
      <c r="AG518" s="30">
        <f t="shared" si="242"/>
        <v>0</v>
      </c>
      <c r="AH518" s="124">
        <f>交易记录!Y209</f>
        <v>0</v>
      </c>
      <c r="AI518" s="124">
        <f>交易记录!Y240</f>
        <v>0</v>
      </c>
      <c r="AJ518" s="30">
        <f t="shared" si="243"/>
        <v>0</v>
      </c>
      <c r="AK518" s="121">
        <f>交易记录!Y273</f>
        <v>0</v>
      </c>
      <c r="AL518" s="121">
        <f>交易记录!Y304</f>
        <v>0</v>
      </c>
      <c r="AM518" s="30">
        <f t="shared" si="244"/>
        <v>0</v>
      </c>
      <c r="AN518" s="124">
        <f>交易记录!Y337</f>
        <v>0</v>
      </c>
      <c r="AO518" s="124">
        <f>交易记录!Y368</f>
        <v>0</v>
      </c>
      <c r="AP518" s="30">
        <f t="shared" si="245"/>
        <v>0</v>
      </c>
      <c r="AQ518" s="121">
        <f>交易记录!Y401</f>
        <v>0</v>
      </c>
      <c r="AR518" s="121">
        <f>交易记录!Y432</f>
        <v>0</v>
      </c>
      <c r="AS518" s="30">
        <f t="shared" si="246"/>
        <v>0</v>
      </c>
      <c r="AT518" s="124">
        <f>交易记录!Y465</f>
        <v>0</v>
      </c>
      <c r="AU518" s="124">
        <f>交易记录!Y496</f>
        <v>0</v>
      </c>
      <c r="AV518" s="30">
        <f t="shared" si="253"/>
        <v>0</v>
      </c>
      <c r="AW518" s="121">
        <f>交易记录!Y529</f>
        <v>0</v>
      </c>
      <c r="AX518" s="121">
        <f>交易记录!Y560</f>
        <v>0</v>
      </c>
      <c r="AY518" s="30">
        <f t="shared" si="254"/>
        <v>0</v>
      </c>
      <c r="AZ518" s="124">
        <f>交易记录!Y593</f>
        <v>0</v>
      </c>
      <c r="BA518" s="124">
        <f>交易记录!Y624</f>
        <v>0</v>
      </c>
      <c r="BB518" s="30">
        <f t="shared" si="255"/>
        <v>0</v>
      </c>
      <c r="BC518" s="121">
        <f>交易记录!Y657</f>
        <v>0</v>
      </c>
      <c r="BD518" s="121">
        <f>交易记录!Y688</f>
        <v>0</v>
      </c>
      <c r="BE518" s="30">
        <f t="shared" si="256"/>
        <v>0</v>
      </c>
      <c r="BF518" s="124">
        <f>交易记录!Y721</f>
        <v>0</v>
      </c>
      <c r="BG518" s="124">
        <f>交易记录!Y752</f>
        <v>0</v>
      </c>
      <c r="BH518" s="30">
        <f t="shared" si="257"/>
        <v>0</v>
      </c>
      <c r="BI518" s="121">
        <f>交易记录!Y785</f>
        <v>0</v>
      </c>
      <c r="BJ518" s="121">
        <f>交易记录!Y816</f>
        <v>0</v>
      </c>
      <c r="BK518" s="30">
        <f t="shared" si="258"/>
        <v>0</v>
      </c>
      <c r="BL518" s="124">
        <f>交易记录!Y849</f>
        <v>0</v>
      </c>
      <c r="BM518" s="124">
        <f>交易记录!Y880</f>
        <v>0</v>
      </c>
      <c r="BN518" s="30">
        <f t="shared" si="259"/>
        <v>0</v>
      </c>
      <c r="BO518" s="121">
        <f>交易记录!Y913</f>
        <v>0</v>
      </c>
      <c r="BP518" s="121">
        <f>交易记录!Y944</f>
        <v>0</v>
      </c>
      <c r="BQ518" s="30">
        <f t="shared" si="260"/>
        <v>0</v>
      </c>
    </row>
    <row r="519" spans="1:69" ht="15">
      <c r="A519" s="125">
        <f>'维护-日期'!A$24</f>
        <v>46287</v>
      </c>
      <c r="B519" s="7" t="s">
        <v>19</v>
      </c>
      <c r="C519" s="144">
        <f t="shared" si="261"/>
        <v>22.904</v>
      </c>
      <c r="D519" s="144">
        <f>ROUND(INDEX(持仓数据!$C$3:$AG$26,MATCH('计算过程-数据汇总'!B519,持仓数据!$B$3:$B$26,0),MATCH('计算过程-数据汇总'!A519,'维护-日期'!$B$2:$AF$2,0)),3)</f>
        <v>22.904</v>
      </c>
      <c r="E519" s="98">
        <f t="shared" si="262"/>
        <v>22.904</v>
      </c>
      <c r="F519" s="22">
        <f>持仓数据!X85</f>
        <v>0.19500000000000001</v>
      </c>
      <c r="G519" s="97">
        <v>372</v>
      </c>
      <c r="H519" s="97">
        <v>372</v>
      </c>
      <c r="I519" s="64">
        <v>0</v>
      </c>
      <c r="J519" s="64">
        <v>0</v>
      </c>
      <c r="K519" s="21">
        <f>IF(持仓数据!X118="",0,持仓数据!X118)</f>
        <v>372</v>
      </c>
      <c r="L519" s="21">
        <f t="shared" si="263"/>
        <v>0</v>
      </c>
      <c r="M519" s="28">
        <f t="shared" si="247"/>
        <v>8520.2880000000005</v>
      </c>
      <c r="N519" s="28">
        <f t="shared" si="248"/>
        <v>0</v>
      </c>
      <c r="O519" s="28">
        <f t="shared" si="249"/>
        <v>0</v>
      </c>
      <c r="P519" s="28">
        <f t="shared" si="250"/>
        <v>0</v>
      </c>
      <c r="Q519" s="28">
        <f t="shared" si="264"/>
        <v>0</v>
      </c>
      <c r="R519" s="28">
        <f t="shared" si="251"/>
        <v>8520.2880000000005</v>
      </c>
      <c r="S519" s="28">
        <f t="shared" si="265"/>
        <v>0</v>
      </c>
      <c r="T519" s="28">
        <f t="shared" si="266"/>
        <v>0</v>
      </c>
      <c r="U519" s="28">
        <f t="shared" si="269"/>
        <v>0</v>
      </c>
      <c r="V519" s="28">
        <f t="shared" si="267"/>
        <v>0</v>
      </c>
      <c r="W519" s="118"/>
      <c r="X519" s="143">
        <f t="shared" si="268"/>
        <v>27.29</v>
      </c>
      <c r="Y519" s="121">
        <f>交易记录!Y18</f>
        <v>0.19500000000000001</v>
      </c>
      <c r="Z519" s="121">
        <f>交易记录!Y49</f>
        <v>372</v>
      </c>
      <c r="AA519" s="30">
        <f t="shared" si="252"/>
        <v>0</v>
      </c>
      <c r="AB519" s="124">
        <f>交易记录!Y82</f>
        <v>0</v>
      </c>
      <c r="AC519" s="124">
        <f>交易记录!Y113</f>
        <v>0</v>
      </c>
      <c r="AD519" s="30">
        <f t="shared" si="241"/>
        <v>0</v>
      </c>
      <c r="AE519" s="121">
        <f>交易记录!Y146</f>
        <v>0</v>
      </c>
      <c r="AF519" s="121">
        <f>交易记录!Y177</f>
        <v>0</v>
      </c>
      <c r="AG519" s="30">
        <f t="shared" si="242"/>
        <v>0</v>
      </c>
      <c r="AH519" s="124">
        <f>交易记录!Y210</f>
        <v>0</v>
      </c>
      <c r="AI519" s="124">
        <f>交易记录!Y241</f>
        <v>0</v>
      </c>
      <c r="AJ519" s="30">
        <f t="shared" si="243"/>
        <v>0</v>
      </c>
      <c r="AK519" s="121">
        <f>交易记录!Y274</f>
        <v>0</v>
      </c>
      <c r="AL519" s="121">
        <f>交易记录!Y305</f>
        <v>0</v>
      </c>
      <c r="AM519" s="30">
        <f t="shared" si="244"/>
        <v>0</v>
      </c>
      <c r="AN519" s="124">
        <f>交易记录!Y338</f>
        <v>0</v>
      </c>
      <c r="AO519" s="124">
        <f>交易记录!Y369</f>
        <v>0</v>
      </c>
      <c r="AP519" s="30">
        <f t="shared" si="245"/>
        <v>0</v>
      </c>
      <c r="AQ519" s="121">
        <f>交易记录!Y402</f>
        <v>0</v>
      </c>
      <c r="AR519" s="121">
        <f>交易记录!Y433</f>
        <v>0</v>
      </c>
      <c r="AS519" s="30">
        <f t="shared" si="246"/>
        <v>0</v>
      </c>
      <c r="AT519" s="124">
        <f>交易记录!Y466</f>
        <v>0</v>
      </c>
      <c r="AU519" s="124">
        <f>交易记录!Y497</f>
        <v>0</v>
      </c>
      <c r="AV519" s="30">
        <f t="shared" si="253"/>
        <v>0</v>
      </c>
      <c r="AW519" s="121">
        <f>交易记录!Y530</f>
        <v>0</v>
      </c>
      <c r="AX519" s="121">
        <f>交易记录!Y561</f>
        <v>0</v>
      </c>
      <c r="AY519" s="30">
        <f t="shared" si="254"/>
        <v>0</v>
      </c>
      <c r="AZ519" s="124">
        <f>交易记录!Y594</f>
        <v>0</v>
      </c>
      <c r="BA519" s="124">
        <f>交易记录!Y625</f>
        <v>0</v>
      </c>
      <c r="BB519" s="30">
        <f t="shared" si="255"/>
        <v>0</v>
      </c>
      <c r="BC519" s="121">
        <f>交易记录!Y658</f>
        <v>0</v>
      </c>
      <c r="BD519" s="121">
        <f>交易记录!Y689</f>
        <v>0</v>
      </c>
      <c r="BE519" s="30">
        <f t="shared" si="256"/>
        <v>0</v>
      </c>
      <c r="BF519" s="124">
        <f>交易记录!Y722</f>
        <v>0</v>
      </c>
      <c r="BG519" s="124">
        <f>交易记录!Y753</f>
        <v>0</v>
      </c>
      <c r="BH519" s="30">
        <f t="shared" si="257"/>
        <v>0</v>
      </c>
      <c r="BI519" s="121">
        <f>交易记录!Y786</f>
        <v>0</v>
      </c>
      <c r="BJ519" s="121">
        <f>交易记录!Y817</f>
        <v>0</v>
      </c>
      <c r="BK519" s="30">
        <f t="shared" si="258"/>
        <v>0</v>
      </c>
      <c r="BL519" s="124">
        <f>交易记录!Y850</f>
        <v>0</v>
      </c>
      <c r="BM519" s="124">
        <f>交易记录!Y881</f>
        <v>0</v>
      </c>
      <c r="BN519" s="30">
        <f t="shared" si="259"/>
        <v>0</v>
      </c>
      <c r="BO519" s="121">
        <f>交易记录!Y914</f>
        <v>0</v>
      </c>
      <c r="BP519" s="121">
        <f>交易记录!Y945</f>
        <v>0</v>
      </c>
      <c r="BQ519" s="30">
        <f t="shared" si="260"/>
        <v>0</v>
      </c>
    </row>
    <row r="520" spans="1:69" ht="15">
      <c r="A520" s="125">
        <f>'维护-日期'!A$24</f>
        <v>46287</v>
      </c>
      <c r="B520" s="7" t="s">
        <v>20</v>
      </c>
      <c r="C520" s="144">
        <f t="shared" si="261"/>
        <v>22.071000000000002</v>
      </c>
      <c r="D520" s="144">
        <f>ROUND(INDEX(持仓数据!$C$3:$AG$26,MATCH('计算过程-数据汇总'!B520,持仓数据!$B$3:$B$26,0),MATCH('计算过程-数据汇总'!A520,'维护-日期'!$B$2:$AF$2,0)),3)</f>
        <v>22.071000000000002</v>
      </c>
      <c r="E520" s="98">
        <f t="shared" si="262"/>
        <v>22.071000000000002</v>
      </c>
      <c r="F520" s="22">
        <f>持仓数据!X86</f>
        <v>0.34599999999999997</v>
      </c>
      <c r="G520" s="97">
        <v>372</v>
      </c>
      <c r="H520" s="97">
        <v>372</v>
      </c>
      <c r="I520" s="64">
        <v>0</v>
      </c>
      <c r="J520" s="64">
        <v>0</v>
      </c>
      <c r="K520" s="21">
        <f>IF(持仓数据!X119="",0,持仓数据!X119)</f>
        <v>372</v>
      </c>
      <c r="L520" s="21">
        <f t="shared" si="263"/>
        <v>0</v>
      </c>
      <c r="M520" s="28">
        <f t="shared" si="247"/>
        <v>8210.4120000000003</v>
      </c>
      <c r="N520" s="28">
        <f t="shared" si="248"/>
        <v>0</v>
      </c>
      <c r="O520" s="28">
        <f t="shared" si="249"/>
        <v>0</v>
      </c>
      <c r="P520" s="28">
        <f t="shared" si="250"/>
        <v>0</v>
      </c>
      <c r="Q520" s="28">
        <f t="shared" si="264"/>
        <v>0</v>
      </c>
      <c r="R520" s="28">
        <f t="shared" si="251"/>
        <v>8210.4120000000003</v>
      </c>
      <c r="S520" s="28">
        <f t="shared" si="265"/>
        <v>0</v>
      </c>
      <c r="T520" s="28">
        <f t="shared" si="266"/>
        <v>0</v>
      </c>
      <c r="U520" s="28">
        <f t="shared" si="269"/>
        <v>0</v>
      </c>
      <c r="V520" s="28">
        <f t="shared" si="267"/>
        <v>0</v>
      </c>
      <c r="W520" s="118"/>
      <c r="X520" s="143">
        <f t="shared" si="268"/>
        <v>26.138999999999999</v>
      </c>
      <c r="Y520" s="121">
        <f>交易记录!Y19</f>
        <v>0.34599999999999997</v>
      </c>
      <c r="Z520" s="121">
        <f>交易记录!Y50</f>
        <v>372</v>
      </c>
      <c r="AA520" s="30">
        <f t="shared" si="252"/>
        <v>0</v>
      </c>
      <c r="AB520" s="124">
        <f>交易记录!Y83</f>
        <v>0</v>
      </c>
      <c r="AC520" s="124">
        <f>交易记录!Y114</f>
        <v>0</v>
      </c>
      <c r="AD520" s="30">
        <f t="shared" si="241"/>
        <v>0</v>
      </c>
      <c r="AE520" s="121">
        <f>交易记录!Y147</f>
        <v>0</v>
      </c>
      <c r="AF520" s="121">
        <f>交易记录!Y178</f>
        <v>0</v>
      </c>
      <c r="AG520" s="30">
        <f t="shared" si="242"/>
        <v>0</v>
      </c>
      <c r="AH520" s="124">
        <f>交易记录!Y211</f>
        <v>0</v>
      </c>
      <c r="AI520" s="124">
        <f>交易记录!Y242</f>
        <v>0</v>
      </c>
      <c r="AJ520" s="30">
        <f t="shared" si="243"/>
        <v>0</v>
      </c>
      <c r="AK520" s="121">
        <f>交易记录!Y275</f>
        <v>0</v>
      </c>
      <c r="AL520" s="121">
        <f>交易记录!Y306</f>
        <v>0</v>
      </c>
      <c r="AM520" s="30">
        <f t="shared" si="244"/>
        <v>0</v>
      </c>
      <c r="AN520" s="124">
        <f>交易记录!Y339</f>
        <v>0</v>
      </c>
      <c r="AO520" s="124">
        <f>交易记录!Y370</f>
        <v>0</v>
      </c>
      <c r="AP520" s="30">
        <f t="shared" si="245"/>
        <v>0</v>
      </c>
      <c r="AQ520" s="121">
        <f>交易记录!Y403</f>
        <v>0</v>
      </c>
      <c r="AR520" s="121">
        <f>交易记录!Y434</f>
        <v>0</v>
      </c>
      <c r="AS520" s="30">
        <f t="shared" si="246"/>
        <v>0</v>
      </c>
      <c r="AT520" s="124">
        <f>交易记录!Y467</f>
        <v>0</v>
      </c>
      <c r="AU520" s="124">
        <f>交易记录!Y498</f>
        <v>0</v>
      </c>
      <c r="AV520" s="30">
        <f t="shared" si="253"/>
        <v>0</v>
      </c>
      <c r="AW520" s="121">
        <f>交易记录!Y531</f>
        <v>0</v>
      </c>
      <c r="AX520" s="121">
        <f>交易记录!Y562</f>
        <v>0</v>
      </c>
      <c r="AY520" s="30">
        <f t="shared" si="254"/>
        <v>0</v>
      </c>
      <c r="AZ520" s="124">
        <f>交易记录!Y595</f>
        <v>0</v>
      </c>
      <c r="BA520" s="124">
        <f>交易记录!Y626</f>
        <v>0</v>
      </c>
      <c r="BB520" s="30">
        <f t="shared" si="255"/>
        <v>0</v>
      </c>
      <c r="BC520" s="121">
        <f>交易记录!Y659</f>
        <v>0</v>
      </c>
      <c r="BD520" s="121">
        <f>交易记录!Y690</f>
        <v>0</v>
      </c>
      <c r="BE520" s="30">
        <f t="shared" si="256"/>
        <v>0</v>
      </c>
      <c r="BF520" s="124">
        <f>交易记录!Y723</f>
        <v>0</v>
      </c>
      <c r="BG520" s="124">
        <f>交易记录!Y754</f>
        <v>0</v>
      </c>
      <c r="BH520" s="30">
        <f t="shared" si="257"/>
        <v>0</v>
      </c>
      <c r="BI520" s="121">
        <f>交易记录!Y787</f>
        <v>0</v>
      </c>
      <c r="BJ520" s="121">
        <f>交易记录!Y818</f>
        <v>0</v>
      </c>
      <c r="BK520" s="30">
        <f t="shared" si="258"/>
        <v>0</v>
      </c>
      <c r="BL520" s="124">
        <f>交易记录!Y851</f>
        <v>0</v>
      </c>
      <c r="BM520" s="124">
        <f>交易记录!Y882</f>
        <v>0</v>
      </c>
      <c r="BN520" s="30">
        <f t="shared" si="259"/>
        <v>0</v>
      </c>
      <c r="BO520" s="121">
        <f>交易记录!Y915</f>
        <v>0</v>
      </c>
      <c r="BP520" s="121">
        <f>交易记录!Y946</f>
        <v>0</v>
      </c>
      <c r="BQ520" s="30">
        <f t="shared" si="260"/>
        <v>0</v>
      </c>
    </row>
    <row r="521" spans="1:69" ht="15">
      <c r="A521" s="125">
        <f>'维护-日期'!A$24</f>
        <v>46287</v>
      </c>
      <c r="B521" s="7" t="s">
        <v>21</v>
      </c>
      <c r="C521" s="144">
        <f t="shared" si="261"/>
        <v>22.087</v>
      </c>
      <c r="D521" s="144">
        <f>ROUND(INDEX(持仓数据!$C$3:$AG$26,MATCH('计算过程-数据汇总'!B521,持仓数据!$B$3:$B$26,0),MATCH('计算过程-数据汇总'!A521,'维护-日期'!$B$2:$AF$2,0)),3)</f>
        <v>22.087</v>
      </c>
      <c r="E521" s="98">
        <f t="shared" si="262"/>
        <v>22.087</v>
      </c>
      <c r="F521" s="22">
        <f>持仓数据!X87</f>
        <v>0.38</v>
      </c>
      <c r="G521" s="97">
        <v>372</v>
      </c>
      <c r="H521" s="97">
        <v>372</v>
      </c>
      <c r="I521" s="64">
        <v>0</v>
      </c>
      <c r="J521" s="64">
        <v>0</v>
      </c>
      <c r="K521" s="21">
        <f>IF(持仓数据!X120="",0,持仓数据!X120)</f>
        <v>372.00000000000006</v>
      </c>
      <c r="L521" s="21">
        <f t="shared" si="263"/>
        <v>0</v>
      </c>
      <c r="M521" s="28">
        <f t="shared" si="247"/>
        <v>8216.3639999999996</v>
      </c>
      <c r="N521" s="28">
        <f t="shared" si="248"/>
        <v>0</v>
      </c>
      <c r="O521" s="28">
        <f t="shared" si="249"/>
        <v>0</v>
      </c>
      <c r="P521" s="28">
        <f t="shared" si="250"/>
        <v>2.1600499167107046E-14</v>
      </c>
      <c r="Q521" s="28">
        <f t="shared" si="264"/>
        <v>0</v>
      </c>
      <c r="R521" s="28">
        <f t="shared" si="251"/>
        <v>8216.3640000000014</v>
      </c>
      <c r="S521" s="28">
        <f t="shared" si="265"/>
        <v>0</v>
      </c>
      <c r="T521" s="28">
        <f t="shared" si="266"/>
        <v>-1.2339000932115596E-12</v>
      </c>
      <c r="U521" s="28">
        <f t="shared" si="269"/>
        <v>0</v>
      </c>
      <c r="V521" s="28">
        <f t="shared" si="267"/>
        <v>0</v>
      </c>
      <c r="W521" s="118"/>
      <c r="X521" s="143">
        <f t="shared" si="268"/>
        <v>26.123999999999999</v>
      </c>
      <c r="Y521" s="121">
        <f>交易记录!Y20</f>
        <v>0.38</v>
      </c>
      <c r="Z521" s="121">
        <f>交易记录!Y51</f>
        <v>372</v>
      </c>
      <c r="AA521" s="30">
        <f t="shared" si="252"/>
        <v>0</v>
      </c>
      <c r="AB521" s="124">
        <f>交易记录!Y84</f>
        <v>0</v>
      </c>
      <c r="AC521" s="124">
        <f>交易记录!Y115</f>
        <v>0</v>
      </c>
      <c r="AD521" s="30">
        <f t="shared" si="241"/>
        <v>0</v>
      </c>
      <c r="AE521" s="121">
        <f>交易记录!Y148</f>
        <v>0</v>
      </c>
      <c r="AF521" s="121">
        <f>交易记录!Y179</f>
        <v>0</v>
      </c>
      <c r="AG521" s="30">
        <f t="shared" si="242"/>
        <v>0</v>
      </c>
      <c r="AH521" s="124">
        <f>交易记录!Y212</f>
        <v>0</v>
      </c>
      <c r="AI521" s="124">
        <f>交易记录!Y243</f>
        <v>0</v>
      </c>
      <c r="AJ521" s="30">
        <f t="shared" si="243"/>
        <v>0</v>
      </c>
      <c r="AK521" s="121">
        <f>交易记录!Y276</f>
        <v>0</v>
      </c>
      <c r="AL521" s="121">
        <f>交易记录!Y307</f>
        <v>0</v>
      </c>
      <c r="AM521" s="30">
        <f t="shared" si="244"/>
        <v>0</v>
      </c>
      <c r="AN521" s="124">
        <f>交易记录!Y340</f>
        <v>0</v>
      </c>
      <c r="AO521" s="124">
        <f>交易记录!Y371</f>
        <v>0</v>
      </c>
      <c r="AP521" s="30">
        <f t="shared" si="245"/>
        <v>0</v>
      </c>
      <c r="AQ521" s="121">
        <f>交易记录!Y404</f>
        <v>0</v>
      </c>
      <c r="AR521" s="121">
        <f>交易记录!Y435</f>
        <v>0</v>
      </c>
      <c r="AS521" s="30">
        <f t="shared" si="246"/>
        <v>0</v>
      </c>
      <c r="AT521" s="124">
        <f>交易记录!Y468</f>
        <v>0</v>
      </c>
      <c r="AU521" s="124">
        <f>交易记录!Y499</f>
        <v>0</v>
      </c>
      <c r="AV521" s="30">
        <f t="shared" si="253"/>
        <v>0</v>
      </c>
      <c r="AW521" s="121">
        <f>交易记录!Y532</f>
        <v>0</v>
      </c>
      <c r="AX521" s="121">
        <f>交易记录!Y563</f>
        <v>0</v>
      </c>
      <c r="AY521" s="30">
        <f t="shared" si="254"/>
        <v>0</v>
      </c>
      <c r="AZ521" s="124">
        <f>交易记录!Y596</f>
        <v>0</v>
      </c>
      <c r="BA521" s="124">
        <f>交易记录!Y627</f>
        <v>0</v>
      </c>
      <c r="BB521" s="30">
        <f t="shared" si="255"/>
        <v>0</v>
      </c>
      <c r="BC521" s="121">
        <f>交易记录!Y660</f>
        <v>0</v>
      </c>
      <c r="BD521" s="121">
        <f>交易记录!Y691</f>
        <v>0</v>
      </c>
      <c r="BE521" s="30">
        <f t="shared" si="256"/>
        <v>0</v>
      </c>
      <c r="BF521" s="124">
        <f>交易记录!Y724</f>
        <v>0</v>
      </c>
      <c r="BG521" s="124">
        <f>交易记录!Y755</f>
        <v>0</v>
      </c>
      <c r="BH521" s="30">
        <f t="shared" si="257"/>
        <v>0</v>
      </c>
      <c r="BI521" s="121">
        <f>交易记录!Y788</f>
        <v>0</v>
      </c>
      <c r="BJ521" s="121">
        <f>交易记录!Y819</f>
        <v>0</v>
      </c>
      <c r="BK521" s="30">
        <f t="shared" si="258"/>
        <v>0</v>
      </c>
      <c r="BL521" s="124">
        <f>交易记录!Y852</f>
        <v>0</v>
      </c>
      <c r="BM521" s="124">
        <f>交易记录!Y883</f>
        <v>0</v>
      </c>
      <c r="BN521" s="30">
        <f t="shared" si="259"/>
        <v>0</v>
      </c>
      <c r="BO521" s="121">
        <f>交易记录!Y916</f>
        <v>0</v>
      </c>
      <c r="BP521" s="121">
        <f>交易记录!Y947</f>
        <v>0</v>
      </c>
      <c r="BQ521" s="30">
        <f t="shared" si="260"/>
        <v>0</v>
      </c>
    </row>
    <row r="522" spans="1:69" ht="15">
      <c r="A522" s="125">
        <f>'维护-日期'!A$24</f>
        <v>46287</v>
      </c>
      <c r="B522" s="7" t="s">
        <v>22</v>
      </c>
      <c r="C522" s="144">
        <f t="shared" si="261"/>
        <v>23.077999999999999</v>
      </c>
      <c r="D522" s="144">
        <f>ROUND(INDEX(持仓数据!$C$3:$AG$26,MATCH('计算过程-数据汇总'!B522,持仓数据!$B$3:$B$26,0),MATCH('计算过程-数据汇总'!A522,'维护-日期'!$B$2:$AF$2,0)),3)</f>
        <v>23.077999999999999</v>
      </c>
      <c r="E522" s="98">
        <f t="shared" si="262"/>
        <v>23.077999999999999</v>
      </c>
      <c r="F522" s="22">
        <f>持仓数据!X88</f>
        <v>0.58600000000000008</v>
      </c>
      <c r="G522" s="97">
        <v>372</v>
      </c>
      <c r="H522" s="97">
        <v>372</v>
      </c>
      <c r="I522" s="64">
        <v>0</v>
      </c>
      <c r="J522" s="64">
        <v>0</v>
      </c>
      <c r="K522" s="21">
        <f>IF(持仓数据!X121="",0,持仓数据!X121)</f>
        <v>372</v>
      </c>
      <c r="L522" s="21">
        <f t="shared" si="263"/>
        <v>0</v>
      </c>
      <c r="M522" s="28">
        <f t="shared" si="247"/>
        <v>8585.0159999999996</v>
      </c>
      <c r="N522" s="28">
        <f t="shared" si="248"/>
        <v>0</v>
      </c>
      <c r="O522" s="28">
        <f t="shared" si="249"/>
        <v>0</v>
      </c>
      <c r="P522" s="28">
        <f t="shared" si="250"/>
        <v>0</v>
      </c>
      <c r="Q522" s="28">
        <f t="shared" si="264"/>
        <v>0</v>
      </c>
      <c r="R522" s="28">
        <f t="shared" si="251"/>
        <v>8585.0159999999996</v>
      </c>
      <c r="S522" s="28">
        <f t="shared" si="265"/>
        <v>0</v>
      </c>
      <c r="T522" s="28">
        <f t="shared" si="266"/>
        <v>0</v>
      </c>
      <c r="U522" s="28">
        <f t="shared" si="269"/>
        <v>0</v>
      </c>
      <c r="V522" s="28">
        <f t="shared" si="267"/>
        <v>0</v>
      </c>
      <c r="W522" s="118"/>
      <c r="X522" s="143">
        <f t="shared" si="268"/>
        <v>27.108000000000001</v>
      </c>
      <c r="Y522" s="121">
        <f>交易记录!Y21</f>
        <v>0.58600000000000008</v>
      </c>
      <c r="Z522" s="121">
        <f>交易记录!Y52</f>
        <v>372</v>
      </c>
      <c r="AA522" s="30">
        <f t="shared" si="252"/>
        <v>0</v>
      </c>
      <c r="AB522" s="124">
        <f>交易记录!Y85</f>
        <v>0</v>
      </c>
      <c r="AC522" s="124">
        <f>交易记录!Y116</f>
        <v>0</v>
      </c>
      <c r="AD522" s="30">
        <f t="shared" si="241"/>
        <v>0</v>
      </c>
      <c r="AE522" s="121">
        <f>交易记录!Y149</f>
        <v>0</v>
      </c>
      <c r="AF522" s="121">
        <f>交易记录!Y180</f>
        <v>0</v>
      </c>
      <c r="AG522" s="30">
        <f t="shared" si="242"/>
        <v>0</v>
      </c>
      <c r="AH522" s="124">
        <f>交易记录!Y213</f>
        <v>0</v>
      </c>
      <c r="AI522" s="124">
        <f>交易记录!Y244</f>
        <v>0</v>
      </c>
      <c r="AJ522" s="30">
        <f t="shared" si="243"/>
        <v>0</v>
      </c>
      <c r="AK522" s="121">
        <f>交易记录!Y277</f>
        <v>0</v>
      </c>
      <c r="AL522" s="121">
        <f>交易记录!Y308</f>
        <v>0</v>
      </c>
      <c r="AM522" s="30">
        <f t="shared" si="244"/>
        <v>0</v>
      </c>
      <c r="AN522" s="124">
        <f>交易记录!Y341</f>
        <v>0</v>
      </c>
      <c r="AO522" s="124">
        <f>交易记录!Y372</f>
        <v>0</v>
      </c>
      <c r="AP522" s="30">
        <f t="shared" si="245"/>
        <v>0</v>
      </c>
      <c r="AQ522" s="121">
        <f>交易记录!Y405</f>
        <v>0</v>
      </c>
      <c r="AR522" s="121">
        <f>交易记录!Y436</f>
        <v>0</v>
      </c>
      <c r="AS522" s="30">
        <f t="shared" si="246"/>
        <v>0</v>
      </c>
      <c r="AT522" s="124">
        <f>交易记录!Y469</f>
        <v>0</v>
      </c>
      <c r="AU522" s="124">
        <f>交易记录!Y500</f>
        <v>0</v>
      </c>
      <c r="AV522" s="30">
        <f t="shared" si="253"/>
        <v>0</v>
      </c>
      <c r="AW522" s="121">
        <f>交易记录!Y533</f>
        <v>0</v>
      </c>
      <c r="AX522" s="121">
        <f>交易记录!Y564</f>
        <v>0</v>
      </c>
      <c r="AY522" s="30">
        <f t="shared" si="254"/>
        <v>0</v>
      </c>
      <c r="AZ522" s="124">
        <f>交易记录!Y597</f>
        <v>0</v>
      </c>
      <c r="BA522" s="124">
        <f>交易记录!Y628</f>
        <v>0</v>
      </c>
      <c r="BB522" s="30">
        <f t="shared" si="255"/>
        <v>0</v>
      </c>
      <c r="BC522" s="121">
        <f>交易记录!Y661</f>
        <v>0</v>
      </c>
      <c r="BD522" s="121">
        <f>交易记录!Y692</f>
        <v>0</v>
      </c>
      <c r="BE522" s="30">
        <f t="shared" si="256"/>
        <v>0</v>
      </c>
      <c r="BF522" s="124">
        <f>交易记录!Y725</f>
        <v>0</v>
      </c>
      <c r="BG522" s="124">
        <f>交易记录!Y756</f>
        <v>0</v>
      </c>
      <c r="BH522" s="30">
        <f t="shared" si="257"/>
        <v>0</v>
      </c>
      <c r="BI522" s="121">
        <f>交易记录!Y789</f>
        <v>0</v>
      </c>
      <c r="BJ522" s="121">
        <f>交易记录!Y820</f>
        <v>0</v>
      </c>
      <c r="BK522" s="30">
        <f t="shared" si="258"/>
        <v>0</v>
      </c>
      <c r="BL522" s="124">
        <f>交易记录!Y853</f>
        <v>0</v>
      </c>
      <c r="BM522" s="124">
        <f>交易记录!Y884</f>
        <v>0</v>
      </c>
      <c r="BN522" s="30">
        <f t="shared" si="259"/>
        <v>0</v>
      </c>
      <c r="BO522" s="121">
        <f>交易记录!Y917</f>
        <v>0</v>
      </c>
      <c r="BP522" s="121">
        <f>交易记录!Y948</f>
        <v>0</v>
      </c>
      <c r="BQ522" s="30">
        <f t="shared" si="260"/>
        <v>0</v>
      </c>
    </row>
    <row r="523" spans="1:69" ht="15">
      <c r="A523" s="125">
        <f>'维护-日期'!A$24</f>
        <v>46287</v>
      </c>
      <c r="B523" s="7" t="s">
        <v>23</v>
      </c>
      <c r="C523" s="144">
        <f t="shared" si="261"/>
        <v>23.443000000000001</v>
      </c>
      <c r="D523" s="144">
        <f>ROUND(INDEX(持仓数据!$C$3:$AG$26,MATCH('计算过程-数据汇总'!B523,持仓数据!$B$3:$B$26,0),MATCH('计算过程-数据汇总'!A523,'维护-日期'!$B$2:$AF$2,0)),3)</f>
        <v>23.443000000000001</v>
      </c>
      <c r="E523" s="98">
        <f t="shared" si="262"/>
        <v>23.443000000000001</v>
      </c>
      <c r="F523" s="22">
        <f>持仓数据!X89</f>
        <v>0.63300000000000001</v>
      </c>
      <c r="G523" s="97">
        <v>372</v>
      </c>
      <c r="H523" s="97">
        <v>372</v>
      </c>
      <c r="I523" s="64">
        <v>0</v>
      </c>
      <c r="J523" s="64">
        <v>0</v>
      </c>
      <c r="K523" s="21">
        <f>IF(持仓数据!X122="",0,持仓数据!X122)</f>
        <v>372</v>
      </c>
      <c r="L523" s="21">
        <f t="shared" si="263"/>
        <v>0</v>
      </c>
      <c r="M523" s="28">
        <f t="shared" si="247"/>
        <v>8720.7960000000003</v>
      </c>
      <c r="N523" s="28">
        <f t="shared" si="248"/>
        <v>0</v>
      </c>
      <c r="O523" s="28">
        <f t="shared" si="249"/>
        <v>0</v>
      </c>
      <c r="P523" s="28">
        <f t="shared" si="250"/>
        <v>0</v>
      </c>
      <c r="Q523" s="28">
        <f t="shared" si="264"/>
        <v>0</v>
      </c>
      <c r="R523" s="28">
        <f t="shared" si="251"/>
        <v>8720.7960000000003</v>
      </c>
      <c r="S523" s="28">
        <f t="shared" si="265"/>
        <v>0</v>
      </c>
      <c r="T523" s="28">
        <f t="shared" si="266"/>
        <v>0</v>
      </c>
      <c r="U523" s="28">
        <f t="shared" si="269"/>
        <v>0</v>
      </c>
      <c r="V523" s="28">
        <f t="shared" si="267"/>
        <v>0</v>
      </c>
      <c r="W523" s="118"/>
      <c r="X523" s="143">
        <f t="shared" si="268"/>
        <v>27.498999999999999</v>
      </c>
      <c r="Y523" s="121">
        <f>交易记录!Y22</f>
        <v>0.63300000000000001</v>
      </c>
      <c r="Z523" s="121">
        <f>交易记录!Y53</f>
        <v>372</v>
      </c>
      <c r="AA523" s="30">
        <f t="shared" si="252"/>
        <v>0</v>
      </c>
      <c r="AB523" s="124">
        <f>交易记录!Y86</f>
        <v>0</v>
      </c>
      <c r="AC523" s="124">
        <f>交易记录!Y117</f>
        <v>0</v>
      </c>
      <c r="AD523" s="30">
        <f t="shared" si="241"/>
        <v>0</v>
      </c>
      <c r="AE523" s="121">
        <f>交易记录!Y150</f>
        <v>0</v>
      </c>
      <c r="AF523" s="121">
        <f>交易记录!Y181</f>
        <v>0</v>
      </c>
      <c r="AG523" s="30">
        <f t="shared" si="242"/>
        <v>0</v>
      </c>
      <c r="AH523" s="124">
        <f>交易记录!Y214</f>
        <v>0</v>
      </c>
      <c r="AI523" s="124">
        <f>交易记录!Y245</f>
        <v>0</v>
      </c>
      <c r="AJ523" s="30">
        <f t="shared" si="243"/>
        <v>0</v>
      </c>
      <c r="AK523" s="121">
        <f>交易记录!Y278</f>
        <v>0</v>
      </c>
      <c r="AL523" s="121">
        <f>交易记录!Y309</f>
        <v>0</v>
      </c>
      <c r="AM523" s="30">
        <f t="shared" si="244"/>
        <v>0</v>
      </c>
      <c r="AN523" s="124">
        <f>交易记录!Y342</f>
        <v>0</v>
      </c>
      <c r="AO523" s="124">
        <f>交易记录!Y373</f>
        <v>0</v>
      </c>
      <c r="AP523" s="30">
        <f t="shared" si="245"/>
        <v>0</v>
      </c>
      <c r="AQ523" s="121">
        <f>交易记录!Y406</f>
        <v>0</v>
      </c>
      <c r="AR523" s="121">
        <f>交易记录!Y437</f>
        <v>0</v>
      </c>
      <c r="AS523" s="30">
        <f t="shared" si="246"/>
        <v>0</v>
      </c>
      <c r="AT523" s="124">
        <f>交易记录!Y470</f>
        <v>0</v>
      </c>
      <c r="AU523" s="124">
        <f>交易记录!Y501</f>
        <v>0</v>
      </c>
      <c r="AV523" s="30">
        <f t="shared" si="253"/>
        <v>0</v>
      </c>
      <c r="AW523" s="121">
        <f>交易记录!Y534</f>
        <v>0</v>
      </c>
      <c r="AX523" s="121">
        <f>交易记录!Y565</f>
        <v>0</v>
      </c>
      <c r="AY523" s="30">
        <f t="shared" si="254"/>
        <v>0</v>
      </c>
      <c r="AZ523" s="124">
        <f>交易记录!Y598</f>
        <v>0</v>
      </c>
      <c r="BA523" s="124">
        <f>交易记录!Y629</f>
        <v>0</v>
      </c>
      <c r="BB523" s="30">
        <f t="shared" si="255"/>
        <v>0</v>
      </c>
      <c r="BC523" s="121">
        <f>交易记录!Y662</f>
        <v>0</v>
      </c>
      <c r="BD523" s="121">
        <f>交易记录!Y693</f>
        <v>0</v>
      </c>
      <c r="BE523" s="30">
        <f t="shared" si="256"/>
        <v>0</v>
      </c>
      <c r="BF523" s="124">
        <f>交易记录!Y726</f>
        <v>0</v>
      </c>
      <c r="BG523" s="124">
        <f>交易记录!Y757</f>
        <v>0</v>
      </c>
      <c r="BH523" s="30">
        <f t="shared" si="257"/>
        <v>0</v>
      </c>
      <c r="BI523" s="121">
        <f>交易记录!Y790</f>
        <v>0</v>
      </c>
      <c r="BJ523" s="121">
        <f>交易记录!Y821</f>
        <v>0</v>
      </c>
      <c r="BK523" s="30">
        <f t="shared" si="258"/>
        <v>0</v>
      </c>
      <c r="BL523" s="124">
        <f>交易记录!Y854</f>
        <v>0</v>
      </c>
      <c r="BM523" s="124">
        <f>交易记录!Y885</f>
        <v>0</v>
      </c>
      <c r="BN523" s="30">
        <f t="shared" si="259"/>
        <v>0</v>
      </c>
      <c r="BO523" s="121">
        <f>交易记录!Y918</f>
        <v>0</v>
      </c>
      <c r="BP523" s="121">
        <f>交易记录!Y949</f>
        <v>0</v>
      </c>
      <c r="BQ523" s="30">
        <f t="shared" si="260"/>
        <v>0</v>
      </c>
    </row>
    <row r="524" spans="1:69" ht="15">
      <c r="A524" s="125">
        <f>'维护-日期'!A$24</f>
        <v>46287</v>
      </c>
      <c r="B524" s="7" t="s">
        <v>24</v>
      </c>
      <c r="C524" s="144">
        <f t="shared" si="261"/>
        <v>23.85</v>
      </c>
      <c r="D524" s="144">
        <f>ROUND(INDEX(持仓数据!$C$3:$AG$26,MATCH('计算过程-数据汇总'!B524,持仓数据!$B$3:$B$26,0),MATCH('计算过程-数据汇总'!A524,'维护-日期'!$B$2:$AF$2,0)),3)</f>
        <v>23.85</v>
      </c>
      <c r="E524" s="98">
        <f t="shared" si="262"/>
        <v>23.85</v>
      </c>
      <c r="F524" s="22">
        <f>持仓数据!X90</f>
        <v>0.45400000000000001</v>
      </c>
      <c r="G524" s="97">
        <v>372</v>
      </c>
      <c r="H524" s="97">
        <v>372</v>
      </c>
      <c r="I524" s="64">
        <v>0</v>
      </c>
      <c r="J524" s="64">
        <v>0</v>
      </c>
      <c r="K524" s="21">
        <f>IF(持仓数据!X123="",0,持仓数据!X123)</f>
        <v>372</v>
      </c>
      <c r="L524" s="21">
        <f t="shared" si="263"/>
        <v>0</v>
      </c>
      <c r="M524" s="28">
        <f t="shared" si="247"/>
        <v>8872.2000000000007</v>
      </c>
      <c r="N524" s="28">
        <f t="shared" si="248"/>
        <v>0</v>
      </c>
      <c r="O524" s="28">
        <f t="shared" si="249"/>
        <v>0</v>
      </c>
      <c r="P524" s="28">
        <f t="shared" si="250"/>
        <v>0</v>
      </c>
      <c r="Q524" s="28">
        <f t="shared" si="264"/>
        <v>0</v>
      </c>
      <c r="R524" s="28">
        <f t="shared" si="251"/>
        <v>8872.2000000000007</v>
      </c>
      <c r="S524" s="28">
        <f t="shared" si="265"/>
        <v>0</v>
      </c>
      <c r="T524" s="28">
        <f t="shared" si="266"/>
        <v>0</v>
      </c>
      <c r="U524" s="28">
        <f t="shared" si="269"/>
        <v>0</v>
      </c>
      <c r="V524" s="28">
        <f t="shared" si="267"/>
        <v>0</v>
      </c>
      <c r="W524" s="118"/>
      <c r="X524" s="143">
        <f t="shared" si="268"/>
        <v>28.166</v>
      </c>
      <c r="Y524" s="121">
        <f>交易记录!Y23</f>
        <v>0.45400000000000001</v>
      </c>
      <c r="Z524" s="121">
        <f>交易记录!Y54</f>
        <v>372</v>
      </c>
      <c r="AA524" s="30">
        <f t="shared" si="252"/>
        <v>0</v>
      </c>
      <c r="AB524" s="124">
        <f>交易记录!Y87</f>
        <v>0</v>
      </c>
      <c r="AC524" s="124">
        <f>交易记录!Y118</f>
        <v>0</v>
      </c>
      <c r="AD524" s="30">
        <f t="shared" si="241"/>
        <v>0</v>
      </c>
      <c r="AE524" s="121">
        <f>交易记录!Y151</f>
        <v>0</v>
      </c>
      <c r="AF524" s="121">
        <f>交易记录!Y182</f>
        <v>0</v>
      </c>
      <c r="AG524" s="30">
        <f t="shared" si="242"/>
        <v>0</v>
      </c>
      <c r="AH524" s="124">
        <f>交易记录!Y215</f>
        <v>0</v>
      </c>
      <c r="AI524" s="124">
        <f>交易记录!Y246</f>
        <v>0</v>
      </c>
      <c r="AJ524" s="30">
        <f t="shared" si="243"/>
        <v>0</v>
      </c>
      <c r="AK524" s="121">
        <f>交易记录!Y279</f>
        <v>0</v>
      </c>
      <c r="AL524" s="121">
        <f>交易记录!Y310</f>
        <v>0</v>
      </c>
      <c r="AM524" s="30">
        <f t="shared" si="244"/>
        <v>0</v>
      </c>
      <c r="AN524" s="124">
        <f>交易记录!Y343</f>
        <v>0</v>
      </c>
      <c r="AO524" s="124">
        <f>交易记录!Y374</f>
        <v>0</v>
      </c>
      <c r="AP524" s="30">
        <f t="shared" si="245"/>
        <v>0</v>
      </c>
      <c r="AQ524" s="121">
        <f>交易记录!Y407</f>
        <v>0</v>
      </c>
      <c r="AR524" s="121">
        <f>交易记录!Y438</f>
        <v>0</v>
      </c>
      <c r="AS524" s="30">
        <f t="shared" si="246"/>
        <v>0</v>
      </c>
      <c r="AT524" s="124">
        <f>交易记录!Y471</f>
        <v>0</v>
      </c>
      <c r="AU524" s="124">
        <f>交易记录!Y502</f>
        <v>0</v>
      </c>
      <c r="AV524" s="30">
        <f t="shared" si="253"/>
        <v>0</v>
      </c>
      <c r="AW524" s="121">
        <f>交易记录!Y535</f>
        <v>0</v>
      </c>
      <c r="AX524" s="121">
        <f>交易记录!Y566</f>
        <v>0</v>
      </c>
      <c r="AY524" s="30">
        <f t="shared" si="254"/>
        <v>0</v>
      </c>
      <c r="AZ524" s="124">
        <f>交易记录!Y599</f>
        <v>0</v>
      </c>
      <c r="BA524" s="124">
        <f>交易记录!Y630</f>
        <v>0</v>
      </c>
      <c r="BB524" s="30">
        <f t="shared" si="255"/>
        <v>0</v>
      </c>
      <c r="BC524" s="121">
        <f>交易记录!Y663</f>
        <v>0</v>
      </c>
      <c r="BD524" s="121">
        <f>交易记录!Y694</f>
        <v>0</v>
      </c>
      <c r="BE524" s="30">
        <f t="shared" si="256"/>
        <v>0</v>
      </c>
      <c r="BF524" s="124">
        <f>交易记录!Y727</f>
        <v>0</v>
      </c>
      <c r="BG524" s="124">
        <f>交易记录!Y758</f>
        <v>0</v>
      </c>
      <c r="BH524" s="30">
        <f t="shared" si="257"/>
        <v>0</v>
      </c>
      <c r="BI524" s="121">
        <f>交易记录!Y791</f>
        <v>0</v>
      </c>
      <c r="BJ524" s="121">
        <f>交易记录!Y822</f>
        <v>0</v>
      </c>
      <c r="BK524" s="30">
        <f t="shared" si="258"/>
        <v>0</v>
      </c>
      <c r="BL524" s="124">
        <f>交易记录!Y855</f>
        <v>0</v>
      </c>
      <c r="BM524" s="124">
        <f>交易记录!Y886</f>
        <v>0</v>
      </c>
      <c r="BN524" s="30">
        <f t="shared" si="259"/>
        <v>0</v>
      </c>
      <c r="BO524" s="121">
        <f>交易记录!Y919</f>
        <v>0</v>
      </c>
      <c r="BP524" s="121">
        <f>交易记录!Y950</f>
        <v>0</v>
      </c>
      <c r="BQ524" s="30">
        <f t="shared" si="260"/>
        <v>0</v>
      </c>
    </row>
    <row r="525" spans="1:69" ht="15">
      <c r="A525" s="125">
        <f>'维护-日期'!A$24</f>
        <v>46287</v>
      </c>
      <c r="B525" s="7" t="s">
        <v>25</v>
      </c>
      <c r="C525" s="144">
        <f t="shared" si="261"/>
        <v>24.105</v>
      </c>
      <c r="D525" s="144">
        <f>ROUND(INDEX(持仓数据!$C$3:$AG$26,MATCH('计算过程-数据汇总'!B525,持仓数据!$B$3:$B$26,0),MATCH('计算过程-数据汇总'!A525,'维护-日期'!$B$2:$AF$2,0)),3)</f>
        <v>24.105</v>
      </c>
      <c r="E525" s="98">
        <f t="shared" si="262"/>
        <v>24.105</v>
      </c>
      <c r="F525" s="22">
        <f>持仓数据!X91</f>
        <v>1.1160000000000001</v>
      </c>
      <c r="G525" s="97">
        <v>372</v>
      </c>
      <c r="H525" s="97">
        <v>372</v>
      </c>
      <c r="I525" s="64">
        <v>0</v>
      </c>
      <c r="J525" s="64">
        <v>0</v>
      </c>
      <c r="K525" s="21">
        <f>IF(持仓数据!X124="",0,持仓数据!X124)</f>
        <v>372</v>
      </c>
      <c r="L525" s="21">
        <f t="shared" si="263"/>
        <v>0</v>
      </c>
      <c r="M525" s="28">
        <f t="shared" si="247"/>
        <v>8967.06</v>
      </c>
      <c r="N525" s="28">
        <f t="shared" si="248"/>
        <v>0</v>
      </c>
      <c r="O525" s="28">
        <f t="shared" si="249"/>
        <v>0</v>
      </c>
      <c r="P525" s="28">
        <f t="shared" si="250"/>
        <v>0</v>
      </c>
      <c r="Q525" s="28">
        <f t="shared" si="264"/>
        <v>0</v>
      </c>
      <c r="R525" s="28">
        <f t="shared" si="251"/>
        <v>8967.06</v>
      </c>
      <c r="S525" s="28">
        <f t="shared" si="265"/>
        <v>0</v>
      </c>
      <c r="T525" s="28">
        <f t="shared" si="266"/>
        <v>0</v>
      </c>
      <c r="U525" s="28">
        <f t="shared" si="269"/>
        <v>0</v>
      </c>
      <c r="V525" s="28">
        <f t="shared" si="267"/>
        <v>0</v>
      </c>
      <c r="W525" s="118"/>
      <c r="X525" s="143">
        <f t="shared" si="268"/>
        <v>27.81</v>
      </c>
      <c r="Y525" s="121">
        <f>交易记录!Y24</f>
        <v>1.1160000000000001</v>
      </c>
      <c r="Z525" s="121">
        <f>交易记录!Y55</f>
        <v>372</v>
      </c>
      <c r="AA525" s="30">
        <f t="shared" si="252"/>
        <v>0</v>
      </c>
      <c r="AB525" s="124">
        <f>交易记录!Y88</f>
        <v>0</v>
      </c>
      <c r="AC525" s="124">
        <f>交易记录!Y119</f>
        <v>0</v>
      </c>
      <c r="AD525" s="30">
        <f t="shared" si="241"/>
        <v>0</v>
      </c>
      <c r="AE525" s="121">
        <f>交易记录!Y152</f>
        <v>0</v>
      </c>
      <c r="AF525" s="121">
        <f>交易记录!Y183</f>
        <v>0</v>
      </c>
      <c r="AG525" s="30">
        <f t="shared" si="242"/>
        <v>0</v>
      </c>
      <c r="AH525" s="124">
        <f>交易记录!Y216</f>
        <v>0</v>
      </c>
      <c r="AI525" s="124">
        <f>交易记录!Y247</f>
        <v>0</v>
      </c>
      <c r="AJ525" s="30">
        <f t="shared" si="243"/>
        <v>0</v>
      </c>
      <c r="AK525" s="121">
        <f>交易记录!Y280</f>
        <v>0</v>
      </c>
      <c r="AL525" s="121">
        <f>交易记录!Y311</f>
        <v>0</v>
      </c>
      <c r="AM525" s="30">
        <f t="shared" si="244"/>
        <v>0</v>
      </c>
      <c r="AN525" s="124">
        <f>交易记录!Y344</f>
        <v>0</v>
      </c>
      <c r="AO525" s="124">
        <f>交易记录!Y375</f>
        <v>0</v>
      </c>
      <c r="AP525" s="30">
        <f t="shared" si="245"/>
        <v>0</v>
      </c>
      <c r="AQ525" s="121">
        <f>交易记录!Y408</f>
        <v>0</v>
      </c>
      <c r="AR525" s="121">
        <f>交易记录!Y439</f>
        <v>0</v>
      </c>
      <c r="AS525" s="30">
        <f t="shared" si="246"/>
        <v>0</v>
      </c>
      <c r="AT525" s="124">
        <f>交易记录!Y472</f>
        <v>0</v>
      </c>
      <c r="AU525" s="124">
        <f>交易记录!Y503</f>
        <v>0</v>
      </c>
      <c r="AV525" s="30">
        <f t="shared" si="253"/>
        <v>0</v>
      </c>
      <c r="AW525" s="121">
        <f>交易记录!Y536</f>
        <v>0</v>
      </c>
      <c r="AX525" s="121">
        <f>交易记录!Y567</f>
        <v>0</v>
      </c>
      <c r="AY525" s="30">
        <f t="shared" si="254"/>
        <v>0</v>
      </c>
      <c r="AZ525" s="124">
        <f>交易记录!Y600</f>
        <v>0</v>
      </c>
      <c r="BA525" s="124">
        <f>交易记录!Y631</f>
        <v>0</v>
      </c>
      <c r="BB525" s="30">
        <f t="shared" si="255"/>
        <v>0</v>
      </c>
      <c r="BC525" s="121">
        <f>交易记录!Y664</f>
        <v>0</v>
      </c>
      <c r="BD525" s="121">
        <f>交易记录!Y695</f>
        <v>0</v>
      </c>
      <c r="BE525" s="30">
        <f t="shared" si="256"/>
        <v>0</v>
      </c>
      <c r="BF525" s="124">
        <f>交易记录!Y728</f>
        <v>0</v>
      </c>
      <c r="BG525" s="124">
        <f>交易记录!Y759</f>
        <v>0</v>
      </c>
      <c r="BH525" s="30">
        <f t="shared" si="257"/>
        <v>0</v>
      </c>
      <c r="BI525" s="121">
        <f>交易记录!Y792</f>
        <v>0</v>
      </c>
      <c r="BJ525" s="121">
        <f>交易记录!Y823</f>
        <v>0</v>
      </c>
      <c r="BK525" s="30">
        <f t="shared" si="258"/>
        <v>0</v>
      </c>
      <c r="BL525" s="124">
        <f>交易记录!Y856</f>
        <v>0</v>
      </c>
      <c r="BM525" s="124">
        <f>交易记录!Y887</f>
        <v>0</v>
      </c>
      <c r="BN525" s="30">
        <f t="shared" si="259"/>
        <v>0</v>
      </c>
      <c r="BO525" s="121">
        <f>交易记录!Y920</f>
        <v>0</v>
      </c>
      <c r="BP525" s="121">
        <f>交易记录!Y951</f>
        <v>0</v>
      </c>
      <c r="BQ525" s="30">
        <f t="shared" si="260"/>
        <v>0</v>
      </c>
    </row>
    <row r="526" spans="1:69" ht="15">
      <c r="A526" s="125">
        <f>'维护-日期'!A$24</f>
        <v>46287</v>
      </c>
      <c r="B526" s="7" t="s">
        <v>26</v>
      </c>
      <c r="C526" s="144">
        <f t="shared" si="261"/>
        <v>24.047999999999998</v>
      </c>
      <c r="D526" s="144">
        <f>ROUND(INDEX(持仓数据!$C$3:$AG$26,MATCH('计算过程-数据汇总'!B526,持仓数据!$B$3:$B$26,0),MATCH('计算过程-数据汇总'!A526,'维护-日期'!$B$2:$AF$2,0)),3)</f>
        <v>24.047999999999998</v>
      </c>
      <c r="E526" s="98">
        <f t="shared" si="262"/>
        <v>24.047999999999998</v>
      </c>
      <c r="F526" s="22">
        <f>持仓数据!X92</f>
        <v>1</v>
      </c>
      <c r="G526" s="97">
        <v>372</v>
      </c>
      <c r="H526" s="97">
        <v>372</v>
      </c>
      <c r="I526" s="64">
        <v>0</v>
      </c>
      <c r="J526" s="64">
        <v>0</v>
      </c>
      <c r="K526" s="21">
        <f>IF(持仓数据!X125="",0,持仓数据!X125)</f>
        <v>372</v>
      </c>
      <c r="L526" s="21">
        <f t="shared" si="263"/>
        <v>0</v>
      </c>
      <c r="M526" s="28">
        <f t="shared" si="247"/>
        <v>8945.8559999999998</v>
      </c>
      <c r="N526" s="28">
        <f t="shared" si="248"/>
        <v>0</v>
      </c>
      <c r="O526" s="28">
        <f t="shared" si="249"/>
        <v>0</v>
      </c>
      <c r="P526" s="28">
        <f t="shared" si="250"/>
        <v>0</v>
      </c>
      <c r="Q526" s="28">
        <f t="shared" si="264"/>
        <v>0</v>
      </c>
      <c r="R526" s="28">
        <f t="shared" si="251"/>
        <v>8945.8559999999998</v>
      </c>
      <c r="S526" s="28">
        <f t="shared" si="265"/>
        <v>0</v>
      </c>
      <c r="T526" s="28">
        <f t="shared" si="266"/>
        <v>0</v>
      </c>
      <c r="U526" s="28">
        <f t="shared" si="269"/>
        <v>0</v>
      </c>
      <c r="V526" s="28">
        <f t="shared" si="267"/>
        <v>0</v>
      </c>
      <c r="W526" s="118"/>
      <c r="X526" s="143">
        <f t="shared" si="268"/>
        <v>27.858000000000001</v>
      </c>
      <c r="Y526" s="121">
        <f>交易记录!Y25</f>
        <v>1</v>
      </c>
      <c r="Z526" s="121">
        <f>交易记录!Y56</f>
        <v>372</v>
      </c>
      <c r="AA526" s="30">
        <f t="shared" si="252"/>
        <v>0</v>
      </c>
      <c r="AB526" s="124">
        <f>交易记录!Y89</f>
        <v>0</v>
      </c>
      <c r="AC526" s="124">
        <f>交易记录!Y120</f>
        <v>0</v>
      </c>
      <c r="AD526" s="30">
        <f t="shared" si="241"/>
        <v>0</v>
      </c>
      <c r="AE526" s="121">
        <f>交易记录!Y153</f>
        <v>0</v>
      </c>
      <c r="AF526" s="121">
        <f>交易记录!Y184</f>
        <v>0</v>
      </c>
      <c r="AG526" s="30">
        <f t="shared" si="242"/>
        <v>0</v>
      </c>
      <c r="AH526" s="124">
        <f>交易记录!Y217</f>
        <v>0</v>
      </c>
      <c r="AI526" s="124">
        <f>交易记录!Y248</f>
        <v>0</v>
      </c>
      <c r="AJ526" s="30">
        <f t="shared" si="243"/>
        <v>0</v>
      </c>
      <c r="AK526" s="121">
        <f>交易记录!Y281</f>
        <v>0</v>
      </c>
      <c r="AL526" s="121">
        <f>交易记录!Y312</f>
        <v>0</v>
      </c>
      <c r="AM526" s="30">
        <f t="shared" si="244"/>
        <v>0</v>
      </c>
      <c r="AN526" s="124">
        <f>交易记录!Y345</f>
        <v>0</v>
      </c>
      <c r="AO526" s="124">
        <f>交易记录!Y376</f>
        <v>0</v>
      </c>
      <c r="AP526" s="30">
        <f t="shared" si="245"/>
        <v>0</v>
      </c>
      <c r="AQ526" s="121">
        <f>交易记录!Y409</f>
        <v>0</v>
      </c>
      <c r="AR526" s="121">
        <f>交易记录!Y440</f>
        <v>0</v>
      </c>
      <c r="AS526" s="30">
        <f t="shared" si="246"/>
        <v>0</v>
      </c>
      <c r="AT526" s="124">
        <f>交易记录!Y473</f>
        <v>0</v>
      </c>
      <c r="AU526" s="124">
        <f>交易记录!Y504</f>
        <v>0</v>
      </c>
      <c r="AV526" s="30">
        <f t="shared" si="253"/>
        <v>0</v>
      </c>
      <c r="AW526" s="121">
        <f>交易记录!Y537</f>
        <v>0</v>
      </c>
      <c r="AX526" s="121">
        <f>交易记录!Y568</f>
        <v>0</v>
      </c>
      <c r="AY526" s="30">
        <f t="shared" si="254"/>
        <v>0</v>
      </c>
      <c r="AZ526" s="124">
        <f>交易记录!Y601</f>
        <v>0</v>
      </c>
      <c r="BA526" s="124">
        <f>交易记录!Y632</f>
        <v>0</v>
      </c>
      <c r="BB526" s="30">
        <f t="shared" si="255"/>
        <v>0</v>
      </c>
      <c r="BC526" s="121">
        <f>交易记录!Y665</f>
        <v>0</v>
      </c>
      <c r="BD526" s="121">
        <f>交易记录!Y696</f>
        <v>0</v>
      </c>
      <c r="BE526" s="30">
        <f t="shared" si="256"/>
        <v>0</v>
      </c>
      <c r="BF526" s="124">
        <f>交易记录!Y729</f>
        <v>0</v>
      </c>
      <c r="BG526" s="124">
        <f>交易记录!Y760</f>
        <v>0</v>
      </c>
      <c r="BH526" s="30">
        <f t="shared" si="257"/>
        <v>0</v>
      </c>
      <c r="BI526" s="121">
        <f>交易记录!Y793</f>
        <v>0</v>
      </c>
      <c r="BJ526" s="121">
        <f>交易记录!Y824</f>
        <v>0</v>
      </c>
      <c r="BK526" s="30">
        <f t="shared" si="258"/>
        <v>0</v>
      </c>
      <c r="BL526" s="124">
        <f>交易记录!Y857</f>
        <v>0</v>
      </c>
      <c r="BM526" s="124">
        <f>交易记录!Y888</f>
        <v>0</v>
      </c>
      <c r="BN526" s="30">
        <f t="shared" si="259"/>
        <v>0</v>
      </c>
      <c r="BO526" s="121">
        <f>交易记录!Y921</f>
        <v>0</v>
      </c>
      <c r="BP526" s="121">
        <f>交易记录!Y952</f>
        <v>0</v>
      </c>
      <c r="BQ526" s="30">
        <f t="shared" si="260"/>
        <v>0</v>
      </c>
    </row>
    <row r="527" spans="1:69" ht="15">
      <c r="A527" s="125">
        <f>'维护-日期'!A$24</f>
        <v>46287</v>
      </c>
      <c r="B527" s="7" t="s">
        <v>27</v>
      </c>
      <c r="C527" s="144">
        <f t="shared" si="261"/>
        <v>22.594000000000001</v>
      </c>
      <c r="D527" s="144">
        <f>ROUND(INDEX(持仓数据!$C$3:$AG$26,MATCH('计算过程-数据汇总'!B527,持仓数据!$B$3:$B$26,0),MATCH('计算过程-数据汇总'!A527,'维护-日期'!$B$2:$AF$2,0)),3)</f>
        <v>22.594000000000001</v>
      </c>
      <c r="E527" s="98">
        <f t="shared" si="262"/>
        <v>22.594000000000001</v>
      </c>
      <c r="F527" s="22">
        <f>持仓数据!X93</f>
        <v>0.95199999999999996</v>
      </c>
      <c r="G527" s="97">
        <v>372</v>
      </c>
      <c r="H527" s="97">
        <v>372</v>
      </c>
      <c r="I527" s="64">
        <v>0</v>
      </c>
      <c r="J527" s="64">
        <v>0</v>
      </c>
      <c r="K527" s="21">
        <f>IF(持仓数据!X126="",0,持仓数据!X126)</f>
        <v>372</v>
      </c>
      <c r="L527" s="21">
        <f t="shared" si="263"/>
        <v>0</v>
      </c>
      <c r="M527" s="28">
        <f t="shared" si="247"/>
        <v>8404.9680000000008</v>
      </c>
      <c r="N527" s="28">
        <f t="shared" si="248"/>
        <v>0</v>
      </c>
      <c r="O527" s="28">
        <f t="shared" si="249"/>
        <v>0</v>
      </c>
      <c r="P527" s="28">
        <f t="shared" si="250"/>
        <v>0</v>
      </c>
      <c r="Q527" s="28">
        <f t="shared" si="264"/>
        <v>0</v>
      </c>
      <c r="R527" s="28">
        <f t="shared" si="251"/>
        <v>8404.9680000000008</v>
      </c>
      <c r="S527" s="28">
        <f t="shared" si="265"/>
        <v>0</v>
      </c>
      <c r="T527" s="28">
        <f t="shared" si="266"/>
        <v>0</v>
      </c>
      <c r="U527" s="28">
        <f t="shared" si="269"/>
        <v>0</v>
      </c>
      <c r="V527" s="28">
        <f t="shared" si="267"/>
        <v>0</v>
      </c>
      <c r="W527" s="118"/>
      <c r="X527" s="143">
        <f t="shared" si="268"/>
        <v>26.161000000000001</v>
      </c>
      <c r="Y527" s="121">
        <f>交易记录!Y26</f>
        <v>0.95199999999999996</v>
      </c>
      <c r="Z527" s="121">
        <f>交易记录!Y57</f>
        <v>372</v>
      </c>
      <c r="AA527" s="30">
        <f t="shared" si="252"/>
        <v>0</v>
      </c>
      <c r="AB527" s="124">
        <f>交易记录!Y90</f>
        <v>0</v>
      </c>
      <c r="AC527" s="124">
        <f>交易记录!Y121</f>
        <v>0</v>
      </c>
      <c r="AD527" s="30">
        <f t="shared" si="241"/>
        <v>0</v>
      </c>
      <c r="AE527" s="121">
        <f>交易记录!Y154</f>
        <v>0</v>
      </c>
      <c r="AF527" s="121">
        <f>交易记录!Y185</f>
        <v>0</v>
      </c>
      <c r="AG527" s="30">
        <f t="shared" si="242"/>
        <v>0</v>
      </c>
      <c r="AH527" s="124">
        <f>交易记录!Y218</f>
        <v>0</v>
      </c>
      <c r="AI527" s="124">
        <f>交易记录!Y249</f>
        <v>0</v>
      </c>
      <c r="AJ527" s="30">
        <f t="shared" si="243"/>
        <v>0</v>
      </c>
      <c r="AK527" s="121">
        <f>交易记录!Y282</f>
        <v>0</v>
      </c>
      <c r="AL527" s="121">
        <f>交易记录!Y313</f>
        <v>0</v>
      </c>
      <c r="AM527" s="30">
        <f t="shared" si="244"/>
        <v>0</v>
      </c>
      <c r="AN527" s="124">
        <f>交易记录!Y346</f>
        <v>0</v>
      </c>
      <c r="AO527" s="124">
        <f>交易记录!Y377</f>
        <v>0</v>
      </c>
      <c r="AP527" s="30">
        <f t="shared" si="245"/>
        <v>0</v>
      </c>
      <c r="AQ527" s="121">
        <f>交易记录!Y410</f>
        <v>0</v>
      </c>
      <c r="AR527" s="121">
        <f>交易记录!Y441</f>
        <v>0</v>
      </c>
      <c r="AS527" s="30">
        <f t="shared" si="246"/>
        <v>0</v>
      </c>
      <c r="AT527" s="124">
        <f>交易记录!Y474</f>
        <v>0</v>
      </c>
      <c r="AU527" s="124">
        <f>交易记录!Y505</f>
        <v>0</v>
      </c>
      <c r="AV527" s="30">
        <f t="shared" si="253"/>
        <v>0</v>
      </c>
      <c r="AW527" s="121">
        <f>交易记录!Y538</f>
        <v>0</v>
      </c>
      <c r="AX527" s="121">
        <f>交易记录!Y569</f>
        <v>0</v>
      </c>
      <c r="AY527" s="30">
        <f t="shared" si="254"/>
        <v>0</v>
      </c>
      <c r="AZ527" s="124">
        <f>交易记录!Y602</f>
        <v>0</v>
      </c>
      <c r="BA527" s="124">
        <f>交易记录!Y633</f>
        <v>0</v>
      </c>
      <c r="BB527" s="30">
        <f t="shared" si="255"/>
        <v>0</v>
      </c>
      <c r="BC527" s="121">
        <f>交易记录!Y666</f>
        <v>0</v>
      </c>
      <c r="BD527" s="121">
        <f>交易记录!Y697</f>
        <v>0</v>
      </c>
      <c r="BE527" s="30">
        <f t="shared" si="256"/>
        <v>0</v>
      </c>
      <c r="BF527" s="124">
        <f>交易记录!Y730</f>
        <v>0</v>
      </c>
      <c r="BG527" s="124">
        <f>交易记录!Y761</f>
        <v>0</v>
      </c>
      <c r="BH527" s="30">
        <f t="shared" si="257"/>
        <v>0</v>
      </c>
      <c r="BI527" s="121">
        <f>交易记录!Y794</f>
        <v>0</v>
      </c>
      <c r="BJ527" s="121">
        <f>交易记录!Y825</f>
        <v>0</v>
      </c>
      <c r="BK527" s="30">
        <f t="shared" si="258"/>
        <v>0</v>
      </c>
      <c r="BL527" s="124">
        <f>交易记录!Y858</f>
        <v>0</v>
      </c>
      <c r="BM527" s="124">
        <f>交易记录!Y889</f>
        <v>0</v>
      </c>
      <c r="BN527" s="30">
        <f t="shared" si="259"/>
        <v>0</v>
      </c>
      <c r="BO527" s="121">
        <f>交易记录!Y922</f>
        <v>0</v>
      </c>
      <c r="BP527" s="121">
        <f>交易记录!Y953</f>
        <v>0</v>
      </c>
      <c r="BQ527" s="30">
        <f t="shared" si="260"/>
        <v>0</v>
      </c>
    </row>
    <row r="528" spans="1:69" ht="15">
      <c r="A528" s="125">
        <f>'维护-日期'!A$24</f>
        <v>46287</v>
      </c>
      <c r="B528" s="7" t="s">
        <v>28</v>
      </c>
      <c r="C528" s="144">
        <f t="shared" si="261"/>
        <v>19.387</v>
      </c>
      <c r="D528" s="144">
        <f>ROUND(INDEX(持仓数据!$C$3:$AG$26,MATCH('计算过程-数据汇总'!B528,持仓数据!$B$3:$B$26,0),MATCH('计算过程-数据汇总'!A528,'维护-日期'!$B$2:$AF$2,0)),3)</f>
        <v>19.387</v>
      </c>
      <c r="E528" s="98">
        <f t="shared" si="262"/>
        <v>19.387</v>
      </c>
      <c r="F528" s="22">
        <f>持仓数据!X94</f>
        <v>0.84300000000000008</v>
      </c>
      <c r="G528" s="97">
        <v>372</v>
      </c>
      <c r="H528" s="97">
        <v>372</v>
      </c>
      <c r="I528" s="64">
        <v>0</v>
      </c>
      <c r="J528" s="64">
        <v>0</v>
      </c>
      <c r="K528" s="21">
        <f>IF(持仓数据!X127="",0,持仓数据!X127)</f>
        <v>371.99999999999994</v>
      </c>
      <c r="L528" s="21">
        <f t="shared" si="263"/>
        <v>0</v>
      </c>
      <c r="M528" s="28">
        <f t="shared" si="247"/>
        <v>7211.9639999999999</v>
      </c>
      <c r="N528" s="28">
        <f t="shared" si="248"/>
        <v>0</v>
      </c>
      <c r="O528" s="28">
        <f t="shared" si="249"/>
        <v>0</v>
      </c>
      <c r="P528" s="28">
        <f t="shared" si="250"/>
        <v>-4.7919002099661161E-14</v>
      </c>
      <c r="Q528" s="28">
        <f t="shared" si="264"/>
        <v>0</v>
      </c>
      <c r="R528" s="28">
        <f t="shared" si="251"/>
        <v>7211.963999999999</v>
      </c>
      <c r="S528" s="28">
        <f t="shared" si="265"/>
        <v>0</v>
      </c>
      <c r="T528" s="28">
        <f t="shared" si="266"/>
        <v>1.0541043593548239E-12</v>
      </c>
      <c r="U528" s="28">
        <f t="shared" si="269"/>
        <v>0</v>
      </c>
      <c r="V528" s="28">
        <f t="shared" si="267"/>
        <v>0</v>
      </c>
      <c r="W528" s="118"/>
      <c r="X528" s="143">
        <f t="shared" si="268"/>
        <v>22.420999999999999</v>
      </c>
      <c r="Y528" s="121">
        <f>交易记录!Y27</f>
        <v>0.84300000000000008</v>
      </c>
      <c r="Z528" s="121">
        <f>交易记录!Y58</f>
        <v>372</v>
      </c>
      <c r="AA528" s="30">
        <f t="shared" si="252"/>
        <v>0</v>
      </c>
      <c r="AB528" s="124">
        <f>交易记录!Y91</f>
        <v>0</v>
      </c>
      <c r="AC528" s="124">
        <f>交易记录!Y122</f>
        <v>0</v>
      </c>
      <c r="AD528" s="30">
        <f t="shared" si="241"/>
        <v>0</v>
      </c>
      <c r="AE528" s="121">
        <f>交易记录!Y155</f>
        <v>0</v>
      </c>
      <c r="AF528" s="121">
        <f>交易记录!Y186</f>
        <v>0</v>
      </c>
      <c r="AG528" s="30">
        <f t="shared" si="242"/>
        <v>0</v>
      </c>
      <c r="AH528" s="124">
        <f>交易记录!Y219</f>
        <v>0</v>
      </c>
      <c r="AI528" s="124">
        <f>交易记录!Y250</f>
        <v>0</v>
      </c>
      <c r="AJ528" s="30">
        <f t="shared" si="243"/>
        <v>0</v>
      </c>
      <c r="AK528" s="121">
        <f>交易记录!Y283</f>
        <v>0</v>
      </c>
      <c r="AL528" s="121">
        <f>交易记录!Y314</f>
        <v>0</v>
      </c>
      <c r="AM528" s="30">
        <f t="shared" si="244"/>
        <v>0</v>
      </c>
      <c r="AN528" s="124">
        <f>交易记录!Y347</f>
        <v>0</v>
      </c>
      <c r="AO528" s="124">
        <f>交易记录!Y378</f>
        <v>0</v>
      </c>
      <c r="AP528" s="30">
        <f t="shared" si="245"/>
        <v>0</v>
      </c>
      <c r="AQ528" s="121">
        <f>交易记录!Y411</f>
        <v>0</v>
      </c>
      <c r="AR528" s="121">
        <f>交易记录!Y442</f>
        <v>0</v>
      </c>
      <c r="AS528" s="30">
        <f t="shared" si="246"/>
        <v>0</v>
      </c>
      <c r="AT528" s="124">
        <f>交易记录!Y475</f>
        <v>0</v>
      </c>
      <c r="AU528" s="124">
        <f>交易记录!Y506</f>
        <v>0</v>
      </c>
      <c r="AV528" s="30">
        <f t="shared" si="253"/>
        <v>0</v>
      </c>
      <c r="AW528" s="121">
        <f>交易记录!Y539</f>
        <v>0</v>
      </c>
      <c r="AX528" s="121">
        <f>交易记录!Y570</f>
        <v>0</v>
      </c>
      <c r="AY528" s="30">
        <f t="shared" si="254"/>
        <v>0</v>
      </c>
      <c r="AZ528" s="124">
        <f>交易记录!Y603</f>
        <v>0</v>
      </c>
      <c r="BA528" s="124">
        <f>交易记录!Y634</f>
        <v>0</v>
      </c>
      <c r="BB528" s="30">
        <f t="shared" si="255"/>
        <v>0</v>
      </c>
      <c r="BC528" s="121">
        <f>交易记录!Y667</f>
        <v>0</v>
      </c>
      <c r="BD528" s="121">
        <f>交易记录!Y698</f>
        <v>0</v>
      </c>
      <c r="BE528" s="30">
        <f t="shared" si="256"/>
        <v>0</v>
      </c>
      <c r="BF528" s="124">
        <f>交易记录!Y731</f>
        <v>0</v>
      </c>
      <c r="BG528" s="124">
        <f>交易记录!Y762</f>
        <v>0</v>
      </c>
      <c r="BH528" s="30">
        <f t="shared" si="257"/>
        <v>0</v>
      </c>
      <c r="BI528" s="121">
        <f>交易记录!Y795</f>
        <v>0</v>
      </c>
      <c r="BJ528" s="121">
        <f>交易记录!Y826</f>
        <v>0</v>
      </c>
      <c r="BK528" s="30">
        <f t="shared" si="258"/>
        <v>0</v>
      </c>
      <c r="BL528" s="124">
        <f>交易记录!Y859</f>
        <v>0</v>
      </c>
      <c r="BM528" s="124">
        <f>交易记录!Y890</f>
        <v>0</v>
      </c>
      <c r="BN528" s="30">
        <f t="shared" si="259"/>
        <v>0</v>
      </c>
      <c r="BO528" s="121">
        <f>交易记录!Y923</f>
        <v>0</v>
      </c>
      <c r="BP528" s="121">
        <f>交易记录!Y954</f>
        <v>0</v>
      </c>
      <c r="BQ528" s="30">
        <f t="shared" si="260"/>
        <v>0</v>
      </c>
    </row>
    <row r="529" spans="1:69" ht="15">
      <c r="A529" s="125">
        <f>'维护-日期'!A$24</f>
        <v>46287</v>
      </c>
      <c r="B529" s="7" t="s">
        <v>29</v>
      </c>
      <c r="C529" s="144">
        <f t="shared" si="261"/>
        <v>16.963000000000001</v>
      </c>
      <c r="D529" s="144">
        <f>ROUND(INDEX(持仓数据!$C$3:$AG$26,MATCH('计算过程-数据汇总'!B529,持仓数据!$B$3:$B$26,0),MATCH('计算过程-数据汇总'!A529,'维护-日期'!$B$2:$AF$2,0)),3)</f>
        <v>16.963000000000001</v>
      </c>
      <c r="E529" s="98">
        <f t="shared" si="262"/>
        <v>16.963000000000001</v>
      </c>
      <c r="F529" s="22">
        <f>持仓数据!X95</f>
        <v>0.33299999999999996</v>
      </c>
      <c r="G529" s="97">
        <v>372</v>
      </c>
      <c r="H529" s="97">
        <v>372</v>
      </c>
      <c r="I529" s="64">
        <v>0</v>
      </c>
      <c r="J529" s="64">
        <v>0</v>
      </c>
      <c r="K529" s="21">
        <f>IF(持仓数据!X128="",0,持仓数据!X128)</f>
        <v>372</v>
      </c>
      <c r="L529" s="21">
        <f t="shared" si="263"/>
        <v>0</v>
      </c>
      <c r="M529" s="28">
        <f t="shared" si="247"/>
        <v>6310.2360000000008</v>
      </c>
      <c r="N529" s="28">
        <f t="shared" si="248"/>
        <v>0</v>
      </c>
      <c r="O529" s="28">
        <f t="shared" si="249"/>
        <v>0</v>
      </c>
      <c r="P529" s="28">
        <f t="shared" si="250"/>
        <v>0</v>
      </c>
      <c r="Q529" s="28">
        <f t="shared" si="264"/>
        <v>0</v>
      </c>
      <c r="R529" s="28">
        <f t="shared" si="251"/>
        <v>6310.2360000000008</v>
      </c>
      <c r="S529" s="28">
        <f t="shared" si="265"/>
        <v>0</v>
      </c>
      <c r="T529" s="28">
        <f t="shared" si="266"/>
        <v>0</v>
      </c>
      <c r="U529" s="28">
        <f t="shared" si="269"/>
        <v>0</v>
      </c>
      <c r="V529" s="28">
        <f t="shared" si="267"/>
        <v>0</v>
      </c>
      <c r="W529" s="118"/>
      <c r="X529" s="143">
        <f t="shared" si="268"/>
        <v>20.023</v>
      </c>
      <c r="Y529" s="121">
        <f>交易记录!Y28</f>
        <v>0.33299999999999996</v>
      </c>
      <c r="Z529" s="121">
        <f>交易记录!Y59</f>
        <v>372</v>
      </c>
      <c r="AA529" s="30">
        <f t="shared" si="252"/>
        <v>0</v>
      </c>
      <c r="AB529" s="124">
        <f>交易记录!Y92</f>
        <v>0</v>
      </c>
      <c r="AC529" s="124">
        <f>交易记录!Y123</f>
        <v>0</v>
      </c>
      <c r="AD529" s="30">
        <f t="shared" si="241"/>
        <v>0</v>
      </c>
      <c r="AE529" s="121">
        <f>交易记录!Y156</f>
        <v>0</v>
      </c>
      <c r="AF529" s="121">
        <f>交易记录!Y187</f>
        <v>0</v>
      </c>
      <c r="AG529" s="30">
        <f t="shared" si="242"/>
        <v>0</v>
      </c>
      <c r="AH529" s="124">
        <f>交易记录!Y220</f>
        <v>0</v>
      </c>
      <c r="AI529" s="124">
        <f>交易记录!Y251</f>
        <v>0</v>
      </c>
      <c r="AJ529" s="30">
        <f t="shared" si="243"/>
        <v>0</v>
      </c>
      <c r="AK529" s="121">
        <f>交易记录!Y284</f>
        <v>0</v>
      </c>
      <c r="AL529" s="121">
        <f>交易记录!Y315</f>
        <v>0</v>
      </c>
      <c r="AM529" s="30">
        <f t="shared" si="244"/>
        <v>0</v>
      </c>
      <c r="AN529" s="124">
        <f>交易记录!Y348</f>
        <v>0</v>
      </c>
      <c r="AO529" s="124">
        <f>交易记录!Y379</f>
        <v>0</v>
      </c>
      <c r="AP529" s="30">
        <f t="shared" si="245"/>
        <v>0</v>
      </c>
      <c r="AQ529" s="121">
        <f>交易记录!Y412</f>
        <v>0</v>
      </c>
      <c r="AR529" s="121">
        <f>交易记录!Y443</f>
        <v>0</v>
      </c>
      <c r="AS529" s="30">
        <f t="shared" si="246"/>
        <v>0</v>
      </c>
      <c r="AT529" s="124">
        <f>交易记录!Y476</f>
        <v>0</v>
      </c>
      <c r="AU529" s="124">
        <f>交易记录!Y507</f>
        <v>0</v>
      </c>
      <c r="AV529" s="30">
        <f t="shared" si="253"/>
        <v>0</v>
      </c>
      <c r="AW529" s="121">
        <f>交易记录!Y540</f>
        <v>0</v>
      </c>
      <c r="AX529" s="121">
        <f>交易记录!Y571</f>
        <v>0</v>
      </c>
      <c r="AY529" s="30">
        <f t="shared" si="254"/>
        <v>0</v>
      </c>
      <c r="AZ529" s="124">
        <f>交易记录!Y604</f>
        <v>0</v>
      </c>
      <c r="BA529" s="124">
        <f>交易记录!Y635</f>
        <v>0</v>
      </c>
      <c r="BB529" s="30">
        <f t="shared" si="255"/>
        <v>0</v>
      </c>
      <c r="BC529" s="121">
        <f>交易记录!Y668</f>
        <v>0</v>
      </c>
      <c r="BD529" s="121">
        <f>交易记录!Y699</f>
        <v>0</v>
      </c>
      <c r="BE529" s="30">
        <f t="shared" si="256"/>
        <v>0</v>
      </c>
      <c r="BF529" s="124">
        <f>交易记录!Y732</f>
        <v>0</v>
      </c>
      <c r="BG529" s="124">
        <f>交易记录!Y763</f>
        <v>0</v>
      </c>
      <c r="BH529" s="30">
        <f t="shared" si="257"/>
        <v>0</v>
      </c>
      <c r="BI529" s="121">
        <f>交易记录!Y796</f>
        <v>0</v>
      </c>
      <c r="BJ529" s="121">
        <f>交易记录!Y827</f>
        <v>0</v>
      </c>
      <c r="BK529" s="30">
        <f t="shared" si="258"/>
        <v>0</v>
      </c>
      <c r="BL529" s="124">
        <f>交易记录!Y860</f>
        <v>0</v>
      </c>
      <c r="BM529" s="124">
        <f>交易记录!Y891</f>
        <v>0</v>
      </c>
      <c r="BN529" s="30">
        <f t="shared" si="259"/>
        <v>0</v>
      </c>
      <c r="BO529" s="121">
        <f>交易记录!Y924</f>
        <v>0</v>
      </c>
      <c r="BP529" s="121">
        <f>交易记录!Y955</f>
        <v>0</v>
      </c>
      <c r="BQ529" s="30">
        <f t="shared" si="260"/>
        <v>0</v>
      </c>
    </row>
    <row r="530" spans="1:69" ht="15">
      <c r="A530" s="125">
        <f>'维护-日期'!A$25</f>
        <v>46288</v>
      </c>
      <c r="B530" s="7" t="s">
        <v>6</v>
      </c>
      <c r="C530" s="144">
        <f t="shared" si="261"/>
        <v>16.655999999999999</v>
      </c>
      <c r="D530" s="144">
        <f>ROUND(INDEX(持仓数据!$C$3:$AG$26,MATCH('计算过程-数据汇总'!B530,持仓数据!$B$3:$B$26,0),MATCH('计算过程-数据汇总'!A530,'维护-日期'!$B$2:$AF$2,0)),3)</f>
        <v>16.655999999999999</v>
      </c>
      <c r="E530" s="98">
        <f t="shared" si="262"/>
        <v>16.655999999999999</v>
      </c>
      <c r="F530" s="22">
        <f>持仓数据!Y72</f>
        <v>0.39700000000000002</v>
      </c>
      <c r="G530" s="97">
        <v>372</v>
      </c>
      <c r="H530" s="97">
        <v>372</v>
      </c>
      <c r="I530" s="64">
        <v>0</v>
      </c>
      <c r="J530" s="64">
        <v>0</v>
      </c>
      <c r="K530" s="21">
        <f>IF(持仓数据!Y105="",0,持仓数据!Y105)</f>
        <v>372</v>
      </c>
      <c r="L530" s="21">
        <f t="shared" si="263"/>
        <v>0</v>
      </c>
      <c r="M530" s="28">
        <f t="shared" si="247"/>
        <v>6196.0319999999992</v>
      </c>
      <c r="N530" s="28">
        <f t="shared" si="248"/>
        <v>0</v>
      </c>
      <c r="O530" s="28">
        <f t="shared" si="249"/>
        <v>0</v>
      </c>
      <c r="P530" s="28">
        <f t="shared" si="250"/>
        <v>0</v>
      </c>
      <c r="Q530" s="28">
        <f t="shared" si="264"/>
        <v>0</v>
      </c>
      <c r="R530" s="28">
        <f t="shared" si="251"/>
        <v>6196.0319999999992</v>
      </c>
      <c r="S530" s="28">
        <f t="shared" si="265"/>
        <v>0</v>
      </c>
      <c r="T530" s="28">
        <f t="shared" si="266"/>
        <v>0</v>
      </c>
      <c r="U530" s="28">
        <f t="shared" si="269"/>
        <v>0</v>
      </c>
      <c r="V530" s="28">
        <f t="shared" si="267"/>
        <v>0</v>
      </c>
      <c r="W530" s="118"/>
      <c r="X530" s="143">
        <f t="shared" si="268"/>
        <v>19.59</v>
      </c>
      <c r="Y530" s="121">
        <f>交易记录!Z5</f>
        <v>0.39700000000000002</v>
      </c>
      <c r="Z530" s="121">
        <f>交易记录!Z36</f>
        <v>372</v>
      </c>
      <c r="AA530" s="30">
        <f t="shared" si="252"/>
        <v>0</v>
      </c>
      <c r="AB530" s="124">
        <f>交易记录!Z69</f>
        <v>0</v>
      </c>
      <c r="AC530" s="124">
        <f>交易记录!Z100</f>
        <v>0</v>
      </c>
      <c r="AD530" s="30">
        <f t="shared" si="241"/>
        <v>0</v>
      </c>
      <c r="AE530" s="121">
        <f>交易记录!Z133</f>
        <v>0</v>
      </c>
      <c r="AF530" s="121">
        <f>交易记录!Z164</f>
        <v>0</v>
      </c>
      <c r="AG530" s="30">
        <f t="shared" si="242"/>
        <v>0</v>
      </c>
      <c r="AH530" s="124">
        <f>交易记录!Z197</f>
        <v>0</v>
      </c>
      <c r="AI530" s="124">
        <f>交易记录!Z228</f>
        <v>0</v>
      </c>
      <c r="AJ530" s="30">
        <f t="shared" si="243"/>
        <v>0</v>
      </c>
      <c r="AK530" s="121">
        <f>交易记录!Z261</f>
        <v>0</v>
      </c>
      <c r="AL530" s="121">
        <f>交易记录!Z292</f>
        <v>0</v>
      </c>
      <c r="AM530" s="30">
        <f t="shared" si="244"/>
        <v>0</v>
      </c>
      <c r="AN530" s="124">
        <f>交易记录!Z325</f>
        <v>0</v>
      </c>
      <c r="AO530" s="124">
        <f>交易记录!Z356</f>
        <v>0</v>
      </c>
      <c r="AP530" s="30">
        <f t="shared" si="245"/>
        <v>0</v>
      </c>
      <c r="AQ530" s="121">
        <f>交易记录!Z389</f>
        <v>0</v>
      </c>
      <c r="AR530" s="121">
        <f>交易记录!Z420</f>
        <v>0</v>
      </c>
      <c r="AS530" s="30">
        <f t="shared" si="246"/>
        <v>0</v>
      </c>
      <c r="AT530" s="124">
        <f>交易记录!Z453</f>
        <v>0</v>
      </c>
      <c r="AU530" s="124">
        <f>交易记录!Z484</f>
        <v>0</v>
      </c>
      <c r="AV530" s="30">
        <f t="shared" si="253"/>
        <v>0</v>
      </c>
      <c r="AW530" s="121">
        <f>交易记录!Z517</f>
        <v>0</v>
      </c>
      <c r="AX530" s="121">
        <f>交易记录!Z548</f>
        <v>0</v>
      </c>
      <c r="AY530" s="30">
        <f t="shared" si="254"/>
        <v>0</v>
      </c>
      <c r="AZ530" s="124">
        <f>交易记录!Z581</f>
        <v>0</v>
      </c>
      <c r="BA530" s="124">
        <f>交易记录!Z612</f>
        <v>0</v>
      </c>
      <c r="BB530" s="30">
        <f t="shared" si="255"/>
        <v>0</v>
      </c>
      <c r="BC530" s="121">
        <f>交易记录!Z645</f>
        <v>0</v>
      </c>
      <c r="BD530" s="121">
        <f>交易记录!Z676</f>
        <v>0</v>
      </c>
      <c r="BE530" s="30">
        <f t="shared" si="256"/>
        <v>0</v>
      </c>
      <c r="BF530" s="124">
        <f>交易记录!Z709</f>
        <v>0</v>
      </c>
      <c r="BG530" s="124">
        <f>交易记录!Z740</f>
        <v>0</v>
      </c>
      <c r="BH530" s="30">
        <f t="shared" si="257"/>
        <v>0</v>
      </c>
      <c r="BI530" s="121">
        <f>交易记录!Z773</f>
        <v>0</v>
      </c>
      <c r="BJ530" s="121">
        <f>交易记录!Z804</f>
        <v>0</v>
      </c>
      <c r="BK530" s="30">
        <f t="shared" si="258"/>
        <v>0</v>
      </c>
      <c r="BL530" s="124">
        <f>交易记录!Z837</f>
        <v>0</v>
      </c>
      <c r="BM530" s="124">
        <f>交易记录!Z868</f>
        <v>0</v>
      </c>
      <c r="BN530" s="30">
        <f t="shared" si="259"/>
        <v>0</v>
      </c>
      <c r="BO530" s="121">
        <f>交易记录!Z901</f>
        <v>0</v>
      </c>
      <c r="BP530" s="121">
        <f>交易记录!Z932</f>
        <v>0</v>
      </c>
      <c r="BQ530" s="30">
        <f t="shared" si="260"/>
        <v>0</v>
      </c>
    </row>
    <row r="531" spans="1:69" ht="15">
      <c r="A531" s="125">
        <f>'维护-日期'!A$25</f>
        <v>46288</v>
      </c>
      <c r="B531" s="7" t="s">
        <v>7</v>
      </c>
      <c r="C531" s="144">
        <f t="shared" si="261"/>
        <v>15.792</v>
      </c>
      <c r="D531" s="144">
        <f>ROUND(INDEX(持仓数据!$C$3:$AG$26,MATCH('计算过程-数据汇总'!B531,持仓数据!$B$3:$B$26,0),MATCH('计算过程-数据汇总'!A531,'维护-日期'!$B$2:$AF$2,0)),3)</f>
        <v>15.792</v>
      </c>
      <c r="E531" s="98">
        <f t="shared" si="262"/>
        <v>15.792</v>
      </c>
      <c r="F531" s="22">
        <f>持仓数据!Y73</f>
        <v>0.26500000000000001</v>
      </c>
      <c r="G531" s="97">
        <v>372</v>
      </c>
      <c r="H531" s="97">
        <v>372</v>
      </c>
      <c r="I531" s="64">
        <v>0</v>
      </c>
      <c r="J531" s="64">
        <v>0</v>
      </c>
      <c r="K531" s="21">
        <f>IF(持仓数据!Y106="",0,持仓数据!Y106)</f>
        <v>372</v>
      </c>
      <c r="L531" s="21">
        <f t="shared" si="263"/>
        <v>0</v>
      </c>
      <c r="M531" s="28">
        <f t="shared" si="247"/>
        <v>5874.6239999999998</v>
      </c>
      <c r="N531" s="28">
        <f t="shared" si="248"/>
        <v>0</v>
      </c>
      <c r="O531" s="28">
        <f t="shared" si="249"/>
        <v>0</v>
      </c>
      <c r="P531" s="28">
        <f t="shared" si="250"/>
        <v>0</v>
      </c>
      <c r="Q531" s="28">
        <f t="shared" si="264"/>
        <v>0</v>
      </c>
      <c r="R531" s="28">
        <f t="shared" si="251"/>
        <v>5874.6239999999998</v>
      </c>
      <c r="S531" s="28">
        <f t="shared" si="265"/>
        <v>0</v>
      </c>
      <c r="T531" s="28">
        <f t="shared" si="266"/>
        <v>0</v>
      </c>
      <c r="U531" s="28">
        <f t="shared" si="269"/>
        <v>0</v>
      </c>
      <c r="V531" s="28">
        <f t="shared" si="267"/>
        <v>0</v>
      </c>
      <c r="W531" s="118"/>
      <c r="X531" s="143">
        <f t="shared" si="268"/>
        <v>18.684999999999999</v>
      </c>
      <c r="Y531" s="121">
        <f>交易记录!Z6</f>
        <v>0.26500000000000001</v>
      </c>
      <c r="Z531" s="121">
        <f>交易记录!Z37</f>
        <v>372</v>
      </c>
      <c r="AA531" s="30">
        <f t="shared" si="252"/>
        <v>0</v>
      </c>
      <c r="AB531" s="124">
        <f>交易记录!Z70</f>
        <v>0</v>
      </c>
      <c r="AC531" s="124">
        <f>交易记录!Z101</f>
        <v>0</v>
      </c>
      <c r="AD531" s="30">
        <f t="shared" si="241"/>
        <v>0</v>
      </c>
      <c r="AE531" s="121">
        <f>交易记录!Z134</f>
        <v>0</v>
      </c>
      <c r="AF531" s="121">
        <f>交易记录!Z165</f>
        <v>0</v>
      </c>
      <c r="AG531" s="30">
        <f t="shared" si="242"/>
        <v>0</v>
      </c>
      <c r="AH531" s="124">
        <f>交易记录!Z198</f>
        <v>0</v>
      </c>
      <c r="AI531" s="124">
        <f>交易记录!Z229</f>
        <v>0</v>
      </c>
      <c r="AJ531" s="30">
        <f t="shared" si="243"/>
        <v>0</v>
      </c>
      <c r="AK531" s="121">
        <f>交易记录!Z262</f>
        <v>0</v>
      </c>
      <c r="AL531" s="121">
        <f>交易记录!Z293</f>
        <v>0</v>
      </c>
      <c r="AM531" s="30">
        <f t="shared" si="244"/>
        <v>0</v>
      </c>
      <c r="AN531" s="124">
        <f>交易记录!Z326</f>
        <v>0</v>
      </c>
      <c r="AO531" s="124">
        <f>交易记录!Z357</f>
        <v>0</v>
      </c>
      <c r="AP531" s="30">
        <f t="shared" si="245"/>
        <v>0</v>
      </c>
      <c r="AQ531" s="121">
        <f>交易记录!Z390</f>
        <v>0</v>
      </c>
      <c r="AR531" s="121">
        <f>交易记录!Z421</f>
        <v>0</v>
      </c>
      <c r="AS531" s="30">
        <f t="shared" si="246"/>
        <v>0</v>
      </c>
      <c r="AT531" s="124">
        <f>交易记录!Z454</f>
        <v>0</v>
      </c>
      <c r="AU531" s="124">
        <f>交易记录!Z485</f>
        <v>0</v>
      </c>
      <c r="AV531" s="30">
        <f t="shared" si="253"/>
        <v>0</v>
      </c>
      <c r="AW531" s="121">
        <f>交易记录!Z518</f>
        <v>0</v>
      </c>
      <c r="AX531" s="121">
        <f>交易记录!Z549</f>
        <v>0</v>
      </c>
      <c r="AY531" s="30">
        <f t="shared" si="254"/>
        <v>0</v>
      </c>
      <c r="AZ531" s="124">
        <f>交易记录!Z582</f>
        <v>0</v>
      </c>
      <c r="BA531" s="124">
        <f>交易记录!Z613</f>
        <v>0</v>
      </c>
      <c r="BB531" s="30">
        <f t="shared" si="255"/>
        <v>0</v>
      </c>
      <c r="BC531" s="121">
        <f>交易记录!Z646</f>
        <v>0</v>
      </c>
      <c r="BD531" s="121">
        <f>交易记录!Z677</f>
        <v>0</v>
      </c>
      <c r="BE531" s="30">
        <f t="shared" si="256"/>
        <v>0</v>
      </c>
      <c r="BF531" s="124">
        <f>交易记录!Z710</f>
        <v>0</v>
      </c>
      <c r="BG531" s="124">
        <f>交易记录!Z741</f>
        <v>0</v>
      </c>
      <c r="BH531" s="30">
        <f t="shared" si="257"/>
        <v>0</v>
      </c>
      <c r="BI531" s="121">
        <f>交易记录!Z774</f>
        <v>0</v>
      </c>
      <c r="BJ531" s="121">
        <f>交易记录!Z805</f>
        <v>0</v>
      </c>
      <c r="BK531" s="30">
        <f t="shared" si="258"/>
        <v>0</v>
      </c>
      <c r="BL531" s="124">
        <f>交易记录!Z838</f>
        <v>0</v>
      </c>
      <c r="BM531" s="124">
        <f>交易记录!Z869</f>
        <v>0</v>
      </c>
      <c r="BN531" s="30">
        <f t="shared" si="259"/>
        <v>0</v>
      </c>
      <c r="BO531" s="121">
        <f>交易记录!Z902</f>
        <v>0</v>
      </c>
      <c r="BP531" s="121">
        <f>交易记录!Z933</f>
        <v>0</v>
      </c>
      <c r="BQ531" s="30">
        <f t="shared" si="260"/>
        <v>0</v>
      </c>
    </row>
    <row r="532" spans="1:69" ht="15">
      <c r="A532" s="125">
        <f>'维护-日期'!A$25</f>
        <v>46288</v>
      </c>
      <c r="B532" s="7" t="s">
        <v>8</v>
      </c>
      <c r="C532" s="144">
        <f t="shared" si="261"/>
        <v>14.821999999999999</v>
      </c>
      <c r="D532" s="144">
        <f>ROUND(INDEX(持仓数据!$C$3:$AG$26,MATCH('计算过程-数据汇总'!B532,持仓数据!$B$3:$B$26,0),MATCH('计算过程-数据汇总'!A532,'维护-日期'!$B$2:$AF$2,0)),3)</f>
        <v>14.821999999999999</v>
      </c>
      <c r="E532" s="98">
        <f t="shared" si="262"/>
        <v>14.821999999999999</v>
      </c>
      <c r="F532" s="22">
        <f>持仓数据!Y74</f>
        <v>0.24199999999999999</v>
      </c>
      <c r="G532" s="97">
        <v>372</v>
      </c>
      <c r="H532" s="97">
        <v>372</v>
      </c>
      <c r="I532" s="64">
        <v>0</v>
      </c>
      <c r="J532" s="64">
        <v>0</v>
      </c>
      <c r="K532" s="21">
        <f>IF(持仓数据!Y107="",0,持仓数据!Y107)</f>
        <v>372</v>
      </c>
      <c r="L532" s="21">
        <f t="shared" si="263"/>
        <v>0</v>
      </c>
      <c r="M532" s="28">
        <f t="shared" si="247"/>
        <v>5513.7839999999997</v>
      </c>
      <c r="N532" s="28">
        <f t="shared" si="248"/>
        <v>0</v>
      </c>
      <c r="O532" s="28">
        <f t="shared" si="249"/>
        <v>0</v>
      </c>
      <c r="P532" s="28">
        <f t="shared" si="250"/>
        <v>0</v>
      </c>
      <c r="Q532" s="28">
        <f t="shared" si="264"/>
        <v>0</v>
      </c>
      <c r="R532" s="28">
        <f t="shared" si="251"/>
        <v>5513.7839999999997</v>
      </c>
      <c r="S532" s="28">
        <f t="shared" si="265"/>
        <v>0</v>
      </c>
      <c r="T532" s="28">
        <f t="shared" si="266"/>
        <v>0</v>
      </c>
      <c r="U532" s="28">
        <f t="shared" si="269"/>
        <v>0</v>
      </c>
      <c r="V532" s="28">
        <f t="shared" si="267"/>
        <v>0</v>
      </c>
      <c r="W532" s="118"/>
      <c r="X532" s="143">
        <f t="shared" si="268"/>
        <v>17.544</v>
      </c>
      <c r="Y532" s="121">
        <f>交易记录!Z7</f>
        <v>0.24199999999999999</v>
      </c>
      <c r="Z532" s="121">
        <f>交易记录!Z38</f>
        <v>372</v>
      </c>
      <c r="AA532" s="30">
        <f t="shared" si="252"/>
        <v>0</v>
      </c>
      <c r="AB532" s="124">
        <f>交易记录!Z71</f>
        <v>0</v>
      </c>
      <c r="AC532" s="124">
        <f>交易记录!Z102</f>
        <v>0</v>
      </c>
      <c r="AD532" s="30">
        <f t="shared" si="241"/>
        <v>0</v>
      </c>
      <c r="AE532" s="121">
        <f>交易记录!Z135</f>
        <v>0</v>
      </c>
      <c r="AF532" s="121">
        <f>交易记录!Z166</f>
        <v>0</v>
      </c>
      <c r="AG532" s="30">
        <f t="shared" si="242"/>
        <v>0</v>
      </c>
      <c r="AH532" s="124">
        <f>交易记录!Z199</f>
        <v>0</v>
      </c>
      <c r="AI532" s="124">
        <f>交易记录!Z230</f>
        <v>0</v>
      </c>
      <c r="AJ532" s="30">
        <f t="shared" si="243"/>
        <v>0</v>
      </c>
      <c r="AK532" s="121">
        <f>交易记录!Z263</f>
        <v>0</v>
      </c>
      <c r="AL532" s="121">
        <f>交易记录!Z294</f>
        <v>0</v>
      </c>
      <c r="AM532" s="30">
        <f t="shared" si="244"/>
        <v>0</v>
      </c>
      <c r="AN532" s="124">
        <f>交易记录!Z327</f>
        <v>0</v>
      </c>
      <c r="AO532" s="124">
        <f>交易记录!Z358</f>
        <v>0</v>
      </c>
      <c r="AP532" s="30">
        <f t="shared" si="245"/>
        <v>0</v>
      </c>
      <c r="AQ532" s="121">
        <f>交易记录!Z391</f>
        <v>0</v>
      </c>
      <c r="AR532" s="121">
        <f>交易记录!Z422</f>
        <v>0</v>
      </c>
      <c r="AS532" s="30">
        <f t="shared" si="246"/>
        <v>0</v>
      </c>
      <c r="AT532" s="124">
        <f>交易记录!Z455</f>
        <v>0</v>
      </c>
      <c r="AU532" s="124">
        <f>交易记录!Z486</f>
        <v>0</v>
      </c>
      <c r="AV532" s="30">
        <f t="shared" si="253"/>
        <v>0</v>
      </c>
      <c r="AW532" s="121">
        <f>交易记录!Z519</f>
        <v>0</v>
      </c>
      <c r="AX532" s="121">
        <f>交易记录!Z550</f>
        <v>0</v>
      </c>
      <c r="AY532" s="30">
        <f t="shared" si="254"/>
        <v>0</v>
      </c>
      <c r="AZ532" s="124">
        <f>交易记录!Z583</f>
        <v>0</v>
      </c>
      <c r="BA532" s="124">
        <f>交易记录!Z614</f>
        <v>0</v>
      </c>
      <c r="BB532" s="30">
        <f t="shared" si="255"/>
        <v>0</v>
      </c>
      <c r="BC532" s="121">
        <f>交易记录!Z647</f>
        <v>0</v>
      </c>
      <c r="BD532" s="121">
        <f>交易记录!Z678</f>
        <v>0</v>
      </c>
      <c r="BE532" s="30">
        <f t="shared" si="256"/>
        <v>0</v>
      </c>
      <c r="BF532" s="124">
        <f>交易记录!Z711</f>
        <v>0</v>
      </c>
      <c r="BG532" s="124">
        <f>交易记录!Z742</f>
        <v>0</v>
      </c>
      <c r="BH532" s="30">
        <f t="shared" si="257"/>
        <v>0</v>
      </c>
      <c r="BI532" s="121">
        <f>交易记录!Z775</f>
        <v>0</v>
      </c>
      <c r="BJ532" s="121">
        <f>交易记录!Z806</f>
        <v>0</v>
      </c>
      <c r="BK532" s="30">
        <f t="shared" si="258"/>
        <v>0</v>
      </c>
      <c r="BL532" s="124">
        <f>交易记录!Z839</f>
        <v>0</v>
      </c>
      <c r="BM532" s="124">
        <f>交易记录!Z870</f>
        <v>0</v>
      </c>
      <c r="BN532" s="30">
        <f t="shared" si="259"/>
        <v>0</v>
      </c>
      <c r="BO532" s="121">
        <f>交易记录!Z903</f>
        <v>0</v>
      </c>
      <c r="BP532" s="121">
        <f>交易记录!Z934</f>
        <v>0</v>
      </c>
      <c r="BQ532" s="30">
        <f t="shared" si="260"/>
        <v>0</v>
      </c>
    </row>
    <row r="533" spans="1:69" ht="15">
      <c r="A533" s="125">
        <f>'维护-日期'!A$25</f>
        <v>46288</v>
      </c>
      <c r="B533" s="7" t="s">
        <v>9</v>
      </c>
      <c r="C533" s="144">
        <f t="shared" si="261"/>
        <v>13.817</v>
      </c>
      <c r="D533" s="144">
        <f>ROUND(INDEX(持仓数据!$C$3:$AG$26,MATCH('计算过程-数据汇总'!B533,持仓数据!$B$3:$B$26,0),MATCH('计算过程-数据汇总'!A533,'维护-日期'!$B$2:$AF$2,0)),3)</f>
        <v>13.817</v>
      </c>
      <c r="E533" s="98">
        <f t="shared" si="262"/>
        <v>13.817</v>
      </c>
      <c r="F533" s="22">
        <f>持仓数据!Y75</f>
        <v>0.09</v>
      </c>
      <c r="G533" s="97">
        <v>372</v>
      </c>
      <c r="H533" s="97">
        <v>372</v>
      </c>
      <c r="I533" s="64">
        <v>0</v>
      </c>
      <c r="J533" s="64">
        <v>0</v>
      </c>
      <c r="K533" s="21">
        <f>IF(持仓数据!Y108="",0,持仓数据!Y108)</f>
        <v>372</v>
      </c>
      <c r="L533" s="21">
        <f t="shared" si="263"/>
        <v>0</v>
      </c>
      <c r="M533" s="28">
        <f t="shared" si="247"/>
        <v>5139.924</v>
      </c>
      <c r="N533" s="28">
        <f t="shared" si="248"/>
        <v>0</v>
      </c>
      <c r="O533" s="28">
        <f t="shared" si="249"/>
        <v>0</v>
      </c>
      <c r="P533" s="28">
        <f t="shared" si="250"/>
        <v>0</v>
      </c>
      <c r="Q533" s="28">
        <f t="shared" si="264"/>
        <v>0</v>
      </c>
      <c r="R533" s="28">
        <f t="shared" si="251"/>
        <v>5139.924</v>
      </c>
      <c r="S533" s="28">
        <f t="shared" si="265"/>
        <v>0</v>
      </c>
      <c r="T533" s="28">
        <f t="shared" si="266"/>
        <v>0</v>
      </c>
      <c r="U533" s="28">
        <f t="shared" si="269"/>
        <v>0</v>
      </c>
      <c r="V533" s="28">
        <f t="shared" si="267"/>
        <v>0</v>
      </c>
      <c r="W533" s="118"/>
      <c r="X533" s="143">
        <f t="shared" si="268"/>
        <v>16.489999999999998</v>
      </c>
      <c r="Y533" s="121">
        <f>交易记录!Z8</f>
        <v>0.09</v>
      </c>
      <c r="Z533" s="121">
        <f>交易记录!Z39</f>
        <v>372</v>
      </c>
      <c r="AA533" s="30">
        <f t="shared" si="252"/>
        <v>0</v>
      </c>
      <c r="AB533" s="124">
        <f>交易记录!Z72</f>
        <v>0</v>
      </c>
      <c r="AC533" s="124">
        <f>交易记录!Z103</f>
        <v>0</v>
      </c>
      <c r="AD533" s="30">
        <f t="shared" si="241"/>
        <v>0</v>
      </c>
      <c r="AE533" s="121">
        <f>交易记录!Z136</f>
        <v>0</v>
      </c>
      <c r="AF533" s="121">
        <f>交易记录!Z167</f>
        <v>0</v>
      </c>
      <c r="AG533" s="30">
        <f t="shared" si="242"/>
        <v>0</v>
      </c>
      <c r="AH533" s="124">
        <f>交易记录!Z200</f>
        <v>0</v>
      </c>
      <c r="AI533" s="124">
        <f>交易记录!Z231</f>
        <v>0</v>
      </c>
      <c r="AJ533" s="30">
        <f t="shared" si="243"/>
        <v>0</v>
      </c>
      <c r="AK533" s="121">
        <f>交易记录!Z264</f>
        <v>0</v>
      </c>
      <c r="AL533" s="121">
        <f>交易记录!Z295</f>
        <v>0</v>
      </c>
      <c r="AM533" s="30">
        <f t="shared" si="244"/>
        <v>0</v>
      </c>
      <c r="AN533" s="124">
        <f>交易记录!Z328</f>
        <v>0</v>
      </c>
      <c r="AO533" s="124">
        <f>交易记录!Z359</f>
        <v>0</v>
      </c>
      <c r="AP533" s="30">
        <f t="shared" si="245"/>
        <v>0</v>
      </c>
      <c r="AQ533" s="121">
        <f>交易记录!Z392</f>
        <v>0</v>
      </c>
      <c r="AR533" s="121">
        <f>交易记录!Z423</f>
        <v>0</v>
      </c>
      <c r="AS533" s="30">
        <f t="shared" si="246"/>
        <v>0</v>
      </c>
      <c r="AT533" s="124">
        <f>交易记录!Z456</f>
        <v>0</v>
      </c>
      <c r="AU533" s="124">
        <f>交易记录!Z487</f>
        <v>0</v>
      </c>
      <c r="AV533" s="30">
        <f t="shared" si="253"/>
        <v>0</v>
      </c>
      <c r="AW533" s="121">
        <f>交易记录!Z520</f>
        <v>0</v>
      </c>
      <c r="AX533" s="121">
        <f>交易记录!Z551</f>
        <v>0</v>
      </c>
      <c r="AY533" s="30">
        <f t="shared" si="254"/>
        <v>0</v>
      </c>
      <c r="AZ533" s="124">
        <f>交易记录!Z584</f>
        <v>0</v>
      </c>
      <c r="BA533" s="124">
        <f>交易记录!Z615</f>
        <v>0</v>
      </c>
      <c r="BB533" s="30">
        <f t="shared" si="255"/>
        <v>0</v>
      </c>
      <c r="BC533" s="121">
        <f>交易记录!Z648</f>
        <v>0</v>
      </c>
      <c r="BD533" s="121">
        <f>交易记录!Z679</f>
        <v>0</v>
      </c>
      <c r="BE533" s="30">
        <f t="shared" si="256"/>
        <v>0</v>
      </c>
      <c r="BF533" s="124">
        <f>交易记录!Z712</f>
        <v>0</v>
      </c>
      <c r="BG533" s="124">
        <f>交易记录!Z743</f>
        <v>0</v>
      </c>
      <c r="BH533" s="30">
        <f t="shared" si="257"/>
        <v>0</v>
      </c>
      <c r="BI533" s="121">
        <f>交易记录!Z776</f>
        <v>0</v>
      </c>
      <c r="BJ533" s="121">
        <f>交易记录!Z807</f>
        <v>0</v>
      </c>
      <c r="BK533" s="30">
        <f t="shared" si="258"/>
        <v>0</v>
      </c>
      <c r="BL533" s="124">
        <f>交易记录!Z840</f>
        <v>0</v>
      </c>
      <c r="BM533" s="124">
        <f>交易记录!Z871</f>
        <v>0</v>
      </c>
      <c r="BN533" s="30">
        <f t="shared" si="259"/>
        <v>0</v>
      </c>
      <c r="BO533" s="121">
        <f>交易记录!Z904</f>
        <v>0</v>
      </c>
      <c r="BP533" s="121">
        <f>交易记录!Z935</f>
        <v>0</v>
      </c>
      <c r="BQ533" s="30">
        <f t="shared" si="260"/>
        <v>0</v>
      </c>
    </row>
    <row r="534" spans="1:69" ht="15">
      <c r="A534" s="125">
        <f>'维护-日期'!A$25</f>
        <v>46288</v>
      </c>
      <c r="B534" s="7" t="s">
        <v>10</v>
      </c>
      <c r="C534" s="144">
        <f t="shared" si="261"/>
        <v>13.388</v>
      </c>
      <c r="D534" s="144">
        <f>ROUND(INDEX(持仓数据!$C$3:$AG$26,MATCH('计算过程-数据汇总'!B534,持仓数据!$B$3:$B$26,0),MATCH('计算过程-数据汇总'!A534,'维护-日期'!$B$2:$AF$2,0)),3)</f>
        <v>13.388</v>
      </c>
      <c r="E534" s="98">
        <f t="shared" si="262"/>
        <v>13.388</v>
      </c>
      <c r="F534" s="22">
        <f>持仓数据!Y76</f>
        <v>8.6999999999999994E-2</v>
      </c>
      <c r="G534" s="97">
        <v>372</v>
      </c>
      <c r="H534" s="97">
        <v>372</v>
      </c>
      <c r="I534" s="64">
        <v>0</v>
      </c>
      <c r="J534" s="64">
        <v>0</v>
      </c>
      <c r="K534" s="21">
        <f>IF(持仓数据!Y109="",0,持仓数据!Y109)</f>
        <v>372</v>
      </c>
      <c r="L534" s="21">
        <f t="shared" si="263"/>
        <v>0</v>
      </c>
      <c r="M534" s="28">
        <f t="shared" si="247"/>
        <v>4980.3360000000002</v>
      </c>
      <c r="N534" s="28">
        <f t="shared" si="248"/>
        <v>0</v>
      </c>
      <c r="O534" s="28">
        <f t="shared" si="249"/>
        <v>0</v>
      </c>
      <c r="P534" s="28">
        <f t="shared" si="250"/>
        <v>0</v>
      </c>
      <c r="Q534" s="28">
        <f t="shared" si="264"/>
        <v>0</v>
      </c>
      <c r="R534" s="28">
        <f t="shared" si="251"/>
        <v>4980.3360000000002</v>
      </c>
      <c r="S534" s="28">
        <f t="shared" si="265"/>
        <v>0</v>
      </c>
      <c r="T534" s="28">
        <f t="shared" si="266"/>
        <v>0</v>
      </c>
      <c r="U534" s="28">
        <f t="shared" si="269"/>
        <v>0</v>
      </c>
      <c r="V534" s="28">
        <f t="shared" si="267"/>
        <v>0</v>
      </c>
      <c r="W534" s="118"/>
      <c r="X534" s="143">
        <f t="shared" si="268"/>
        <v>15.978999999999999</v>
      </c>
      <c r="Y534" s="121">
        <f>交易记录!Z9</f>
        <v>8.6999999999999994E-2</v>
      </c>
      <c r="Z534" s="121">
        <f>交易记录!Z40</f>
        <v>372</v>
      </c>
      <c r="AA534" s="30">
        <f t="shared" si="252"/>
        <v>0</v>
      </c>
      <c r="AB534" s="124">
        <f>交易记录!Z73</f>
        <v>0</v>
      </c>
      <c r="AC534" s="124">
        <f>交易记录!Z104</f>
        <v>0</v>
      </c>
      <c r="AD534" s="30">
        <f t="shared" si="241"/>
        <v>0</v>
      </c>
      <c r="AE534" s="121">
        <f>交易记录!Z137</f>
        <v>0</v>
      </c>
      <c r="AF534" s="121">
        <f>交易记录!Z168</f>
        <v>0</v>
      </c>
      <c r="AG534" s="30">
        <f t="shared" si="242"/>
        <v>0</v>
      </c>
      <c r="AH534" s="124">
        <f>交易记录!Z201</f>
        <v>0</v>
      </c>
      <c r="AI534" s="124">
        <f>交易记录!Z232</f>
        <v>0</v>
      </c>
      <c r="AJ534" s="30">
        <f t="shared" si="243"/>
        <v>0</v>
      </c>
      <c r="AK534" s="121">
        <f>交易记录!Z265</f>
        <v>0</v>
      </c>
      <c r="AL534" s="121">
        <f>交易记录!Z296</f>
        <v>0</v>
      </c>
      <c r="AM534" s="30">
        <f t="shared" si="244"/>
        <v>0</v>
      </c>
      <c r="AN534" s="124">
        <f>交易记录!Z329</f>
        <v>0</v>
      </c>
      <c r="AO534" s="124">
        <f>交易记录!Z360</f>
        <v>0</v>
      </c>
      <c r="AP534" s="30">
        <f t="shared" si="245"/>
        <v>0</v>
      </c>
      <c r="AQ534" s="121">
        <f>交易记录!Z393</f>
        <v>0</v>
      </c>
      <c r="AR534" s="121">
        <f>交易记录!Z424</f>
        <v>0</v>
      </c>
      <c r="AS534" s="30">
        <f t="shared" si="246"/>
        <v>0</v>
      </c>
      <c r="AT534" s="124">
        <f>交易记录!Z457</f>
        <v>0</v>
      </c>
      <c r="AU534" s="124">
        <f>交易记录!Z488</f>
        <v>0</v>
      </c>
      <c r="AV534" s="30">
        <f t="shared" si="253"/>
        <v>0</v>
      </c>
      <c r="AW534" s="121">
        <f>交易记录!Z521</f>
        <v>0</v>
      </c>
      <c r="AX534" s="121">
        <f>交易记录!Z552</f>
        <v>0</v>
      </c>
      <c r="AY534" s="30">
        <f t="shared" si="254"/>
        <v>0</v>
      </c>
      <c r="AZ534" s="124">
        <f>交易记录!Z585</f>
        <v>0</v>
      </c>
      <c r="BA534" s="124">
        <f>交易记录!Z616</f>
        <v>0</v>
      </c>
      <c r="BB534" s="30">
        <f t="shared" si="255"/>
        <v>0</v>
      </c>
      <c r="BC534" s="121">
        <f>交易记录!Z649</f>
        <v>0</v>
      </c>
      <c r="BD534" s="121">
        <f>交易记录!Z680</f>
        <v>0</v>
      </c>
      <c r="BE534" s="30">
        <f t="shared" si="256"/>
        <v>0</v>
      </c>
      <c r="BF534" s="124">
        <f>交易记录!Z713</f>
        <v>0</v>
      </c>
      <c r="BG534" s="124">
        <f>交易记录!Z744</f>
        <v>0</v>
      </c>
      <c r="BH534" s="30">
        <f t="shared" si="257"/>
        <v>0</v>
      </c>
      <c r="BI534" s="121">
        <f>交易记录!Z777</f>
        <v>0</v>
      </c>
      <c r="BJ534" s="121">
        <f>交易记录!Z808</f>
        <v>0</v>
      </c>
      <c r="BK534" s="30">
        <f t="shared" si="258"/>
        <v>0</v>
      </c>
      <c r="BL534" s="124">
        <f>交易记录!Z841</f>
        <v>0</v>
      </c>
      <c r="BM534" s="124">
        <f>交易记录!Z872</f>
        <v>0</v>
      </c>
      <c r="BN534" s="30">
        <f t="shared" si="259"/>
        <v>0</v>
      </c>
      <c r="BO534" s="121">
        <f>交易记录!Z905</f>
        <v>0</v>
      </c>
      <c r="BP534" s="121">
        <f>交易记录!Z936</f>
        <v>0</v>
      </c>
      <c r="BQ534" s="30">
        <f t="shared" si="260"/>
        <v>0</v>
      </c>
    </row>
    <row r="535" spans="1:69" ht="15">
      <c r="A535" s="125">
        <f>'维护-日期'!A$25</f>
        <v>46288</v>
      </c>
      <c r="B535" s="7" t="s">
        <v>11</v>
      </c>
      <c r="C535" s="144">
        <f t="shared" si="261"/>
        <v>13.087</v>
      </c>
      <c r="D535" s="144">
        <f>ROUND(INDEX(持仓数据!$C$3:$AG$26,MATCH('计算过程-数据汇总'!B535,持仓数据!$B$3:$B$26,0),MATCH('计算过程-数据汇总'!A535,'维护-日期'!$B$2:$AF$2,0)),3)</f>
        <v>13.087</v>
      </c>
      <c r="E535" s="98">
        <f t="shared" si="262"/>
        <v>13.087</v>
      </c>
      <c r="F535" s="22">
        <f>持仓数据!Y77</f>
        <v>8.6999999999999994E-2</v>
      </c>
      <c r="G535" s="97">
        <v>372</v>
      </c>
      <c r="H535" s="97">
        <v>372</v>
      </c>
      <c r="I535" s="64">
        <v>0</v>
      </c>
      <c r="J535" s="64">
        <v>0</v>
      </c>
      <c r="K535" s="21">
        <f>IF(持仓数据!Y110="",0,持仓数据!Y110)</f>
        <v>372</v>
      </c>
      <c r="L535" s="21">
        <f t="shared" si="263"/>
        <v>0</v>
      </c>
      <c r="M535" s="28">
        <f t="shared" si="247"/>
        <v>4868.3639999999996</v>
      </c>
      <c r="N535" s="28">
        <f t="shared" si="248"/>
        <v>0</v>
      </c>
      <c r="O535" s="28">
        <f t="shared" si="249"/>
        <v>0</v>
      </c>
      <c r="P535" s="28">
        <f t="shared" si="250"/>
        <v>0</v>
      </c>
      <c r="Q535" s="28">
        <f t="shared" si="264"/>
        <v>0</v>
      </c>
      <c r="R535" s="28">
        <f t="shared" si="251"/>
        <v>4868.3639999999996</v>
      </c>
      <c r="S535" s="28">
        <f t="shared" si="265"/>
        <v>0</v>
      </c>
      <c r="T535" s="28">
        <f t="shared" si="266"/>
        <v>0</v>
      </c>
      <c r="U535" s="28">
        <f t="shared" si="269"/>
        <v>0</v>
      </c>
      <c r="V535" s="28">
        <f t="shared" si="267"/>
        <v>0</v>
      </c>
      <c r="W535" s="118"/>
      <c r="X535" s="143">
        <f t="shared" si="268"/>
        <v>15.617000000000001</v>
      </c>
      <c r="Y535" s="121">
        <f>交易记录!Z10</f>
        <v>8.6999999999999994E-2</v>
      </c>
      <c r="Z535" s="121">
        <f>交易记录!Z41</f>
        <v>372</v>
      </c>
      <c r="AA535" s="30">
        <f t="shared" si="252"/>
        <v>0</v>
      </c>
      <c r="AB535" s="124">
        <f>交易记录!Z74</f>
        <v>0</v>
      </c>
      <c r="AC535" s="124">
        <f>交易记录!Z105</f>
        <v>0</v>
      </c>
      <c r="AD535" s="30">
        <f t="shared" si="241"/>
        <v>0</v>
      </c>
      <c r="AE535" s="121">
        <f>交易记录!Z138</f>
        <v>0</v>
      </c>
      <c r="AF535" s="121">
        <f>交易记录!Z169</f>
        <v>0</v>
      </c>
      <c r="AG535" s="30">
        <f t="shared" si="242"/>
        <v>0</v>
      </c>
      <c r="AH535" s="124">
        <f>交易记录!Z202</f>
        <v>0</v>
      </c>
      <c r="AI535" s="124">
        <f>交易记录!Z233</f>
        <v>0</v>
      </c>
      <c r="AJ535" s="30">
        <f t="shared" si="243"/>
        <v>0</v>
      </c>
      <c r="AK535" s="121">
        <f>交易记录!Z266</f>
        <v>0</v>
      </c>
      <c r="AL535" s="121">
        <f>交易记录!Z297</f>
        <v>0</v>
      </c>
      <c r="AM535" s="30">
        <f t="shared" si="244"/>
        <v>0</v>
      </c>
      <c r="AN535" s="124">
        <f>交易记录!Z330</f>
        <v>0</v>
      </c>
      <c r="AO535" s="124">
        <f>交易记录!Z361</f>
        <v>0</v>
      </c>
      <c r="AP535" s="30">
        <f t="shared" si="245"/>
        <v>0</v>
      </c>
      <c r="AQ535" s="121">
        <f>交易记录!Z394</f>
        <v>0</v>
      </c>
      <c r="AR535" s="121">
        <f>交易记录!Z425</f>
        <v>0</v>
      </c>
      <c r="AS535" s="30">
        <f t="shared" si="246"/>
        <v>0</v>
      </c>
      <c r="AT535" s="124">
        <f>交易记录!Z458</f>
        <v>0</v>
      </c>
      <c r="AU535" s="124">
        <f>交易记录!Z489</f>
        <v>0</v>
      </c>
      <c r="AV535" s="30">
        <f t="shared" si="253"/>
        <v>0</v>
      </c>
      <c r="AW535" s="121">
        <f>交易记录!Z522</f>
        <v>0</v>
      </c>
      <c r="AX535" s="121">
        <f>交易记录!Z553</f>
        <v>0</v>
      </c>
      <c r="AY535" s="30">
        <f t="shared" si="254"/>
        <v>0</v>
      </c>
      <c r="AZ535" s="124">
        <f>交易记录!Z586</f>
        <v>0</v>
      </c>
      <c r="BA535" s="124">
        <f>交易记录!Z617</f>
        <v>0</v>
      </c>
      <c r="BB535" s="30">
        <f t="shared" si="255"/>
        <v>0</v>
      </c>
      <c r="BC535" s="121">
        <f>交易记录!Z650</f>
        <v>0</v>
      </c>
      <c r="BD535" s="121">
        <f>交易记录!Z681</f>
        <v>0</v>
      </c>
      <c r="BE535" s="30">
        <f t="shared" si="256"/>
        <v>0</v>
      </c>
      <c r="BF535" s="124">
        <f>交易记录!Z714</f>
        <v>0</v>
      </c>
      <c r="BG535" s="124">
        <f>交易记录!Z745</f>
        <v>0</v>
      </c>
      <c r="BH535" s="30">
        <f t="shared" si="257"/>
        <v>0</v>
      </c>
      <c r="BI535" s="121">
        <f>交易记录!Z778</f>
        <v>0</v>
      </c>
      <c r="BJ535" s="121">
        <f>交易记录!Z809</f>
        <v>0</v>
      </c>
      <c r="BK535" s="30">
        <f t="shared" si="258"/>
        <v>0</v>
      </c>
      <c r="BL535" s="124">
        <f>交易记录!Z842</f>
        <v>0</v>
      </c>
      <c r="BM535" s="124">
        <f>交易记录!Z873</f>
        <v>0</v>
      </c>
      <c r="BN535" s="30">
        <f t="shared" si="259"/>
        <v>0</v>
      </c>
      <c r="BO535" s="121">
        <f>交易记录!Z906</f>
        <v>0</v>
      </c>
      <c r="BP535" s="121">
        <f>交易记录!Z937</f>
        <v>0</v>
      </c>
      <c r="BQ535" s="30">
        <f t="shared" si="260"/>
        <v>0</v>
      </c>
    </row>
    <row r="536" spans="1:69" ht="15">
      <c r="A536" s="125">
        <f>'维护-日期'!A$25</f>
        <v>46288</v>
      </c>
      <c r="B536" s="7" t="s">
        <v>12</v>
      </c>
      <c r="C536" s="144">
        <f t="shared" si="261"/>
        <v>12.95</v>
      </c>
      <c r="D536" s="144">
        <f>ROUND(INDEX(持仓数据!$C$3:$AG$26,MATCH('计算过程-数据汇总'!B536,持仓数据!$B$3:$B$26,0),MATCH('计算过程-数据汇总'!A536,'维护-日期'!$B$2:$AF$2,0)),3)</f>
        <v>12.95</v>
      </c>
      <c r="E536" s="98">
        <f t="shared" si="262"/>
        <v>12.95</v>
      </c>
      <c r="F536" s="22">
        <f>持仓数据!Y78</f>
        <v>0.14499999999999999</v>
      </c>
      <c r="G536" s="97">
        <v>372</v>
      </c>
      <c r="H536" s="97">
        <v>372</v>
      </c>
      <c r="I536" s="64">
        <v>0</v>
      </c>
      <c r="J536" s="64">
        <v>0</v>
      </c>
      <c r="K536" s="21">
        <f>IF(持仓数据!Y111="",0,持仓数据!Y111)</f>
        <v>372</v>
      </c>
      <c r="L536" s="21">
        <f t="shared" si="263"/>
        <v>0</v>
      </c>
      <c r="M536" s="28">
        <f t="shared" si="247"/>
        <v>4817.3999999999996</v>
      </c>
      <c r="N536" s="28">
        <f t="shared" si="248"/>
        <v>0</v>
      </c>
      <c r="O536" s="28">
        <f t="shared" si="249"/>
        <v>0</v>
      </c>
      <c r="P536" s="28">
        <f t="shared" si="250"/>
        <v>0</v>
      </c>
      <c r="Q536" s="28">
        <f t="shared" si="264"/>
        <v>0</v>
      </c>
      <c r="R536" s="28">
        <f t="shared" si="251"/>
        <v>4817.3999999999996</v>
      </c>
      <c r="S536" s="28">
        <f t="shared" si="265"/>
        <v>0</v>
      </c>
      <c r="T536" s="28">
        <f t="shared" si="266"/>
        <v>0</v>
      </c>
      <c r="U536" s="28">
        <f t="shared" si="269"/>
        <v>0</v>
      </c>
      <c r="V536" s="28">
        <f t="shared" si="267"/>
        <v>0</v>
      </c>
      <c r="W536" s="118"/>
      <c r="X536" s="143">
        <f t="shared" si="268"/>
        <v>15.395</v>
      </c>
      <c r="Y536" s="121">
        <f>交易记录!Z11</f>
        <v>0.14499999999999999</v>
      </c>
      <c r="Z536" s="121">
        <f>交易记录!Z42</f>
        <v>372</v>
      </c>
      <c r="AA536" s="30">
        <f t="shared" si="252"/>
        <v>0</v>
      </c>
      <c r="AB536" s="124">
        <f>交易记录!Z75</f>
        <v>0</v>
      </c>
      <c r="AC536" s="124">
        <f>交易记录!Z106</f>
        <v>0</v>
      </c>
      <c r="AD536" s="30">
        <f t="shared" si="241"/>
        <v>0</v>
      </c>
      <c r="AE536" s="121">
        <f>交易记录!Z139</f>
        <v>0</v>
      </c>
      <c r="AF536" s="121">
        <f>交易记录!Z170</f>
        <v>0</v>
      </c>
      <c r="AG536" s="30">
        <f t="shared" si="242"/>
        <v>0</v>
      </c>
      <c r="AH536" s="124">
        <f>交易记录!Z203</f>
        <v>0</v>
      </c>
      <c r="AI536" s="124">
        <f>交易记录!Z234</f>
        <v>0</v>
      </c>
      <c r="AJ536" s="30">
        <f t="shared" si="243"/>
        <v>0</v>
      </c>
      <c r="AK536" s="121">
        <f>交易记录!Z267</f>
        <v>0</v>
      </c>
      <c r="AL536" s="121">
        <f>交易记录!Z298</f>
        <v>0</v>
      </c>
      <c r="AM536" s="30">
        <f t="shared" si="244"/>
        <v>0</v>
      </c>
      <c r="AN536" s="124">
        <f>交易记录!Z331</f>
        <v>0</v>
      </c>
      <c r="AO536" s="124">
        <f>交易记录!Z362</f>
        <v>0</v>
      </c>
      <c r="AP536" s="30">
        <f t="shared" si="245"/>
        <v>0</v>
      </c>
      <c r="AQ536" s="121">
        <f>交易记录!Z395</f>
        <v>0</v>
      </c>
      <c r="AR536" s="121">
        <f>交易记录!Z426</f>
        <v>0</v>
      </c>
      <c r="AS536" s="30">
        <f t="shared" si="246"/>
        <v>0</v>
      </c>
      <c r="AT536" s="124">
        <f>交易记录!Z459</f>
        <v>0</v>
      </c>
      <c r="AU536" s="124">
        <f>交易记录!Z490</f>
        <v>0</v>
      </c>
      <c r="AV536" s="30">
        <f t="shared" si="253"/>
        <v>0</v>
      </c>
      <c r="AW536" s="121">
        <f>交易记录!Z523</f>
        <v>0</v>
      </c>
      <c r="AX536" s="121">
        <f>交易记录!Z554</f>
        <v>0</v>
      </c>
      <c r="AY536" s="30">
        <f t="shared" si="254"/>
        <v>0</v>
      </c>
      <c r="AZ536" s="124">
        <f>交易记录!Z587</f>
        <v>0</v>
      </c>
      <c r="BA536" s="124">
        <f>交易记录!Z618</f>
        <v>0</v>
      </c>
      <c r="BB536" s="30">
        <f t="shared" si="255"/>
        <v>0</v>
      </c>
      <c r="BC536" s="121">
        <f>交易记录!Z651</f>
        <v>0</v>
      </c>
      <c r="BD536" s="121">
        <f>交易记录!Z682</f>
        <v>0</v>
      </c>
      <c r="BE536" s="30">
        <f t="shared" si="256"/>
        <v>0</v>
      </c>
      <c r="BF536" s="124">
        <f>交易记录!Z715</f>
        <v>0</v>
      </c>
      <c r="BG536" s="124">
        <f>交易记录!Z746</f>
        <v>0</v>
      </c>
      <c r="BH536" s="30">
        <f t="shared" si="257"/>
        <v>0</v>
      </c>
      <c r="BI536" s="121">
        <f>交易记录!Z779</f>
        <v>0</v>
      </c>
      <c r="BJ536" s="121">
        <f>交易记录!Z810</f>
        <v>0</v>
      </c>
      <c r="BK536" s="30">
        <f t="shared" si="258"/>
        <v>0</v>
      </c>
      <c r="BL536" s="124">
        <f>交易记录!Z843</f>
        <v>0</v>
      </c>
      <c r="BM536" s="124">
        <f>交易记录!Z874</f>
        <v>0</v>
      </c>
      <c r="BN536" s="30">
        <f t="shared" si="259"/>
        <v>0</v>
      </c>
      <c r="BO536" s="121">
        <f>交易记录!Z907</f>
        <v>0</v>
      </c>
      <c r="BP536" s="121">
        <f>交易记录!Z938</f>
        <v>0</v>
      </c>
      <c r="BQ536" s="30">
        <f t="shared" si="260"/>
        <v>0</v>
      </c>
    </row>
    <row r="537" spans="1:69" ht="15">
      <c r="A537" s="125">
        <f>'维护-日期'!A$25</f>
        <v>46288</v>
      </c>
      <c r="B537" s="7" t="s">
        <v>13</v>
      </c>
      <c r="C537" s="144">
        <f t="shared" si="261"/>
        <v>13.266999999999999</v>
      </c>
      <c r="D537" s="144">
        <f>ROUND(INDEX(持仓数据!$C$3:$AG$26,MATCH('计算过程-数据汇总'!B537,持仓数据!$B$3:$B$26,0),MATCH('计算过程-数据汇总'!A537,'维护-日期'!$B$2:$AF$2,0)),3)</f>
        <v>13.266999999999999</v>
      </c>
      <c r="E537" s="98">
        <f t="shared" si="262"/>
        <v>13.266999999999999</v>
      </c>
      <c r="F537" s="22">
        <f>持仓数据!Y79</f>
        <v>0.307</v>
      </c>
      <c r="G537" s="97">
        <v>372</v>
      </c>
      <c r="H537" s="97">
        <v>372</v>
      </c>
      <c r="I537" s="64">
        <v>0</v>
      </c>
      <c r="J537" s="64">
        <v>0</v>
      </c>
      <c r="K537" s="21">
        <f>IF(持仓数据!Y112="",0,持仓数据!Y112)</f>
        <v>372</v>
      </c>
      <c r="L537" s="21">
        <f t="shared" si="263"/>
        <v>0</v>
      </c>
      <c r="M537" s="28">
        <f t="shared" si="247"/>
        <v>4935.3239999999996</v>
      </c>
      <c r="N537" s="28">
        <f t="shared" si="248"/>
        <v>0</v>
      </c>
      <c r="O537" s="28">
        <f t="shared" si="249"/>
        <v>0</v>
      </c>
      <c r="P537" s="28">
        <f t="shared" si="250"/>
        <v>0</v>
      </c>
      <c r="Q537" s="28">
        <f t="shared" si="264"/>
        <v>0</v>
      </c>
      <c r="R537" s="28">
        <f t="shared" si="251"/>
        <v>4935.3239999999996</v>
      </c>
      <c r="S537" s="28">
        <f t="shared" si="265"/>
        <v>0</v>
      </c>
      <c r="T537" s="28">
        <f t="shared" si="266"/>
        <v>0</v>
      </c>
      <c r="U537" s="28">
        <f t="shared" si="269"/>
        <v>0</v>
      </c>
      <c r="V537" s="28">
        <f t="shared" si="267"/>
        <v>0</v>
      </c>
      <c r="W537" s="118"/>
      <c r="X537" s="143">
        <f t="shared" si="268"/>
        <v>15.613</v>
      </c>
      <c r="Y537" s="121">
        <f>交易记录!Z12</f>
        <v>0.307</v>
      </c>
      <c r="Z537" s="121">
        <f>交易记录!Z43</f>
        <v>372</v>
      </c>
      <c r="AA537" s="30">
        <f t="shared" si="252"/>
        <v>0</v>
      </c>
      <c r="AB537" s="124">
        <f>交易记录!Z76</f>
        <v>0</v>
      </c>
      <c r="AC537" s="124">
        <f>交易记录!Z107</f>
        <v>0</v>
      </c>
      <c r="AD537" s="30">
        <f t="shared" si="241"/>
        <v>0</v>
      </c>
      <c r="AE537" s="121">
        <f>交易记录!Z140</f>
        <v>0</v>
      </c>
      <c r="AF537" s="121">
        <f>交易记录!Z171</f>
        <v>0</v>
      </c>
      <c r="AG537" s="30">
        <f t="shared" si="242"/>
        <v>0</v>
      </c>
      <c r="AH537" s="124">
        <f>交易记录!Z204</f>
        <v>0</v>
      </c>
      <c r="AI537" s="124">
        <f>交易记录!Z235</f>
        <v>0</v>
      </c>
      <c r="AJ537" s="30">
        <f t="shared" si="243"/>
        <v>0</v>
      </c>
      <c r="AK537" s="121">
        <f>交易记录!Z268</f>
        <v>0</v>
      </c>
      <c r="AL537" s="121">
        <f>交易记录!Z299</f>
        <v>0</v>
      </c>
      <c r="AM537" s="30">
        <f t="shared" si="244"/>
        <v>0</v>
      </c>
      <c r="AN537" s="124">
        <f>交易记录!Z332</f>
        <v>0</v>
      </c>
      <c r="AO537" s="124">
        <f>交易记录!Z363</f>
        <v>0</v>
      </c>
      <c r="AP537" s="30">
        <f t="shared" si="245"/>
        <v>0</v>
      </c>
      <c r="AQ537" s="121">
        <f>交易记录!Z396</f>
        <v>0</v>
      </c>
      <c r="AR537" s="121">
        <f>交易记录!Z427</f>
        <v>0</v>
      </c>
      <c r="AS537" s="30">
        <f t="shared" si="246"/>
        <v>0</v>
      </c>
      <c r="AT537" s="124">
        <f>交易记录!Z460</f>
        <v>0</v>
      </c>
      <c r="AU537" s="124">
        <f>交易记录!Z491</f>
        <v>0</v>
      </c>
      <c r="AV537" s="30">
        <f t="shared" si="253"/>
        <v>0</v>
      </c>
      <c r="AW537" s="121">
        <f>交易记录!Z524</f>
        <v>0</v>
      </c>
      <c r="AX537" s="121">
        <f>交易记录!Z555</f>
        <v>0</v>
      </c>
      <c r="AY537" s="30">
        <f t="shared" si="254"/>
        <v>0</v>
      </c>
      <c r="AZ537" s="124">
        <f>交易记录!Z588</f>
        <v>0</v>
      </c>
      <c r="BA537" s="124">
        <f>交易记录!Z619</f>
        <v>0</v>
      </c>
      <c r="BB537" s="30">
        <f t="shared" si="255"/>
        <v>0</v>
      </c>
      <c r="BC537" s="121">
        <f>交易记录!Z652</f>
        <v>0</v>
      </c>
      <c r="BD537" s="121">
        <f>交易记录!Z683</f>
        <v>0</v>
      </c>
      <c r="BE537" s="30">
        <f t="shared" si="256"/>
        <v>0</v>
      </c>
      <c r="BF537" s="124">
        <f>交易记录!Z716</f>
        <v>0</v>
      </c>
      <c r="BG537" s="124">
        <f>交易记录!Z747</f>
        <v>0</v>
      </c>
      <c r="BH537" s="30">
        <f t="shared" si="257"/>
        <v>0</v>
      </c>
      <c r="BI537" s="121">
        <f>交易记录!Z780</f>
        <v>0</v>
      </c>
      <c r="BJ537" s="121">
        <f>交易记录!Z811</f>
        <v>0</v>
      </c>
      <c r="BK537" s="30">
        <f t="shared" si="258"/>
        <v>0</v>
      </c>
      <c r="BL537" s="124">
        <f>交易记录!Z844</f>
        <v>0</v>
      </c>
      <c r="BM537" s="124">
        <f>交易记录!Z875</f>
        <v>0</v>
      </c>
      <c r="BN537" s="30">
        <f t="shared" si="259"/>
        <v>0</v>
      </c>
      <c r="BO537" s="121">
        <f>交易记录!Z908</f>
        <v>0</v>
      </c>
      <c r="BP537" s="121">
        <f>交易记录!Z939</f>
        <v>0</v>
      </c>
      <c r="BQ537" s="30">
        <f t="shared" si="260"/>
        <v>0</v>
      </c>
    </row>
    <row r="538" spans="1:69" ht="15">
      <c r="A538" s="125">
        <f>'维护-日期'!A$25</f>
        <v>46288</v>
      </c>
      <c r="B538" s="7" t="s">
        <v>14</v>
      </c>
      <c r="C538" s="144">
        <f t="shared" si="261"/>
        <v>15.795999999999999</v>
      </c>
      <c r="D538" s="144">
        <f>ROUND(INDEX(持仓数据!$C$3:$AG$26,MATCH('计算过程-数据汇总'!B538,持仓数据!$B$3:$B$26,0),MATCH('计算过程-数据汇总'!A538,'维护-日期'!$B$2:$AF$2,0)),3)</f>
        <v>15.795999999999999</v>
      </c>
      <c r="E538" s="98">
        <f t="shared" si="262"/>
        <v>15.795999999999999</v>
      </c>
      <c r="F538" s="22">
        <f>持仓数据!Y80</f>
        <v>0.42800000000000005</v>
      </c>
      <c r="G538" s="97">
        <v>372</v>
      </c>
      <c r="H538" s="97">
        <v>372</v>
      </c>
      <c r="I538" s="64">
        <v>0</v>
      </c>
      <c r="J538" s="64">
        <v>0</v>
      </c>
      <c r="K538" s="21">
        <f>IF(持仓数据!Y113="",0,持仓数据!Y113)</f>
        <v>372</v>
      </c>
      <c r="L538" s="21">
        <f t="shared" si="263"/>
        <v>0</v>
      </c>
      <c r="M538" s="28">
        <f t="shared" si="247"/>
        <v>5876.1120000000001</v>
      </c>
      <c r="N538" s="28">
        <f t="shared" si="248"/>
        <v>0</v>
      </c>
      <c r="O538" s="28">
        <f t="shared" si="249"/>
        <v>0</v>
      </c>
      <c r="P538" s="28">
        <f t="shared" si="250"/>
        <v>0</v>
      </c>
      <c r="Q538" s="28">
        <f t="shared" si="264"/>
        <v>0</v>
      </c>
      <c r="R538" s="28">
        <f t="shared" si="251"/>
        <v>5876.1120000000001</v>
      </c>
      <c r="S538" s="28">
        <f t="shared" si="265"/>
        <v>0</v>
      </c>
      <c r="T538" s="28">
        <f t="shared" si="266"/>
        <v>0</v>
      </c>
      <c r="U538" s="28">
        <f t="shared" si="269"/>
        <v>0</v>
      </c>
      <c r="V538" s="28">
        <f t="shared" si="267"/>
        <v>0</v>
      </c>
      <c r="W538" s="118"/>
      <c r="X538" s="143">
        <f t="shared" si="268"/>
        <v>18.527000000000001</v>
      </c>
      <c r="Y538" s="121">
        <f>交易记录!Z13</f>
        <v>0.42800000000000005</v>
      </c>
      <c r="Z538" s="121">
        <f>交易记录!Z44</f>
        <v>372</v>
      </c>
      <c r="AA538" s="30">
        <f t="shared" si="252"/>
        <v>0</v>
      </c>
      <c r="AB538" s="124">
        <f>交易记录!Z77</f>
        <v>0</v>
      </c>
      <c r="AC538" s="124">
        <f>交易记录!Z108</f>
        <v>0</v>
      </c>
      <c r="AD538" s="30">
        <f t="shared" si="241"/>
        <v>0</v>
      </c>
      <c r="AE538" s="121">
        <f>交易记录!Z141</f>
        <v>0</v>
      </c>
      <c r="AF538" s="121">
        <f>交易记录!Z172</f>
        <v>0</v>
      </c>
      <c r="AG538" s="30">
        <f t="shared" si="242"/>
        <v>0</v>
      </c>
      <c r="AH538" s="124">
        <f>交易记录!Z205</f>
        <v>0</v>
      </c>
      <c r="AI538" s="124">
        <f>交易记录!Z236</f>
        <v>0</v>
      </c>
      <c r="AJ538" s="30">
        <f t="shared" si="243"/>
        <v>0</v>
      </c>
      <c r="AK538" s="121">
        <f>交易记录!Z269</f>
        <v>0</v>
      </c>
      <c r="AL538" s="121">
        <f>交易记录!Z300</f>
        <v>0</v>
      </c>
      <c r="AM538" s="30">
        <f t="shared" si="244"/>
        <v>0</v>
      </c>
      <c r="AN538" s="124">
        <f>交易记录!Z333</f>
        <v>0</v>
      </c>
      <c r="AO538" s="124">
        <f>交易记录!Z364</f>
        <v>0</v>
      </c>
      <c r="AP538" s="30">
        <f t="shared" si="245"/>
        <v>0</v>
      </c>
      <c r="AQ538" s="121">
        <f>交易记录!Z397</f>
        <v>0</v>
      </c>
      <c r="AR538" s="121">
        <f>交易记录!Z428</f>
        <v>0</v>
      </c>
      <c r="AS538" s="30">
        <f t="shared" si="246"/>
        <v>0</v>
      </c>
      <c r="AT538" s="124">
        <f>交易记录!Z461</f>
        <v>0</v>
      </c>
      <c r="AU538" s="124">
        <f>交易记录!Z492</f>
        <v>0</v>
      </c>
      <c r="AV538" s="30">
        <f t="shared" si="253"/>
        <v>0</v>
      </c>
      <c r="AW538" s="121">
        <f>交易记录!Z525</f>
        <v>0</v>
      </c>
      <c r="AX538" s="121">
        <f>交易记录!Z556</f>
        <v>0</v>
      </c>
      <c r="AY538" s="30">
        <f t="shared" si="254"/>
        <v>0</v>
      </c>
      <c r="AZ538" s="124">
        <f>交易记录!Z589</f>
        <v>0</v>
      </c>
      <c r="BA538" s="124">
        <f>交易记录!Z620</f>
        <v>0</v>
      </c>
      <c r="BB538" s="30">
        <f t="shared" si="255"/>
        <v>0</v>
      </c>
      <c r="BC538" s="121">
        <f>交易记录!Z653</f>
        <v>0</v>
      </c>
      <c r="BD538" s="121">
        <f>交易记录!Z684</f>
        <v>0</v>
      </c>
      <c r="BE538" s="30">
        <f t="shared" si="256"/>
        <v>0</v>
      </c>
      <c r="BF538" s="124">
        <f>交易记录!Z717</f>
        <v>0</v>
      </c>
      <c r="BG538" s="124">
        <f>交易记录!Z748</f>
        <v>0</v>
      </c>
      <c r="BH538" s="30">
        <f t="shared" si="257"/>
        <v>0</v>
      </c>
      <c r="BI538" s="121">
        <f>交易记录!Z781</f>
        <v>0</v>
      </c>
      <c r="BJ538" s="121">
        <f>交易记录!Z812</f>
        <v>0</v>
      </c>
      <c r="BK538" s="30">
        <f t="shared" si="258"/>
        <v>0</v>
      </c>
      <c r="BL538" s="124">
        <f>交易记录!Z845</f>
        <v>0</v>
      </c>
      <c r="BM538" s="124">
        <f>交易记录!Z876</f>
        <v>0</v>
      </c>
      <c r="BN538" s="30">
        <f t="shared" si="259"/>
        <v>0</v>
      </c>
      <c r="BO538" s="121">
        <f>交易记录!Z909</f>
        <v>0</v>
      </c>
      <c r="BP538" s="121">
        <f>交易记录!Z940</f>
        <v>0</v>
      </c>
      <c r="BQ538" s="30">
        <f t="shared" si="260"/>
        <v>0</v>
      </c>
    </row>
    <row r="539" spans="1:69" ht="15">
      <c r="A539" s="125">
        <f>'维护-日期'!A$25</f>
        <v>46288</v>
      </c>
      <c r="B539" s="7" t="s">
        <v>15</v>
      </c>
      <c r="C539" s="144">
        <f t="shared" si="261"/>
        <v>19.308</v>
      </c>
      <c r="D539" s="144">
        <f>ROUND(INDEX(持仓数据!$C$3:$AG$26,MATCH('计算过程-数据汇总'!B539,持仓数据!$B$3:$B$26,0),MATCH('计算过程-数据汇总'!A539,'维护-日期'!$B$2:$AF$2,0)),3)</f>
        <v>19.308</v>
      </c>
      <c r="E539" s="98">
        <f t="shared" si="262"/>
        <v>19.308</v>
      </c>
      <c r="F539" s="22">
        <f>持仓数据!Y81</f>
        <v>0.46100000000000002</v>
      </c>
      <c r="G539" s="97">
        <v>372</v>
      </c>
      <c r="H539" s="97">
        <v>372</v>
      </c>
      <c r="I539" s="64">
        <v>0</v>
      </c>
      <c r="J539" s="64">
        <v>0</v>
      </c>
      <c r="K539" s="21">
        <f>IF(持仓数据!Y114="",0,持仓数据!Y114)</f>
        <v>372</v>
      </c>
      <c r="L539" s="21">
        <f t="shared" si="263"/>
        <v>0</v>
      </c>
      <c r="M539" s="28">
        <f t="shared" si="247"/>
        <v>7182.576</v>
      </c>
      <c r="N539" s="28">
        <f t="shared" si="248"/>
        <v>0</v>
      </c>
      <c r="O539" s="28">
        <f t="shared" si="249"/>
        <v>0</v>
      </c>
      <c r="P539" s="28">
        <f t="shared" si="250"/>
        <v>0</v>
      </c>
      <c r="Q539" s="28">
        <f t="shared" si="264"/>
        <v>0</v>
      </c>
      <c r="R539" s="28">
        <f t="shared" si="251"/>
        <v>7182.576</v>
      </c>
      <c r="S539" s="28">
        <f t="shared" si="265"/>
        <v>0</v>
      </c>
      <c r="T539" s="28">
        <f t="shared" si="266"/>
        <v>0</v>
      </c>
      <c r="U539" s="28">
        <f t="shared" si="269"/>
        <v>0</v>
      </c>
      <c r="V539" s="28">
        <f t="shared" si="267"/>
        <v>0</v>
      </c>
      <c r="W539" s="118"/>
      <c r="X539" s="143">
        <f t="shared" si="268"/>
        <v>22.709</v>
      </c>
      <c r="Y539" s="121">
        <f>交易记录!Z14</f>
        <v>0.46100000000000002</v>
      </c>
      <c r="Z539" s="121">
        <f>交易记录!Z45</f>
        <v>372</v>
      </c>
      <c r="AA539" s="30">
        <f t="shared" si="252"/>
        <v>0</v>
      </c>
      <c r="AB539" s="124">
        <f>交易记录!Z78</f>
        <v>0</v>
      </c>
      <c r="AC539" s="124">
        <f>交易记录!Z109</f>
        <v>0</v>
      </c>
      <c r="AD539" s="30">
        <f t="shared" ref="AD539:AD602" si="270">IFERROR((AC539-$G539)*AB539,0)</f>
        <v>0</v>
      </c>
      <c r="AE539" s="121">
        <f>交易记录!Z142</f>
        <v>0</v>
      </c>
      <c r="AF539" s="121">
        <f>交易记录!Z173</f>
        <v>0</v>
      </c>
      <c r="AG539" s="30">
        <f t="shared" ref="AG539:AG602" si="271">IFERROR((AF539-$G539)*AE539,0)</f>
        <v>0</v>
      </c>
      <c r="AH539" s="124">
        <f>交易记录!Z206</f>
        <v>0</v>
      </c>
      <c r="AI539" s="124">
        <f>交易记录!Z237</f>
        <v>0</v>
      </c>
      <c r="AJ539" s="30">
        <f t="shared" ref="AJ539:AJ602" si="272">IFERROR((AI539-$G539)*AH539,0)</f>
        <v>0</v>
      </c>
      <c r="AK539" s="121">
        <f>交易记录!Z270</f>
        <v>0</v>
      </c>
      <c r="AL539" s="121">
        <f>交易记录!Z301</f>
        <v>0</v>
      </c>
      <c r="AM539" s="30">
        <f t="shared" ref="AM539:AM602" si="273">IFERROR((AL539-$G539)*AK539,0)</f>
        <v>0</v>
      </c>
      <c r="AN539" s="124">
        <f>交易记录!Z334</f>
        <v>0</v>
      </c>
      <c r="AO539" s="124">
        <f>交易记录!Z365</f>
        <v>0</v>
      </c>
      <c r="AP539" s="30">
        <f t="shared" ref="AP539:AP602" si="274">IFERROR((AO539-$G539)*AN539,0)</f>
        <v>0</v>
      </c>
      <c r="AQ539" s="121">
        <f>交易记录!Z398</f>
        <v>0</v>
      </c>
      <c r="AR539" s="121">
        <f>交易记录!Z429</f>
        <v>0</v>
      </c>
      <c r="AS539" s="30">
        <f t="shared" ref="AS539:AS602" si="275">IFERROR((AR539-$G539)*AQ539,0)</f>
        <v>0</v>
      </c>
      <c r="AT539" s="124">
        <f>交易记录!Z462</f>
        <v>0</v>
      </c>
      <c r="AU539" s="124">
        <f>交易记录!Z493</f>
        <v>0</v>
      </c>
      <c r="AV539" s="30">
        <f t="shared" si="253"/>
        <v>0</v>
      </c>
      <c r="AW539" s="121">
        <f>交易记录!Z526</f>
        <v>0</v>
      </c>
      <c r="AX539" s="121">
        <f>交易记录!Z557</f>
        <v>0</v>
      </c>
      <c r="AY539" s="30">
        <f t="shared" si="254"/>
        <v>0</v>
      </c>
      <c r="AZ539" s="124">
        <f>交易记录!Z590</f>
        <v>0</v>
      </c>
      <c r="BA539" s="124">
        <f>交易记录!Z621</f>
        <v>0</v>
      </c>
      <c r="BB539" s="30">
        <f t="shared" si="255"/>
        <v>0</v>
      </c>
      <c r="BC539" s="121">
        <f>交易记录!Z654</f>
        <v>0</v>
      </c>
      <c r="BD539" s="121">
        <f>交易记录!Z685</f>
        <v>0</v>
      </c>
      <c r="BE539" s="30">
        <f t="shared" si="256"/>
        <v>0</v>
      </c>
      <c r="BF539" s="124">
        <f>交易记录!Z718</f>
        <v>0</v>
      </c>
      <c r="BG539" s="124">
        <f>交易记录!Z749</f>
        <v>0</v>
      </c>
      <c r="BH539" s="30">
        <f t="shared" si="257"/>
        <v>0</v>
      </c>
      <c r="BI539" s="121">
        <f>交易记录!Z782</f>
        <v>0</v>
      </c>
      <c r="BJ539" s="121">
        <f>交易记录!Z813</f>
        <v>0</v>
      </c>
      <c r="BK539" s="30">
        <f t="shared" si="258"/>
        <v>0</v>
      </c>
      <c r="BL539" s="124">
        <f>交易记录!Z846</f>
        <v>0</v>
      </c>
      <c r="BM539" s="124">
        <f>交易记录!Z877</f>
        <v>0</v>
      </c>
      <c r="BN539" s="30">
        <f t="shared" si="259"/>
        <v>0</v>
      </c>
      <c r="BO539" s="121">
        <f>交易记录!Z910</f>
        <v>0</v>
      </c>
      <c r="BP539" s="121">
        <f>交易记录!Z941</f>
        <v>0</v>
      </c>
      <c r="BQ539" s="30">
        <f t="shared" si="260"/>
        <v>0</v>
      </c>
    </row>
    <row r="540" spans="1:69" ht="15">
      <c r="A540" s="125">
        <f>'维护-日期'!A$25</f>
        <v>46288</v>
      </c>
      <c r="B540" s="7" t="s">
        <v>16</v>
      </c>
      <c r="C540" s="144">
        <f t="shared" si="261"/>
        <v>21.01</v>
      </c>
      <c r="D540" s="144">
        <f>ROUND(INDEX(持仓数据!$C$3:$AG$26,MATCH('计算过程-数据汇总'!B540,持仓数据!$B$3:$B$26,0),MATCH('计算过程-数据汇总'!A540,'维护-日期'!$B$2:$AF$2,0)),3)</f>
        <v>21.01</v>
      </c>
      <c r="E540" s="98">
        <f t="shared" si="262"/>
        <v>21.01</v>
      </c>
      <c r="F540" s="22">
        <f>持仓数据!Y82</f>
        <v>0.46700000000000003</v>
      </c>
      <c r="G540" s="97">
        <v>372</v>
      </c>
      <c r="H540" s="97">
        <v>372</v>
      </c>
      <c r="I540" s="64">
        <v>0</v>
      </c>
      <c r="J540" s="64">
        <v>0</v>
      </c>
      <c r="K540" s="21">
        <f>IF(持仓数据!Y115="",0,持仓数据!Y115)</f>
        <v>372</v>
      </c>
      <c r="L540" s="21">
        <f t="shared" si="263"/>
        <v>0</v>
      </c>
      <c r="M540" s="28">
        <f t="shared" si="247"/>
        <v>7815.72</v>
      </c>
      <c r="N540" s="28">
        <f t="shared" si="248"/>
        <v>0</v>
      </c>
      <c r="O540" s="28">
        <f t="shared" si="249"/>
        <v>0</v>
      </c>
      <c r="P540" s="28">
        <f t="shared" si="250"/>
        <v>0</v>
      </c>
      <c r="Q540" s="28">
        <f t="shared" si="264"/>
        <v>0</v>
      </c>
      <c r="R540" s="28">
        <f t="shared" si="251"/>
        <v>7815.72</v>
      </c>
      <c r="S540" s="28">
        <f t="shared" si="265"/>
        <v>0</v>
      </c>
      <c r="T540" s="28">
        <f t="shared" si="266"/>
        <v>0</v>
      </c>
      <c r="U540" s="28">
        <f t="shared" si="269"/>
        <v>0</v>
      </c>
      <c r="V540" s="28">
        <f t="shared" si="267"/>
        <v>0</v>
      </c>
      <c r="W540" s="118"/>
      <c r="X540" s="143">
        <f t="shared" si="268"/>
        <v>24.745000000000001</v>
      </c>
      <c r="Y540" s="121">
        <f>交易记录!Z15</f>
        <v>0.46700000000000003</v>
      </c>
      <c r="Z540" s="121">
        <f>交易记录!Z46</f>
        <v>372</v>
      </c>
      <c r="AA540" s="30">
        <f t="shared" si="252"/>
        <v>0</v>
      </c>
      <c r="AB540" s="124">
        <f>交易记录!Z79</f>
        <v>0</v>
      </c>
      <c r="AC540" s="124">
        <f>交易记录!Z110</f>
        <v>0</v>
      </c>
      <c r="AD540" s="30">
        <f t="shared" si="270"/>
        <v>0</v>
      </c>
      <c r="AE540" s="121">
        <f>交易记录!Z143</f>
        <v>0</v>
      </c>
      <c r="AF540" s="121">
        <f>交易记录!Z174</f>
        <v>0</v>
      </c>
      <c r="AG540" s="30">
        <f t="shared" si="271"/>
        <v>0</v>
      </c>
      <c r="AH540" s="124">
        <f>交易记录!Z207</f>
        <v>0</v>
      </c>
      <c r="AI540" s="124">
        <f>交易记录!Z238</f>
        <v>0</v>
      </c>
      <c r="AJ540" s="30">
        <f t="shared" si="272"/>
        <v>0</v>
      </c>
      <c r="AK540" s="121">
        <f>交易记录!Z271</f>
        <v>0</v>
      </c>
      <c r="AL540" s="121">
        <f>交易记录!Z302</f>
        <v>0</v>
      </c>
      <c r="AM540" s="30">
        <f t="shared" si="273"/>
        <v>0</v>
      </c>
      <c r="AN540" s="124">
        <f>交易记录!Z335</f>
        <v>0</v>
      </c>
      <c r="AO540" s="124">
        <f>交易记录!Z366</f>
        <v>0</v>
      </c>
      <c r="AP540" s="30">
        <f t="shared" si="274"/>
        <v>0</v>
      </c>
      <c r="AQ540" s="121">
        <f>交易记录!Z399</f>
        <v>0</v>
      </c>
      <c r="AR540" s="121">
        <f>交易记录!Z430</f>
        <v>0</v>
      </c>
      <c r="AS540" s="30">
        <f t="shared" si="275"/>
        <v>0</v>
      </c>
      <c r="AT540" s="124">
        <f>交易记录!Z463</f>
        <v>0</v>
      </c>
      <c r="AU540" s="124">
        <f>交易记录!Z494</f>
        <v>0</v>
      </c>
      <c r="AV540" s="30">
        <f t="shared" si="253"/>
        <v>0</v>
      </c>
      <c r="AW540" s="121">
        <f>交易记录!Z527</f>
        <v>0</v>
      </c>
      <c r="AX540" s="121">
        <f>交易记录!Z558</f>
        <v>0</v>
      </c>
      <c r="AY540" s="30">
        <f t="shared" si="254"/>
        <v>0</v>
      </c>
      <c r="AZ540" s="124">
        <f>交易记录!Z591</f>
        <v>0</v>
      </c>
      <c r="BA540" s="124">
        <f>交易记录!Z622</f>
        <v>0</v>
      </c>
      <c r="BB540" s="30">
        <f t="shared" si="255"/>
        <v>0</v>
      </c>
      <c r="BC540" s="121">
        <f>交易记录!Z655</f>
        <v>0</v>
      </c>
      <c r="BD540" s="121">
        <f>交易记录!Z686</f>
        <v>0</v>
      </c>
      <c r="BE540" s="30">
        <f t="shared" si="256"/>
        <v>0</v>
      </c>
      <c r="BF540" s="124">
        <f>交易记录!Z719</f>
        <v>0</v>
      </c>
      <c r="BG540" s="124">
        <f>交易记录!Z750</f>
        <v>0</v>
      </c>
      <c r="BH540" s="30">
        <f t="shared" si="257"/>
        <v>0</v>
      </c>
      <c r="BI540" s="121">
        <f>交易记录!Z783</f>
        <v>0</v>
      </c>
      <c r="BJ540" s="121">
        <f>交易记录!Z814</f>
        <v>0</v>
      </c>
      <c r="BK540" s="30">
        <f t="shared" si="258"/>
        <v>0</v>
      </c>
      <c r="BL540" s="124">
        <f>交易记录!Z847</f>
        <v>0</v>
      </c>
      <c r="BM540" s="124">
        <f>交易记录!Z878</f>
        <v>0</v>
      </c>
      <c r="BN540" s="30">
        <f t="shared" si="259"/>
        <v>0</v>
      </c>
      <c r="BO540" s="121">
        <f>交易记录!Z911</f>
        <v>0</v>
      </c>
      <c r="BP540" s="121">
        <f>交易记录!Z942</f>
        <v>0</v>
      </c>
      <c r="BQ540" s="30">
        <f t="shared" si="260"/>
        <v>0</v>
      </c>
    </row>
    <row r="541" spans="1:69" ht="15">
      <c r="A541" s="125">
        <f>'维护-日期'!A$25</f>
        <v>46288</v>
      </c>
      <c r="B541" s="7" t="s">
        <v>17</v>
      </c>
      <c r="C541" s="144">
        <f t="shared" si="261"/>
        <v>21.329000000000001</v>
      </c>
      <c r="D541" s="144">
        <f>ROUND(INDEX(持仓数据!$C$3:$AG$26,MATCH('计算过程-数据汇总'!B541,持仓数据!$B$3:$B$26,0),MATCH('计算过程-数据汇总'!A541,'维护-日期'!$B$2:$AF$2,0)),3)</f>
        <v>21.329000000000001</v>
      </c>
      <c r="E541" s="98">
        <f t="shared" si="262"/>
        <v>21.329000000000001</v>
      </c>
      <c r="F541" s="22">
        <f>持仓数据!Y83</f>
        <v>0.32100000000000001</v>
      </c>
      <c r="G541" s="97">
        <v>372</v>
      </c>
      <c r="H541" s="97">
        <v>372</v>
      </c>
      <c r="I541" s="64">
        <v>0</v>
      </c>
      <c r="J541" s="64">
        <v>0</v>
      </c>
      <c r="K541" s="21">
        <f>IF(持仓数据!Y116="",0,持仓数据!Y116)</f>
        <v>372</v>
      </c>
      <c r="L541" s="21">
        <f t="shared" si="263"/>
        <v>0</v>
      </c>
      <c r="M541" s="28">
        <f t="shared" si="247"/>
        <v>7934.3879999999999</v>
      </c>
      <c r="N541" s="28">
        <f t="shared" si="248"/>
        <v>0</v>
      </c>
      <c r="O541" s="28">
        <f t="shared" si="249"/>
        <v>0</v>
      </c>
      <c r="P541" s="28">
        <f t="shared" si="250"/>
        <v>0</v>
      </c>
      <c r="Q541" s="28">
        <f t="shared" si="264"/>
        <v>0</v>
      </c>
      <c r="R541" s="28">
        <f t="shared" si="251"/>
        <v>7934.3879999999999</v>
      </c>
      <c r="S541" s="28">
        <f t="shared" si="265"/>
        <v>0</v>
      </c>
      <c r="T541" s="28">
        <f t="shared" si="266"/>
        <v>0</v>
      </c>
      <c r="U541" s="28">
        <f t="shared" si="269"/>
        <v>0</v>
      </c>
      <c r="V541" s="28">
        <f t="shared" si="267"/>
        <v>0</v>
      </c>
      <c r="W541" s="118"/>
      <c r="X541" s="143">
        <f t="shared" si="268"/>
        <v>25.274000000000001</v>
      </c>
      <c r="Y541" s="121">
        <f>交易记录!Z16</f>
        <v>0.32100000000000001</v>
      </c>
      <c r="Z541" s="121">
        <f>交易记录!Z47</f>
        <v>372</v>
      </c>
      <c r="AA541" s="30">
        <f t="shared" si="252"/>
        <v>0</v>
      </c>
      <c r="AB541" s="124">
        <f>交易记录!Z80</f>
        <v>0</v>
      </c>
      <c r="AC541" s="124">
        <f>交易记录!Z111</f>
        <v>0</v>
      </c>
      <c r="AD541" s="30">
        <f t="shared" si="270"/>
        <v>0</v>
      </c>
      <c r="AE541" s="121">
        <f>交易记录!Z144</f>
        <v>0</v>
      </c>
      <c r="AF541" s="121">
        <f>交易记录!Z175</f>
        <v>0</v>
      </c>
      <c r="AG541" s="30">
        <f t="shared" si="271"/>
        <v>0</v>
      </c>
      <c r="AH541" s="124">
        <f>交易记录!Z208</f>
        <v>0</v>
      </c>
      <c r="AI541" s="124">
        <f>交易记录!Z239</f>
        <v>0</v>
      </c>
      <c r="AJ541" s="30">
        <f t="shared" si="272"/>
        <v>0</v>
      </c>
      <c r="AK541" s="121">
        <f>交易记录!Z272</f>
        <v>0</v>
      </c>
      <c r="AL541" s="121">
        <f>交易记录!Z303</f>
        <v>0</v>
      </c>
      <c r="AM541" s="30">
        <f t="shared" si="273"/>
        <v>0</v>
      </c>
      <c r="AN541" s="124">
        <f>交易记录!Z336</f>
        <v>0</v>
      </c>
      <c r="AO541" s="124">
        <f>交易记录!Z367</f>
        <v>0</v>
      </c>
      <c r="AP541" s="30">
        <f t="shared" si="274"/>
        <v>0</v>
      </c>
      <c r="AQ541" s="121">
        <f>交易记录!Z400</f>
        <v>0</v>
      </c>
      <c r="AR541" s="121">
        <f>交易记录!Z431</f>
        <v>0</v>
      </c>
      <c r="AS541" s="30">
        <f t="shared" si="275"/>
        <v>0</v>
      </c>
      <c r="AT541" s="124">
        <f>交易记录!Z464</f>
        <v>0</v>
      </c>
      <c r="AU541" s="124">
        <f>交易记录!Z495</f>
        <v>0</v>
      </c>
      <c r="AV541" s="30">
        <f t="shared" si="253"/>
        <v>0</v>
      </c>
      <c r="AW541" s="121">
        <f>交易记录!Z528</f>
        <v>0</v>
      </c>
      <c r="AX541" s="121">
        <f>交易记录!Z559</f>
        <v>0</v>
      </c>
      <c r="AY541" s="30">
        <f t="shared" si="254"/>
        <v>0</v>
      </c>
      <c r="AZ541" s="124">
        <f>交易记录!Z592</f>
        <v>0</v>
      </c>
      <c r="BA541" s="124">
        <f>交易记录!Z623</f>
        <v>0</v>
      </c>
      <c r="BB541" s="30">
        <f t="shared" si="255"/>
        <v>0</v>
      </c>
      <c r="BC541" s="121">
        <f>交易记录!Z656</f>
        <v>0</v>
      </c>
      <c r="BD541" s="121">
        <f>交易记录!Z687</f>
        <v>0</v>
      </c>
      <c r="BE541" s="30">
        <f t="shared" si="256"/>
        <v>0</v>
      </c>
      <c r="BF541" s="124">
        <f>交易记录!Z720</f>
        <v>0</v>
      </c>
      <c r="BG541" s="124">
        <f>交易记录!Z751</f>
        <v>0</v>
      </c>
      <c r="BH541" s="30">
        <f t="shared" si="257"/>
        <v>0</v>
      </c>
      <c r="BI541" s="121">
        <f>交易记录!Z784</f>
        <v>0</v>
      </c>
      <c r="BJ541" s="121">
        <f>交易记录!Z815</f>
        <v>0</v>
      </c>
      <c r="BK541" s="30">
        <f t="shared" si="258"/>
        <v>0</v>
      </c>
      <c r="BL541" s="124">
        <f>交易记录!Z848</f>
        <v>0</v>
      </c>
      <c r="BM541" s="124">
        <f>交易记录!Z879</f>
        <v>0</v>
      </c>
      <c r="BN541" s="30">
        <f t="shared" si="259"/>
        <v>0</v>
      </c>
      <c r="BO541" s="121">
        <f>交易记录!Z912</f>
        <v>0</v>
      </c>
      <c r="BP541" s="121">
        <f>交易记录!Z943</f>
        <v>0</v>
      </c>
      <c r="BQ541" s="30">
        <f t="shared" si="260"/>
        <v>0</v>
      </c>
    </row>
    <row r="542" spans="1:69" ht="15">
      <c r="A542" s="125">
        <f>'维护-日期'!A$25</f>
        <v>46288</v>
      </c>
      <c r="B542" s="7" t="s">
        <v>18</v>
      </c>
      <c r="C542" s="144">
        <f t="shared" si="261"/>
        <v>22.643999999999998</v>
      </c>
      <c r="D542" s="144">
        <f>ROUND(INDEX(持仓数据!$C$3:$AG$26,MATCH('计算过程-数据汇总'!B542,持仓数据!$B$3:$B$26,0),MATCH('计算过程-数据汇总'!A542,'维护-日期'!$B$2:$AF$2,0)),3)</f>
        <v>22.643999999999998</v>
      </c>
      <c r="E542" s="98">
        <f t="shared" si="262"/>
        <v>22.643999999999998</v>
      </c>
      <c r="F542" s="22">
        <f>持仓数据!Y84</f>
        <v>7.8E-2</v>
      </c>
      <c r="G542" s="97">
        <v>372</v>
      </c>
      <c r="H542" s="97">
        <v>372</v>
      </c>
      <c r="I542" s="64">
        <v>0</v>
      </c>
      <c r="J542" s="64">
        <v>0</v>
      </c>
      <c r="K542" s="21">
        <f>IF(持仓数据!Y117="",0,持仓数据!Y117)</f>
        <v>372</v>
      </c>
      <c r="L542" s="21">
        <f t="shared" si="263"/>
        <v>0</v>
      </c>
      <c r="M542" s="28">
        <f t="shared" si="247"/>
        <v>8423.5679999999993</v>
      </c>
      <c r="N542" s="28">
        <f t="shared" si="248"/>
        <v>0</v>
      </c>
      <c r="O542" s="28">
        <f t="shared" si="249"/>
        <v>0</v>
      </c>
      <c r="P542" s="28">
        <f t="shared" si="250"/>
        <v>0</v>
      </c>
      <c r="Q542" s="28">
        <f t="shared" si="264"/>
        <v>0</v>
      </c>
      <c r="R542" s="28">
        <f t="shared" si="251"/>
        <v>8423.5679999999993</v>
      </c>
      <c r="S542" s="28">
        <f t="shared" si="265"/>
        <v>0</v>
      </c>
      <c r="T542" s="28">
        <f t="shared" si="266"/>
        <v>0</v>
      </c>
      <c r="U542" s="28">
        <f t="shared" si="269"/>
        <v>0</v>
      </c>
      <c r="V542" s="28">
        <f t="shared" si="267"/>
        <v>0</v>
      </c>
      <c r="W542" s="118"/>
      <c r="X542" s="143">
        <f t="shared" si="268"/>
        <v>27.094999999999999</v>
      </c>
      <c r="Y542" s="121">
        <f>交易记录!Z17</f>
        <v>7.8E-2</v>
      </c>
      <c r="Z542" s="121">
        <f>交易记录!Z48</f>
        <v>372</v>
      </c>
      <c r="AA542" s="30">
        <f t="shared" si="252"/>
        <v>0</v>
      </c>
      <c r="AB542" s="124">
        <f>交易记录!Z81</f>
        <v>0</v>
      </c>
      <c r="AC542" s="124">
        <f>交易记录!Z112</f>
        <v>0</v>
      </c>
      <c r="AD542" s="30">
        <f t="shared" si="270"/>
        <v>0</v>
      </c>
      <c r="AE542" s="121">
        <f>交易记录!Z145</f>
        <v>0</v>
      </c>
      <c r="AF542" s="121">
        <f>交易记录!Z176</f>
        <v>0</v>
      </c>
      <c r="AG542" s="30">
        <f t="shared" si="271"/>
        <v>0</v>
      </c>
      <c r="AH542" s="124">
        <f>交易记录!Z209</f>
        <v>0</v>
      </c>
      <c r="AI542" s="124">
        <f>交易记录!Z240</f>
        <v>0</v>
      </c>
      <c r="AJ542" s="30">
        <f t="shared" si="272"/>
        <v>0</v>
      </c>
      <c r="AK542" s="121">
        <f>交易记录!Z273</f>
        <v>0</v>
      </c>
      <c r="AL542" s="121">
        <f>交易记录!Z304</f>
        <v>0</v>
      </c>
      <c r="AM542" s="30">
        <f t="shared" si="273"/>
        <v>0</v>
      </c>
      <c r="AN542" s="124">
        <f>交易记录!Z337</f>
        <v>0</v>
      </c>
      <c r="AO542" s="124">
        <f>交易记录!Z368</f>
        <v>0</v>
      </c>
      <c r="AP542" s="30">
        <f t="shared" si="274"/>
        <v>0</v>
      </c>
      <c r="AQ542" s="121">
        <f>交易记录!Z401</f>
        <v>0</v>
      </c>
      <c r="AR542" s="121">
        <f>交易记录!Z432</f>
        <v>0</v>
      </c>
      <c r="AS542" s="30">
        <f t="shared" si="275"/>
        <v>0</v>
      </c>
      <c r="AT542" s="124">
        <f>交易记录!Z465</f>
        <v>0</v>
      </c>
      <c r="AU542" s="124">
        <f>交易记录!Z496</f>
        <v>0</v>
      </c>
      <c r="AV542" s="30">
        <f t="shared" si="253"/>
        <v>0</v>
      </c>
      <c r="AW542" s="121">
        <f>交易记录!Z529</f>
        <v>0</v>
      </c>
      <c r="AX542" s="121">
        <f>交易记录!Z560</f>
        <v>0</v>
      </c>
      <c r="AY542" s="30">
        <f t="shared" si="254"/>
        <v>0</v>
      </c>
      <c r="AZ542" s="124">
        <f>交易记录!Z593</f>
        <v>0</v>
      </c>
      <c r="BA542" s="124">
        <f>交易记录!Z624</f>
        <v>0</v>
      </c>
      <c r="BB542" s="30">
        <f t="shared" si="255"/>
        <v>0</v>
      </c>
      <c r="BC542" s="121">
        <f>交易记录!Z657</f>
        <v>0</v>
      </c>
      <c r="BD542" s="121">
        <f>交易记录!Z688</f>
        <v>0</v>
      </c>
      <c r="BE542" s="30">
        <f t="shared" si="256"/>
        <v>0</v>
      </c>
      <c r="BF542" s="124">
        <f>交易记录!Z721</f>
        <v>0</v>
      </c>
      <c r="BG542" s="124">
        <f>交易记录!Z752</f>
        <v>0</v>
      </c>
      <c r="BH542" s="30">
        <f t="shared" si="257"/>
        <v>0</v>
      </c>
      <c r="BI542" s="121">
        <f>交易记录!Z785</f>
        <v>0</v>
      </c>
      <c r="BJ542" s="121">
        <f>交易记录!Z816</f>
        <v>0</v>
      </c>
      <c r="BK542" s="30">
        <f t="shared" si="258"/>
        <v>0</v>
      </c>
      <c r="BL542" s="124">
        <f>交易记录!Z849</f>
        <v>0</v>
      </c>
      <c r="BM542" s="124">
        <f>交易记录!Z880</f>
        <v>0</v>
      </c>
      <c r="BN542" s="30">
        <f t="shared" si="259"/>
        <v>0</v>
      </c>
      <c r="BO542" s="121">
        <f>交易记录!Z913</f>
        <v>0</v>
      </c>
      <c r="BP542" s="121">
        <f>交易记录!Z944</f>
        <v>0</v>
      </c>
      <c r="BQ542" s="30">
        <f t="shared" si="260"/>
        <v>0</v>
      </c>
    </row>
    <row r="543" spans="1:69" ht="15">
      <c r="A543" s="125">
        <f>'维护-日期'!A$25</f>
        <v>46288</v>
      </c>
      <c r="B543" s="7" t="s">
        <v>19</v>
      </c>
      <c r="C543" s="144">
        <f t="shared" si="261"/>
        <v>22.904</v>
      </c>
      <c r="D543" s="144">
        <f>ROUND(INDEX(持仓数据!$C$3:$AG$26,MATCH('计算过程-数据汇总'!B543,持仓数据!$B$3:$B$26,0),MATCH('计算过程-数据汇总'!A543,'维护-日期'!$B$2:$AF$2,0)),3)</f>
        <v>22.904</v>
      </c>
      <c r="E543" s="98">
        <f t="shared" si="262"/>
        <v>22.904</v>
      </c>
      <c r="F543" s="22">
        <f>持仓数据!Y85</f>
        <v>0.19500000000000001</v>
      </c>
      <c r="G543" s="97">
        <v>372</v>
      </c>
      <c r="H543" s="97">
        <v>372</v>
      </c>
      <c r="I543" s="64">
        <v>0</v>
      </c>
      <c r="J543" s="64">
        <v>0</v>
      </c>
      <c r="K543" s="21">
        <f>IF(持仓数据!Y118="",0,持仓数据!Y118)</f>
        <v>372</v>
      </c>
      <c r="L543" s="21">
        <f t="shared" si="263"/>
        <v>0</v>
      </c>
      <c r="M543" s="28">
        <f t="shared" si="247"/>
        <v>8520.2880000000005</v>
      </c>
      <c r="N543" s="28">
        <f t="shared" si="248"/>
        <v>0</v>
      </c>
      <c r="O543" s="28">
        <f t="shared" si="249"/>
        <v>0</v>
      </c>
      <c r="P543" s="28">
        <f t="shared" si="250"/>
        <v>0</v>
      </c>
      <c r="Q543" s="28">
        <f t="shared" si="264"/>
        <v>0</v>
      </c>
      <c r="R543" s="28">
        <f t="shared" si="251"/>
        <v>8520.2880000000005</v>
      </c>
      <c r="S543" s="28">
        <f t="shared" si="265"/>
        <v>0</v>
      </c>
      <c r="T543" s="28">
        <f t="shared" si="266"/>
        <v>0</v>
      </c>
      <c r="U543" s="28">
        <f t="shared" si="269"/>
        <v>0</v>
      </c>
      <c r="V543" s="28">
        <f t="shared" si="267"/>
        <v>0</v>
      </c>
      <c r="W543" s="118"/>
      <c r="X543" s="143">
        <f t="shared" si="268"/>
        <v>27.29</v>
      </c>
      <c r="Y543" s="121">
        <f>交易记录!Z18</f>
        <v>0.19500000000000001</v>
      </c>
      <c r="Z543" s="121">
        <f>交易记录!Z49</f>
        <v>372</v>
      </c>
      <c r="AA543" s="30">
        <f t="shared" si="252"/>
        <v>0</v>
      </c>
      <c r="AB543" s="124">
        <f>交易记录!Z82</f>
        <v>0</v>
      </c>
      <c r="AC543" s="124">
        <f>交易记录!Z113</f>
        <v>0</v>
      </c>
      <c r="AD543" s="30">
        <f t="shared" si="270"/>
        <v>0</v>
      </c>
      <c r="AE543" s="121">
        <f>交易记录!Z146</f>
        <v>0</v>
      </c>
      <c r="AF543" s="121">
        <f>交易记录!Z177</f>
        <v>0</v>
      </c>
      <c r="AG543" s="30">
        <f t="shared" si="271"/>
        <v>0</v>
      </c>
      <c r="AH543" s="124">
        <f>交易记录!Z210</f>
        <v>0</v>
      </c>
      <c r="AI543" s="124">
        <f>交易记录!Z241</f>
        <v>0</v>
      </c>
      <c r="AJ543" s="30">
        <f t="shared" si="272"/>
        <v>0</v>
      </c>
      <c r="AK543" s="121">
        <f>交易记录!Z274</f>
        <v>0</v>
      </c>
      <c r="AL543" s="121">
        <f>交易记录!Z305</f>
        <v>0</v>
      </c>
      <c r="AM543" s="30">
        <f t="shared" si="273"/>
        <v>0</v>
      </c>
      <c r="AN543" s="124">
        <f>交易记录!Z338</f>
        <v>0</v>
      </c>
      <c r="AO543" s="124">
        <f>交易记录!Z369</f>
        <v>0</v>
      </c>
      <c r="AP543" s="30">
        <f t="shared" si="274"/>
        <v>0</v>
      </c>
      <c r="AQ543" s="121">
        <f>交易记录!Z402</f>
        <v>0</v>
      </c>
      <c r="AR543" s="121">
        <f>交易记录!Z433</f>
        <v>0</v>
      </c>
      <c r="AS543" s="30">
        <f t="shared" si="275"/>
        <v>0</v>
      </c>
      <c r="AT543" s="124">
        <f>交易记录!Z466</f>
        <v>0</v>
      </c>
      <c r="AU543" s="124">
        <f>交易记录!Z497</f>
        <v>0</v>
      </c>
      <c r="AV543" s="30">
        <f t="shared" si="253"/>
        <v>0</v>
      </c>
      <c r="AW543" s="121">
        <f>交易记录!Z530</f>
        <v>0</v>
      </c>
      <c r="AX543" s="121">
        <f>交易记录!Z561</f>
        <v>0</v>
      </c>
      <c r="AY543" s="30">
        <f t="shared" si="254"/>
        <v>0</v>
      </c>
      <c r="AZ543" s="124">
        <f>交易记录!Z594</f>
        <v>0</v>
      </c>
      <c r="BA543" s="124">
        <f>交易记录!Z625</f>
        <v>0</v>
      </c>
      <c r="BB543" s="30">
        <f t="shared" si="255"/>
        <v>0</v>
      </c>
      <c r="BC543" s="121">
        <f>交易记录!Z658</f>
        <v>0</v>
      </c>
      <c r="BD543" s="121">
        <f>交易记录!Z689</f>
        <v>0</v>
      </c>
      <c r="BE543" s="30">
        <f t="shared" si="256"/>
        <v>0</v>
      </c>
      <c r="BF543" s="124">
        <f>交易记录!Z722</f>
        <v>0</v>
      </c>
      <c r="BG543" s="124">
        <f>交易记录!Z753</f>
        <v>0</v>
      </c>
      <c r="BH543" s="30">
        <f t="shared" si="257"/>
        <v>0</v>
      </c>
      <c r="BI543" s="121">
        <f>交易记录!Z786</f>
        <v>0</v>
      </c>
      <c r="BJ543" s="121">
        <f>交易记录!Z817</f>
        <v>0</v>
      </c>
      <c r="BK543" s="30">
        <f t="shared" si="258"/>
        <v>0</v>
      </c>
      <c r="BL543" s="124">
        <f>交易记录!Z850</f>
        <v>0</v>
      </c>
      <c r="BM543" s="124">
        <f>交易记录!Z881</f>
        <v>0</v>
      </c>
      <c r="BN543" s="30">
        <f t="shared" si="259"/>
        <v>0</v>
      </c>
      <c r="BO543" s="121">
        <f>交易记录!Z914</f>
        <v>0</v>
      </c>
      <c r="BP543" s="121">
        <f>交易记录!Z945</f>
        <v>0</v>
      </c>
      <c r="BQ543" s="30">
        <f t="shared" si="260"/>
        <v>0</v>
      </c>
    </row>
    <row r="544" spans="1:69" ht="15">
      <c r="A544" s="125">
        <f>'维护-日期'!A$25</f>
        <v>46288</v>
      </c>
      <c r="B544" s="7" t="s">
        <v>20</v>
      </c>
      <c r="C544" s="144">
        <f t="shared" si="261"/>
        <v>22.071000000000002</v>
      </c>
      <c r="D544" s="144">
        <f>ROUND(INDEX(持仓数据!$C$3:$AG$26,MATCH('计算过程-数据汇总'!B544,持仓数据!$B$3:$B$26,0),MATCH('计算过程-数据汇总'!A544,'维护-日期'!$B$2:$AF$2,0)),3)</f>
        <v>22.071000000000002</v>
      </c>
      <c r="E544" s="98">
        <f t="shared" si="262"/>
        <v>22.071000000000002</v>
      </c>
      <c r="F544" s="22">
        <f>持仓数据!Y86</f>
        <v>0.34599999999999997</v>
      </c>
      <c r="G544" s="97">
        <v>372</v>
      </c>
      <c r="H544" s="97">
        <v>372</v>
      </c>
      <c r="I544" s="64">
        <v>0</v>
      </c>
      <c r="J544" s="64">
        <v>0</v>
      </c>
      <c r="K544" s="21">
        <f>IF(持仓数据!Y119="",0,持仓数据!Y119)</f>
        <v>372</v>
      </c>
      <c r="L544" s="21">
        <f t="shared" si="263"/>
        <v>0</v>
      </c>
      <c r="M544" s="28">
        <f t="shared" si="247"/>
        <v>8210.4120000000003</v>
      </c>
      <c r="N544" s="28">
        <f t="shared" si="248"/>
        <v>0</v>
      </c>
      <c r="O544" s="28">
        <f t="shared" si="249"/>
        <v>0</v>
      </c>
      <c r="P544" s="28">
        <f t="shared" si="250"/>
        <v>0</v>
      </c>
      <c r="Q544" s="28">
        <f t="shared" si="264"/>
        <v>0</v>
      </c>
      <c r="R544" s="28">
        <f t="shared" si="251"/>
        <v>8210.4120000000003</v>
      </c>
      <c r="S544" s="28">
        <f t="shared" si="265"/>
        <v>0</v>
      </c>
      <c r="T544" s="28">
        <f t="shared" si="266"/>
        <v>0</v>
      </c>
      <c r="U544" s="28">
        <f t="shared" si="269"/>
        <v>0</v>
      </c>
      <c r="V544" s="28">
        <f t="shared" si="267"/>
        <v>0</v>
      </c>
      <c r="W544" s="118"/>
      <c r="X544" s="143">
        <f t="shared" si="268"/>
        <v>26.138999999999999</v>
      </c>
      <c r="Y544" s="121">
        <f>交易记录!Z19</f>
        <v>0.34599999999999997</v>
      </c>
      <c r="Z544" s="121">
        <f>交易记录!Z50</f>
        <v>372</v>
      </c>
      <c r="AA544" s="30">
        <f t="shared" si="252"/>
        <v>0</v>
      </c>
      <c r="AB544" s="124">
        <f>交易记录!Z83</f>
        <v>0</v>
      </c>
      <c r="AC544" s="124">
        <f>交易记录!Z114</f>
        <v>0</v>
      </c>
      <c r="AD544" s="30">
        <f t="shared" si="270"/>
        <v>0</v>
      </c>
      <c r="AE544" s="121">
        <f>交易记录!Z147</f>
        <v>0</v>
      </c>
      <c r="AF544" s="121">
        <f>交易记录!Z178</f>
        <v>0</v>
      </c>
      <c r="AG544" s="30">
        <f t="shared" si="271"/>
        <v>0</v>
      </c>
      <c r="AH544" s="124">
        <f>交易记录!Z211</f>
        <v>0</v>
      </c>
      <c r="AI544" s="124">
        <f>交易记录!Z242</f>
        <v>0</v>
      </c>
      <c r="AJ544" s="30">
        <f t="shared" si="272"/>
        <v>0</v>
      </c>
      <c r="AK544" s="121">
        <f>交易记录!Z275</f>
        <v>0</v>
      </c>
      <c r="AL544" s="121">
        <f>交易记录!Z306</f>
        <v>0</v>
      </c>
      <c r="AM544" s="30">
        <f t="shared" si="273"/>
        <v>0</v>
      </c>
      <c r="AN544" s="124">
        <f>交易记录!Z339</f>
        <v>0</v>
      </c>
      <c r="AO544" s="124">
        <f>交易记录!Z370</f>
        <v>0</v>
      </c>
      <c r="AP544" s="30">
        <f t="shared" si="274"/>
        <v>0</v>
      </c>
      <c r="AQ544" s="121">
        <f>交易记录!Z403</f>
        <v>0</v>
      </c>
      <c r="AR544" s="121">
        <f>交易记录!Z434</f>
        <v>0</v>
      </c>
      <c r="AS544" s="30">
        <f t="shared" si="275"/>
        <v>0</v>
      </c>
      <c r="AT544" s="124">
        <f>交易记录!Z467</f>
        <v>0</v>
      </c>
      <c r="AU544" s="124">
        <f>交易记录!Z498</f>
        <v>0</v>
      </c>
      <c r="AV544" s="30">
        <f t="shared" si="253"/>
        <v>0</v>
      </c>
      <c r="AW544" s="121">
        <f>交易记录!Z531</f>
        <v>0</v>
      </c>
      <c r="AX544" s="121">
        <f>交易记录!Z562</f>
        <v>0</v>
      </c>
      <c r="AY544" s="30">
        <f t="shared" si="254"/>
        <v>0</v>
      </c>
      <c r="AZ544" s="124">
        <f>交易记录!Z595</f>
        <v>0</v>
      </c>
      <c r="BA544" s="124">
        <f>交易记录!Z626</f>
        <v>0</v>
      </c>
      <c r="BB544" s="30">
        <f t="shared" si="255"/>
        <v>0</v>
      </c>
      <c r="BC544" s="121">
        <f>交易记录!Z659</f>
        <v>0</v>
      </c>
      <c r="BD544" s="121">
        <f>交易记录!Z690</f>
        <v>0</v>
      </c>
      <c r="BE544" s="30">
        <f t="shared" si="256"/>
        <v>0</v>
      </c>
      <c r="BF544" s="124">
        <f>交易记录!Z723</f>
        <v>0</v>
      </c>
      <c r="BG544" s="124">
        <f>交易记录!Z754</f>
        <v>0</v>
      </c>
      <c r="BH544" s="30">
        <f t="shared" si="257"/>
        <v>0</v>
      </c>
      <c r="BI544" s="121">
        <f>交易记录!Z787</f>
        <v>0</v>
      </c>
      <c r="BJ544" s="121">
        <f>交易记录!Z818</f>
        <v>0</v>
      </c>
      <c r="BK544" s="30">
        <f t="shared" si="258"/>
        <v>0</v>
      </c>
      <c r="BL544" s="124">
        <f>交易记录!Z851</f>
        <v>0</v>
      </c>
      <c r="BM544" s="124">
        <f>交易记录!Z882</f>
        <v>0</v>
      </c>
      <c r="BN544" s="30">
        <f t="shared" si="259"/>
        <v>0</v>
      </c>
      <c r="BO544" s="121">
        <f>交易记录!Z915</f>
        <v>0</v>
      </c>
      <c r="BP544" s="121">
        <f>交易记录!Z946</f>
        <v>0</v>
      </c>
      <c r="BQ544" s="30">
        <f t="shared" si="260"/>
        <v>0</v>
      </c>
    </row>
    <row r="545" spans="1:69" ht="15">
      <c r="A545" s="125">
        <f>'维护-日期'!A$25</f>
        <v>46288</v>
      </c>
      <c r="B545" s="7" t="s">
        <v>21</v>
      </c>
      <c r="C545" s="144">
        <f t="shared" si="261"/>
        <v>22.087</v>
      </c>
      <c r="D545" s="144">
        <f>ROUND(INDEX(持仓数据!$C$3:$AG$26,MATCH('计算过程-数据汇总'!B545,持仓数据!$B$3:$B$26,0),MATCH('计算过程-数据汇总'!A545,'维护-日期'!$B$2:$AF$2,0)),3)</f>
        <v>22.087</v>
      </c>
      <c r="E545" s="98">
        <f t="shared" si="262"/>
        <v>22.087</v>
      </c>
      <c r="F545" s="22">
        <f>持仓数据!Y87</f>
        <v>0.38</v>
      </c>
      <c r="G545" s="97">
        <v>372</v>
      </c>
      <c r="H545" s="97">
        <v>372</v>
      </c>
      <c r="I545" s="64">
        <v>0</v>
      </c>
      <c r="J545" s="64">
        <v>0</v>
      </c>
      <c r="K545" s="21">
        <f>IF(持仓数据!Y120="",0,持仓数据!Y120)</f>
        <v>372.00000000000006</v>
      </c>
      <c r="L545" s="21">
        <f t="shared" si="263"/>
        <v>0</v>
      </c>
      <c r="M545" s="28">
        <f t="shared" si="247"/>
        <v>8216.3639999999996</v>
      </c>
      <c r="N545" s="28">
        <f t="shared" si="248"/>
        <v>0</v>
      </c>
      <c r="O545" s="28">
        <f t="shared" si="249"/>
        <v>0</v>
      </c>
      <c r="P545" s="28">
        <f t="shared" si="250"/>
        <v>2.1600499167107046E-14</v>
      </c>
      <c r="Q545" s="28">
        <f t="shared" si="264"/>
        <v>0</v>
      </c>
      <c r="R545" s="28">
        <f t="shared" si="251"/>
        <v>8216.3640000000014</v>
      </c>
      <c r="S545" s="28">
        <f t="shared" si="265"/>
        <v>0</v>
      </c>
      <c r="T545" s="28">
        <f t="shared" si="266"/>
        <v>-1.2339000932115596E-12</v>
      </c>
      <c r="U545" s="28">
        <f t="shared" si="269"/>
        <v>0</v>
      </c>
      <c r="V545" s="28">
        <f t="shared" si="267"/>
        <v>0</v>
      </c>
      <c r="W545" s="118"/>
      <c r="X545" s="143">
        <f t="shared" si="268"/>
        <v>26.123999999999999</v>
      </c>
      <c r="Y545" s="121">
        <f>交易记录!Z20</f>
        <v>0.38</v>
      </c>
      <c r="Z545" s="121">
        <f>交易记录!Z51</f>
        <v>372</v>
      </c>
      <c r="AA545" s="30">
        <f t="shared" si="252"/>
        <v>0</v>
      </c>
      <c r="AB545" s="124">
        <f>交易记录!Z84</f>
        <v>0</v>
      </c>
      <c r="AC545" s="124">
        <f>交易记录!Z115</f>
        <v>0</v>
      </c>
      <c r="AD545" s="30">
        <f t="shared" si="270"/>
        <v>0</v>
      </c>
      <c r="AE545" s="121">
        <f>交易记录!Z148</f>
        <v>0</v>
      </c>
      <c r="AF545" s="121">
        <f>交易记录!Z179</f>
        <v>0</v>
      </c>
      <c r="AG545" s="30">
        <f t="shared" si="271"/>
        <v>0</v>
      </c>
      <c r="AH545" s="124">
        <f>交易记录!Z212</f>
        <v>0</v>
      </c>
      <c r="AI545" s="124">
        <f>交易记录!Z243</f>
        <v>0</v>
      </c>
      <c r="AJ545" s="30">
        <f t="shared" si="272"/>
        <v>0</v>
      </c>
      <c r="AK545" s="121">
        <f>交易记录!Z276</f>
        <v>0</v>
      </c>
      <c r="AL545" s="121">
        <f>交易记录!Z307</f>
        <v>0</v>
      </c>
      <c r="AM545" s="30">
        <f t="shared" si="273"/>
        <v>0</v>
      </c>
      <c r="AN545" s="124">
        <f>交易记录!Z340</f>
        <v>0</v>
      </c>
      <c r="AO545" s="124">
        <f>交易记录!Z371</f>
        <v>0</v>
      </c>
      <c r="AP545" s="30">
        <f t="shared" si="274"/>
        <v>0</v>
      </c>
      <c r="AQ545" s="121">
        <f>交易记录!Z404</f>
        <v>0</v>
      </c>
      <c r="AR545" s="121">
        <f>交易记录!Z435</f>
        <v>0</v>
      </c>
      <c r="AS545" s="30">
        <f t="shared" si="275"/>
        <v>0</v>
      </c>
      <c r="AT545" s="124">
        <f>交易记录!Z468</f>
        <v>0</v>
      </c>
      <c r="AU545" s="124">
        <f>交易记录!Z499</f>
        <v>0</v>
      </c>
      <c r="AV545" s="30">
        <f t="shared" si="253"/>
        <v>0</v>
      </c>
      <c r="AW545" s="121">
        <f>交易记录!Z532</f>
        <v>0</v>
      </c>
      <c r="AX545" s="121">
        <f>交易记录!Z563</f>
        <v>0</v>
      </c>
      <c r="AY545" s="30">
        <f t="shared" si="254"/>
        <v>0</v>
      </c>
      <c r="AZ545" s="124">
        <f>交易记录!Z596</f>
        <v>0</v>
      </c>
      <c r="BA545" s="124">
        <f>交易记录!Z627</f>
        <v>0</v>
      </c>
      <c r="BB545" s="30">
        <f t="shared" si="255"/>
        <v>0</v>
      </c>
      <c r="BC545" s="121">
        <f>交易记录!Z660</f>
        <v>0</v>
      </c>
      <c r="BD545" s="121">
        <f>交易记录!Z691</f>
        <v>0</v>
      </c>
      <c r="BE545" s="30">
        <f t="shared" si="256"/>
        <v>0</v>
      </c>
      <c r="BF545" s="124">
        <f>交易记录!Z724</f>
        <v>0</v>
      </c>
      <c r="BG545" s="124">
        <f>交易记录!Z755</f>
        <v>0</v>
      </c>
      <c r="BH545" s="30">
        <f t="shared" si="257"/>
        <v>0</v>
      </c>
      <c r="BI545" s="121">
        <f>交易记录!Z788</f>
        <v>0</v>
      </c>
      <c r="BJ545" s="121">
        <f>交易记录!Z819</f>
        <v>0</v>
      </c>
      <c r="BK545" s="30">
        <f t="shared" si="258"/>
        <v>0</v>
      </c>
      <c r="BL545" s="124">
        <f>交易记录!Z852</f>
        <v>0</v>
      </c>
      <c r="BM545" s="124">
        <f>交易记录!Z883</f>
        <v>0</v>
      </c>
      <c r="BN545" s="30">
        <f t="shared" si="259"/>
        <v>0</v>
      </c>
      <c r="BO545" s="121">
        <f>交易记录!Z916</f>
        <v>0</v>
      </c>
      <c r="BP545" s="121">
        <f>交易记录!Z947</f>
        <v>0</v>
      </c>
      <c r="BQ545" s="30">
        <f t="shared" si="260"/>
        <v>0</v>
      </c>
    </row>
    <row r="546" spans="1:69" ht="15">
      <c r="A546" s="125">
        <f>'维护-日期'!A$25</f>
        <v>46288</v>
      </c>
      <c r="B546" s="7" t="s">
        <v>22</v>
      </c>
      <c r="C546" s="144">
        <f t="shared" si="261"/>
        <v>23.077999999999999</v>
      </c>
      <c r="D546" s="144">
        <f>ROUND(INDEX(持仓数据!$C$3:$AG$26,MATCH('计算过程-数据汇总'!B546,持仓数据!$B$3:$B$26,0),MATCH('计算过程-数据汇总'!A546,'维护-日期'!$B$2:$AF$2,0)),3)</f>
        <v>23.077999999999999</v>
      </c>
      <c r="E546" s="98">
        <f t="shared" si="262"/>
        <v>23.077999999999999</v>
      </c>
      <c r="F546" s="22">
        <f>持仓数据!Y88</f>
        <v>0.58600000000000008</v>
      </c>
      <c r="G546" s="97">
        <v>372</v>
      </c>
      <c r="H546" s="97">
        <v>372</v>
      </c>
      <c r="I546" s="64">
        <v>0</v>
      </c>
      <c r="J546" s="64">
        <v>0</v>
      </c>
      <c r="K546" s="21">
        <f>IF(持仓数据!Y121="",0,持仓数据!Y121)</f>
        <v>372</v>
      </c>
      <c r="L546" s="21">
        <f t="shared" si="263"/>
        <v>0</v>
      </c>
      <c r="M546" s="28">
        <f t="shared" si="247"/>
        <v>8585.0159999999996</v>
      </c>
      <c r="N546" s="28">
        <f t="shared" si="248"/>
        <v>0</v>
      </c>
      <c r="O546" s="28">
        <f t="shared" si="249"/>
        <v>0</v>
      </c>
      <c r="P546" s="28">
        <f t="shared" si="250"/>
        <v>0</v>
      </c>
      <c r="Q546" s="28">
        <f t="shared" si="264"/>
        <v>0</v>
      </c>
      <c r="R546" s="28">
        <f t="shared" si="251"/>
        <v>8585.0159999999996</v>
      </c>
      <c r="S546" s="28">
        <f t="shared" si="265"/>
        <v>0</v>
      </c>
      <c r="T546" s="28">
        <f t="shared" si="266"/>
        <v>0</v>
      </c>
      <c r="U546" s="28">
        <f t="shared" si="269"/>
        <v>0</v>
      </c>
      <c r="V546" s="28">
        <f t="shared" si="267"/>
        <v>0</v>
      </c>
      <c r="W546" s="118"/>
      <c r="X546" s="143">
        <f t="shared" si="268"/>
        <v>27.108000000000001</v>
      </c>
      <c r="Y546" s="121">
        <f>交易记录!Z21</f>
        <v>0.58600000000000008</v>
      </c>
      <c r="Z546" s="121">
        <f>交易记录!Z52</f>
        <v>372</v>
      </c>
      <c r="AA546" s="30">
        <f t="shared" si="252"/>
        <v>0</v>
      </c>
      <c r="AB546" s="124">
        <f>交易记录!Z85</f>
        <v>0</v>
      </c>
      <c r="AC546" s="124">
        <f>交易记录!Z116</f>
        <v>0</v>
      </c>
      <c r="AD546" s="30">
        <f t="shared" si="270"/>
        <v>0</v>
      </c>
      <c r="AE546" s="121">
        <f>交易记录!Z149</f>
        <v>0</v>
      </c>
      <c r="AF546" s="121">
        <f>交易记录!Z180</f>
        <v>0</v>
      </c>
      <c r="AG546" s="30">
        <f t="shared" si="271"/>
        <v>0</v>
      </c>
      <c r="AH546" s="124">
        <f>交易记录!Z213</f>
        <v>0</v>
      </c>
      <c r="AI546" s="124">
        <f>交易记录!Z244</f>
        <v>0</v>
      </c>
      <c r="AJ546" s="30">
        <f t="shared" si="272"/>
        <v>0</v>
      </c>
      <c r="AK546" s="121">
        <f>交易记录!Z277</f>
        <v>0</v>
      </c>
      <c r="AL546" s="121">
        <f>交易记录!Z308</f>
        <v>0</v>
      </c>
      <c r="AM546" s="30">
        <f t="shared" si="273"/>
        <v>0</v>
      </c>
      <c r="AN546" s="124">
        <f>交易记录!Z341</f>
        <v>0</v>
      </c>
      <c r="AO546" s="124">
        <f>交易记录!Z372</f>
        <v>0</v>
      </c>
      <c r="AP546" s="30">
        <f t="shared" si="274"/>
        <v>0</v>
      </c>
      <c r="AQ546" s="121">
        <f>交易记录!Z405</f>
        <v>0</v>
      </c>
      <c r="AR546" s="121">
        <f>交易记录!Z436</f>
        <v>0</v>
      </c>
      <c r="AS546" s="30">
        <f t="shared" si="275"/>
        <v>0</v>
      </c>
      <c r="AT546" s="124">
        <f>交易记录!Z469</f>
        <v>0</v>
      </c>
      <c r="AU546" s="124">
        <f>交易记录!Z500</f>
        <v>0</v>
      </c>
      <c r="AV546" s="30">
        <f t="shared" si="253"/>
        <v>0</v>
      </c>
      <c r="AW546" s="121">
        <f>交易记录!Z533</f>
        <v>0</v>
      </c>
      <c r="AX546" s="121">
        <f>交易记录!Z564</f>
        <v>0</v>
      </c>
      <c r="AY546" s="30">
        <f t="shared" si="254"/>
        <v>0</v>
      </c>
      <c r="AZ546" s="124">
        <f>交易记录!Z597</f>
        <v>0</v>
      </c>
      <c r="BA546" s="124">
        <f>交易记录!Z628</f>
        <v>0</v>
      </c>
      <c r="BB546" s="30">
        <f t="shared" si="255"/>
        <v>0</v>
      </c>
      <c r="BC546" s="121">
        <f>交易记录!Z661</f>
        <v>0</v>
      </c>
      <c r="BD546" s="121">
        <f>交易记录!Z692</f>
        <v>0</v>
      </c>
      <c r="BE546" s="30">
        <f t="shared" si="256"/>
        <v>0</v>
      </c>
      <c r="BF546" s="124">
        <f>交易记录!Z725</f>
        <v>0</v>
      </c>
      <c r="BG546" s="124">
        <f>交易记录!Z756</f>
        <v>0</v>
      </c>
      <c r="BH546" s="30">
        <f t="shared" si="257"/>
        <v>0</v>
      </c>
      <c r="BI546" s="121">
        <f>交易记录!Z789</f>
        <v>0</v>
      </c>
      <c r="BJ546" s="121">
        <f>交易记录!Z820</f>
        <v>0</v>
      </c>
      <c r="BK546" s="30">
        <f t="shared" si="258"/>
        <v>0</v>
      </c>
      <c r="BL546" s="124">
        <f>交易记录!Z853</f>
        <v>0</v>
      </c>
      <c r="BM546" s="124">
        <f>交易记录!Z884</f>
        <v>0</v>
      </c>
      <c r="BN546" s="30">
        <f t="shared" si="259"/>
        <v>0</v>
      </c>
      <c r="BO546" s="121">
        <f>交易记录!Z917</f>
        <v>0</v>
      </c>
      <c r="BP546" s="121">
        <f>交易记录!Z948</f>
        <v>0</v>
      </c>
      <c r="BQ546" s="30">
        <f t="shared" si="260"/>
        <v>0</v>
      </c>
    </row>
    <row r="547" spans="1:69" ht="15">
      <c r="A547" s="125">
        <f>'维护-日期'!A$25</f>
        <v>46288</v>
      </c>
      <c r="B547" s="7" t="s">
        <v>23</v>
      </c>
      <c r="C547" s="144">
        <f t="shared" si="261"/>
        <v>23.443000000000001</v>
      </c>
      <c r="D547" s="144">
        <f>ROUND(INDEX(持仓数据!$C$3:$AG$26,MATCH('计算过程-数据汇总'!B547,持仓数据!$B$3:$B$26,0),MATCH('计算过程-数据汇总'!A547,'维护-日期'!$B$2:$AF$2,0)),3)</f>
        <v>23.443000000000001</v>
      </c>
      <c r="E547" s="98">
        <f t="shared" si="262"/>
        <v>23.443000000000001</v>
      </c>
      <c r="F547" s="22">
        <f>持仓数据!Y89</f>
        <v>0.63300000000000001</v>
      </c>
      <c r="G547" s="97">
        <v>372</v>
      </c>
      <c r="H547" s="97">
        <v>372</v>
      </c>
      <c r="I547" s="64">
        <v>0</v>
      </c>
      <c r="J547" s="64">
        <v>0</v>
      </c>
      <c r="K547" s="21">
        <f>IF(持仓数据!Y122="",0,持仓数据!Y122)</f>
        <v>372</v>
      </c>
      <c r="L547" s="21">
        <f t="shared" si="263"/>
        <v>0</v>
      </c>
      <c r="M547" s="28">
        <f t="shared" si="247"/>
        <v>8720.7960000000003</v>
      </c>
      <c r="N547" s="28">
        <f t="shared" si="248"/>
        <v>0</v>
      </c>
      <c r="O547" s="28">
        <f t="shared" si="249"/>
        <v>0</v>
      </c>
      <c r="P547" s="28">
        <f t="shared" si="250"/>
        <v>0</v>
      </c>
      <c r="Q547" s="28">
        <f t="shared" si="264"/>
        <v>0</v>
      </c>
      <c r="R547" s="28">
        <f t="shared" si="251"/>
        <v>8720.7960000000003</v>
      </c>
      <c r="S547" s="28">
        <f t="shared" si="265"/>
        <v>0</v>
      </c>
      <c r="T547" s="28">
        <f t="shared" si="266"/>
        <v>0</v>
      </c>
      <c r="U547" s="28">
        <f t="shared" si="269"/>
        <v>0</v>
      </c>
      <c r="V547" s="28">
        <f t="shared" si="267"/>
        <v>0</v>
      </c>
      <c r="W547" s="118"/>
      <c r="X547" s="143">
        <f t="shared" si="268"/>
        <v>27.498999999999999</v>
      </c>
      <c r="Y547" s="121">
        <f>交易记录!Z22</f>
        <v>0.63300000000000001</v>
      </c>
      <c r="Z547" s="121">
        <f>交易记录!Z53</f>
        <v>372</v>
      </c>
      <c r="AA547" s="30">
        <f t="shared" si="252"/>
        <v>0</v>
      </c>
      <c r="AB547" s="124">
        <f>交易记录!Z86</f>
        <v>0</v>
      </c>
      <c r="AC547" s="124">
        <f>交易记录!Z117</f>
        <v>0</v>
      </c>
      <c r="AD547" s="30">
        <f t="shared" si="270"/>
        <v>0</v>
      </c>
      <c r="AE547" s="121">
        <f>交易记录!Z150</f>
        <v>0</v>
      </c>
      <c r="AF547" s="121">
        <f>交易记录!Z181</f>
        <v>0</v>
      </c>
      <c r="AG547" s="30">
        <f t="shared" si="271"/>
        <v>0</v>
      </c>
      <c r="AH547" s="124">
        <f>交易记录!Z214</f>
        <v>0</v>
      </c>
      <c r="AI547" s="124">
        <f>交易记录!Z245</f>
        <v>0</v>
      </c>
      <c r="AJ547" s="30">
        <f t="shared" si="272"/>
        <v>0</v>
      </c>
      <c r="AK547" s="121">
        <f>交易记录!Z278</f>
        <v>0</v>
      </c>
      <c r="AL547" s="121">
        <f>交易记录!Z309</f>
        <v>0</v>
      </c>
      <c r="AM547" s="30">
        <f t="shared" si="273"/>
        <v>0</v>
      </c>
      <c r="AN547" s="124">
        <f>交易记录!Z342</f>
        <v>0</v>
      </c>
      <c r="AO547" s="124">
        <f>交易记录!Z373</f>
        <v>0</v>
      </c>
      <c r="AP547" s="30">
        <f t="shared" si="274"/>
        <v>0</v>
      </c>
      <c r="AQ547" s="121">
        <f>交易记录!Z406</f>
        <v>0</v>
      </c>
      <c r="AR547" s="121">
        <f>交易记录!Z437</f>
        <v>0</v>
      </c>
      <c r="AS547" s="30">
        <f t="shared" si="275"/>
        <v>0</v>
      </c>
      <c r="AT547" s="124">
        <f>交易记录!Z470</f>
        <v>0</v>
      </c>
      <c r="AU547" s="124">
        <f>交易记录!Z501</f>
        <v>0</v>
      </c>
      <c r="AV547" s="30">
        <f t="shared" si="253"/>
        <v>0</v>
      </c>
      <c r="AW547" s="121">
        <f>交易记录!Z534</f>
        <v>0</v>
      </c>
      <c r="AX547" s="121">
        <f>交易记录!Z565</f>
        <v>0</v>
      </c>
      <c r="AY547" s="30">
        <f t="shared" si="254"/>
        <v>0</v>
      </c>
      <c r="AZ547" s="124">
        <f>交易记录!Z598</f>
        <v>0</v>
      </c>
      <c r="BA547" s="124">
        <f>交易记录!Z629</f>
        <v>0</v>
      </c>
      <c r="BB547" s="30">
        <f t="shared" si="255"/>
        <v>0</v>
      </c>
      <c r="BC547" s="121">
        <f>交易记录!Z662</f>
        <v>0</v>
      </c>
      <c r="BD547" s="121">
        <f>交易记录!Z693</f>
        <v>0</v>
      </c>
      <c r="BE547" s="30">
        <f t="shared" si="256"/>
        <v>0</v>
      </c>
      <c r="BF547" s="124">
        <f>交易记录!Z726</f>
        <v>0</v>
      </c>
      <c r="BG547" s="124">
        <f>交易记录!Z757</f>
        <v>0</v>
      </c>
      <c r="BH547" s="30">
        <f t="shared" si="257"/>
        <v>0</v>
      </c>
      <c r="BI547" s="121">
        <f>交易记录!Z790</f>
        <v>0</v>
      </c>
      <c r="BJ547" s="121">
        <f>交易记录!Z821</f>
        <v>0</v>
      </c>
      <c r="BK547" s="30">
        <f t="shared" si="258"/>
        <v>0</v>
      </c>
      <c r="BL547" s="124">
        <f>交易记录!Z854</f>
        <v>0</v>
      </c>
      <c r="BM547" s="124">
        <f>交易记录!Z885</f>
        <v>0</v>
      </c>
      <c r="BN547" s="30">
        <f t="shared" si="259"/>
        <v>0</v>
      </c>
      <c r="BO547" s="121">
        <f>交易记录!Z918</f>
        <v>0</v>
      </c>
      <c r="BP547" s="121">
        <f>交易记录!Z949</f>
        <v>0</v>
      </c>
      <c r="BQ547" s="30">
        <f t="shared" si="260"/>
        <v>0</v>
      </c>
    </row>
    <row r="548" spans="1:69" ht="15">
      <c r="A548" s="125">
        <f>'维护-日期'!A$25</f>
        <v>46288</v>
      </c>
      <c r="B548" s="7" t="s">
        <v>24</v>
      </c>
      <c r="C548" s="144">
        <f t="shared" si="261"/>
        <v>23.85</v>
      </c>
      <c r="D548" s="144">
        <f>ROUND(INDEX(持仓数据!$C$3:$AG$26,MATCH('计算过程-数据汇总'!B548,持仓数据!$B$3:$B$26,0),MATCH('计算过程-数据汇总'!A548,'维护-日期'!$B$2:$AF$2,0)),3)</f>
        <v>23.85</v>
      </c>
      <c r="E548" s="98">
        <f t="shared" si="262"/>
        <v>23.85</v>
      </c>
      <c r="F548" s="22">
        <f>持仓数据!Y90</f>
        <v>0.45400000000000001</v>
      </c>
      <c r="G548" s="97">
        <v>372</v>
      </c>
      <c r="H548" s="97">
        <v>372</v>
      </c>
      <c r="I548" s="64">
        <v>0</v>
      </c>
      <c r="J548" s="64">
        <v>0</v>
      </c>
      <c r="K548" s="21">
        <f>IF(持仓数据!Y123="",0,持仓数据!Y123)</f>
        <v>372</v>
      </c>
      <c r="L548" s="21">
        <f t="shared" si="263"/>
        <v>0</v>
      </c>
      <c r="M548" s="28">
        <f t="shared" si="247"/>
        <v>8872.2000000000007</v>
      </c>
      <c r="N548" s="28">
        <f t="shared" si="248"/>
        <v>0</v>
      </c>
      <c r="O548" s="28">
        <f t="shared" si="249"/>
        <v>0</v>
      </c>
      <c r="P548" s="28">
        <f t="shared" si="250"/>
        <v>0</v>
      </c>
      <c r="Q548" s="28">
        <f t="shared" si="264"/>
        <v>0</v>
      </c>
      <c r="R548" s="28">
        <f t="shared" si="251"/>
        <v>8872.2000000000007</v>
      </c>
      <c r="S548" s="28">
        <f t="shared" si="265"/>
        <v>0</v>
      </c>
      <c r="T548" s="28">
        <f t="shared" si="266"/>
        <v>0</v>
      </c>
      <c r="U548" s="28">
        <f t="shared" si="269"/>
        <v>0</v>
      </c>
      <c r="V548" s="28">
        <f t="shared" si="267"/>
        <v>0</v>
      </c>
      <c r="W548" s="118"/>
      <c r="X548" s="143">
        <f t="shared" si="268"/>
        <v>28.166</v>
      </c>
      <c r="Y548" s="121">
        <f>交易记录!Z23</f>
        <v>0.45400000000000001</v>
      </c>
      <c r="Z548" s="121">
        <f>交易记录!Z54</f>
        <v>372</v>
      </c>
      <c r="AA548" s="30">
        <f t="shared" si="252"/>
        <v>0</v>
      </c>
      <c r="AB548" s="124">
        <f>交易记录!Z87</f>
        <v>0</v>
      </c>
      <c r="AC548" s="124">
        <f>交易记录!Z118</f>
        <v>0</v>
      </c>
      <c r="AD548" s="30">
        <f t="shared" si="270"/>
        <v>0</v>
      </c>
      <c r="AE548" s="121">
        <f>交易记录!Z151</f>
        <v>0</v>
      </c>
      <c r="AF548" s="121">
        <f>交易记录!Z182</f>
        <v>0</v>
      </c>
      <c r="AG548" s="30">
        <f t="shared" si="271"/>
        <v>0</v>
      </c>
      <c r="AH548" s="124">
        <f>交易记录!Z215</f>
        <v>0</v>
      </c>
      <c r="AI548" s="124">
        <f>交易记录!Z246</f>
        <v>0</v>
      </c>
      <c r="AJ548" s="30">
        <f t="shared" si="272"/>
        <v>0</v>
      </c>
      <c r="AK548" s="121">
        <f>交易记录!Z279</f>
        <v>0</v>
      </c>
      <c r="AL548" s="121">
        <f>交易记录!Z310</f>
        <v>0</v>
      </c>
      <c r="AM548" s="30">
        <f t="shared" si="273"/>
        <v>0</v>
      </c>
      <c r="AN548" s="124">
        <f>交易记录!Z343</f>
        <v>0</v>
      </c>
      <c r="AO548" s="124">
        <f>交易记录!Z374</f>
        <v>0</v>
      </c>
      <c r="AP548" s="30">
        <f t="shared" si="274"/>
        <v>0</v>
      </c>
      <c r="AQ548" s="121">
        <f>交易记录!Z407</f>
        <v>0</v>
      </c>
      <c r="AR548" s="121">
        <f>交易记录!Z438</f>
        <v>0</v>
      </c>
      <c r="AS548" s="30">
        <f t="shared" si="275"/>
        <v>0</v>
      </c>
      <c r="AT548" s="124">
        <f>交易记录!Z471</f>
        <v>0</v>
      </c>
      <c r="AU548" s="124">
        <f>交易记录!Z502</f>
        <v>0</v>
      </c>
      <c r="AV548" s="30">
        <f t="shared" si="253"/>
        <v>0</v>
      </c>
      <c r="AW548" s="121">
        <f>交易记录!Z535</f>
        <v>0</v>
      </c>
      <c r="AX548" s="121">
        <f>交易记录!Z566</f>
        <v>0</v>
      </c>
      <c r="AY548" s="30">
        <f t="shared" si="254"/>
        <v>0</v>
      </c>
      <c r="AZ548" s="124">
        <f>交易记录!Z599</f>
        <v>0</v>
      </c>
      <c r="BA548" s="124">
        <f>交易记录!Z630</f>
        <v>0</v>
      </c>
      <c r="BB548" s="30">
        <f t="shared" si="255"/>
        <v>0</v>
      </c>
      <c r="BC548" s="121">
        <f>交易记录!Z663</f>
        <v>0</v>
      </c>
      <c r="BD548" s="121">
        <f>交易记录!Z694</f>
        <v>0</v>
      </c>
      <c r="BE548" s="30">
        <f t="shared" si="256"/>
        <v>0</v>
      </c>
      <c r="BF548" s="124">
        <f>交易记录!Z727</f>
        <v>0</v>
      </c>
      <c r="BG548" s="124">
        <f>交易记录!Z758</f>
        <v>0</v>
      </c>
      <c r="BH548" s="30">
        <f t="shared" si="257"/>
        <v>0</v>
      </c>
      <c r="BI548" s="121">
        <f>交易记录!Z791</f>
        <v>0</v>
      </c>
      <c r="BJ548" s="121">
        <f>交易记录!Z822</f>
        <v>0</v>
      </c>
      <c r="BK548" s="30">
        <f t="shared" si="258"/>
        <v>0</v>
      </c>
      <c r="BL548" s="124">
        <f>交易记录!Z855</f>
        <v>0</v>
      </c>
      <c r="BM548" s="124">
        <f>交易记录!Z886</f>
        <v>0</v>
      </c>
      <c r="BN548" s="30">
        <f t="shared" si="259"/>
        <v>0</v>
      </c>
      <c r="BO548" s="121">
        <f>交易记录!Z919</f>
        <v>0</v>
      </c>
      <c r="BP548" s="121">
        <f>交易记录!Z950</f>
        <v>0</v>
      </c>
      <c r="BQ548" s="30">
        <f t="shared" si="260"/>
        <v>0</v>
      </c>
    </row>
    <row r="549" spans="1:69" ht="15">
      <c r="A549" s="125">
        <f>'维护-日期'!A$25</f>
        <v>46288</v>
      </c>
      <c r="B549" s="7" t="s">
        <v>25</v>
      </c>
      <c r="C549" s="144">
        <f t="shared" si="261"/>
        <v>24.105</v>
      </c>
      <c r="D549" s="144">
        <f>ROUND(INDEX(持仓数据!$C$3:$AG$26,MATCH('计算过程-数据汇总'!B549,持仓数据!$B$3:$B$26,0),MATCH('计算过程-数据汇总'!A549,'维护-日期'!$B$2:$AF$2,0)),3)</f>
        <v>24.105</v>
      </c>
      <c r="E549" s="98">
        <f t="shared" si="262"/>
        <v>24.105</v>
      </c>
      <c r="F549" s="22">
        <f>持仓数据!Y91</f>
        <v>1.1160000000000001</v>
      </c>
      <c r="G549" s="97">
        <v>372</v>
      </c>
      <c r="H549" s="97">
        <v>372</v>
      </c>
      <c r="I549" s="64">
        <v>0</v>
      </c>
      <c r="J549" s="64">
        <v>0</v>
      </c>
      <c r="K549" s="21">
        <f>IF(持仓数据!Y124="",0,持仓数据!Y124)</f>
        <v>372</v>
      </c>
      <c r="L549" s="21">
        <f t="shared" si="263"/>
        <v>0</v>
      </c>
      <c r="M549" s="28">
        <f t="shared" si="247"/>
        <v>8967.06</v>
      </c>
      <c r="N549" s="28">
        <f t="shared" si="248"/>
        <v>0</v>
      </c>
      <c r="O549" s="28">
        <f t="shared" si="249"/>
        <v>0</v>
      </c>
      <c r="P549" s="28">
        <f t="shared" si="250"/>
        <v>0</v>
      </c>
      <c r="Q549" s="28">
        <f t="shared" si="264"/>
        <v>0</v>
      </c>
      <c r="R549" s="28">
        <f t="shared" si="251"/>
        <v>8967.06</v>
      </c>
      <c r="S549" s="28">
        <f t="shared" si="265"/>
        <v>0</v>
      </c>
      <c r="T549" s="28">
        <f t="shared" si="266"/>
        <v>0</v>
      </c>
      <c r="U549" s="28">
        <f t="shared" si="269"/>
        <v>0</v>
      </c>
      <c r="V549" s="28">
        <f t="shared" si="267"/>
        <v>0</v>
      </c>
      <c r="W549" s="118"/>
      <c r="X549" s="143">
        <f t="shared" si="268"/>
        <v>27.81</v>
      </c>
      <c r="Y549" s="121">
        <f>交易记录!Z24</f>
        <v>1.1160000000000001</v>
      </c>
      <c r="Z549" s="121">
        <f>交易记录!Z55</f>
        <v>372</v>
      </c>
      <c r="AA549" s="30">
        <f t="shared" si="252"/>
        <v>0</v>
      </c>
      <c r="AB549" s="124">
        <f>交易记录!Z88</f>
        <v>0</v>
      </c>
      <c r="AC549" s="124">
        <f>交易记录!Z119</f>
        <v>0</v>
      </c>
      <c r="AD549" s="30">
        <f t="shared" si="270"/>
        <v>0</v>
      </c>
      <c r="AE549" s="121">
        <f>交易记录!Z152</f>
        <v>0</v>
      </c>
      <c r="AF549" s="121">
        <f>交易记录!Z183</f>
        <v>0</v>
      </c>
      <c r="AG549" s="30">
        <f t="shared" si="271"/>
        <v>0</v>
      </c>
      <c r="AH549" s="124">
        <f>交易记录!Z216</f>
        <v>0</v>
      </c>
      <c r="AI549" s="124">
        <f>交易记录!Z247</f>
        <v>0</v>
      </c>
      <c r="AJ549" s="30">
        <f t="shared" si="272"/>
        <v>0</v>
      </c>
      <c r="AK549" s="121">
        <f>交易记录!Z280</f>
        <v>0</v>
      </c>
      <c r="AL549" s="121">
        <f>交易记录!Z311</f>
        <v>0</v>
      </c>
      <c r="AM549" s="30">
        <f t="shared" si="273"/>
        <v>0</v>
      </c>
      <c r="AN549" s="124">
        <f>交易记录!Z344</f>
        <v>0</v>
      </c>
      <c r="AO549" s="124">
        <f>交易记录!Z375</f>
        <v>0</v>
      </c>
      <c r="AP549" s="30">
        <f t="shared" si="274"/>
        <v>0</v>
      </c>
      <c r="AQ549" s="121">
        <f>交易记录!Z408</f>
        <v>0</v>
      </c>
      <c r="AR549" s="121">
        <f>交易记录!Z439</f>
        <v>0</v>
      </c>
      <c r="AS549" s="30">
        <f t="shared" si="275"/>
        <v>0</v>
      </c>
      <c r="AT549" s="124">
        <f>交易记录!Z472</f>
        <v>0</v>
      </c>
      <c r="AU549" s="124">
        <f>交易记录!Z503</f>
        <v>0</v>
      </c>
      <c r="AV549" s="30">
        <f t="shared" si="253"/>
        <v>0</v>
      </c>
      <c r="AW549" s="121">
        <f>交易记录!Z536</f>
        <v>0</v>
      </c>
      <c r="AX549" s="121">
        <f>交易记录!Z567</f>
        <v>0</v>
      </c>
      <c r="AY549" s="30">
        <f t="shared" si="254"/>
        <v>0</v>
      </c>
      <c r="AZ549" s="124">
        <f>交易记录!Z600</f>
        <v>0</v>
      </c>
      <c r="BA549" s="124">
        <f>交易记录!Z631</f>
        <v>0</v>
      </c>
      <c r="BB549" s="30">
        <f t="shared" si="255"/>
        <v>0</v>
      </c>
      <c r="BC549" s="121">
        <f>交易记录!Z664</f>
        <v>0</v>
      </c>
      <c r="BD549" s="121">
        <f>交易记录!Z695</f>
        <v>0</v>
      </c>
      <c r="BE549" s="30">
        <f t="shared" si="256"/>
        <v>0</v>
      </c>
      <c r="BF549" s="124">
        <f>交易记录!Z728</f>
        <v>0</v>
      </c>
      <c r="BG549" s="124">
        <f>交易记录!Z759</f>
        <v>0</v>
      </c>
      <c r="BH549" s="30">
        <f t="shared" si="257"/>
        <v>0</v>
      </c>
      <c r="BI549" s="121">
        <f>交易记录!Z792</f>
        <v>0</v>
      </c>
      <c r="BJ549" s="121">
        <f>交易记录!Z823</f>
        <v>0</v>
      </c>
      <c r="BK549" s="30">
        <f t="shared" si="258"/>
        <v>0</v>
      </c>
      <c r="BL549" s="124">
        <f>交易记录!Z856</f>
        <v>0</v>
      </c>
      <c r="BM549" s="124">
        <f>交易记录!Z887</f>
        <v>0</v>
      </c>
      <c r="BN549" s="30">
        <f t="shared" si="259"/>
        <v>0</v>
      </c>
      <c r="BO549" s="121">
        <f>交易记录!Z920</f>
        <v>0</v>
      </c>
      <c r="BP549" s="121">
        <f>交易记录!Z951</f>
        <v>0</v>
      </c>
      <c r="BQ549" s="30">
        <f t="shared" si="260"/>
        <v>0</v>
      </c>
    </row>
    <row r="550" spans="1:69" ht="15">
      <c r="A550" s="125">
        <f>'维护-日期'!A$25</f>
        <v>46288</v>
      </c>
      <c r="B550" s="7" t="s">
        <v>26</v>
      </c>
      <c r="C550" s="144">
        <f t="shared" si="261"/>
        <v>24.047999999999998</v>
      </c>
      <c r="D550" s="144">
        <f>ROUND(INDEX(持仓数据!$C$3:$AG$26,MATCH('计算过程-数据汇总'!B550,持仓数据!$B$3:$B$26,0),MATCH('计算过程-数据汇总'!A550,'维护-日期'!$B$2:$AF$2,0)),3)</f>
        <v>24.047999999999998</v>
      </c>
      <c r="E550" s="98">
        <f t="shared" si="262"/>
        <v>24.047999999999998</v>
      </c>
      <c r="F550" s="22">
        <f>持仓数据!Y92</f>
        <v>1</v>
      </c>
      <c r="G550" s="97">
        <v>372</v>
      </c>
      <c r="H550" s="97">
        <v>372</v>
      </c>
      <c r="I550" s="64">
        <v>0</v>
      </c>
      <c r="J550" s="64">
        <v>0</v>
      </c>
      <c r="K550" s="21">
        <f>IF(持仓数据!Y125="",0,持仓数据!Y125)</f>
        <v>372</v>
      </c>
      <c r="L550" s="21">
        <f t="shared" si="263"/>
        <v>0</v>
      </c>
      <c r="M550" s="28">
        <f t="shared" si="247"/>
        <v>8945.8559999999998</v>
      </c>
      <c r="N550" s="28">
        <f t="shared" si="248"/>
        <v>0</v>
      </c>
      <c r="O550" s="28">
        <f t="shared" si="249"/>
        <v>0</v>
      </c>
      <c r="P550" s="28">
        <f t="shared" si="250"/>
        <v>0</v>
      </c>
      <c r="Q550" s="28">
        <f t="shared" si="264"/>
        <v>0</v>
      </c>
      <c r="R550" s="28">
        <f t="shared" si="251"/>
        <v>8945.8559999999998</v>
      </c>
      <c r="S550" s="28">
        <f t="shared" si="265"/>
        <v>0</v>
      </c>
      <c r="T550" s="28">
        <f t="shared" si="266"/>
        <v>0</v>
      </c>
      <c r="U550" s="28">
        <f t="shared" si="269"/>
        <v>0</v>
      </c>
      <c r="V550" s="28">
        <f t="shared" si="267"/>
        <v>0</v>
      </c>
      <c r="W550" s="118"/>
      <c r="X550" s="143">
        <f t="shared" si="268"/>
        <v>27.858000000000001</v>
      </c>
      <c r="Y550" s="121">
        <f>交易记录!Z25</f>
        <v>1</v>
      </c>
      <c r="Z550" s="121">
        <f>交易记录!Z56</f>
        <v>372</v>
      </c>
      <c r="AA550" s="30">
        <f t="shared" si="252"/>
        <v>0</v>
      </c>
      <c r="AB550" s="124">
        <f>交易记录!Z89</f>
        <v>0</v>
      </c>
      <c r="AC550" s="124">
        <f>交易记录!Z120</f>
        <v>0</v>
      </c>
      <c r="AD550" s="30">
        <f t="shared" si="270"/>
        <v>0</v>
      </c>
      <c r="AE550" s="121">
        <f>交易记录!Z153</f>
        <v>0</v>
      </c>
      <c r="AF550" s="121">
        <f>交易记录!Z184</f>
        <v>0</v>
      </c>
      <c r="AG550" s="30">
        <f t="shared" si="271"/>
        <v>0</v>
      </c>
      <c r="AH550" s="124">
        <f>交易记录!Z217</f>
        <v>0</v>
      </c>
      <c r="AI550" s="124">
        <f>交易记录!Z248</f>
        <v>0</v>
      </c>
      <c r="AJ550" s="30">
        <f t="shared" si="272"/>
        <v>0</v>
      </c>
      <c r="AK550" s="121">
        <f>交易记录!Z281</f>
        <v>0</v>
      </c>
      <c r="AL550" s="121">
        <f>交易记录!Z312</f>
        <v>0</v>
      </c>
      <c r="AM550" s="30">
        <f t="shared" si="273"/>
        <v>0</v>
      </c>
      <c r="AN550" s="124">
        <f>交易记录!Z345</f>
        <v>0</v>
      </c>
      <c r="AO550" s="124">
        <f>交易记录!Z376</f>
        <v>0</v>
      </c>
      <c r="AP550" s="30">
        <f t="shared" si="274"/>
        <v>0</v>
      </c>
      <c r="AQ550" s="121">
        <f>交易记录!Z409</f>
        <v>0</v>
      </c>
      <c r="AR550" s="121">
        <f>交易记录!Z440</f>
        <v>0</v>
      </c>
      <c r="AS550" s="30">
        <f t="shared" si="275"/>
        <v>0</v>
      </c>
      <c r="AT550" s="124">
        <f>交易记录!Z473</f>
        <v>0</v>
      </c>
      <c r="AU550" s="124">
        <f>交易记录!Z504</f>
        <v>0</v>
      </c>
      <c r="AV550" s="30">
        <f t="shared" si="253"/>
        <v>0</v>
      </c>
      <c r="AW550" s="121">
        <f>交易记录!Z537</f>
        <v>0</v>
      </c>
      <c r="AX550" s="121">
        <f>交易记录!Z568</f>
        <v>0</v>
      </c>
      <c r="AY550" s="30">
        <f t="shared" si="254"/>
        <v>0</v>
      </c>
      <c r="AZ550" s="124">
        <f>交易记录!Z601</f>
        <v>0</v>
      </c>
      <c r="BA550" s="124">
        <f>交易记录!Z632</f>
        <v>0</v>
      </c>
      <c r="BB550" s="30">
        <f t="shared" si="255"/>
        <v>0</v>
      </c>
      <c r="BC550" s="121">
        <f>交易记录!Z665</f>
        <v>0</v>
      </c>
      <c r="BD550" s="121">
        <f>交易记录!Z696</f>
        <v>0</v>
      </c>
      <c r="BE550" s="30">
        <f t="shared" si="256"/>
        <v>0</v>
      </c>
      <c r="BF550" s="124">
        <f>交易记录!Z729</f>
        <v>0</v>
      </c>
      <c r="BG550" s="124">
        <f>交易记录!Z760</f>
        <v>0</v>
      </c>
      <c r="BH550" s="30">
        <f t="shared" si="257"/>
        <v>0</v>
      </c>
      <c r="BI550" s="121">
        <f>交易记录!Z793</f>
        <v>0</v>
      </c>
      <c r="BJ550" s="121">
        <f>交易记录!Z824</f>
        <v>0</v>
      </c>
      <c r="BK550" s="30">
        <f t="shared" si="258"/>
        <v>0</v>
      </c>
      <c r="BL550" s="124">
        <f>交易记录!Z857</f>
        <v>0</v>
      </c>
      <c r="BM550" s="124">
        <f>交易记录!Z888</f>
        <v>0</v>
      </c>
      <c r="BN550" s="30">
        <f t="shared" si="259"/>
        <v>0</v>
      </c>
      <c r="BO550" s="121">
        <f>交易记录!Z921</f>
        <v>0</v>
      </c>
      <c r="BP550" s="121">
        <f>交易记录!Z952</f>
        <v>0</v>
      </c>
      <c r="BQ550" s="30">
        <f t="shared" si="260"/>
        <v>0</v>
      </c>
    </row>
    <row r="551" spans="1:69" ht="15">
      <c r="A551" s="125">
        <f>'维护-日期'!A$25</f>
        <v>46288</v>
      </c>
      <c r="B551" s="7" t="s">
        <v>27</v>
      </c>
      <c r="C551" s="144">
        <f t="shared" si="261"/>
        <v>22.594000000000001</v>
      </c>
      <c r="D551" s="144">
        <f>ROUND(INDEX(持仓数据!$C$3:$AG$26,MATCH('计算过程-数据汇总'!B551,持仓数据!$B$3:$B$26,0),MATCH('计算过程-数据汇总'!A551,'维护-日期'!$B$2:$AF$2,0)),3)</f>
        <v>22.594000000000001</v>
      </c>
      <c r="E551" s="98">
        <f t="shared" si="262"/>
        <v>22.594000000000001</v>
      </c>
      <c r="F551" s="22">
        <f>持仓数据!Y93</f>
        <v>0.95199999999999996</v>
      </c>
      <c r="G551" s="97">
        <v>372</v>
      </c>
      <c r="H551" s="97">
        <v>372</v>
      </c>
      <c r="I551" s="64">
        <v>0</v>
      </c>
      <c r="J551" s="64">
        <v>0</v>
      </c>
      <c r="K551" s="21">
        <f>IF(持仓数据!Y126="",0,持仓数据!Y126)</f>
        <v>372</v>
      </c>
      <c r="L551" s="21">
        <f t="shared" si="263"/>
        <v>0</v>
      </c>
      <c r="M551" s="28">
        <f t="shared" si="247"/>
        <v>8404.9680000000008</v>
      </c>
      <c r="N551" s="28">
        <f t="shared" si="248"/>
        <v>0</v>
      </c>
      <c r="O551" s="28">
        <f t="shared" si="249"/>
        <v>0</v>
      </c>
      <c r="P551" s="28">
        <f t="shared" si="250"/>
        <v>0</v>
      </c>
      <c r="Q551" s="28">
        <f t="shared" si="264"/>
        <v>0</v>
      </c>
      <c r="R551" s="28">
        <f t="shared" si="251"/>
        <v>8404.9680000000008</v>
      </c>
      <c r="S551" s="28">
        <f t="shared" si="265"/>
        <v>0</v>
      </c>
      <c r="T551" s="28">
        <f t="shared" si="266"/>
        <v>0</v>
      </c>
      <c r="U551" s="28">
        <f t="shared" si="269"/>
        <v>0</v>
      </c>
      <c r="V551" s="28">
        <f t="shared" si="267"/>
        <v>0</v>
      </c>
      <c r="W551" s="118"/>
      <c r="X551" s="143">
        <f t="shared" si="268"/>
        <v>26.161000000000001</v>
      </c>
      <c r="Y551" s="121">
        <f>交易记录!Z26</f>
        <v>0.95199999999999996</v>
      </c>
      <c r="Z551" s="121">
        <f>交易记录!Z57</f>
        <v>372</v>
      </c>
      <c r="AA551" s="30">
        <f t="shared" si="252"/>
        <v>0</v>
      </c>
      <c r="AB551" s="124">
        <f>交易记录!Z90</f>
        <v>0</v>
      </c>
      <c r="AC551" s="124">
        <f>交易记录!Z121</f>
        <v>0</v>
      </c>
      <c r="AD551" s="30">
        <f t="shared" si="270"/>
        <v>0</v>
      </c>
      <c r="AE551" s="121">
        <f>交易记录!Z154</f>
        <v>0</v>
      </c>
      <c r="AF551" s="121">
        <f>交易记录!Z185</f>
        <v>0</v>
      </c>
      <c r="AG551" s="30">
        <f t="shared" si="271"/>
        <v>0</v>
      </c>
      <c r="AH551" s="124">
        <f>交易记录!Z218</f>
        <v>0</v>
      </c>
      <c r="AI551" s="124">
        <f>交易记录!Z249</f>
        <v>0</v>
      </c>
      <c r="AJ551" s="30">
        <f t="shared" si="272"/>
        <v>0</v>
      </c>
      <c r="AK551" s="121">
        <f>交易记录!Z282</f>
        <v>0</v>
      </c>
      <c r="AL551" s="121">
        <f>交易记录!Z313</f>
        <v>0</v>
      </c>
      <c r="AM551" s="30">
        <f t="shared" si="273"/>
        <v>0</v>
      </c>
      <c r="AN551" s="124">
        <f>交易记录!Z346</f>
        <v>0</v>
      </c>
      <c r="AO551" s="124">
        <f>交易记录!Z377</f>
        <v>0</v>
      </c>
      <c r="AP551" s="30">
        <f t="shared" si="274"/>
        <v>0</v>
      </c>
      <c r="AQ551" s="121">
        <f>交易记录!Z410</f>
        <v>0</v>
      </c>
      <c r="AR551" s="121">
        <f>交易记录!Z441</f>
        <v>0</v>
      </c>
      <c r="AS551" s="30">
        <f t="shared" si="275"/>
        <v>0</v>
      </c>
      <c r="AT551" s="124">
        <f>交易记录!Z474</f>
        <v>0</v>
      </c>
      <c r="AU551" s="124">
        <f>交易记录!Z505</f>
        <v>0</v>
      </c>
      <c r="AV551" s="30">
        <f t="shared" si="253"/>
        <v>0</v>
      </c>
      <c r="AW551" s="121">
        <f>交易记录!Z538</f>
        <v>0</v>
      </c>
      <c r="AX551" s="121">
        <f>交易记录!Z569</f>
        <v>0</v>
      </c>
      <c r="AY551" s="30">
        <f t="shared" si="254"/>
        <v>0</v>
      </c>
      <c r="AZ551" s="124">
        <f>交易记录!Z602</f>
        <v>0</v>
      </c>
      <c r="BA551" s="124">
        <f>交易记录!Z633</f>
        <v>0</v>
      </c>
      <c r="BB551" s="30">
        <f t="shared" si="255"/>
        <v>0</v>
      </c>
      <c r="BC551" s="121">
        <f>交易记录!Z666</f>
        <v>0</v>
      </c>
      <c r="BD551" s="121">
        <f>交易记录!Z697</f>
        <v>0</v>
      </c>
      <c r="BE551" s="30">
        <f t="shared" si="256"/>
        <v>0</v>
      </c>
      <c r="BF551" s="124">
        <f>交易记录!Z730</f>
        <v>0</v>
      </c>
      <c r="BG551" s="124">
        <f>交易记录!Z761</f>
        <v>0</v>
      </c>
      <c r="BH551" s="30">
        <f t="shared" si="257"/>
        <v>0</v>
      </c>
      <c r="BI551" s="121">
        <f>交易记录!Z794</f>
        <v>0</v>
      </c>
      <c r="BJ551" s="121">
        <f>交易记录!Z825</f>
        <v>0</v>
      </c>
      <c r="BK551" s="30">
        <f t="shared" si="258"/>
        <v>0</v>
      </c>
      <c r="BL551" s="124">
        <f>交易记录!Z858</f>
        <v>0</v>
      </c>
      <c r="BM551" s="124">
        <f>交易记录!Z889</f>
        <v>0</v>
      </c>
      <c r="BN551" s="30">
        <f t="shared" si="259"/>
        <v>0</v>
      </c>
      <c r="BO551" s="121">
        <f>交易记录!Z922</f>
        <v>0</v>
      </c>
      <c r="BP551" s="121">
        <f>交易记录!Z953</f>
        <v>0</v>
      </c>
      <c r="BQ551" s="30">
        <f t="shared" si="260"/>
        <v>0</v>
      </c>
    </row>
    <row r="552" spans="1:69" ht="15">
      <c r="A552" s="125">
        <f>'维护-日期'!A$25</f>
        <v>46288</v>
      </c>
      <c r="B552" s="7" t="s">
        <v>28</v>
      </c>
      <c r="C552" s="144">
        <f t="shared" si="261"/>
        <v>19.387</v>
      </c>
      <c r="D552" s="144">
        <f>ROUND(INDEX(持仓数据!$C$3:$AG$26,MATCH('计算过程-数据汇总'!B552,持仓数据!$B$3:$B$26,0),MATCH('计算过程-数据汇总'!A552,'维护-日期'!$B$2:$AF$2,0)),3)</f>
        <v>19.387</v>
      </c>
      <c r="E552" s="98">
        <f t="shared" si="262"/>
        <v>19.387</v>
      </c>
      <c r="F552" s="22">
        <f>持仓数据!Y94</f>
        <v>0.84300000000000008</v>
      </c>
      <c r="G552" s="97">
        <v>372</v>
      </c>
      <c r="H552" s="97">
        <v>372</v>
      </c>
      <c r="I552" s="64">
        <v>0</v>
      </c>
      <c r="J552" s="64">
        <v>0</v>
      </c>
      <c r="K552" s="21">
        <f>IF(持仓数据!Y127="",0,持仓数据!Y127)</f>
        <v>371.99999999999994</v>
      </c>
      <c r="L552" s="21">
        <f t="shared" si="263"/>
        <v>0</v>
      </c>
      <c r="M552" s="28">
        <f t="shared" si="247"/>
        <v>7211.9639999999999</v>
      </c>
      <c r="N552" s="28">
        <f t="shared" si="248"/>
        <v>0</v>
      </c>
      <c r="O552" s="28">
        <f t="shared" si="249"/>
        <v>0</v>
      </c>
      <c r="P552" s="28">
        <f t="shared" si="250"/>
        <v>-4.7919002099661161E-14</v>
      </c>
      <c r="Q552" s="28">
        <f t="shared" si="264"/>
        <v>0</v>
      </c>
      <c r="R552" s="28">
        <f t="shared" si="251"/>
        <v>7211.963999999999</v>
      </c>
      <c r="S552" s="28">
        <f t="shared" si="265"/>
        <v>0</v>
      </c>
      <c r="T552" s="28">
        <f t="shared" si="266"/>
        <v>1.0541043593548239E-12</v>
      </c>
      <c r="U552" s="28">
        <f t="shared" si="269"/>
        <v>0</v>
      </c>
      <c r="V552" s="28">
        <f t="shared" si="267"/>
        <v>0</v>
      </c>
      <c r="W552" s="118"/>
      <c r="X552" s="143">
        <f t="shared" si="268"/>
        <v>22.420999999999999</v>
      </c>
      <c r="Y552" s="121">
        <f>交易记录!Z27</f>
        <v>0.84300000000000008</v>
      </c>
      <c r="Z552" s="121">
        <f>交易记录!Z58</f>
        <v>372</v>
      </c>
      <c r="AA552" s="30">
        <f t="shared" si="252"/>
        <v>0</v>
      </c>
      <c r="AB552" s="124">
        <f>交易记录!Z91</f>
        <v>0</v>
      </c>
      <c r="AC552" s="124">
        <f>交易记录!Z122</f>
        <v>0</v>
      </c>
      <c r="AD552" s="30">
        <f t="shared" si="270"/>
        <v>0</v>
      </c>
      <c r="AE552" s="121">
        <f>交易记录!Z155</f>
        <v>0</v>
      </c>
      <c r="AF552" s="121">
        <f>交易记录!Z186</f>
        <v>0</v>
      </c>
      <c r="AG552" s="30">
        <f t="shared" si="271"/>
        <v>0</v>
      </c>
      <c r="AH552" s="124">
        <f>交易记录!Z219</f>
        <v>0</v>
      </c>
      <c r="AI552" s="124">
        <f>交易记录!Z250</f>
        <v>0</v>
      </c>
      <c r="AJ552" s="30">
        <f t="shared" si="272"/>
        <v>0</v>
      </c>
      <c r="AK552" s="121">
        <f>交易记录!Z283</f>
        <v>0</v>
      </c>
      <c r="AL552" s="121">
        <f>交易记录!Z314</f>
        <v>0</v>
      </c>
      <c r="AM552" s="30">
        <f t="shared" si="273"/>
        <v>0</v>
      </c>
      <c r="AN552" s="124">
        <f>交易记录!Z347</f>
        <v>0</v>
      </c>
      <c r="AO552" s="124">
        <f>交易记录!Z378</f>
        <v>0</v>
      </c>
      <c r="AP552" s="30">
        <f t="shared" si="274"/>
        <v>0</v>
      </c>
      <c r="AQ552" s="121">
        <f>交易记录!Z411</f>
        <v>0</v>
      </c>
      <c r="AR552" s="121">
        <f>交易记录!Z442</f>
        <v>0</v>
      </c>
      <c r="AS552" s="30">
        <f t="shared" si="275"/>
        <v>0</v>
      </c>
      <c r="AT552" s="124">
        <f>交易记录!Z475</f>
        <v>0</v>
      </c>
      <c r="AU552" s="124">
        <f>交易记录!Z506</f>
        <v>0</v>
      </c>
      <c r="AV552" s="30">
        <f t="shared" si="253"/>
        <v>0</v>
      </c>
      <c r="AW552" s="121">
        <f>交易记录!Z539</f>
        <v>0</v>
      </c>
      <c r="AX552" s="121">
        <f>交易记录!Z570</f>
        <v>0</v>
      </c>
      <c r="AY552" s="30">
        <f t="shared" si="254"/>
        <v>0</v>
      </c>
      <c r="AZ552" s="124">
        <f>交易记录!Z603</f>
        <v>0</v>
      </c>
      <c r="BA552" s="124">
        <f>交易记录!Z634</f>
        <v>0</v>
      </c>
      <c r="BB552" s="30">
        <f t="shared" si="255"/>
        <v>0</v>
      </c>
      <c r="BC552" s="121">
        <f>交易记录!Z667</f>
        <v>0</v>
      </c>
      <c r="BD552" s="121">
        <f>交易记录!Z698</f>
        <v>0</v>
      </c>
      <c r="BE552" s="30">
        <f t="shared" si="256"/>
        <v>0</v>
      </c>
      <c r="BF552" s="124">
        <f>交易记录!Z731</f>
        <v>0</v>
      </c>
      <c r="BG552" s="124">
        <f>交易记录!Z762</f>
        <v>0</v>
      </c>
      <c r="BH552" s="30">
        <f t="shared" si="257"/>
        <v>0</v>
      </c>
      <c r="BI552" s="121">
        <f>交易记录!Z795</f>
        <v>0</v>
      </c>
      <c r="BJ552" s="121">
        <f>交易记录!Z826</f>
        <v>0</v>
      </c>
      <c r="BK552" s="30">
        <f t="shared" si="258"/>
        <v>0</v>
      </c>
      <c r="BL552" s="124">
        <f>交易记录!Z859</f>
        <v>0</v>
      </c>
      <c r="BM552" s="124">
        <f>交易记录!Z890</f>
        <v>0</v>
      </c>
      <c r="BN552" s="30">
        <f t="shared" si="259"/>
        <v>0</v>
      </c>
      <c r="BO552" s="121">
        <f>交易记录!Z923</f>
        <v>0</v>
      </c>
      <c r="BP552" s="121">
        <f>交易记录!Z954</f>
        <v>0</v>
      </c>
      <c r="BQ552" s="30">
        <f t="shared" si="260"/>
        <v>0</v>
      </c>
    </row>
    <row r="553" spans="1:69" ht="15">
      <c r="A553" s="125">
        <f>'维护-日期'!A$25</f>
        <v>46288</v>
      </c>
      <c r="B553" s="7" t="s">
        <v>29</v>
      </c>
      <c r="C553" s="144">
        <f t="shared" si="261"/>
        <v>16.963000000000001</v>
      </c>
      <c r="D553" s="144">
        <f>ROUND(INDEX(持仓数据!$C$3:$AG$26,MATCH('计算过程-数据汇总'!B553,持仓数据!$B$3:$B$26,0),MATCH('计算过程-数据汇总'!A553,'维护-日期'!$B$2:$AF$2,0)),3)</f>
        <v>16.963000000000001</v>
      </c>
      <c r="E553" s="98">
        <f t="shared" si="262"/>
        <v>16.963000000000001</v>
      </c>
      <c r="F553" s="22">
        <f>持仓数据!Y95</f>
        <v>0.33299999999999996</v>
      </c>
      <c r="G553" s="97">
        <v>372</v>
      </c>
      <c r="H553" s="97">
        <v>372</v>
      </c>
      <c r="I553" s="64">
        <v>0</v>
      </c>
      <c r="J553" s="64">
        <v>0</v>
      </c>
      <c r="K553" s="21">
        <f>IF(持仓数据!Y128="",0,持仓数据!Y128)</f>
        <v>372</v>
      </c>
      <c r="L553" s="21">
        <f t="shared" si="263"/>
        <v>0</v>
      </c>
      <c r="M553" s="28">
        <f t="shared" si="247"/>
        <v>6310.2360000000008</v>
      </c>
      <c r="N553" s="28">
        <f t="shared" si="248"/>
        <v>0</v>
      </c>
      <c r="O553" s="28">
        <f t="shared" si="249"/>
        <v>0</v>
      </c>
      <c r="P553" s="28">
        <f t="shared" si="250"/>
        <v>0</v>
      </c>
      <c r="Q553" s="28">
        <f t="shared" si="264"/>
        <v>0</v>
      </c>
      <c r="R553" s="28">
        <f t="shared" si="251"/>
        <v>6310.2360000000008</v>
      </c>
      <c r="S553" s="28">
        <f t="shared" si="265"/>
        <v>0</v>
      </c>
      <c r="T553" s="28">
        <f t="shared" si="266"/>
        <v>0</v>
      </c>
      <c r="U553" s="28">
        <f t="shared" si="269"/>
        <v>0</v>
      </c>
      <c r="V553" s="28">
        <f t="shared" si="267"/>
        <v>0</v>
      </c>
      <c r="W553" s="118"/>
      <c r="X553" s="143">
        <f t="shared" si="268"/>
        <v>20.023</v>
      </c>
      <c r="Y553" s="121">
        <f>交易记录!Z28</f>
        <v>0.33299999999999996</v>
      </c>
      <c r="Z553" s="121">
        <f>交易记录!Z59</f>
        <v>372</v>
      </c>
      <c r="AA553" s="30">
        <f t="shared" si="252"/>
        <v>0</v>
      </c>
      <c r="AB553" s="124">
        <f>交易记录!Z92</f>
        <v>0</v>
      </c>
      <c r="AC553" s="124">
        <f>交易记录!Z123</f>
        <v>0</v>
      </c>
      <c r="AD553" s="30">
        <f t="shared" si="270"/>
        <v>0</v>
      </c>
      <c r="AE553" s="121">
        <f>交易记录!Z156</f>
        <v>0</v>
      </c>
      <c r="AF553" s="121">
        <f>交易记录!Z187</f>
        <v>0</v>
      </c>
      <c r="AG553" s="30">
        <f t="shared" si="271"/>
        <v>0</v>
      </c>
      <c r="AH553" s="124">
        <f>交易记录!Z220</f>
        <v>0</v>
      </c>
      <c r="AI553" s="124">
        <f>交易记录!Z251</f>
        <v>0</v>
      </c>
      <c r="AJ553" s="30">
        <f t="shared" si="272"/>
        <v>0</v>
      </c>
      <c r="AK553" s="121">
        <f>交易记录!Z284</f>
        <v>0</v>
      </c>
      <c r="AL553" s="121">
        <f>交易记录!Z315</f>
        <v>0</v>
      </c>
      <c r="AM553" s="30">
        <f t="shared" si="273"/>
        <v>0</v>
      </c>
      <c r="AN553" s="124">
        <f>交易记录!Z348</f>
        <v>0</v>
      </c>
      <c r="AO553" s="124">
        <f>交易记录!Z379</f>
        <v>0</v>
      </c>
      <c r="AP553" s="30">
        <f t="shared" si="274"/>
        <v>0</v>
      </c>
      <c r="AQ553" s="121">
        <f>交易记录!Z412</f>
        <v>0</v>
      </c>
      <c r="AR553" s="121">
        <f>交易记录!Z443</f>
        <v>0</v>
      </c>
      <c r="AS553" s="30">
        <f t="shared" si="275"/>
        <v>0</v>
      </c>
      <c r="AT553" s="124">
        <f>交易记录!Z476</f>
        <v>0</v>
      </c>
      <c r="AU553" s="124">
        <f>交易记录!Z507</f>
        <v>0</v>
      </c>
      <c r="AV553" s="30">
        <f t="shared" si="253"/>
        <v>0</v>
      </c>
      <c r="AW553" s="121">
        <f>交易记录!Z540</f>
        <v>0</v>
      </c>
      <c r="AX553" s="121">
        <f>交易记录!Z571</f>
        <v>0</v>
      </c>
      <c r="AY553" s="30">
        <f t="shared" si="254"/>
        <v>0</v>
      </c>
      <c r="AZ553" s="124">
        <f>交易记录!Z604</f>
        <v>0</v>
      </c>
      <c r="BA553" s="124">
        <f>交易记录!Z635</f>
        <v>0</v>
      </c>
      <c r="BB553" s="30">
        <f t="shared" si="255"/>
        <v>0</v>
      </c>
      <c r="BC553" s="121">
        <f>交易记录!Z668</f>
        <v>0</v>
      </c>
      <c r="BD553" s="121">
        <f>交易记录!Z699</f>
        <v>0</v>
      </c>
      <c r="BE553" s="30">
        <f t="shared" si="256"/>
        <v>0</v>
      </c>
      <c r="BF553" s="124">
        <f>交易记录!Z732</f>
        <v>0</v>
      </c>
      <c r="BG553" s="124">
        <f>交易记录!Z763</f>
        <v>0</v>
      </c>
      <c r="BH553" s="30">
        <f t="shared" si="257"/>
        <v>0</v>
      </c>
      <c r="BI553" s="121">
        <f>交易记录!Z796</f>
        <v>0</v>
      </c>
      <c r="BJ553" s="121">
        <f>交易记录!Z827</f>
        <v>0</v>
      </c>
      <c r="BK553" s="30">
        <f t="shared" si="258"/>
        <v>0</v>
      </c>
      <c r="BL553" s="124">
        <f>交易记录!Z860</f>
        <v>0</v>
      </c>
      <c r="BM553" s="124">
        <f>交易记录!Z891</f>
        <v>0</v>
      </c>
      <c r="BN553" s="30">
        <f t="shared" si="259"/>
        <v>0</v>
      </c>
      <c r="BO553" s="121">
        <f>交易记录!Z924</f>
        <v>0</v>
      </c>
      <c r="BP553" s="121">
        <f>交易记录!Z955</f>
        <v>0</v>
      </c>
      <c r="BQ553" s="30">
        <f t="shared" si="260"/>
        <v>0</v>
      </c>
    </row>
    <row r="554" spans="1:69" ht="15">
      <c r="A554" s="125">
        <f>'维护-日期'!A$26</f>
        <v>46289</v>
      </c>
      <c r="B554" s="7" t="s">
        <v>6</v>
      </c>
      <c r="C554" s="144">
        <f t="shared" si="261"/>
        <v>16.655999999999999</v>
      </c>
      <c r="D554" s="144">
        <f>ROUND(INDEX(持仓数据!$C$3:$AG$26,MATCH('计算过程-数据汇总'!B554,持仓数据!$B$3:$B$26,0),MATCH('计算过程-数据汇总'!A554,'维护-日期'!$B$2:$AF$2,0)),3)</f>
        <v>16.655999999999999</v>
      </c>
      <c r="E554" s="98">
        <f t="shared" si="262"/>
        <v>16.655999999999999</v>
      </c>
      <c r="F554" s="22">
        <f>持仓数据!Z72</f>
        <v>0.39700000000000002</v>
      </c>
      <c r="G554" s="97">
        <v>372</v>
      </c>
      <c r="H554" s="97">
        <v>372</v>
      </c>
      <c r="I554" s="64">
        <v>0</v>
      </c>
      <c r="J554" s="64">
        <v>0</v>
      </c>
      <c r="K554" s="21">
        <f>IF(持仓数据!Z105="",0,持仓数据!Z105)</f>
        <v>372</v>
      </c>
      <c r="L554" s="21">
        <f t="shared" si="263"/>
        <v>0</v>
      </c>
      <c r="M554" s="28">
        <f t="shared" si="247"/>
        <v>6196.0319999999992</v>
      </c>
      <c r="N554" s="28">
        <f t="shared" si="248"/>
        <v>0</v>
      </c>
      <c r="O554" s="28">
        <f t="shared" si="249"/>
        <v>0</v>
      </c>
      <c r="P554" s="28">
        <f t="shared" si="250"/>
        <v>0</v>
      </c>
      <c r="Q554" s="28">
        <f t="shared" si="264"/>
        <v>0</v>
      </c>
      <c r="R554" s="28">
        <f t="shared" si="251"/>
        <v>6196.0319999999992</v>
      </c>
      <c r="S554" s="28">
        <f t="shared" si="265"/>
        <v>0</v>
      </c>
      <c r="T554" s="28">
        <f t="shared" si="266"/>
        <v>0</v>
      </c>
      <c r="U554" s="28">
        <f t="shared" si="269"/>
        <v>0</v>
      </c>
      <c r="V554" s="28">
        <f t="shared" si="267"/>
        <v>0</v>
      </c>
      <c r="W554" s="118"/>
      <c r="X554" s="143">
        <f t="shared" si="268"/>
        <v>19.59</v>
      </c>
      <c r="Y554" s="121">
        <f>交易记录!AA5</f>
        <v>0.39700000000000002</v>
      </c>
      <c r="Z554" s="121">
        <f>交易记录!AA36</f>
        <v>372</v>
      </c>
      <c r="AA554" s="30">
        <f t="shared" si="252"/>
        <v>0</v>
      </c>
      <c r="AB554" s="124">
        <f>交易记录!AA69</f>
        <v>0</v>
      </c>
      <c r="AC554" s="124">
        <f>交易记录!AA100</f>
        <v>0</v>
      </c>
      <c r="AD554" s="30">
        <f t="shared" si="270"/>
        <v>0</v>
      </c>
      <c r="AE554" s="121">
        <f>交易记录!AA133</f>
        <v>0</v>
      </c>
      <c r="AF554" s="121">
        <f>交易记录!AA164</f>
        <v>0</v>
      </c>
      <c r="AG554" s="30">
        <f t="shared" si="271"/>
        <v>0</v>
      </c>
      <c r="AH554" s="124">
        <f>交易记录!AA197</f>
        <v>0</v>
      </c>
      <c r="AI554" s="124">
        <f>交易记录!AA228</f>
        <v>0</v>
      </c>
      <c r="AJ554" s="30">
        <f t="shared" si="272"/>
        <v>0</v>
      </c>
      <c r="AK554" s="121">
        <f>交易记录!AA261</f>
        <v>0</v>
      </c>
      <c r="AL554" s="121">
        <f>交易记录!AA292</f>
        <v>0</v>
      </c>
      <c r="AM554" s="30">
        <f t="shared" si="273"/>
        <v>0</v>
      </c>
      <c r="AN554" s="124">
        <f>交易记录!AA325</f>
        <v>0</v>
      </c>
      <c r="AO554" s="124">
        <f>交易记录!AA356</f>
        <v>0</v>
      </c>
      <c r="AP554" s="30">
        <f t="shared" si="274"/>
        <v>0</v>
      </c>
      <c r="AQ554" s="121">
        <f>交易记录!AA389</f>
        <v>0</v>
      </c>
      <c r="AR554" s="121">
        <f>交易记录!AA420</f>
        <v>0</v>
      </c>
      <c r="AS554" s="30">
        <f t="shared" si="275"/>
        <v>0</v>
      </c>
      <c r="AT554" s="124">
        <f>交易记录!AA453</f>
        <v>0</v>
      </c>
      <c r="AU554" s="124">
        <f>交易记录!AA484</f>
        <v>0</v>
      </c>
      <c r="AV554" s="30">
        <f t="shared" si="253"/>
        <v>0</v>
      </c>
      <c r="AW554" s="121">
        <f>交易记录!AA517</f>
        <v>0</v>
      </c>
      <c r="AX554" s="121">
        <f>交易记录!AA548</f>
        <v>0</v>
      </c>
      <c r="AY554" s="30">
        <f t="shared" si="254"/>
        <v>0</v>
      </c>
      <c r="AZ554" s="124">
        <f>交易记录!AA581</f>
        <v>0</v>
      </c>
      <c r="BA554" s="124">
        <f>交易记录!AA612</f>
        <v>0</v>
      </c>
      <c r="BB554" s="30">
        <f t="shared" si="255"/>
        <v>0</v>
      </c>
      <c r="BC554" s="121">
        <f>交易记录!AA645</f>
        <v>0</v>
      </c>
      <c r="BD554" s="121">
        <f>交易记录!AA676</f>
        <v>0</v>
      </c>
      <c r="BE554" s="30">
        <f t="shared" si="256"/>
        <v>0</v>
      </c>
      <c r="BF554" s="124">
        <f>交易记录!AA709</f>
        <v>0</v>
      </c>
      <c r="BG554" s="124">
        <f>交易记录!AA740</f>
        <v>0</v>
      </c>
      <c r="BH554" s="30">
        <f t="shared" si="257"/>
        <v>0</v>
      </c>
      <c r="BI554" s="121">
        <f>交易记录!AA773</f>
        <v>0</v>
      </c>
      <c r="BJ554" s="121">
        <f>交易记录!AA804</f>
        <v>0</v>
      </c>
      <c r="BK554" s="30">
        <f t="shared" si="258"/>
        <v>0</v>
      </c>
      <c r="BL554" s="124">
        <f>交易记录!AA837</f>
        <v>0</v>
      </c>
      <c r="BM554" s="124">
        <f>交易记录!AA868</f>
        <v>0</v>
      </c>
      <c r="BN554" s="30">
        <f t="shared" si="259"/>
        <v>0</v>
      </c>
      <c r="BO554" s="121">
        <f>交易记录!AA901</f>
        <v>0</v>
      </c>
      <c r="BP554" s="121">
        <f>交易记录!AA932</f>
        <v>0</v>
      </c>
      <c r="BQ554" s="30">
        <f t="shared" si="260"/>
        <v>0</v>
      </c>
    </row>
    <row r="555" spans="1:69" ht="15">
      <c r="A555" s="125">
        <f>'维护-日期'!A$26</f>
        <v>46289</v>
      </c>
      <c r="B555" s="7" t="s">
        <v>7</v>
      </c>
      <c r="C555" s="144">
        <f t="shared" si="261"/>
        <v>15.792</v>
      </c>
      <c r="D555" s="144">
        <f>ROUND(INDEX(持仓数据!$C$3:$AG$26,MATCH('计算过程-数据汇总'!B555,持仓数据!$B$3:$B$26,0),MATCH('计算过程-数据汇总'!A555,'维护-日期'!$B$2:$AF$2,0)),3)</f>
        <v>15.792</v>
      </c>
      <c r="E555" s="98">
        <f t="shared" si="262"/>
        <v>15.792</v>
      </c>
      <c r="F555" s="22">
        <f>持仓数据!Z73</f>
        <v>0.26500000000000001</v>
      </c>
      <c r="G555" s="97">
        <v>372</v>
      </c>
      <c r="H555" s="97">
        <v>372</v>
      </c>
      <c r="I555" s="64">
        <v>0</v>
      </c>
      <c r="J555" s="64">
        <v>0</v>
      </c>
      <c r="K555" s="21">
        <f>IF(持仓数据!Z106="",0,持仓数据!Z106)</f>
        <v>372</v>
      </c>
      <c r="L555" s="21">
        <f t="shared" si="263"/>
        <v>0</v>
      </c>
      <c r="M555" s="28">
        <f t="shared" si="247"/>
        <v>5874.6239999999998</v>
      </c>
      <c r="N555" s="28">
        <f t="shared" si="248"/>
        <v>0</v>
      </c>
      <c r="O555" s="28">
        <f t="shared" si="249"/>
        <v>0</v>
      </c>
      <c r="P555" s="28">
        <f t="shared" si="250"/>
        <v>0</v>
      </c>
      <c r="Q555" s="28">
        <f t="shared" si="264"/>
        <v>0</v>
      </c>
      <c r="R555" s="28">
        <f t="shared" si="251"/>
        <v>5874.6239999999998</v>
      </c>
      <c r="S555" s="28">
        <f t="shared" si="265"/>
        <v>0</v>
      </c>
      <c r="T555" s="28">
        <f t="shared" si="266"/>
        <v>0</v>
      </c>
      <c r="U555" s="28">
        <f t="shared" si="269"/>
        <v>0</v>
      </c>
      <c r="V555" s="28">
        <f t="shared" si="267"/>
        <v>0</v>
      </c>
      <c r="W555" s="118"/>
      <c r="X555" s="143">
        <f t="shared" si="268"/>
        <v>18.684999999999999</v>
      </c>
      <c r="Y555" s="121">
        <f>交易记录!AA6</f>
        <v>0.26500000000000001</v>
      </c>
      <c r="Z555" s="121">
        <f>交易记录!AA37</f>
        <v>372</v>
      </c>
      <c r="AA555" s="30">
        <f t="shared" si="252"/>
        <v>0</v>
      </c>
      <c r="AB555" s="124">
        <f>交易记录!AA70</f>
        <v>0</v>
      </c>
      <c r="AC555" s="124">
        <f>交易记录!AA101</f>
        <v>0</v>
      </c>
      <c r="AD555" s="30">
        <f t="shared" si="270"/>
        <v>0</v>
      </c>
      <c r="AE555" s="121">
        <f>交易记录!AA134</f>
        <v>0</v>
      </c>
      <c r="AF555" s="121">
        <f>交易记录!AA165</f>
        <v>0</v>
      </c>
      <c r="AG555" s="30">
        <f t="shared" si="271"/>
        <v>0</v>
      </c>
      <c r="AH555" s="124">
        <f>交易记录!AA198</f>
        <v>0</v>
      </c>
      <c r="AI555" s="124">
        <f>交易记录!AA229</f>
        <v>0</v>
      </c>
      <c r="AJ555" s="30">
        <f t="shared" si="272"/>
        <v>0</v>
      </c>
      <c r="AK555" s="121">
        <f>交易记录!AA262</f>
        <v>0</v>
      </c>
      <c r="AL555" s="121">
        <f>交易记录!AA293</f>
        <v>0</v>
      </c>
      <c r="AM555" s="30">
        <f t="shared" si="273"/>
        <v>0</v>
      </c>
      <c r="AN555" s="124">
        <f>交易记录!AA326</f>
        <v>0</v>
      </c>
      <c r="AO555" s="124">
        <f>交易记录!AA357</f>
        <v>0</v>
      </c>
      <c r="AP555" s="30">
        <f t="shared" si="274"/>
        <v>0</v>
      </c>
      <c r="AQ555" s="121">
        <f>交易记录!AA390</f>
        <v>0</v>
      </c>
      <c r="AR555" s="121">
        <f>交易记录!AA421</f>
        <v>0</v>
      </c>
      <c r="AS555" s="30">
        <f t="shared" si="275"/>
        <v>0</v>
      </c>
      <c r="AT555" s="124">
        <f>交易记录!AA454</f>
        <v>0</v>
      </c>
      <c r="AU555" s="124">
        <f>交易记录!AA485</f>
        <v>0</v>
      </c>
      <c r="AV555" s="30">
        <f t="shared" si="253"/>
        <v>0</v>
      </c>
      <c r="AW555" s="121">
        <f>交易记录!AA518</f>
        <v>0</v>
      </c>
      <c r="AX555" s="121">
        <f>交易记录!AA549</f>
        <v>0</v>
      </c>
      <c r="AY555" s="30">
        <f t="shared" si="254"/>
        <v>0</v>
      </c>
      <c r="AZ555" s="124">
        <f>交易记录!AA582</f>
        <v>0</v>
      </c>
      <c r="BA555" s="124">
        <f>交易记录!AA613</f>
        <v>0</v>
      </c>
      <c r="BB555" s="30">
        <f t="shared" si="255"/>
        <v>0</v>
      </c>
      <c r="BC555" s="121">
        <f>交易记录!AA646</f>
        <v>0</v>
      </c>
      <c r="BD555" s="121">
        <f>交易记录!AA677</f>
        <v>0</v>
      </c>
      <c r="BE555" s="30">
        <f t="shared" si="256"/>
        <v>0</v>
      </c>
      <c r="BF555" s="124">
        <f>交易记录!AA710</f>
        <v>0</v>
      </c>
      <c r="BG555" s="124">
        <f>交易记录!AA741</f>
        <v>0</v>
      </c>
      <c r="BH555" s="30">
        <f t="shared" si="257"/>
        <v>0</v>
      </c>
      <c r="BI555" s="121">
        <f>交易记录!AA774</f>
        <v>0</v>
      </c>
      <c r="BJ555" s="121">
        <f>交易记录!AA805</f>
        <v>0</v>
      </c>
      <c r="BK555" s="30">
        <f t="shared" si="258"/>
        <v>0</v>
      </c>
      <c r="BL555" s="124">
        <f>交易记录!AA838</f>
        <v>0</v>
      </c>
      <c r="BM555" s="124">
        <f>交易记录!AA869</f>
        <v>0</v>
      </c>
      <c r="BN555" s="30">
        <f t="shared" si="259"/>
        <v>0</v>
      </c>
      <c r="BO555" s="121">
        <f>交易记录!AA902</f>
        <v>0</v>
      </c>
      <c r="BP555" s="121">
        <f>交易记录!AA933</f>
        <v>0</v>
      </c>
      <c r="BQ555" s="30">
        <f t="shared" si="260"/>
        <v>0</v>
      </c>
    </row>
    <row r="556" spans="1:69" ht="15">
      <c r="A556" s="125">
        <f>'维护-日期'!A$26</f>
        <v>46289</v>
      </c>
      <c r="B556" s="7" t="s">
        <v>8</v>
      </c>
      <c r="C556" s="144">
        <f t="shared" si="261"/>
        <v>14.821999999999999</v>
      </c>
      <c r="D556" s="144">
        <f>ROUND(INDEX(持仓数据!$C$3:$AG$26,MATCH('计算过程-数据汇总'!B556,持仓数据!$B$3:$B$26,0),MATCH('计算过程-数据汇总'!A556,'维护-日期'!$B$2:$AF$2,0)),3)</f>
        <v>14.821999999999999</v>
      </c>
      <c r="E556" s="98">
        <f t="shared" si="262"/>
        <v>14.821999999999999</v>
      </c>
      <c r="F556" s="22">
        <f>持仓数据!Z74</f>
        <v>0.24199999999999999</v>
      </c>
      <c r="G556" s="97">
        <v>372</v>
      </c>
      <c r="H556" s="97">
        <v>372</v>
      </c>
      <c r="I556" s="64">
        <v>0</v>
      </c>
      <c r="J556" s="64">
        <v>0</v>
      </c>
      <c r="K556" s="21">
        <f>IF(持仓数据!Z107="",0,持仓数据!Z107)</f>
        <v>372</v>
      </c>
      <c r="L556" s="21">
        <f t="shared" si="263"/>
        <v>0</v>
      </c>
      <c r="M556" s="28">
        <f t="shared" si="247"/>
        <v>5513.7839999999997</v>
      </c>
      <c r="N556" s="28">
        <f t="shared" si="248"/>
        <v>0</v>
      </c>
      <c r="O556" s="28">
        <f t="shared" si="249"/>
        <v>0</v>
      </c>
      <c r="P556" s="28">
        <f t="shared" si="250"/>
        <v>0</v>
      </c>
      <c r="Q556" s="28">
        <f t="shared" si="264"/>
        <v>0</v>
      </c>
      <c r="R556" s="28">
        <f t="shared" si="251"/>
        <v>5513.7839999999997</v>
      </c>
      <c r="S556" s="28">
        <f t="shared" si="265"/>
        <v>0</v>
      </c>
      <c r="T556" s="28">
        <f t="shared" si="266"/>
        <v>0</v>
      </c>
      <c r="U556" s="28">
        <f t="shared" si="269"/>
        <v>0</v>
      </c>
      <c r="V556" s="28">
        <f t="shared" si="267"/>
        <v>0</v>
      </c>
      <c r="W556" s="118"/>
      <c r="X556" s="143">
        <f t="shared" si="268"/>
        <v>17.544</v>
      </c>
      <c r="Y556" s="121">
        <f>交易记录!AA7</f>
        <v>0.24199999999999999</v>
      </c>
      <c r="Z556" s="121">
        <f>交易记录!AA38</f>
        <v>372</v>
      </c>
      <c r="AA556" s="30">
        <f t="shared" si="252"/>
        <v>0</v>
      </c>
      <c r="AB556" s="124">
        <f>交易记录!AA71</f>
        <v>0</v>
      </c>
      <c r="AC556" s="124">
        <f>交易记录!AA102</f>
        <v>0</v>
      </c>
      <c r="AD556" s="30">
        <f t="shared" si="270"/>
        <v>0</v>
      </c>
      <c r="AE556" s="121">
        <f>交易记录!AA135</f>
        <v>0</v>
      </c>
      <c r="AF556" s="121">
        <f>交易记录!AA166</f>
        <v>0</v>
      </c>
      <c r="AG556" s="30">
        <f t="shared" si="271"/>
        <v>0</v>
      </c>
      <c r="AH556" s="124">
        <f>交易记录!AA199</f>
        <v>0</v>
      </c>
      <c r="AI556" s="124">
        <f>交易记录!AA230</f>
        <v>0</v>
      </c>
      <c r="AJ556" s="30">
        <f t="shared" si="272"/>
        <v>0</v>
      </c>
      <c r="AK556" s="121">
        <f>交易记录!AA263</f>
        <v>0</v>
      </c>
      <c r="AL556" s="121">
        <f>交易记录!AA294</f>
        <v>0</v>
      </c>
      <c r="AM556" s="30">
        <f t="shared" si="273"/>
        <v>0</v>
      </c>
      <c r="AN556" s="124">
        <f>交易记录!AA327</f>
        <v>0</v>
      </c>
      <c r="AO556" s="124">
        <f>交易记录!AA358</f>
        <v>0</v>
      </c>
      <c r="AP556" s="30">
        <f t="shared" si="274"/>
        <v>0</v>
      </c>
      <c r="AQ556" s="121">
        <f>交易记录!AA391</f>
        <v>0</v>
      </c>
      <c r="AR556" s="121">
        <f>交易记录!AA422</f>
        <v>0</v>
      </c>
      <c r="AS556" s="30">
        <f t="shared" si="275"/>
        <v>0</v>
      </c>
      <c r="AT556" s="124">
        <f>交易记录!AA455</f>
        <v>0</v>
      </c>
      <c r="AU556" s="124">
        <f>交易记录!AA486</f>
        <v>0</v>
      </c>
      <c r="AV556" s="30">
        <f t="shared" si="253"/>
        <v>0</v>
      </c>
      <c r="AW556" s="121">
        <f>交易记录!AA519</f>
        <v>0</v>
      </c>
      <c r="AX556" s="121">
        <f>交易记录!AA550</f>
        <v>0</v>
      </c>
      <c r="AY556" s="30">
        <f t="shared" si="254"/>
        <v>0</v>
      </c>
      <c r="AZ556" s="124">
        <f>交易记录!AA583</f>
        <v>0</v>
      </c>
      <c r="BA556" s="124">
        <f>交易记录!AA614</f>
        <v>0</v>
      </c>
      <c r="BB556" s="30">
        <f t="shared" si="255"/>
        <v>0</v>
      </c>
      <c r="BC556" s="121">
        <f>交易记录!AA647</f>
        <v>0</v>
      </c>
      <c r="BD556" s="121">
        <f>交易记录!AA678</f>
        <v>0</v>
      </c>
      <c r="BE556" s="30">
        <f t="shared" si="256"/>
        <v>0</v>
      </c>
      <c r="BF556" s="124">
        <f>交易记录!AA711</f>
        <v>0</v>
      </c>
      <c r="BG556" s="124">
        <f>交易记录!AA742</f>
        <v>0</v>
      </c>
      <c r="BH556" s="30">
        <f t="shared" si="257"/>
        <v>0</v>
      </c>
      <c r="BI556" s="121">
        <f>交易记录!AA775</f>
        <v>0</v>
      </c>
      <c r="BJ556" s="121">
        <f>交易记录!AA806</f>
        <v>0</v>
      </c>
      <c r="BK556" s="30">
        <f t="shared" si="258"/>
        <v>0</v>
      </c>
      <c r="BL556" s="124">
        <f>交易记录!AA839</f>
        <v>0</v>
      </c>
      <c r="BM556" s="124">
        <f>交易记录!AA870</f>
        <v>0</v>
      </c>
      <c r="BN556" s="30">
        <f t="shared" si="259"/>
        <v>0</v>
      </c>
      <c r="BO556" s="121">
        <f>交易记录!AA903</f>
        <v>0</v>
      </c>
      <c r="BP556" s="121">
        <f>交易记录!AA934</f>
        <v>0</v>
      </c>
      <c r="BQ556" s="30">
        <f t="shared" si="260"/>
        <v>0</v>
      </c>
    </row>
    <row r="557" spans="1:69" ht="15">
      <c r="A557" s="125">
        <f>'维护-日期'!A$26</f>
        <v>46289</v>
      </c>
      <c r="B557" s="7" t="s">
        <v>9</v>
      </c>
      <c r="C557" s="144">
        <f t="shared" si="261"/>
        <v>13.817</v>
      </c>
      <c r="D557" s="144">
        <f>ROUND(INDEX(持仓数据!$C$3:$AG$26,MATCH('计算过程-数据汇总'!B557,持仓数据!$B$3:$B$26,0),MATCH('计算过程-数据汇总'!A557,'维护-日期'!$B$2:$AF$2,0)),3)</f>
        <v>13.817</v>
      </c>
      <c r="E557" s="98">
        <f t="shared" si="262"/>
        <v>13.817</v>
      </c>
      <c r="F557" s="22">
        <f>持仓数据!Z75</f>
        <v>0.09</v>
      </c>
      <c r="G557" s="97">
        <v>372</v>
      </c>
      <c r="H557" s="97">
        <v>372</v>
      </c>
      <c r="I557" s="64">
        <v>0</v>
      </c>
      <c r="J557" s="64">
        <v>0</v>
      </c>
      <c r="K557" s="21">
        <f>IF(持仓数据!Z108="",0,持仓数据!Z108)</f>
        <v>372</v>
      </c>
      <c r="L557" s="21">
        <f t="shared" si="263"/>
        <v>0</v>
      </c>
      <c r="M557" s="28">
        <f t="shared" si="247"/>
        <v>5139.924</v>
      </c>
      <c r="N557" s="28">
        <f t="shared" si="248"/>
        <v>0</v>
      </c>
      <c r="O557" s="28">
        <f t="shared" si="249"/>
        <v>0</v>
      </c>
      <c r="P557" s="28">
        <f t="shared" si="250"/>
        <v>0</v>
      </c>
      <c r="Q557" s="28">
        <f t="shared" si="264"/>
        <v>0</v>
      </c>
      <c r="R557" s="28">
        <f t="shared" si="251"/>
        <v>5139.924</v>
      </c>
      <c r="S557" s="28">
        <f t="shared" si="265"/>
        <v>0</v>
      </c>
      <c r="T557" s="28">
        <f t="shared" si="266"/>
        <v>0</v>
      </c>
      <c r="U557" s="28">
        <f t="shared" si="269"/>
        <v>0</v>
      </c>
      <c r="V557" s="28">
        <f t="shared" si="267"/>
        <v>0</v>
      </c>
      <c r="W557" s="118"/>
      <c r="X557" s="143">
        <f t="shared" si="268"/>
        <v>16.489999999999998</v>
      </c>
      <c r="Y557" s="121">
        <f>交易记录!AA8</f>
        <v>0.09</v>
      </c>
      <c r="Z557" s="121">
        <f>交易记录!AA39</f>
        <v>372</v>
      </c>
      <c r="AA557" s="30">
        <f t="shared" si="252"/>
        <v>0</v>
      </c>
      <c r="AB557" s="124">
        <f>交易记录!AA72</f>
        <v>0</v>
      </c>
      <c r="AC557" s="124">
        <f>交易记录!AA103</f>
        <v>0</v>
      </c>
      <c r="AD557" s="30">
        <f t="shared" si="270"/>
        <v>0</v>
      </c>
      <c r="AE557" s="121">
        <f>交易记录!AA136</f>
        <v>0</v>
      </c>
      <c r="AF557" s="121">
        <f>交易记录!AA167</f>
        <v>0</v>
      </c>
      <c r="AG557" s="30">
        <f t="shared" si="271"/>
        <v>0</v>
      </c>
      <c r="AH557" s="124">
        <f>交易记录!AA200</f>
        <v>0</v>
      </c>
      <c r="AI557" s="124">
        <f>交易记录!AA231</f>
        <v>0</v>
      </c>
      <c r="AJ557" s="30">
        <f t="shared" si="272"/>
        <v>0</v>
      </c>
      <c r="AK557" s="121">
        <f>交易记录!AA264</f>
        <v>0</v>
      </c>
      <c r="AL557" s="121">
        <f>交易记录!AA295</f>
        <v>0</v>
      </c>
      <c r="AM557" s="30">
        <f t="shared" si="273"/>
        <v>0</v>
      </c>
      <c r="AN557" s="124">
        <f>交易记录!AA328</f>
        <v>0</v>
      </c>
      <c r="AO557" s="124">
        <f>交易记录!AA359</f>
        <v>0</v>
      </c>
      <c r="AP557" s="30">
        <f t="shared" si="274"/>
        <v>0</v>
      </c>
      <c r="AQ557" s="121">
        <f>交易记录!AA392</f>
        <v>0</v>
      </c>
      <c r="AR557" s="121">
        <f>交易记录!AA423</f>
        <v>0</v>
      </c>
      <c r="AS557" s="30">
        <f t="shared" si="275"/>
        <v>0</v>
      </c>
      <c r="AT557" s="124">
        <f>交易记录!AA456</f>
        <v>0</v>
      </c>
      <c r="AU557" s="124">
        <f>交易记录!AA487</f>
        <v>0</v>
      </c>
      <c r="AV557" s="30">
        <f t="shared" si="253"/>
        <v>0</v>
      </c>
      <c r="AW557" s="121">
        <f>交易记录!AA520</f>
        <v>0</v>
      </c>
      <c r="AX557" s="121">
        <f>交易记录!AA551</f>
        <v>0</v>
      </c>
      <c r="AY557" s="30">
        <f t="shared" si="254"/>
        <v>0</v>
      </c>
      <c r="AZ557" s="124">
        <f>交易记录!AA584</f>
        <v>0</v>
      </c>
      <c r="BA557" s="124">
        <f>交易记录!AA615</f>
        <v>0</v>
      </c>
      <c r="BB557" s="30">
        <f t="shared" si="255"/>
        <v>0</v>
      </c>
      <c r="BC557" s="121">
        <f>交易记录!AA648</f>
        <v>0</v>
      </c>
      <c r="BD557" s="121">
        <f>交易记录!AA679</f>
        <v>0</v>
      </c>
      <c r="BE557" s="30">
        <f t="shared" si="256"/>
        <v>0</v>
      </c>
      <c r="BF557" s="124">
        <f>交易记录!AA712</f>
        <v>0</v>
      </c>
      <c r="BG557" s="124">
        <f>交易记录!AA743</f>
        <v>0</v>
      </c>
      <c r="BH557" s="30">
        <f t="shared" si="257"/>
        <v>0</v>
      </c>
      <c r="BI557" s="121">
        <f>交易记录!AA776</f>
        <v>0</v>
      </c>
      <c r="BJ557" s="121">
        <f>交易记录!AA807</f>
        <v>0</v>
      </c>
      <c r="BK557" s="30">
        <f t="shared" si="258"/>
        <v>0</v>
      </c>
      <c r="BL557" s="124">
        <f>交易记录!AA840</f>
        <v>0</v>
      </c>
      <c r="BM557" s="124">
        <f>交易记录!AA871</f>
        <v>0</v>
      </c>
      <c r="BN557" s="30">
        <f t="shared" si="259"/>
        <v>0</v>
      </c>
      <c r="BO557" s="121">
        <f>交易记录!AA904</f>
        <v>0</v>
      </c>
      <c r="BP557" s="121">
        <f>交易记录!AA935</f>
        <v>0</v>
      </c>
      <c r="BQ557" s="30">
        <f t="shared" si="260"/>
        <v>0</v>
      </c>
    </row>
    <row r="558" spans="1:69" ht="15">
      <c r="A558" s="125">
        <f>'维护-日期'!A$26</f>
        <v>46289</v>
      </c>
      <c r="B558" s="7" t="s">
        <v>10</v>
      </c>
      <c r="C558" s="144">
        <f t="shared" si="261"/>
        <v>13.388</v>
      </c>
      <c r="D558" s="144">
        <f>ROUND(INDEX(持仓数据!$C$3:$AG$26,MATCH('计算过程-数据汇总'!B558,持仓数据!$B$3:$B$26,0),MATCH('计算过程-数据汇总'!A558,'维护-日期'!$B$2:$AF$2,0)),3)</f>
        <v>13.388</v>
      </c>
      <c r="E558" s="98">
        <f t="shared" si="262"/>
        <v>13.388</v>
      </c>
      <c r="F558" s="22">
        <f>持仓数据!Z76</f>
        <v>8.6999999999999994E-2</v>
      </c>
      <c r="G558" s="97">
        <v>372</v>
      </c>
      <c r="H558" s="97">
        <v>372</v>
      </c>
      <c r="I558" s="64">
        <v>0</v>
      </c>
      <c r="J558" s="64">
        <v>0</v>
      </c>
      <c r="K558" s="21">
        <f>IF(持仓数据!Z109="",0,持仓数据!Z109)</f>
        <v>372</v>
      </c>
      <c r="L558" s="21">
        <f t="shared" si="263"/>
        <v>0</v>
      </c>
      <c r="M558" s="28">
        <f t="shared" si="247"/>
        <v>4980.3360000000002</v>
      </c>
      <c r="N558" s="28">
        <f t="shared" si="248"/>
        <v>0</v>
      </c>
      <c r="O558" s="28">
        <f t="shared" si="249"/>
        <v>0</v>
      </c>
      <c r="P558" s="28">
        <f t="shared" si="250"/>
        <v>0</v>
      </c>
      <c r="Q558" s="28">
        <f t="shared" si="264"/>
        <v>0</v>
      </c>
      <c r="R558" s="28">
        <f t="shared" si="251"/>
        <v>4980.3360000000002</v>
      </c>
      <c r="S558" s="28">
        <f t="shared" si="265"/>
        <v>0</v>
      </c>
      <c r="T558" s="28">
        <f t="shared" si="266"/>
        <v>0</v>
      </c>
      <c r="U558" s="28">
        <f t="shared" si="269"/>
        <v>0</v>
      </c>
      <c r="V558" s="28">
        <f t="shared" si="267"/>
        <v>0</v>
      </c>
      <c r="W558" s="118"/>
      <c r="X558" s="143">
        <f t="shared" si="268"/>
        <v>15.978999999999999</v>
      </c>
      <c r="Y558" s="121">
        <f>交易记录!AA9</f>
        <v>8.6999999999999994E-2</v>
      </c>
      <c r="Z558" s="121">
        <f>交易记录!AA40</f>
        <v>372</v>
      </c>
      <c r="AA558" s="30">
        <f t="shared" si="252"/>
        <v>0</v>
      </c>
      <c r="AB558" s="124">
        <f>交易记录!AA73</f>
        <v>0</v>
      </c>
      <c r="AC558" s="124">
        <f>交易记录!AA104</f>
        <v>0</v>
      </c>
      <c r="AD558" s="30">
        <f t="shared" si="270"/>
        <v>0</v>
      </c>
      <c r="AE558" s="121">
        <f>交易记录!AA137</f>
        <v>0</v>
      </c>
      <c r="AF558" s="121">
        <f>交易记录!AA168</f>
        <v>0</v>
      </c>
      <c r="AG558" s="30">
        <f t="shared" si="271"/>
        <v>0</v>
      </c>
      <c r="AH558" s="124">
        <f>交易记录!AA201</f>
        <v>0</v>
      </c>
      <c r="AI558" s="124">
        <f>交易记录!AA232</f>
        <v>0</v>
      </c>
      <c r="AJ558" s="30">
        <f t="shared" si="272"/>
        <v>0</v>
      </c>
      <c r="AK558" s="121">
        <f>交易记录!AA265</f>
        <v>0</v>
      </c>
      <c r="AL558" s="121">
        <f>交易记录!AA296</f>
        <v>0</v>
      </c>
      <c r="AM558" s="30">
        <f t="shared" si="273"/>
        <v>0</v>
      </c>
      <c r="AN558" s="124">
        <f>交易记录!AA329</f>
        <v>0</v>
      </c>
      <c r="AO558" s="124">
        <f>交易记录!AA360</f>
        <v>0</v>
      </c>
      <c r="AP558" s="30">
        <f t="shared" si="274"/>
        <v>0</v>
      </c>
      <c r="AQ558" s="121">
        <f>交易记录!AA393</f>
        <v>0</v>
      </c>
      <c r="AR558" s="121">
        <f>交易记录!AA424</f>
        <v>0</v>
      </c>
      <c r="AS558" s="30">
        <f t="shared" si="275"/>
        <v>0</v>
      </c>
      <c r="AT558" s="124">
        <f>交易记录!AA457</f>
        <v>0</v>
      </c>
      <c r="AU558" s="124">
        <f>交易记录!AA488</f>
        <v>0</v>
      </c>
      <c r="AV558" s="30">
        <f t="shared" si="253"/>
        <v>0</v>
      </c>
      <c r="AW558" s="121">
        <f>交易记录!AA521</f>
        <v>0</v>
      </c>
      <c r="AX558" s="121">
        <f>交易记录!AA552</f>
        <v>0</v>
      </c>
      <c r="AY558" s="30">
        <f t="shared" si="254"/>
        <v>0</v>
      </c>
      <c r="AZ558" s="124">
        <f>交易记录!AA585</f>
        <v>0</v>
      </c>
      <c r="BA558" s="124">
        <f>交易记录!AA616</f>
        <v>0</v>
      </c>
      <c r="BB558" s="30">
        <f t="shared" si="255"/>
        <v>0</v>
      </c>
      <c r="BC558" s="121">
        <f>交易记录!AA649</f>
        <v>0</v>
      </c>
      <c r="BD558" s="121">
        <f>交易记录!AA680</f>
        <v>0</v>
      </c>
      <c r="BE558" s="30">
        <f t="shared" si="256"/>
        <v>0</v>
      </c>
      <c r="BF558" s="124">
        <f>交易记录!AA713</f>
        <v>0</v>
      </c>
      <c r="BG558" s="124">
        <f>交易记录!AA744</f>
        <v>0</v>
      </c>
      <c r="BH558" s="30">
        <f t="shared" si="257"/>
        <v>0</v>
      </c>
      <c r="BI558" s="121">
        <f>交易记录!AA777</f>
        <v>0</v>
      </c>
      <c r="BJ558" s="121">
        <f>交易记录!AA808</f>
        <v>0</v>
      </c>
      <c r="BK558" s="30">
        <f t="shared" si="258"/>
        <v>0</v>
      </c>
      <c r="BL558" s="124">
        <f>交易记录!AA841</f>
        <v>0</v>
      </c>
      <c r="BM558" s="124">
        <f>交易记录!AA872</f>
        <v>0</v>
      </c>
      <c r="BN558" s="30">
        <f t="shared" si="259"/>
        <v>0</v>
      </c>
      <c r="BO558" s="121">
        <f>交易记录!AA905</f>
        <v>0</v>
      </c>
      <c r="BP558" s="121">
        <f>交易记录!AA936</f>
        <v>0</v>
      </c>
      <c r="BQ558" s="30">
        <f t="shared" si="260"/>
        <v>0</v>
      </c>
    </row>
    <row r="559" spans="1:69" ht="15">
      <c r="A559" s="125">
        <f>'维护-日期'!A$26</f>
        <v>46289</v>
      </c>
      <c r="B559" s="7" t="s">
        <v>11</v>
      </c>
      <c r="C559" s="144">
        <f t="shared" si="261"/>
        <v>13.087</v>
      </c>
      <c r="D559" s="144">
        <f>ROUND(INDEX(持仓数据!$C$3:$AG$26,MATCH('计算过程-数据汇总'!B559,持仓数据!$B$3:$B$26,0),MATCH('计算过程-数据汇总'!A559,'维护-日期'!$B$2:$AF$2,0)),3)</f>
        <v>13.087</v>
      </c>
      <c r="E559" s="98">
        <f t="shared" si="262"/>
        <v>13.087</v>
      </c>
      <c r="F559" s="22">
        <f>持仓数据!Z77</f>
        <v>8.6999999999999994E-2</v>
      </c>
      <c r="G559" s="97">
        <v>372</v>
      </c>
      <c r="H559" s="97">
        <v>372</v>
      </c>
      <c r="I559" s="64">
        <v>0</v>
      </c>
      <c r="J559" s="64">
        <v>0</v>
      </c>
      <c r="K559" s="21">
        <f>IF(持仓数据!Z110="",0,持仓数据!Z110)</f>
        <v>372</v>
      </c>
      <c r="L559" s="21">
        <f t="shared" si="263"/>
        <v>0</v>
      </c>
      <c r="M559" s="28">
        <f t="shared" si="247"/>
        <v>4868.3639999999996</v>
      </c>
      <c r="N559" s="28">
        <f t="shared" si="248"/>
        <v>0</v>
      </c>
      <c r="O559" s="28">
        <f t="shared" si="249"/>
        <v>0</v>
      </c>
      <c r="P559" s="28">
        <f t="shared" si="250"/>
        <v>0</v>
      </c>
      <c r="Q559" s="28">
        <f t="shared" si="264"/>
        <v>0</v>
      </c>
      <c r="R559" s="28">
        <f t="shared" si="251"/>
        <v>4868.3639999999996</v>
      </c>
      <c r="S559" s="28">
        <f t="shared" si="265"/>
        <v>0</v>
      </c>
      <c r="T559" s="28">
        <f t="shared" si="266"/>
        <v>0</v>
      </c>
      <c r="U559" s="28">
        <f t="shared" si="269"/>
        <v>0</v>
      </c>
      <c r="V559" s="28">
        <f t="shared" si="267"/>
        <v>0</v>
      </c>
      <c r="W559" s="118"/>
      <c r="X559" s="143">
        <f t="shared" si="268"/>
        <v>15.617000000000001</v>
      </c>
      <c r="Y559" s="121">
        <f>交易记录!AA10</f>
        <v>8.6999999999999994E-2</v>
      </c>
      <c r="Z559" s="121">
        <f>交易记录!AA41</f>
        <v>372</v>
      </c>
      <c r="AA559" s="30">
        <f t="shared" si="252"/>
        <v>0</v>
      </c>
      <c r="AB559" s="124">
        <f>交易记录!AA74</f>
        <v>0</v>
      </c>
      <c r="AC559" s="124">
        <f>交易记录!AA105</f>
        <v>0</v>
      </c>
      <c r="AD559" s="30">
        <f t="shared" si="270"/>
        <v>0</v>
      </c>
      <c r="AE559" s="121">
        <f>交易记录!AA138</f>
        <v>0</v>
      </c>
      <c r="AF559" s="121">
        <f>交易记录!AA169</f>
        <v>0</v>
      </c>
      <c r="AG559" s="30">
        <f t="shared" si="271"/>
        <v>0</v>
      </c>
      <c r="AH559" s="124">
        <f>交易记录!AA202</f>
        <v>0</v>
      </c>
      <c r="AI559" s="124">
        <f>交易记录!AA233</f>
        <v>0</v>
      </c>
      <c r="AJ559" s="30">
        <f t="shared" si="272"/>
        <v>0</v>
      </c>
      <c r="AK559" s="121">
        <f>交易记录!AA266</f>
        <v>0</v>
      </c>
      <c r="AL559" s="121">
        <f>交易记录!AA297</f>
        <v>0</v>
      </c>
      <c r="AM559" s="30">
        <f t="shared" si="273"/>
        <v>0</v>
      </c>
      <c r="AN559" s="124">
        <f>交易记录!AA330</f>
        <v>0</v>
      </c>
      <c r="AO559" s="124">
        <f>交易记录!AA361</f>
        <v>0</v>
      </c>
      <c r="AP559" s="30">
        <f t="shared" si="274"/>
        <v>0</v>
      </c>
      <c r="AQ559" s="121">
        <f>交易记录!AA394</f>
        <v>0</v>
      </c>
      <c r="AR559" s="121">
        <f>交易记录!AA425</f>
        <v>0</v>
      </c>
      <c r="AS559" s="30">
        <f t="shared" si="275"/>
        <v>0</v>
      </c>
      <c r="AT559" s="124">
        <f>交易记录!AA458</f>
        <v>0</v>
      </c>
      <c r="AU559" s="124">
        <f>交易记录!AA489</f>
        <v>0</v>
      </c>
      <c r="AV559" s="30">
        <f t="shared" si="253"/>
        <v>0</v>
      </c>
      <c r="AW559" s="121">
        <f>交易记录!AA522</f>
        <v>0</v>
      </c>
      <c r="AX559" s="121">
        <f>交易记录!AA553</f>
        <v>0</v>
      </c>
      <c r="AY559" s="30">
        <f t="shared" si="254"/>
        <v>0</v>
      </c>
      <c r="AZ559" s="124">
        <f>交易记录!AA586</f>
        <v>0</v>
      </c>
      <c r="BA559" s="124">
        <f>交易记录!AA617</f>
        <v>0</v>
      </c>
      <c r="BB559" s="30">
        <f t="shared" si="255"/>
        <v>0</v>
      </c>
      <c r="BC559" s="121">
        <f>交易记录!AA650</f>
        <v>0</v>
      </c>
      <c r="BD559" s="121">
        <f>交易记录!AA681</f>
        <v>0</v>
      </c>
      <c r="BE559" s="30">
        <f t="shared" si="256"/>
        <v>0</v>
      </c>
      <c r="BF559" s="124">
        <f>交易记录!AA714</f>
        <v>0</v>
      </c>
      <c r="BG559" s="124">
        <f>交易记录!AA745</f>
        <v>0</v>
      </c>
      <c r="BH559" s="30">
        <f t="shared" si="257"/>
        <v>0</v>
      </c>
      <c r="BI559" s="121">
        <f>交易记录!AA778</f>
        <v>0</v>
      </c>
      <c r="BJ559" s="121">
        <f>交易记录!AA809</f>
        <v>0</v>
      </c>
      <c r="BK559" s="30">
        <f t="shared" si="258"/>
        <v>0</v>
      </c>
      <c r="BL559" s="124">
        <f>交易记录!AA842</f>
        <v>0</v>
      </c>
      <c r="BM559" s="124">
        <f>交易记录!AA873</f>
        <v>0</v>
      </c>
      <c r="BN559" s="30">
        <f t="shared" si="259"/>
        <v>0</v>
      </c>
      <c r="BO559" s="121">
        <f>交易记录!AA906</f>
        <v>0</v>
      </c>
      <c r="BP559" s="121">
        <f>交易记录!AA937</f>
        <v>0</v>
      </c>
      <c r="BQ559" s="30">
        <f t="shared" si="260"/>
        <v>0</v>
      </c>
    </row>
    <row r="560" spans="1:69" ht="15">
      <c r="A560" s="125">
        <f>'维护-日期'!A$26</f>
        <v>46289</v>
      </c>
      <c r="B560" s="7" t="s">
        <v>12</v>
      </c>
      <c r="C560" s="144">
        <f t="shared" si="261"/>
        <v>12.95</v>
      </c>
      <c r="D560" s="144">
        <f>ROUND(INDEX(持仓数据!$C$3:$AG$26,MATCH('计算过程-数据汇总'!B560,持仓数据!$B$3:$B$26,0),MATCH('计算过程-数据汇总'!A560,'维护-日期'!$B$2:$AF$2,0)),3)</f>
        <v>12.95</v>
      </c>
      <c r="E560" s="98">
        <f t="shared" si="262"/>
        <v>12.95</v>
      </c>
      <c r="F560" s="22">
        <f>持仓数据!Z78</f>
        <v>0.14499999999999999</v>
      </c>
      <c r="G560" s="97">
        <v>372</v>
      </c>
      <c r="H560" s="97">
        <v>372</v>
      </c>
      <c r="I560" s="64">
        <v>0</v>
      </c>
      <c r="J560" s="64">
        <v>0</v>
      </c>
      <c r="K560" s="21">
        <f>IF(持仓数据!Z111="",0,持仓数据!Z111)</f>
        <v>372</v>
      </c>
      <c r="L560" s="21">
        <f t="shared" si="263"/>
        <v>0</v>
      </c>
      <c r="M560" s="28">
        <f t="shared" si="247"/>
        <v>4817.3999999999996</v>
      </c>
      <c r="N560" s="28">
        <f t="shared" si="248"/>
        <v>0</v>
      </c>
      <c r="O560" s="28">
        <f t="shared" si="249"/>
        <v>0</v>
      </c>
      <c r="P560" s="28">
        <f t="shared" si="250"/>
        <v>0</v>
      </c>
      <c r="Q560" s="28">
        <f t="shared" si="264"/>
        <v>0</v>
      </c>
      <c r="R560" s="28">
        <f t="shared" si="251"/>
        <v>4817.3999999999996</v>
      </c>
      <c r="S560" s="28">
        <f t="shared" si="265"/>
        <v>0</v>
      </c>
      <c r="T560" s="28">
        <f t="shared" si="266"/>
        <v>0</v>
      </c>
      <c r="U560" s="28">
        <f t="shared" si="269"/>
        <v>0</v>
      </c>
      <c r="V560" s="28">
        <f t="shared" si="267"/>
        <v>0</v>
      </c>
      <c r="W560" s="118"/>
      <c r="X560" s="143">
        <f t="shared" si="268"/>
        <v>15.395</v>
      </c>
      <c r="Y560" s="121">
        <f>交易记录!AA11</f>
        <v>0.14499999999999999</v>
      </c>
      <c r="Z560" s="121">
        <f>交易记录!AA42</f>
        <v>372</v>
      </c>
      <c r="AA560" s="30">
        <f t="shared" si="252"/>
        <v>0</v>
      </c>
      <c r="AB560" s="124">
        <f>交易记录!AA75</f>
        <v>0</v>
      </c>
      <c r="AC560" s="124">
        <f>交易记录!AA106</f>
        <v>0</v>
      </c>
      <c r="AD560" s="30">
        <f t="shared" si="270"/>
        <v>0</v>
      </c>
      <c r="AE560" s="121">
        <f>交易记录!AA139</f>
        <v>0</v>
      </c>
      <c r="AF560" s="121">
        <f>交易记录!AA170</f>
        <v>0</v>
      </c>
      <c r="AG560" s="30">
        <f t="shared" si="271"/>
        <v>0</v>
      </c>
      <c r="AH560" s="124">
        <f>交易记录!AA203</f>
        <v>0</v>
      </c>
      <c r="AI560" s="124">
        <f>交易记录!AA234</f>
        <v>0</v>
      </c>
      <c r="AJ560" s="30">
        <f t="shared" si="272"/>
        <v>0</v>
      </c>
      <c r="AK560" s="121">
        <f>交易记录!AA267</f>
        <v>0</v>
      </c>
      <c r="AL560" s="121">
        <f>交易记录!AA298</f>
        <v>0</v>
      </c>
      <c r="AM560" s="30">
        <f t="shared" si="273"/>
        <v>0</v>
      </c>
      <c r="AN560" s="124">
        <f>交易记录!AA331</f>
        <v>0</v>
      </c>
      <c r="AO560" s="124">
        <f>交易记录!AA362</f>
        <v>0</v>
      </c>
      <c r="AP560" s="30">
        <f t="shared" si="274"/>
        <v>0</v>
      </c>
      <c r="AQ560" s="121">
        <f>交易记录!AA395</f>
        <v>0</v>
      </c>
      <c r="AR560" s="121">
        <f>交易记录!AA426</f>
        <v>0</v>
      </c>
      <c r="AS560" s="30">
        <f t="shared" si="275"/>
        <v>0</v>
      </c>
      <c r="AT560" s="124">
        <f>交易记录!AA459</f>
        <v>0</v>
      </c>
      <c r="AU560" s="124">
        <f>交易记录!AA490</f>
        <v>0</v>
      </c>
      <c r="AV560" s="30">
        <f t="shared" si="253"/>
        <v>0</v>
      </c>
      <c r="AW560" s="121">
        <f>交易记录!AA523</f>
        <v>0</v>
      </c>
      <c r="AX560" s="121">
        <f>交易记录!AA554</f>
        <v>0</v>
      </c>
      <c r="AY560" s="30">
        <f t="shared" si="254"/>
        <v>0</v>
      </c>
      <c r="AZ560" s="124">
        <f>交易记录!AA587</f>
        <v>0</v>
      </c>
      <c r="BA560" s="124">
        <f>交易记录!AA618</f>
        <v>0</v>
      </c>
      <c r="BB560" s="30">
        <f t="shared" si="255"/>
        <v>0</v>
      </c>
      <c r="BC560" s="121">
        <f>交易记录!AA651</f>
        <v>0</v>
      </c>
      <c r="BD560" s="121">
        <f>交易记录!AA682</f>
        <v>0</v>
      </c>
      <c r="BE560" s="30">
        <f t="shared" si="256"/>
        <v>0</v>
      </c>
      <c r="BF560" s="124">
        <f>交易记录!AA715</f>
        <v>0</v>
      </c>
      <c r="BG560" s="124">
        <f>交易记录!AA746</f>
        <v>0</v>
      </c>
      <c r="BH560" s="30">
        <f t="shared" si="257"/>
        <v>0</v>
      </c>
      <c r="BI560" s="121">
        <f>交易记录!AA779</f>
        <v>0</v>
      </c>
      <c r="BJ560" s="121">
        <f>交易记录!AA810</f>
        <v>0</v>
      </c>
      <c r="BK560" s="30">
        <f t="shared" si="258"/>
        <v>0</v>
      </c>
      <c r="BL560" s="124">
        <f>交易记录!AA843</f>
        <v>0</v>
      </c>
      <c r="BM560" s="124">
        <f>交易记录!AA874</f>
        <v>0</v>
      </c>
      <c r="BN560" s="30">
        <f t="shared" si="259"/>
        <v>0</v>
      </c>
      <c r="BO560" s="121">
        <f>交易记录!AA907</f>
        <v>0</v>
      </c>
      <c r="BP560" s="121">
        <f>交易记录!AA938</f>
        <v>0</v>
      </c>
      <c r="BQ560" s="30">
        <f t="shared" si="260"/>
        <v>0</v>
      </c>
    </row>
    <row r="561" spans="1:69" ht="15">
      <c r="A561" s="125">
        <f>'维护-日期'!A$26</f>
        <v>46289</v>
      </c>
      <c r="B561" s="7" t="s">
        <v>13</v>
      </c>
      <c r="C561" s="144">
        <f t="shared" si="261"/>
        <v>13.266999999999999</v>
      </c>
      <c r="D561" s="144">
        <f>ROUND(INDEX(持仓数据!$C$3:$AG$26,MATCH('计算过程-数据汇总'!B561,持仓数据!$B$3:$B$26,0),MATCH('计算过程-数据汇总'!A561,'维护-日期'!$B$2:$AF$2,0)),3)</f>
        <v>13.266999999999999</v>
      </c>
      <c r="E561" s="98">
        <f t="shared" si="262"/>
        <v>13.266999999999999</v>
      </c>
      <c r="F561" s="22">
        <f>持仓数据!Z79</f>
        <v>0.307</v>
      </c>
      <c r="G561" s="97">
        <v>372</v>
      </c>
      <c r="H561" s="97">
        <v>372</v>
      </c>
      <c r="I561" s="64">
        <v>0</v>
      </c>
      <c r="J561" s="64">
        <v>0</v>
      </c>
      <c r="K561" s="21">
        <f>IF(持仓数据!Z112="",0,持仓数据!Z112)</f>
        <v>372</v>
      </c>
      <c r="L561" s="21">
        <f t="shared" si="263"/>
        <v>0</v>
      </c>
      <c r="M561" s="28">
        <f t="shared" si="247"/>
        <v>4935.3239999999996</v>
      </c>
      <c r="N561" s="28">
        <f t="shared" si="248"/>
        <v>0</v>
      </c>
      <c r="O561" s="28">
        <f t="shared" si="249"/>
        <v>0</v>
      </c>
      <c r="P561" s="28">
        <f t="shared" si="250"/>
        <v>0</v>
      </c>
      <c r="Q561" s="28">
        <f t="shared" si="264"/>
        <v>0</v>
      </c>
      <c r="R561" s="28">
        <f t="shared" si="251"/>
        <v>4935.3239999999996</v>
      </c>
      <c r="S561" s="28">
        <f t="shared" si="265"/>
        <v>0</v>
      </c>
      <c r="T561" s="28">
        <f t="shared" si="266"/>
        <v>0</v>
      </c>
      <c r="U561" s="28">
        <f t="shared" si="269"/>
        <v>0</v>
      </c>
      <c r="V561" s="28">
        <f t="shared" si="267"/>
        <v>0</v>
      </c>
      <c r="W561" s="118"/>
      <c r="X561" s="143">
        <f t="shared" si="268"/>
        <v>15.613</v>
      </c>
      <c r="Y561" s="121">
        <f>交易记录!AA12</f>
        <v>0.307</v>
      </c>
      <c r="Z561" s="121">
        <f>交易记录!AA43</f>
        <v>372</v>
      </c>
      <c r="AA561" s="30">
        <f t="shared" si="252"/>
        <v>0</v>
      </c>
      <c r="AB561" s="124">
        <f>交易记录!AA76</f>
        <v>0</v>
      </c>
      <c r="AC561" s="124">
        <f>交易记录!AA107</f>
        <v>0</v>
      </c>
      <c r="AD561" s="30">
        <f t="shared" si="270"/>
        <v>0</v>
      </c>
      <c r="AE561" s="121">
        <f>交易记录!AA140</f>
        <v>0</v>
      </c>
      <c r="AF561" s="121">
        <f>交易记录!AA171</f>
        <v>0</v>
      </c>
      <c r="AG561" s="30">
        <f t="shared" si="271"/>
        <v>0</v>
      </c>
      <c r="AH561" s="124">
        <f>交易记录!AA204</f>
        <v>0</v>
      </c>
      <c r="AI561" s="124">
        <f>交易记录!AA235</f>
        <v>0</v>
      </c>
      <c r="AJ561" s="30">
        <f t="shared" si="272"/>
        <v>0</v>
      </c>
      <c r="AK561" s="121">
        <f>交易记录!AA268</f>
        <v>0</v>
      </c>
      <c r="AL561" s="121">
        <f>交易记录!AA299</f>
        <v>0</v>
      </c>
      <c r="AM561" s="30">
        <f t="shared" si="273"/>
        <v>0</v>
      </c>
      <c r="AN561" s="124">
        <f>交易记录!AA332</f>
        <v>0</v>
      </c>
      <c r="AO561" s="124">
        <f>交易记录!AA363</f>
        <v>0</v>
      </c>
      <c r="AP561" s="30">
        <f t="shared" si="274"/>
        <v>0</v>
      </c>
      <c r="AQ561" s="121">
        <f>交易记录!AA396</f>
        <v>0</v>
      </c>
      <c r="AR561" s="121">
        <f>交易记录!AA427</f>
        <v>0</v>
      </c>
      <c r="AS561" s="30">
        <f t="shared" si="275"/>
        <v>0</v>
      </c>
      <c r="AT561" s="124">
        <f>交易记录!AA460</f>
        <v>0</v>
      </c>
      <c r="AU561" s="124">
        <f>交易记录!AA491</f>
        <v>0</v>
      </c>
      <c r="AV561" s="30">
        <f t="shared" si="253"/>
        <v>0</v>
      </c>
      <c r="AW561" s="121">
        <f>交易记录!AA524</f>
        <v>0</v>
      </c>
      <c r="AX561" s="121">
        <f>交易记录!AA555</f>
        <v>0</v>
      </c>
      <c r="AY561" s="30">
        <f t="shared" si="254"/>
        <v>0</v>
      </c>
      <c r="AZ561" s="124">
        <f>交易记录!AA588</f>
        <v>0</v>
      </c>
      <c r="BA561" s="124">
        <f>交易记录!AA619</f>
        <v>0</v>
      </c>
      <c r="BB561" s="30">
        <f t="shared" si="255"/>
        <v>0</v>
      </c>
      <c r="BC561" s="121">
        <f>交易记录!AA652</f>
        <v>0</v>
      </c>
      <c r="BD561" s="121">
        <f>交易记录!AA683</f>
        <v>0</v>
      </c>
      <c r="BE561" s="30">
        <f t="shared" si="256"/>
        <v>0</v>
      </c>
      <c r="BF561" s="124">
        <f>交易记录!AA716</f>
        <v>0</v>
      </c>
      <c r="BG561" s="124">
        <f>交易记录!AA747</f>
        <v>0</v>
      </c>
      <c r="BH561" s="30">
        <f t="shared" si="257"/>
        <v>0</v>
      </c>
      <c r="BI561" s="121">
        <f>交易记录!AA780</f>
        <v>0</v>
      </c>
      <c r="BJ561" s="121">
        <f>交易记录!AA811</f>
        <v>0</v>
      </c>
      <c r="BK561" s="30">
        <f t="shared" si="258"/>
        <v>0</v>
      </c>
      <c r="BL561" s="124">
        <f>交易记录!AA844</f>
        <v>0</v>
      </c>
      <c r="BM561" s="124">
        <f>交易记录!AA875</f>
        <v>0</v>
      </c>
      <c r="BN561" s="30">
        <f t="shared" si="259"/>
        <v>0</v>
      </c>
      <c r="BO561" s="121">
        <f>交易记录!AA908</f>
        <v>0</v>
      </c>
      <c r="BP561" s="121">
        <f>交易记录!AA939</f>
        <v>0</v>
      </c>
      <c r="BQ561" s="30">
        <f t="shared" si="260"/>
        <v>0</v>
      </c>
    </row>
    <row r="562" spans="1:69" ht="15">
      <c r="A562" s="125">
        <f>'维护-日期'!A$26</f>
        <v>46289</v>
      </c>
      <c r="B562" s="7" t="s">
        <v>14</v>
      </c>
      <c r="C562" s="144">
        <f t="shared" si="261"/>
        <v>15.795999999999999</v>
      </c>
      <c r="D562" s="144">
        <f>ROUND(INDEX(持仓数据!$C$3:$AG$26,MATCH('计算过程-数据汇总'!B562,持仓数据!$B$3:$B$26,0),MATCH('计算过程-数据汇总'!A562,'维护-日期'!$B$2:$AF$2,0)),3)</f>
        <v>15.795999999999999</v>
      </c>
      <c r="E562" s="98">
        <f t="shared" si="262"/>
        <v>15.795999999999999</v>
      </c>
      <c r="F562" s="22">
        <f>持仓数据!Z80</f>
        <v>0.42800000000000005</v>
      </c>
      <c r="G562" s="97">
        <v>372</v>
      </c>
      <c r="H562" s="97">
        <v>372</v>
      </c>
      <c r="I562" s="64">
        <v>0</v>
      </c>
      <c r="J562" s="64">
        <v>0</v>
      </c>
      <c r="K562" s="21">
        <f>IF(持仓数据!Z113="",0,持仓数据!Z113)</f>
        <v>372</v>
      </c>
      <c r="L562" s="21">
        <f t="shared" si="263"/>
        <v>0</v>
      </c>
      <c r="M562" s="28">
        <f t="shared" si="247"/>
        <v>5876.1120000000001</v>
      </c>
      <c r="N562" s="28">
        <f t="shared" si="248"/>
        <v>0</v>
      </c>
      <c r="O562" s="28">
        <f t="shared" si="249"/>
        <v>0</v>
      </c>
      <c r="P562" s="28">
        <f t="shared" si="250"/>
        <v>0</v>
      </c>
      <c r="Q562" s="28">
        <f t="shared" si="264"/>
        <v>0</v>
      </c>
      <c r="R562" s="28">
        <f t="shared" si="251"/>
        <v>5876.1120000000001</v>
      </c>
      <c r="S562" s="28">
        <f t="shared" si="265"/>
        <v>0</v>
      </c>
      <c r="T562" s="28">
        <f t="shared" si="266"/>
        <v>0</v>
      </c>
      <c r="U562" s="28">
        <f t="shared" si="269"/>
        <v>0</v>
      </c>
      <c r="V562" s="28">
        <f t="shared" si="267"/>
        <v>0</v>
      </c>
      <c r="W562" s="118"/>
      <c r="X562" s="143">
        <f t="shared" si="268"/>
        <v>18.527000000000001</v>
      </c>
      <c r="Y562" s="121">
        <f>交易记录!AA13</f>
        <v>0.42800000000000005</v>
      </c>
      <c r="Z562" s="121">
        <f>交易记录!AA44</f>
        <v>372</v>
      </c>
      <c r="AA562" s="30">
        <f t="shared" si="252"/>
        <v>0</v>
      </c>
      <c r="AB562" s="124">
        <f>交易记录!AA77</f>
        <v>0</v>
      </c>
      <c r="AC562" s="124">
        <f>交易记录!AA108</f>
        <v>0</v>
      </c>
      <c r="AD562" s="30">
        <f t="shared" si="270"/>
        <v>0</v>
      </c>
      <c r="AE562" s="121">
        <f>交易记录!AA141</f>
        <v>0</v>
      </c>
      <c r="AF562" s="121">
        <f>交易记录!AA172</f>
        <v>0</v>
      </c>
      <c r="AG562" s="30">
        <f t="shared" si="271"/>
        <v>0</v>
      </c>
      <c r="AH562" s="124">
        <f>交易记录!AA205</f>
        <v>0</v>
      </c>
      <c r="AI562" s="124">
        <f>交易记录!AA236</f>
        <v>0</v>
      </c>
      <c r="AJ562" s="30">
        <f t="shared" si="272"/>
        <v>0</v>
      </c>
      <c r="AK562" s="121">
        <f>交易记录!AA269</f>
        <v>0</v>
      </c>
      <c r="AL562" s="121">
        <f>交易记录!AA300</f>
        <v>0</v>
      </c>
      <c r="AM562" s="30">
        <f t="shared" si="273"/>
        <v>0</v>
      </c>
      <c r="AN562" s="124">
        <f>交易记录!AA333</f>
        <v>0</v>
      </c>
      <c r="AO562" s="124">
        <f>交易记录!AA364</f>
        <v>0</v>
      </c>
      <c r="AP562" s="30">
        <f t="shared" si="274"/>
        <v>0</v>
      </c>
      <c r="AQ562" s="121">
        <f>交易记录!AA397</f>
        <v>0</v>
      </c>
      <c r="AR562" s="121">
        <f>交易记录!AA428</f>
        <v>0</v>
      </c>
      <c r="AS562" s="30">
        <f t="shared" si="275"/>
        <v>0</v>
      </c>
      <c r="AT562" s="124">
        <f>交易记录!AA461</f>
        <v>0</v>
      </c>
      <c r="AU562" s="124">
        <f>交易记录!AA492</f>
        <v>0</v>
      </c>
      <c r="AV562" s="30">
        <f t="shared" si="253"/>
        <v>0</v>
      </c>
      <c r="AW562" s="121">
        <f>交易记录!AA525</f>
        <v>0</v>
      </c>
      <c r="AX562" s="121">
        <f>交易记录!AA556</f>
        <v>0</v>
      </c>
      <c r="AY562" s="30">
        <f t="shared" si="254"/>
        <v>0</v>
      </c>
      <c r="AZ562" s="124">
        <f>交易记录!AA589</f>
        <v>0</v>
      </c>
      <c r="BA562" s="124">
        <f>交易记录!AA620</f>
        <v>0</v>
      </c>
      <c r="BB562" s="30">
        <f t="shared" si="255"/>
        <v>0</v>
      </c>
      <c r="BC562" s="121">
        <f>交易记录!AA653</f>
        <v>0</v>
      </c>
      <c r="BD562" s="121">
        <f>交易记录!AA684</f>
        <v>0</v>
      </c>
      <c r="BE562" s="30">
        <f t="shared" si="256"/>
        <v>0</v>
      </c>
      <c r="BF562" s="124">
        <f>交易记录!AA717</f>
        <v>0</v>
      </c>
      <c r="BG562" s="124">
        <f>交易记录!AA748</f>
        <v>0</v>
      </c>
      <c r="BH562" s="30">
        <f t="shared" si="257"/>
        <v>0</v>
      </c>
      <c r="BI562" s="121">
        <f>交易记录!AA781</f>
        <v>0</v>
      </c>
      <c r="BJ562" s="121">
        <f>交易记录!AA812</f>
        <v>0</v>
      </c>
      <c r="BK562" s="30">
        <f t="shared" si="258"/>
        <v>0</v>
      </c>
      <c r="BL562" s="124">
        <f>交易记录!AA845</f>
        <v>0</v>
      </c>
      <c r="BM562" s="124">
        <f>交易记录!AA876</f>
        <v>0</v>
      </c>
      <c r="BN562" s="30">
        <f t="shared" si="259"/>
        <v>0</v>
      </c>
      <c r="BO562" s="121">
        <f>交易记录!AA909</f>
        <v>0</v>
      </c>
      <c r="BP562" s="121">
        <f>交易记录!AA940</f>
        <v>0</v>
      </c>
      <c r="BQ562" s="30">
        <f t="shared" si="260"/>
        <v>0</v>
      </c>
    </row>
    <row r="563" spans="1:69" ht="15">
      <c r="A563" s="125">
        <f>'维护-日期'!A$26</f>
        <v>46289</v>
      </c>
      <c r="B563" s="7" t="s">
        <v>15</v>
      </c>
      <c r="C563" s="144">
        <f t="shared" si="261"/>
        <v>19.308</v>
      </c>
      <c r="D563" s="144">
        <f>ROUND(INDEX(持仓数据!$C$3:$AG$26,MATCH('计算过程-数据汇总'!B563,持仓数据!$B$3:$B$26,0),MATCH('计算过程-数据汇总'!A563,'维护-日期'!$B$2:$AF$2,0)),3)</f>
        <v>19.308</v>
      </c>
      <c r="E563" s="98">
        <f t="shared" si="262"/>
        <v>19.308</v>
      </c>
      <c r="F563" s="22">
        <f>持仓数据!Z81</f>
        <v>0.46100000000000002</v>
      </c>
      <c r="G563" s="97">
        <v>372</v>
      </c>
      <c r="H563" s="97">
        <v>372</v>
      </c>
      <c r="I563" s="64">
        <v>0</v>
      </c>
      <c r="J563" s="64">
        <v>0</v>
      </c>
      <c r="K563" s="21">
        <f>IF(持仓数据!Z114="",0,持仓数据!Z114)</f>
        <v>372</v>
      </c>
      <c r="L563" s="21">
        <f t="shared" si="263"/>
        <v>0</v>
      </c>
      <c r="M563" s="28">
        <f t="shared" si="247"/>
        <v>7182.576</v>
      </c>
      <c r="N563" s="28">
        <f t="shared" si="248"/>
        <v>0</v>
      </c>
      <c r="O563" s="28">
        <f t="shared" si="249"/>
        <v>0</v>
      </c>
      <c r="P563" s="28">
        <f t="shared" si="250"/>
        <v>0</v>
      </c>
      <c r="Q563" s="28">
        <f t="shared" si="264"/>
        <v>0</v>
      </c>
      <c r="R563" s="28">
        <f t="shared" si="251"/>
        <v>7182.576</v>
      </c>
      <c r="S563" s="28">
        <f t="shared" si="265"/>
        <v>0</v>
      </c>
      <c r="T563" s="28">
        <f t="shared" si="266"/>
        <v>0</v>
      </c>
      <c r="U563" s="28">
        <f t="shared" si="269"/>
        <v>0</v>
      </c>
      <c r="V563" s="28">
        <f t="shared" si="267"/>
        <v>0</v>
      </c>
      <c r="W563" s="118"/>
      <c r="X563" s="143">
        <f t="shared" si="268"/>
        <v>22.709</v>
      </c>
      <c r="Y563" s="121">
        <f>交易记录!AA14</f>
        <v>0.46100000000000002</v>
      </c>
      <c r="Z563" s="121">
        <f>交易记录!AA45</f>
        <v>372</v>
      </c>
      <c r="AA563" s="30">
        <f t="shared" si="252"/>
        <v>0</v>
      </c>
      <c r="AB563" s="124">
        <f>交易记录!AA78</f>
        <v>0</v>
      </c>
      <c r="AC563" s="124">
        <f>交易记录!AA109</f>
        <v>0</v>
      </c>
      <c r="AD563" s="30">
        <f t="shared" si="270"/>
        <v>0</v>
      </c>
      <c r="AE563" s="121">
        <f>交易记录!AA142</f>
        <v>0</v>
      </c>
      <c r="AF563" s="121">
        <f>交易记录!AA173</f>
        <v>0</v>
      </c>
      <c r="AG563" s="30">
        <f t="shared" si="271"/>
        <v>0</v>
      </c>
      <c r="AH563" s="124">
        <f>交易记录!AA206</f>
        <v>0</v>
      </c>
      <c r="AI563" s="124">
        <f>交易记录!AA237</f>
        <v>0</v>
      </c>
      <c r="AJ563" s="30">
        <f t="shared" si="272"/>
        <v>0</v>
      </c>
      <c r="AK563" s="121">
        <f>交易记录!AA270</f>
        <v>0</v>
      </c>
      <c r="AL563" s="121">
        <f>交易记录!AA301</f>
        <v>0</v>
      </c>
      <c r="AM563" s="30">
        <f t="shared" si="273"/>
        <v>0</v>
      </c>
      <c r="AN563" s="124">
        <f>交易记录!AA334</f>
        <v>0</v>
      </c>
      <c r="AO563" s="124">
        <f>交易记录!AA365</f>
        <v>0</v>
      </c>
      <c r="AP563" s="30">
        <f t="shared" si="274"/>
        <v>0</v>
      </c>
      <c r="AQ563" s="121">
        <f>交易记录!AA398</f>
        <v>0</v>
      </c>
      <c r="AR563" s="121">
        <f>交易记录!AA429</f>
        <v>0</v>
      </c>
      <c r="AS563" s="30">
        <f t="shared" si="275"/>
        <v>0</v>
      </c>
      <c r="AT563" s="124">
        <f>交易记录!AA462</f>
        <v>0</v>
      </c>
      <c r="AU563" s="124">
        <f>交易记录!AA493</f>
        <v>0</v>
      </c>
      <c r="AV563" s="30">
        <f t="shared" si="253"/>
        <v>0</v>
      </c>
      <c r="AW563" s="121">
        <f>交易记录!AA526</f>
        <v>0</v>
      </c>
      <c r="AX563" s="121">
        <f>交易记录!AA557</f>
        <v>0</v>
      </c>
      <c r="AY563" s="30">
        <f t="shared" si="254"/>
        <v>0</v>
      </c>
      <c r="AZ563" s="124">
        <f>交易记录!AA590</f>
        <v>0</v>
      </c>
      <c r="BA563" s="124">
        <f>交易记录!AA621</f>
        <v>0</v>
      </c>
      <c r="BB563" s="30">
        <f t="shared" si="255"/>
        <v>0</v>
      </c>
      <c r="BC563" s="121">
        <f>交易记录!AA654</f>
        <v>0</v>
      </c>
      <c r="BD563" s="121">
        <f>交易记录!AA685</f>
        <v>0</v>
      </c>
      <c r="BE563" s="30">
        <f t="shared" si="256"/>
        <v>0</v>
      </c>
      <c r="BF563" s="124">
        <f>交易记录!AA718</f>
        <v>0</v>
      </c>
      <c r="BG563" s="124">
        <f>交易记录!AA749</f>
        <v>0</v>
      </c>
      <c r="BH563" s="30">
        <f t="shared" si="257"/>
        <v>0</v>
      </c>
      <c r="BI563" s="121">
        <f>交易记录!AA782</f>
        <v>0</v>
      </c>
      <c r="BJ563" s="121">
        <f>交易记录!AA813</f>
        <v>0</v>
      </c>
      <c r="BK563" s="30">
        <f t="shared" si="258"/>
        <v>0</v>
      </c>
      <c r="BL563" s="124">
        <f>交易记录!AA846</f>
        <v>0</v>
      </c>
      <c r="BM563" s="124">
        <f>交易记录!AA877</f>
        <v>0</v>
      </c>
      <c r="BN563" s="30">
        <f t="shared" si="259"/>
        <v>0</v>
      </c>
      <c r="BO563" s="121">
        <f>交易记录!AA910</f>
        <v>0</v>
      </c>
      <c r="BP563" s="121">
        <f>交易记录!AA941</f>
        <v>0</v>
      </c>
      <c r="BQ563" s="30">
        <f t="shared" si="260"/>
        <v>0</v>
      </c>
    </row>
    <row r="564" spans="1:69" ht="15">
      <c r="A564" s="125">
        <f>'维护-日期'!A$26</f>
        <v>46289</v>
      </c>
      <c r="B564" s="7" t="s">
        <v>16</v>
      </c>
      <c r="C564" s="144">
        <f t="shared" si="261"/>
        <v>21.01</v>
      </c>
      <c r="D564" s="144">
        <f>ROUND(INDEX(持仓数据!$C$3:$AG$26,MATCH('计算过程-数据汇总'!B564,持仓数据!$B$3:$B$26,0),MATCH('计算过程-数据汇总'!A564,'维护-日期'!$B$2:$AF$2,0)),3)</f>
        <v>21.01</v>
      </c>
      <c r="E564" s="98">
        <f t="shared" si="262"/>
        <v>21.01</v>
      </c>
      <c r="F564" s="22">
        <f>持仓数据!Z82</f>
        <v>0.46700000000000003</v>
      </c>
      <c r="G564" s="97">
        <v>372</v>
      </c>
      <c r="H564" s="97">
        <v>372</v>
      </c>
      <c r="I564" s="64">
        <v>0</v>
      </c>
      <c r="J564" s="64">
        <v>0</v>
      </c>
      <c r="K564" s="21">
        <f>IF(持仓数据!Z115="",0,持仓数据!Z115)</f>
        <v>372</v>
      </c>
      <c r="L564" s="21">
        <f t="shared" si="263"/>
        <v>0</v>
      </c>
      <c r="M564" s="28">
        <f t="shared" si="247"/>
        <v>7815.72</v>
      </c>
      <c r="N564" s="28">
        <f t="shared" si="248"/>
        <v>0</v>
      </c>
      <c r="O564" s="28">
        <f t="shared" si="249"/>
        <v>0</v>
      </c>
      <c r="P564" s="28">
        <f t="shared" si="250"/>
        <v>0</v>
      </c>
      <c r="Q564" s="28">
        <f t="shared" si="264"/>
        <v>0</v>
      </c>
      <c r="R564" s="28">
        <f t="shared" si="251"/>
        <v>7815.72</v>
      </c>
      <c r="S564" s="28">
        <f t="shared" si="265"/>
        <v>0</v>
      </c>
      <c r="T564" s="28">
        <f t="shared" si="266"/>
        <v>0</v>
      </c>
      <c r="U564" s="28">
        <f t="shared" si="269"/>
        <v>0</v>
      </c>
      <c r="V564" s="28">
        <f t="shared" si="267"/>
        <v>0</v>
      </c>
      <c r="W564" s="118"/>
      <c r="X564" s="143">
        <f t="shared" si="268"/>
        <v>24.745000000000001</v>
      </c>
      <c r="Y564" s="121">
        <f>交易记录!AA15</f>
        <v>0.46700000000000003</v>
      </c>
      <c r="Z564" s="121">
        <f>交易记录!AA46</f>
        <v>372</v>
      </c>
      <c r="AA564" s="30">
        <f t="shared" si="252"/>
        <v>0</v>
      </c>
      <c r="AB564" s="124">
        <f>交易记录!AA79</f>
        <v>0</v>
      </c>
      <c r="AC564" s="124">
        <f>交易记录!AA110</f>
        <v>0</v>
      </c>
      <c r="AD564" s="30">
        <f t="shared" si="270"/>
        <v>0</v>
      </c>
      <c r="AE564" s="121">
        <f>交易记录!AA143</f>
        <v>0</v>
      </c>
      <c r="AF564" s="121">
        <f>交易记录!AA174</f>
        <v>0</v>
      </c>
      <c r="AG564" s="30">
        <f t="shared" si="271"/>
        <v>0</v>
      </c>
      <c r="AH564" s="124">
        <f>交易记录!AA207</f>
        <v>0</v>
      </c>
      <c r="AI564" s="124">
        <f>交易记录!AA238</f>
        <v>0</v>
      </c>
      <c r="AJ564" s="30">
        <f t="shared" si="272"/>
        <v>0</v>
      </c>
      <c r="AK564" s="121">
        <f>交易记录!AA271</f>
        <v>0</v>
      </c>
      <c r="AL564" s="121">
        <f>交易记录!AA302</f>
        <v>0</v>
      </c>
      <c r="AM564" s="30">
        <f t="shared" si="273"/>
        <v>0</v>
      </c>
      <c r="AN564" s="124">
        <f>交易记录!AA335</f>
        <v>0</v>
      </c>
      <c r="AO564" s="124">
        <f>交易记录!AA366</f>
        <v>0</v>
      </c>
      <c r="AP564" s="30">
        <f t="shared" si="274"/>
        <v>0</v>
      </c>
      <c r="AQ564" s="121">
        <f>交易记录!AA399</f>
        <v>0</v>
      </c>
      <c r="AR564" s="121">
        <f>交易记录!AA430</f>
        <v>0</v>
      </c>
      <c r="AS564" s="30">
        <f t="shared" si="275"/>
        <v>0</v>
      </c>
      <c r="AT564" s="124">
        <f>交易记录!AA463</f>
        <v>0</v>
      </c>
      <c r="AU564" s="124">
        <f>交易记录!AA494</f>
        <v>0</v>
      </c>
      <c r="AV564" s="30">
        <f t="shared" si="253"/>
        <v>0</v>
      </c>
      <c r="AW564" s="121">
        <f>交易记录!AA527</f>
        <v>0</v>
      </c>
      <c r="AX564" s="121">
        <f>交易记录!AA558</f>
        <v>0</v>
      </c>
      <c r="AY564" s="30">
        <f t="shared" si="254"/>
        <v>0</v>
      </c>
      <c r="AZ564" s="124">
        <f>交易记录!AA591</f>
        <v>0</v>
      </c>
      <c r="BA564" s="124">
        <f>交易记录!AA622</f>
        <v>0</v>
      </c>
      <c r="BB564" s="30">
        <f t="shared" si="255"/>
        <v>0</v>
      </c>
      <c r="BC564" s="121">
        <f>交易记录!AA655</f>
        <v>0</v>
      </c>
      <c r="BD564" s="121">
        <f>交易记录!AA686</f>
        <v>0</v>
      </c>
      <c r="BE564" s="30">
        <f t="shared" si="256"/>
        <v>0</v>
      </c>
      <c r="BF564" s="124">
        <f>交易记录!AA719</f>
        <v>0</v>
      </c>
      <c r="BG564" s="124">
        <f>交易记录!AA750</f>
        <v>0</v>
      </c>
      <c r="BH564" s="30">
        <f t="shared" si="257"/>
        <v>0</v>
      </c>
      <c r="BI564" s="121">
        <f>交易记录!AA783</f>
        <v>0</v>
      </c>
      <c r="BJ564" s="121">
        <f>交易记录!AA814</f>
        <v>0</v>
      </c>
      <c r="BK564" s="30">
        <f t="shared" si="258"/>
        <v>0</v>
      </c>
      <c r="BL564" s="124">
        <f>交易记录!AA847</f>
        <v>0</v>
      </c>
      <c r="BM564" s="124">
        <f>交易记录!AA878</f>
        <v>0</v>
      </c>
      <c r="BN564" s="30">
        <f t="shared" si="259"/>
        <v>0</v>
      </c>
      <c r="BO564" s="121">
        <f>交易记录!AA911</f>
        <v>0</v>
      </c>
      <c r="BP564" s="121">
        <f>交易记录!AA942</f>
        <v>0</v>
      </c>
      <c r="BQ564" s="30">
        <f t="shared" si="260"/>
        <v>0</v>
      </c>
    </row>
    <row r="565" spans="1:69" ht="15">
      <c r="A565" s="125">
        <f>'维护-日期'!A$26</f>
        <v>46289</v>
      </c>
      <c r="B565" s="7" t="s">
        <v>17</v>
      </c>
      <c r="C565" s="144">
        <f t="shared" si="261"/>
        <v>21.329000000000001</v>
      </c>
      <c r="D565" s="144">
        <f>ROUND(INDEX(持仓数据!$C$3:$AG$26,MATCH('计算过程-数据汇总'!B565,持仓数据!$B$3:$B$26,0),MATCH('计算过程-数据汇总'!A565,'维护-日期'!$B$2:$AF$2,0)),3)</f>
        <v>21.329000000000001</v>
      </c>
      <c r="E565" s="98">
        <f t="shared" si="262"/>
        <v>21.329000000000001</v>
      </c>
      <c r="F565" s="22">
        <f>持仓数据!Z83</f>
        <v>0.32100000000000001</v>
      </c>
      <c r="G565" s="97">
        <v>372</v>
      </c>
      <c r="H565" s="97">
        <v>372</v>
      </c>
      <c r="I565" s="64">
        <v>0</v>
      </c>
      <c r="J565" s="64">
        <v>0</v>
      </c>
      <c r="K565" s="21">
        <f>IF(持仓数据!Z116="",0,持仓数据!Z116)</f>
        <v>372</v>
      </c>
      <c r="L565" s="21">
        <f t="shared" si="263"/>
        <v>0</v>
      </c>
      <c r="M565" s="28">
        <f t="shared" si="247"/>
        <v>7934.3879999999999</v>
      </c>
      <c r="N565" s="28">
        <f t="shared" si="248"/>
        <v>0</v>
      </c>
      <c r="O565" s="28">
        <f t="shared" si="249"/>
        <v>0</v>
      </c>
      <c r="P565" s="28">
        <f t="shared" si="250"/>
        <v>0</v>
      </c>
      <c r="Q565" s="28">
        <f t="shared" si="264"/>
        <v>0</v>
      </c>
      <c r="R565" s="28">
        <f t="shared" si="251"/>
        <v>7934.3879999999999</v>
      </c>
      <c r="S565" s="28">
        <f t="shared" si="265"/>
        <v>0</v>
      </c>
      <c r="T565" s="28">
        <f t="shared" si="266"/>
        <v>0</v>
      </c>
      <c r="U565" s="28">
        <f t="shared" si="269"/>
        <v>0</v>
      </c>
      <c r="V565" s="28">
        <f t="shared" si="267"/>
        <v>0</v>
      </c>
      <c r="W565" s="118"/>
      <c r="X565" s="143">
        <f t="shared" si="268"/>
        <v>25.274000000000001</v>
      </c>
      <c r="Y565" s="121">
        <f>交易记录!AA16</f>
        <v>0.32100000000000001</v>
      </c>
      <c r="Z565" s="121">
        <f>交易记录!AA47</f>
        <v>372</v>
      </c>
      <c r="AA565" s="30">
        <f t="shared" si="252"/>
        <v>0</v>
      </c>
      <c r="AB565" s="124">
        <f>交易记录!AA80</f>
        <v>0</v>
      </c>
      <c r="AC565" s="124">
        <f>交易记录!AA111</f>
        <v>0</v>
      </c>
      <c r="AD565" s="30">
        <f t="shared" si="270"/>
        <v>0</v>
      </c>
      <c r="AE565" s="121">
        <f>交易记录!AA144</f>
        <v>0</v>
      </c>
      <c r="AF565" s="121">
        <f>交易记录!AA175</f>
        <v>0</v>
      </c>
      <c r="AG565" s="30">
        <f t="shared" si="271"/>
        <v>0</v>
      </c>
      <c r="AH565" s="124">
        <f>交易记录!AA208</f>
        <v>0</v>
      </c>
      <c r="AI565" s="124">
        <f>交易记录!AA239</f>
        <v>0</v>
      </c>
      <c r="AJ565" s="30">
        <f t="shared" si="272"/>
        <v>0</v>
      </c>
      <c r="AK565" s="121">
        <f>交易记录!AA272</f>
        <v>0</v>
      </c>
      <c r="AL565" s="121">
        <f>交易记录!AA303</f>
        <v>0</v>
      </c>
      <c r="AM565" s="30">
        <f t="shared" si="273"/>
        <v>0</v>
      </c>
      <c r="AN565" s="124">
        <f>交易记录!AA336</f>
        <v>0</v>
      </c>
      <c r="AO565" s="124">
        <f>交易记录!AA367</f>
        <v>0</v>
      </c>
      <c r="AP565" s="30">
        <f t="shared" si="274"/>
        <v>0</v>
      </c>
      <c r="AQ565" s="121">
        <f>交易记录!AA400</f>
        <v>0</v>
      </c>
      <c r="AR565" s="121">
        <f>交易记录!AA431</f>
        <v>0</v>
      </c>
      <c r="AS565" s="30">
        <f t="shared" si="275"/>
        <v>0</v>
      </c>
      <c r="AT565" s="124">
        <f>交易记录!AA464</f>
        <v>0</v>
      </c>
      <c r="AU565" s="124">
        <f>交易记录!AA495</f>
        <v>0</v>
      </c>
      <c r="AV565" s="30">
        <f t="shared" si="253"/>
        <v>0</v>
      </c>
      <c r="AW565" s="121">
        <f>交易记录!AA528</f>
        <v>0</v>
      </c>
      <c r="AX565" s="121">
        <f>交易记录!AA559</f>
        <v>0</v>
      </c>
      <c r="AY565" s="30">
        <f t="shared" si="254"/>
        <v>0</v>
      </c>
      <c r="AZ565" s="124">
        <f>交易记录!AA592</f>
        <v>0</v>
      </c>
      <c r="BA565" s="124">
        <f>交易记录!AA623</f>
        <v>0</v>
      </c>
      <c r="BB565" s="30">
        <f t="shared" si="255"/>
        <v>0</v>
      </c>
      <c r="BC565" s="121">
        <f>交易记录!AA656</f>
        <v>0</v>
      </c>
      <c r="BD565" s="121">
        <f>交易记录!AA687</f>
        <v>0</v>
      </c>
      <c r="BE565" s="30">
        <f t="shared" si="256"/>
        <v>0</v>
      </c>
      <c r="BF565" s="124">
        <f>交易记录!AA720</f>
        <v>0</v>
      </c>
      <c r="BG565" s="124">
        <f>交易记录!AA751</f>
        <v>0</v>
      </c>
      <c r="BH565" s="30">
        <f t="shared" si="257"/>
        <v>0</v>
      </c>
      <c r="BI565" s="121">
        <f>交易记录!AA784</f>
        <v>0</v>
      </c>
      <c r="BJ565" s="121">
        <f>交易记录!AA815</f>
        <v>0</v>
      </c>
      <c r="BK565" s="30">
        <f t="shared" si="258"/>
        <v>0</v>
      </c>
      <c r="BL565" s="124">
        <f>交易记录!AA848</f>
        <v>0</v>
      </c>
      <c r="BM565" s="124">
        <f>交易记录!AA879</f>
        <v>0</v>
      </c>
      <c r="BN565" s="30">
        <f t="shared" si="259"/>
        <v>0</v>
      </c>
      <c r="BO565" s="121">
        <f>交易记录!AA912</f>
        <v>0</v>
      </c>
      <c r="BP565" s="121">
        <f>交易记录!AA943</f>
        <v>0</v>
      </c>
      <c r="BQ565" s="30">
        <f t="shared" si="260"/>
        <v>0</v>
      </c>
    </row>
    <row r="566" spans="1:69" ht="15">
      <c r="A566" s="125">
        <f>'维护-日期'!A$26</f>
        <v>46289</v>
      </c>
      <c r="B566" s="7" t="s">
        <v>18</v>
      </c>
      <c r="C566" s="144">
        <f t="shared" si="261"/>
        <v>22.643999999999998</v>
      </c>
      <c r="D566" s="144">
        <f>ROUND(INDEX(持仓数据!$C$3:$AG$26,MATCH('计算过程-数据汇总'!B566,持仓数据!$B$3:$B$26,0),MATCH('计算过程-数据汇总'!A566,'维护-日期'!$B$2:$AF$2,0)),3)</f>
        <v>22.643999999999998</v>
      </c>
      <c r="E566" s="98">
        <f t="shared" si="262"/>
        <v>22.643999999999998</v>
      </c>
      <c r="F566" s="22">
        <f>持仓数据!Z84</f>
        <v>7.8E-2</v>
      </c>
      <c r="G566" s="97">
        <v>372</v>
      </c>
      <c r="H566" s="97">
        <v>372</v>
      </c>
      <c r="I566" s="64">
        <v>0</v>
      </c>
      <c r="J566" s="64">
        <v>0</v>
      </c>
      <c r="K566" s="21">
        <f>IF(持仓数据!Z117="",0,持仓数据!Z117)</f>
        <v>372</v>
      </c>
      <c r="L566" s="21">
        <f t="shared" si="263"/>
        <v>0</v>
      </c>
      <c r="M566" s="28">
        <f t="shared" si="247"/>
        <v>8423.5679999999993</v>
      </c>
      <c r="N566" s="28">
        <f t="shared" si="248"/>
        <v>0</v>
      </c>
      <c r="O566" s="28">
        <f t="shared" si="249"/>
        <v>0</v>
      </c>
      <c r="P566" s="28">
        <f t="shared" si="250"/>
        <v>0</v>
      </c>
      <c r="Q566" s="28">
        <f t="shared" si="264"/>
        <v>0</v>
      </c>
      <c r="R566" s="28">
        <f t="shared" si="251"/>
        <v>8423.5679999999993</v>
      </c>
      <c r="S566" s="28">
        <f t="shared" si="265"/>
        <v>0</v>
      </c>
      <c r="T566" s="28">
        <f t="shared" si="266"/>
        <v>0</v>
      </c>
      <c r="U566" s="28">
        <f t="shared" si="269"/>
        <v>0</v>
      </c>
      <c r="V566" s="28">
        <f t="shared" si="267"/>
        <v>0</v>
      </c>
      <c r="W566" s="118"/>
      <c r="X566" s="143">
        <f t="shared" si="268"/>
        <v>27.094999999999999</v>
      </c>
      <c r="Y566" s="121">
        <f>交易记录!AA17</f>
        <v>7.8E-2</v>
      </c>
      <c r="Z566" s="121">
        <f>交易记录!AA48</f>
        <v>372</v>
      </c>
      <c r="AA566" s="30">
        <f t="shared" si="252"/>
        <v>0</v>
      </c>
      <c r="AB566" s="124">
        <f>交易记录!AA81</f>
        <v>0</v>
      </c>
      <c r="AC566" s="124">
        <f>交易记录!AA112</f>
        <v>0</v>
      </c>
      <c r="AD566" s="30">
        <f t="shared" si="270"/>
        <v>0</v>
      </c>
      <c r="AE566" s="121">
        <f>交易记录!AA145</f>
        <v>0</v>
      </c>
      <c r="AF566" s="121">
        <f>交易记录!AA176</f>
        <v>0</v>
      </c>
      <c r="AG566" s="30">
        <f t="shared" si="271"/>
        <v>0</v>
      </c>
      <c r="AH566" s="124">
        <f>交易记录!AA209</f>
        <v>0</v>
      </c>
      <c r="AI566" s="124">
        <f>交易记录!AA240</f>
        <v>0</v>
      </c>
      <c r="AJ566" s="30">
        <f t="shared" si="272"/>
        <v>0</v>
      </c>
      <c r="AK566" s="121">
        <f>交易记录!AA273</f>
        <v>0</v>
      </c>
      <c r="AL566" s="121">
        <f>交易记录!AA304</f>
        <v>0</v>
      </c>
      <c r="AM566" s="30">
        <f t="shared" si="273"/>
        <v>0</v>
      </c>
      <c r="AN566" s="124">
        <f>交易记录!AA337</f>
        <v>0</v>
      </c>
      <c r="AO566" s="124">
        <f>交易记录!AA368</f>
        <v>0</v>
      </c>
      <c r="AP566" s="30">
        <f t="shared" si="274"/>
        <v>0</v>
      </c>
      <c r="AQ566" s="121">
        <f>交易记录!AA401</f>
        <v>0</v>
      </c>
      <c r="AR566" s="121">
        <f>交易记录!AA432</f>
        <v>0</v>
      </c>
      <c r="AS566" s="30">
        <f t="shared" si="275"/>
        <v>0</v>
      </c>
      <c r="AT566" s="124">
        <f>交易记录!AA465</f>
        <v>0</v>
      </c>
      <c r="AU566" s="124">
        <f>交易记录!AA496</f>
        <v>0</v>
      </c>
      <c r="AV566" s="30">
        <f t="shared" si="253"/>
        <v>0</v>
      </c>
      <c r="AW566" s="121">
        <f>交易记录!AA529</f>
        <v>0</v>
      </c>
      <c r="AX566" s="121">
        <f>交易记录!AA560</f>
        <v>0</v>
      </c>
      <c r="AY566" s="30">
        <f t="shared" si="254"/>
        <v>0</v>
      </c>
      <c r="AZ566" s="124">
        <f>交易记录!AA593</f>
        <v>0</v>
      </c>
      <c r="BA566" s="124">
        <f>交易记录!AA624</f>
        <v>0</v>
      </c>
      <c r="BB566" s="30">
        <f t="shared" si="255"/>
        <v>0</v>
      </c>
      <c r="BC566" s="121">
        <f>交易记录!AA657</f>
        <v>0</v>
      </c>
      <c r="BD566" s="121">
        <f>交易记录!AA688</f>
        <v>0</v>
      </c>
      <c r="BE566" s="30">
        <f t="shared" si="256"/>
        <v>0</v>
      </c>
      <c r="BF566" s="124">
        <f>交易记录!AA721</f>
        <v>0</v>
      </c>
      <c r="BG566" s="124">
        <f>交易记录!AA752</f>
        <v>0</v>
      </c>
      <c r="BH566" s="30">
        <f t="shared" si="257"/>
        <v>0</v>
      </c>
      <c r="BI566" s="121">
        <f>交易记录!AA785</f>
        <v>0</v>
      </c>
      <c r="BJ566" s="121">
        <f>交易记录!AA816</f>
        <v>0</v>
      </c>
      <c r="BK566" s="30">
        <f t="shared" si="258"/>
        <v>0</v>
      </c>
      <c r="BL566" s="124">
        <f>交易记录!AA849</f>
        <v>0</v>
      </c>
      <c r="BM566" s="124">
        <f>交易记录!AA880</f>
        <v>0</v>
      </c>
      <c r="BN566" s="30">
        <f t="shared" si="259"/>
        <v>0</v>
      </c>
      <c r="BO566" s="121">
        <f>交易记录!AA913</f>
        <v>0</v>
      </c>
      <c r="BP566" s="121">
        <f>交易记录!AA944</f>
        <v>0</v>
      </c>
      <c r="BQ566" s="30">
        <f t="shared" si="260"/>
        <v>0</v>
      </c>
    </row>
    <row r="567" spans="1:69" ht="15">
      <c r="A567" s="125">
        <f>'维护-日期'!A$26</f>
        <v>46289</v>
      </c>
      <c r="B567" s="7" t="s">
        <v>19</v>
      </c>
      <c r="C567" s="144">
        <f t="shared" si="261"/>
        <v>22.904</v>
      </c>
      <c r="D567" s="144">
        <f>ROUND(INDEX(持仓数据!$C$3:$AG$26,MATCH('计算过程-数据汇总'!B567,持仓数据!$B$3:$B$26,0),MATCH('计算过程-数据汇总'!A567,'维护-日期'!$B$2:$AF$2,0)),3)</f>
        <v>22.904</v>
      </c>
      <c r="E567" s="98">
        <f t="shared" si="262"/>
        <v>22.904</v>
      </c>
      <c r="F567" s="22">
        <f>持仓数据!Z85</f>
        <v>0.19500000000000001</v>
      </c>
      <c r="G567" s="97">
        <v>372</v>
      </c>
      <c r="H567" s="97">
        <v>372</v>
      </c>
      <c r="I567" s="64">
        <v>0</v>
      </c>
      <c r="J567" s="64">
        <v>0</v>
      </c>
      <c r="K567" s="21">
        <f>IF(持仓数据!Z118="",0,持仓数据!Z118)</f>
        <v>372</v>
      </c>
      <c r="L567" s="21">
        <f t="shared" si="263"/>
        <v>0</v>
      </c>
      <c r="M567" s="28">
        <f t="shared" si="247"/>
        <v>8520.2880000000005</v>
      </c>
      <c r="N567" s="28">
        <f t="shared" si="248"/>
        <v>0</v>
      </c>
      <c r="O567" s="28">
        <f t="shared" si="249"/>
        <v>0</v>
      </c>
      <c r="P567" s="28">
        <f t="shared" si="250"/>
        <v>0</v>
      </c>
      <c r="Q567" s="28">
        <f t="shared" si="264"/>
        <v>0</v>
      </c>
      <c r="R567" s="28">
        <f t="shared" si="251"/>
        <v>8520.2880000000005</v>
      </c>
      <c r="S567" s="28">
        <f t="shared" si="265"/>
        <v>0</v>
      </c>
      <c r="T567" s="28">
        <f t="shared" si="266"/>
        <v>0</v>
      </c>
      <c r="U567" s="28">
        <f t="shared" si="269"/>
        <v>0</v>
      </c>
      <c r="V567" s="28">
        <f t="shared" si="267"/>
        <v>0</v>
      </c>
      <c r="W567" s="118"/>
      <c r="X567" s="143">
        <f t="shared" si="268"/>
        <v>27.29</v>
      </c>
      <c r="Y567" s="121">
        <f>交易记录!AA18</f>
        <v>0.19500000000000001</v>
      </c>
      <c r="Z567" s="121">
        <f>交易记录!AA49</f>
        <v>372</v>
      </c>
      <c r="AA567" s="30">
        <f t="shared" si="252"/>
        <v>0</v>
      </c>
      <c r="AB567" s="124">
        <f>交易记录!AA82</f>
        <v>0</v>
      </c>
      <c r="AC567" s="124">
        <f>交易记录!AA113</f>
        <v>0</v>
      </c>
      <c r="AD567" s="30">
        <f t="shared" si="270"/>
        <v>0</v>
      </c>
      <c r="AE567" s="121">
        <f>交易记录!AA146</f>
        <v>0</v>
      </c>
      <c r="AF567" s="121">
        <f>交易记录!AA177</f>
        <v>0</v>
      </c>
      <c r="AG567" s="30">
        <f t="shared" si="271"/>
        <v>0</v>
      </c>
      <c r="AH567" s="124">
        <f>交易记录!AA210</f>
        <v>0</v>
      </c>
      <c r="AI567" s="124">
        <f>交易记录!AA241</f>
        <v>0</v>
      </c>
      <c r="AJ567" s="30">
        <f t="shared" si="272"/>
        <v>0</v>
      </c>
      <c r="AK567" s="121">
        <f>交易记录!AA274</f>
        <v>0</v>
      </c>
      <c r="AL567" s="121">
        <f>交易记录!AA305</f>
        <v>0</v>
      </c>
      <c r="AM567" s="30">
        <f t="shared" si="273"/>
        <v>0</v>
      </c>
      <c r="AN567" s="124">
        <f>交易记录!AA338</f>
        <v>0</v>
      </c>
      <c r="AO567" s="124">
        <f>交易记录!AA369</f>
        <v>0</v>
      </c>
      <c r="AP567" s="30">
        <f t="shared" si="274"/>
        <v>0</v>
      </c>
      <c r="AQ567" s="121">
        <f>交易记录!AA402</f>
        <v>0</v>
      </c>
      <c r="AR567" s="121">
        <f>交易记录!AA433</f>
        <v>0</v>
      </c>
      <c r="AS567" s="30">
        <f t="shared" si="275"/>
        <v>0</v>
      </c>
      <c r="AT567" s="124">
        <f>交易记录!AA466</f>
        <v>0</v>
      </c>
      <c r="AU567" s="124">
        <f>交易记录!AA497</f>
        <v>0</v>
      </c>
      <c r="AV567" s="30">
        <f t="shared" si="253"/>
        <v>0</v>
      </c>
      <c r="AW567" s="121">
        <f>交易记录!AA530</f>
        <v>0</v>
      </c>
      <c r="AX567" s="121">
        <f>交易记录!AA561</f>
        <v>0</v>
      </c>
      <c r="AY567" s="30">
        <f t="shared" si="254"/>
        <v>0</v>
      </c>
      <c r="AZ567" s="124">
        <f>交易记录!AA594</f>
        <v>0</v>
      </c>
      <c r="BA567" s="124">
        <f>交易记录!AA625</f>
        <v>0</v>
      </c>
      <c r="BB567" s="30">
        <f t="shared" si="255"/>
        <v>0</v>
      </c>
      <c r="BC567" s="121">
        <f>交易记录!AA658</f>
        <v>0</v>
      </c>
      <c r="BD567" s="121">
        <f>交易记录!AA689</f>
        <v>0</v>
      </c>
      <c r="BE567" s="30">
        <f t="shared" si="256"/>
        <v>0</v>
      </c>
      <c r="BF567" s="124">
        <f>交易记录!AA722</f>
        <v>0</v>
      </c>
      <c r="BG567" s="124">
        <f>交易记录!AA753</f>
        <v>0</v>
      </c>
      <c r="BH567" s="30">
        <f t="shared" si="257"/>
        <v>0</v>
      </c>
      <c r="BI567" s="121">
        <f>交易记录!AA786</f>
        <v>0</v>
      </c>
      <c r="BJ567" s="121">
        <f>交易记录!AA817</f>
        <v>0</v>
      </c>
      <c r="BK567" s="30">
        <f t="shared" si="258"/>
        <v>0</v>
      </c>
      <c r="BL567" s="124">
        <f>交易记录!AA850</f>
        <v>0</v>
      </c>
      <c r="BM567" s="124">
        <f>交易记录!AA881</f>
        <v>0</v>
      </c>
      <c r="BN567" s="30">
        <f t="shared" si="259"/>
        <v>0</v>
      </c>
      <c r="BO567" s="121">
        <f>交易记录!AA914</f>
        <v>0</v>
      </c>
      <c r="BP567" s="121">
        <f>交易记录!AA945</f>
        <v>0</v>
      </c>
      <c r="BQ567" s="30">
        <f t="shared" si="260"/>
        <v>0</v>
      </c>
    </row>
    <row r="568" spans="1:69" ht="15">
      <c r="A568" s="125">
        <f>'维护-日期'!A$26</f>
        <v>46289</v>
      </c>
      <c r="B568" s="7" t="s">
        <v>20</v>
      </c>
      <c r="C568" s="144">
        <f t="shared" si="261"/>
        <v>22.071000000000002</v>
      </c>
      <c r="D568" s="144">
        <f>ROUND(INDEX(持仓数据!$C$3:$AG$26,MATCH('计算过程-数据汇总'!B568,持仓数据!$B$3:$B$26,0),MATCH('计算过程-数据汇总'!A568,'维护-日期'!$B$2:$AF$2,0)),3)</f>
        <v>22.071000000000002</v>
      </c>
      <c r="E568" s="98">
        <f t="shared" si="262"/>
        <v>22.071000000000002</v>
      </c>
      <c r="F568" s="22">
        <f>持仓数据!Z86</f>
        <v>0.34599999999999997</v>
      </c>
      <c r="G568" s="97">
        <v>372</v>
      </c>
      <c r="H568" s="97">
        <v>372</v>
      </c>
      <c r="I568" s="64">
        <v>0</v>
      </c>
      <c r="J568" s="64">
        <v>0</v>
      </c>
      <c r="K568" s="21">
        <f>IF(持仓数据!Z119="",0,持仓数据!Z119)</f>
        <v>372</v>
      </c>
      <c r="L568" s="21">
        <f t="shared" si="263"/>
        <v>0</v>
      </c>
      <c r="M568" s="28">
        <f t="shared" si="247"/>
        <v>8210.4120000000003</v>
      </c>
      <c r="N568" s="28">
        <f t="shared" si="248"/>
        <v>0</v>
      </c>
      <c r="O568" s="28">
        <f t="shared" si="249"/>
        <v>0</v>
      </c>
      <c r="P568" s="28">
        <f t="shared" si="250"/>
        <v>0</v>
      </c>
      <c r="Q568" s="28">
        <f t="shared" si="264"/>
        <v>0</v>
      </c>
      <c r="R568" s="28">
        <f t="shared" si="251"/>
        <v>8210.4120000000003</v>
      </c>
      <c r="S568" s="28">
        <f t="shared" si="265"/>
        <v>0</v>
      </c>
      <c r="T568" s="28">
        <f t="shared" si="266"/>
        <v>0</v>
      </c>
      <c r="U568" s="28">
        <f t="shared" si="269"/>
        <v>0</v>
      </c>
      <c r="V568" s="28">
        <f t="shared" si="267"/>
        <v>0</v>
      </c>
      <c r="W568" s="118"/>
      <c r="X568" s="143">
        <f t="shared" si="268"/>
        <v>26.138999999999999</v>
      </c>
      <c r="Y568" s="121">
        <f>交易记录!AA19</f>
        <v>0.34599999999999997</v>
      </c>
      <c r="Z568" s="121">
        <f>交易记录!AA50</f>
        <v>372</v>
      </c>
      <c r="AA568" s="30">
        <f t="shared" si="252"/>
        <v>0</v>
      </c>
      <c r="AB568" s="124">
        <f>交易记录!AA83</f>
        <v>0</v>
      </c>
      <c r="AC568" s="124">
        <f>交易记录!AA114</f>
        <v>0</v>
      </c>
      <c r="AD568" s="30">
        <f t="shared" si="270"/>
        <v>0</v>
      </c>
      <c r="AE568" s="121">
        <f>交易记录!AA147</f>
        <v>0</v>
      </c>
      <c r="AF568" s="121">
        <f>交易记录!AA178</f>
        <v>0</v>
      </c>
      <c r="AG568" s="30">
        <f t="shared" si="271"/>
        <v>0</v>
      </c>
      <c r="AH568" s="124">
        <f>交易记录!AA211</f>
        <v>0</v>
      </c>
      <c r="AI568" s="124">
        <f>交易记录!AA242</f>
        <v>0</v>
      </c>
      <c r="AJ568" s="30">
        <f t="shared" si="272"/>
        <v>0</v>
      </c>
      <c r="AK568" s="121">
        <f>交易记录!AA275</f>
        <v>0</v>
      </c>
      <c r="AL568" s="121">
        <f>交易记录!AA306</f>
        <v>0</v>
      </c>
      <c r="AM568" s="30">
        <f t="shared" si="273"/>
        <v>0</v>
      </c>
      <c r="AN568" s="124">
        <f>交易记录!AA339</f>
        <v>0</v>
      </c>
      <c r="AO568" s="124">
        <f>交易记录!AA370</f>
        <v>0</v>
      </c>
      <c r="AP568" s="30">
        <f t="shared" si="274"/>
        <v>0</v>
      </c>
      <c r="AQ568" s="121">
        <f>交易记录!AA403</f>
        <v>0</v>
      </c>
      <c r="AR568" s="121">
        <f>交易记录!AA434</f>
        <v>0</v>
      </c>
      <c r="AS568" s="30">
        <f t="shared" si="275"/>
        <v>0</v>
      </c>
      <c r="AT568" s="124">
        <f>交易记录!AA467</f>
        <v>0</v>
      </c>
      <c r="AU568" s="124">
        <f>交易记录!AA498</f>
        <v>0</v>
      </c>
      <c r="AV568" s="30">
        <f t="shared" si="253"/>
        <v>0</v>
      </c>
      <c r="AW568" s="121">
        <f>交易记录!AA531</f>
        <v>0</v>
      </c>
      <c r="AX568" s="121">
        <f>交易记录!AA562</f>
        <v>0</v>
      </c>
      <c r="AY568" s="30">
        <f t="shared" si="254"/>
        <v>0</v>
      </c>
      <c r="AZ568" s="124">
        <f>交易记录!AA595</f>
        <v>0</v>
      </c>
      <c r="BA568" s="124">
        <f>交易记录!AA626</f>
        <v>0</v>
      </c>
      <c r="BB568" s="30">
        <f t="shared" si="255"/>
        <v>0</v>
      </c>
      <c r="BC568" s="121">
        <f>交易记录!AA659</f>
        <v>0</v>
      </c>
      <c r="BD568" s="121">
        <f>交易记录!AA690</f>
        <v>0</v>
      </c>
      <c r="BE568" s="30">
        <f t="shared" si="256"/>
        <v>0</v>
      </c>
      <c r="BF568" s="124">
        <f>交易记录!AA723</f>
        <v>0</v>
      </c>
      <c r="BG568" s="124">
        <f>交易记录!AA754</f>
        <v>0</v>
      </c>
      <c r="BH568" s="30">
        <f t="shared" si="257"/>
        <v>0</v>
      </c>
      <c r="BI568" s="121">
        <f>交易记录!AA787</f>
        <v>0</v>
      </c>
      <c r="BJ568" s="121">
        <f>交易记录!AA818</f>
        <v>0</v>
      </c>
      <c r="BK568" s="30">
        <f t="shared" si="258"/>
        <v>0</v>
      </c>
      <c r="BL568" s="124">
        <f>交易记录!AA851</f>
        <v>0</v>
      </c>
      <c r="BM568" s="124">
        <f>交易记录!AA882</f>
        <v>0</v>
      </c>
      <c r="BN568" s="30">
        <f t="shared" si="259"/>
        <v>0</v>
      </c>
      <c r="BO568" s="121">
        <f>交易记录!AA915</f>
        <v>0</v>
      </c>
      <c r="BP568" s="121">
        <f>交易记录!AA946</f>
        <v>0</v>
      </c>
      <c r="BQ568" s="30">
        <f t="shared" si="260"/>
        <v>0</v>
      </c>
    </row>
    <row r="569" spans="1:69" ht="15">
      <c r="A569" s="125">
        <f>'维护-日期'!A$26</f>
        <v>46289</v>
      </c>
      <c r="B569" s="7" t="s">
        <v>21</v>
      </c>
      <c r="C569" s="144">
        <f t="shared" si="261"/>
        <v>22.087</v>
      </c>
      <c r="D569" s="144">
        <f>ROUND(INDEX(持仓数据!$C$3:$AG$26,MATCH('计算过程-数据汇总'!B569,持仓数据!$B$3:$B$26,0),MATCH('计算过程-数据汇总'!A569,'维护-日期'!$B$2:$AF$2,0)),3)</f>
        <v>22.087</v>
      </c>
      <c r="E569" s="98">
        <f t="shared" si="262"/>
        <v>22.087</v>
      </c>
      <c r="F569" s="22">
        <f>持仓数据!Z87</f>
        <v>0.38</v>
      </c>
      <c r="G569" s="97">
        <v>372</v>
      </c>
      <c r="H569" s="97">
        <v>372</v>
      </c>
      <c r="I569" s="64">
        <v>0</v>
      </c>
      <c r="J569" s="64">
        <v>0</v>
      </c>
      <c r="K569" s="21">
        <f>IF(持仓数据!Z120="",0,持仓数据!Z120)</f>
        <v>372.00000000000006</v>
      </c>
      <c r="L569" s="21">
        <f t="shared" si="263"/>
        <v>0</v>
      </c>
      <c r="M569" s="28">
        <f t="shared" si="247"/>
        <v>8216.3639999999996</v>
      </c>
      <c r="N569" s="28">
        <f t="shared" si="248"/>
        <v>0</v>
      </c>
      <c r="O569" s="28">
        <f t="shared" si="249"/>
        <v>0</v>
      </c>
      <c r="P569" s="28">
        <f t="shared" si="250"/>
        <v>2.1600499167107046E-14</v>
      </c>
      <c r="Q569" s="28">
        <f t="shared" si="264"/>
        <v>0</v>
      </c>
      <c r="R569" s="28">
        <f t="shared" si="251"/>
        <v>8216.3640000000014</v>
      </c>
      <c r="S569" s="28">
        <f t="shared" si="265"/>
        <v>0</v>
      </c>
      <c r="T569" s="28">
        <f t="shared" si="266"/>
        <v>-1.2339000932115596E-12</v>
      </c>
      <c r="U569" s="28">
        <f t="shared" si="269"/>
        <v>0</v>
      </c>
      <c r="V569" s="28">
        <f t="shared" si="267"/>
        <v>0</v>
      </c>
      <c r="W569" s="118"/>
      <c r="X569" s="143">
        <f t="shared" si="268"/>
        <v>26.123999999999999</v>
      </c>
      <c r="Y569" s="121">
        <f>交易记录!AA20</f>
        <v>0.38</v>
      </c>
      <c r="Z569" s="121">
        <f>交易记录!AA51</f>
        <v>372</v>
      </c>
      <c r="AA569" s="30">
        <f t="shared" si="252"/>
        <v>0</v>
      </c>
      <c r="AB569" s="124">
        <f>交易记录!AA84</f>
        <v>0</v>
      </c>
      <c r="AC569" s="124">
        <f>交易记录!AA115</f>
        <v>0</v>
      </c>
      <c r="AD569" s="30">
        <f t="shared" si="270"/>
        <v>0</v>
      </c>
      <c r="AE569" s="121">
        <f>交易记录!AA148</f>
        <v>0</v>
      </c>
      <c r="AF569" s="121">
        <f>交易记录!AA179</f>
        <v>0</v>
      </c>
      <c r="AG569" s="30">
        <f t="shared" si="271"/>
        <v>0</v>
      </c>
      <c r="AH569" s="124">
        <f>交易记录!AA212</f>
        <v>0</v>
      </c>
      <c r="AI569" s="124">
        <f>交易记录!AA243</f>
        <v>0</v>
      </c>
      <c r="AJ569" s="30">
        <f t="shared" si="272"/>
        <v>0</v>
      </c>
      <c r="AK569" s="121">
        <f>交易记录!AA276</f>
        <v>0</v>
      </c>
      <c r="AL569" s="121">
        <f>交易记录!AA307</f>
        <v>0</v>
      </c>
      <c r="AM569" s="30">
        <f t="shared" si="273"/>
        <v>0</v>
      </c>
      <c r="AN569" s="124">
        <f>交易记录!AA340</f>
        <v>0</v>
      </c>
      <c r="AO569" s="124">
        <f>交易记录!AA371</f>
        <v>0</v>
      </c>
      <c r="AP569" s="30">
        <f t="shared" si="274"/>
        <v>0</v>
      </c>
      <c r="AQ569" s="121">
        <f>交易记录!AA404</f>
        <v>0</v>
      </c>
      <c r="AR569" s="121">
        <f>交易记录!AA435</f>
        <v>0</v>
      </c>
      <c r="AS569" s="30">
        <f t="shared" si="275"/>
        <v>0</v>
      </c>
      <c r="AT569" s="124">
        <f>交易记录!AA468</f>
        <v>0</v>
      </c>
      <c r="AU569" s="124">
        <f>交易记录!AA499</f>
        <v>0</v>
      </c>
      <c r="AV569" s="30">
        <f t="shared" si="253"/>
        <v>0</v>
      </c>
      <c r="AW569" s="121">
        <f>交易记录!AA532</f>
        <v>0</v>
      </c>
      <c r="AX569" s="121">
        <f>交易记录!AA563</f>
        <v>0</v>
      </c>
      <c r="AY569" s="30">
        <f t="shared" si="254"/>
        <v>0</v>
      </c>
      <c r="AZ569" s="124">
        <f>交易记录!AA596</f>
        <v>0</v>
      </c>
      <c r="BA569" s="124">
        <f>交易记录!AA627</f>
        <v>0</v>
      </c>
      <c r="BB569" s="30">
        <f t="shared" si="255"/>
        <v>0</v>
      </c>
      <c r="BC569" s="121">
        <f>交易记录!AA660</f>
        <v>0</v>
      </c>
      <c r="BD569" s="121">
        <f>交易记录!AA691</f>
        <v>0</v>
      </c>
      <c r="BE569" s="30">
        <f t="shared" si="256"/>
        <v>0</v>
      </c>
      <c r="BF569" s="124">
        <f>交易记录!AA724</f>
        <v>0</v>
      </c>
      <c r="BG569" s="124">
        <f>交易记录!AA755</f>
        <v>0</v>
      </c>
      <c r="BH569" s="30">
        <f t="shared" si="257"/>
        <v>0</v>
      </c>
      <c r="BI569" s="121">
        <f>交易记录!AA788</f>
        <v>0</v>
      </c>
      <c r="BJ569" s="121">
        <f>交易记录!AA819</f>
        <v>0</v>
      </c>
      <c r="BK569" s="30">
        <f t="shared" si="258"/>
        <v>0</v>
      </c>
      <c r="BL569" s="124">
        <f>交易记录!AA852</f>
        <v>0</v>
      </c>
      <c r="BM569" s="124">
        <f>交易记录!AA883</f>
        <v>0</v>
      </c>
      <c r="BN569" s="30">
        <f t="shared" si="259"/>
        <v>0</v>
      </c>
      <c r="BO569" s="121">
        <f>交易记录!AA916</f>
        <v>0</v>
      </c>
      <c r="BP569" s="121">
        <f>交易记录!AA947</f>
        <v>0</v>
      </c>
      <c r="BQ569" s="30">
        <f t="shared" si="260"/>
        <v>0</v>
      </c>
    </row>
    <row r="570" spans="1:69" ht="15">
      <c r="A570" s="125">
        <f>'维护-日期'!A$26</f>
        <v>46289</v>
      </c>
      <c r="B570" s="7" t="s">
        <v>22</v>
      </c>
      <c r="C570" s="144">
        <f t="shared" si="261"/>
        <v>23.077999999999999</v>
      </c>
      <c r="D570" s="144">
        <f>ROUND(INDEX(持仓数据!$C$3:$AG$26,MATCH('计算过程-数据汇总'!B570,持仓数据!$B$3:$B$26,0),MATCH('计算过程-数据汇总'!A570,'维护-日期'!$B$2:$AF$2,0)),3)</f>
        <v>23.077999999999999</v>
      </c>
      <c r="E570" s="98">
        <f t="shared" si="262"/>
        <v>23.077999999999999</v>
      </c>
      <c r="F570" s="22">
        <f>持仓数据!Z88</f>
        <v>0.58600000000000008</v>
      </c>
      <c r="G570" s="97">
        <v>372</v>
      </c>
      <c r="H570" s="97">
        <v>372</v>
      </c>
      <c r="I570" s="64">
        <v>0</v>
      </c>
      <c r="J570" s="64">
        <v>0</v>
      </c>
      <c r="K570" s="21">
        <f>IF(持仓数据!Z121="",0,持仓数据!Z121)</f>
        <v>372</v>
      </c>
      <c r="L570" s="21">
        <f t="shared" si="263"/>
        <v>0</v>
      </c>
      <c r="M570" s="28">
        <f t="shared" si="247"/>
        <v>8585.0159999999996</v>
      </c>
      <c r="N570" s="28">
        <f t="shared" si="248"/>
        <v>0</v>
      </c>
      <c r="O570" s="28">
        <f t="shared" si="249"/>
        <v>0</v>
      </c>
      <c r="P570" s="28">
        <f t="shared" si="250"/>
        <v>0</v>
      </c>
      <c r="Q570" s="28">
        <f t="shared" si="264"/>
        <v>0</v>
      </c>
      <c r="R570" s="28">
        <f t="shared" si="251"/>
        <v>8585.0159999999996</v>
      </c>
      <c r="S570" s="28">
        <f t="shared" si="265"/>
        <v>0</v>
      </c>
      <c r="T570" s="28">
        <f t="shared" si="266"/>
        <v>0</v>
      </c>
      <c r="U570" s="28">
        <f t="shared" si="269"/>
        <v>0</v>
      </c>
      <c r="V570" s="28">
        <f t="shared" si="267"/>
        <v>0</v>
      </c>
      <c r="W570" s="118"/>
      <c r="X570" s="143">
        <f t="shared" si="268"/>
        <v>27.108000000000001</v>
      </c>
      <c r="Y570" s="121">
        <f>交易记录!AA21</f>
        <v>0.58600000000000008</v>
      </c>
      <c r="Z570" s="121">
        <f>交易记录!AA52</f>
        <v>372</v>
      </c>
      <c r="AA570" s="30">
        <f t="shared" si="252"/>
        <v>0</v>
      </c>
      <c r="AB570" s="124">
        <f>交易记录!AA85</f>
        <v>0</v>
      </c>
      <c r="AC570" s="124">
        <f>交易记录!AA116</f>
        <v>0</v>
      </c>
      <c r="AD570" s="30">
        <f t="shared" si="270"/>
        <v>0</v>
      </c>
      <c r="AE570" s="121">
        <f>交易记录!AA149</f>
        <v>0</v>
      </c>
      <c r="AF570" s="121">
        <f>交易记录!AA180</f>
        <v>0</v>
      </c>
      <c r="AG570" s="30">
        <f t="shared" si="271"/>
        <v>0</v>
      </c>
      <c r="AH570" s="124">
        <f>交易记录!AA213</f>
        <v>0</v>
      </c>
      <c r="AI570" s="124">
        <f>交易记录!AA244</f>
        <v>0</v>
      </c>
      <c r="AJ570" s="30">
        <f t="shared" si="272"/>
        <v>0</v>
      </c>
      <c r="AK570" s="121">
        <f>交易记录!AA277</f>
        <v>0</v>
      </c>
      <c r="AL570" s="121">
        <f>交易记录!AA308</f>
        <v>0</v>
      </c>
      <c r="AM570" s="30">
        <f t="shared" si="273"/>
        <v>0</v>
      </c>
      <c r="AN570" s="124">
        <f>交易记录!AA341</f>
        <v>0</v>
      </c>
      <c r="AO570" s="124">
        <f>交易记录!AA372</f>
        <v>0</v>
      </c>
      <c r="AP570" s="30">
        <f t="shared" si="274"/>
        <v>0</v>
      </c>
      <c r="AQ570" s="121">
        <f>交易记录!AA405</f>
        <v>0</v>
      </c>
      <c r="AR570" s="121">
        <f>交易记录!AA436</f>
        <v>0</v>
      </c>
      <c r="AS570" s="30">
        <f t="shared" si="275"/>
        <v>0</v>
      </c>
      <c r="AT570" s="124">
        <f>交易记录!AA469</f>
        <v>0</v>
      </c>
      <c r="AU570" s="124">
        <f>交易记录!AA500</f>
        <v>0</v>
      </c>
      <c r="AV570" s="30">
        <f t="shared" si="253"/>
        <v>0</v>
      </c>
      <c r="AW570" s="121">
        <f>交易记录!AA533</f>
        <v>0</v>
      </c>
      <c r="AX570" s="121">
        <f>交易记录!AA564</f>
        <v>0</v>
      </c>
      <c r="AY570" s="30">
        <f t="shared" si="254"/>
        <v>0</v>
      </c>
      <c r="AZ570" s="124">
        <f>交易记录!AA597</f>
        <v>0</v>
      </c>
      <c r="BA570" s="124">
        <f>交易记录!AA628</f>
        <v>0</v>
      </c>
      <c r="BB570" s="30">
        <f t="shared" si="255"/>
        <v>0</v>
      </c>
      <c r="BC570" s="121">
        <f>交易记录!AA661</f>
        <v>0</v>
      </c>
      <c r="BD570" s="121">
        <f>交易记录!AA692</f>
        <v>0</v>
      </c>
      <c r="BE570" s="30">
        <f t="shared" si="256"/>
        <v>0</v>
      </c>
      <c r="BF570" s="124">
        <f>交易记录!AA725</f>
        <v>0</v>
      </c>
      <c r="BG570" s="124">
        <f>交易记录!AA756</f>
        <v>0</v>
      </c>
      <c r="BH570" s="30">
        <f t="shared" si="257"/>
        <v>0</v>
      </c>
      <c r="BI570" s="121">
        <f>交易记录!AA789</f>
        <v>0</v>
      </c>
      <c r="BJ570" s="121">
        <f>交易记录!AA820</f>
        <v>0</v>
      </c>
      <c r="BK570" s="30">
        <f t="shared" si="258"/>
        <v>0</v>
      </c>
      <c r="BL570" s="124">
        <f>交易记录!AA853</f>
        <v>0</v>
      </c>
      <c r="BM570" s="124">
        <f>交易记录!AA884</f>
        <v>0</v>
      </c>
      <c r="BN570" s="30">
        <f t="shared" si="259"/>
        <v>0</v>
      </c>
      <c r="BO570" s="121">
        <f>交易记录!AA917</f>
        <v>0</v>
      </c>
      <c r="BP570" s="121">
        <f>交易记录!AA948</f>
        <v>0</v>
      </c>
      <c r="BQ570" s="30">
        <f t="shared" si="260"/>
        <v>0</v>
      </c>
    </row>
    <row r="571" spans="1:69" ht="15">
      <c r="A571" s="125">
        <f>'维护-日期'!A$26</f>
        <v>46289</v>
      </c>
      <c r="B571" s="7" t="s">
        <v>23</v>
      </c>
      <c r="C571" s="144">
        <f t="shared" si="261"/>
        <v>23.443000000000001</v>
      </c>
      <c r="D571" s="144">
        <f>ROUND(INDEX(持仓数据!$C$3:$AG$26,MATCH('计算过程-数据汇总'!B571,持仓数据!$B$3:$B$26,0),MATCH('计算过程-数据汇总'!A571,'维护-日期'!$B$2:$AF$2,0)),3)</f>
        <v>23.443000000000001</v>
      </c>
      <c r="E571" s="98">
        <f t="shared" si="262"/>
        <v>23.443000000000001</v>
      </c>
      <c r="F571" s="22">
        <f>持仓数据!Z89</f>
        <v>0.63300000000000001</v>
      </c>
      <c r="G571" s="97">
        <v>372</v>
      </c>
      <c r="H571" s="97">
        <v>372</v>
      </c>
      <c r="I571" s="64">
        <v>0</v>
      </c>
      <c r="J571" s="64">
        <v>0</v>
      </c>
      <c r="K571" s="21">
        <f>IF(持仓数据!Z122="",0,持仓数据!Z122)</f>
        <v>372</v>
      </c>
      <c r="L571" s="21">
        <f t="shared" si="263"/>
        <v>0</v>
      </c>
      <c r="M571" s="28">
        <f t="shared" si="247"/>
        <v>8720.7960000000003</v>
      </c>
      <c r="N571" s="28">
        <f t="shared" si="248"/>
        <v>0</v>
      </c>
      <c r="O571" s="28">
        <f t="shared" si="249"/>
        <v>0</v>
      </c>
      <c r="P571" s="28">
        <f t="shared" si="250"/>
        <v>0</v>
      </c>
      <c r="Q571" s="28">
        <f t="shared" si="264"/>
        <v>0</v>
      </c>
      <c r="R571" s="28">
        <f t="shared" si="251"/>
        <v>8720.7960000000003</v>
      </c>
      <c r="S571" s="28">
        <f t="shared" si="265"/>
        <v>0</v>
      </c>
      <c r="T571" s="28">
        <f t="shared" si="266"/>
        <v>0</v>
      </c>
      <c r="U571" s="28">
        <f t="shared" si="269"/>
        <v>0</v>
      </c>
      <c r="V571" s="28">
        <f t="shared" si="267"/>
        <v>0</v>
      </c>
      <c r="W571" s="118"/>
      <c r="X571" s="143">
        <f t="shared" si="268"/>
        <v>27.498999999999999</v>
      </c>
      <c r="Y571" s="121">
        <f>交易记录!AA22</f>
        <v>0.63300000000000001</v>
      </c>
      <c r="Z571" s="121">
        <f>交易记录!AA53</f>
        <v>372</v>
      </c>
      <c r="AA571" s="30">
        <f t="shared" si="252"/>
        <v>0</v>
      </c>
      <c r="AB571" s="124">
        <f>交易记录!AA86</f>
        <v>0</v>
      </c>
      <c r="AC571" s="124">
        <f>交易记录!AA117</f>
        <v>0</v>
      </c>
      <c r="AD571" s="30">
        <f t="shared" si="270"/>
        <v>0</v>
      </c>
      <c r="AE571" s="121">
        <f>交易记录!AA150</f>
        <v>0</v>
      </c>
      <c r="AF571" s="121">
        <f>交易记录!AA181</f>
        <v>0</v>
      </c>
      <c r="AG571" s="30">
        <f t="shared" si="271"/>
        <v>0</v>
      </c>
      <c r="AH571" s="124">
        <f>交易记录!AA214</f>
        <v>0</v>
      </c>
      <c r="AI571" s="124">
        <f>交易记录!AA245</f>
        <v>0</v>
      </c>
      <c r="AJ571" s="30">
        <f t="shared" si="272"/>
        <v>0</v>
      </c>
      <c r="AK571" s="121">
        <f>交易记录!AA278</f>
        <v>0</v>
      </c>
      <c r="AL571" s="121">
        <f>交易记录!AA309</f>
        <v>0</v>
      </c>
      <c r="AM571" s="30">
        <f t="shared" si="273"/>
        <v>0</v>
      </c>
      <c r="AN571" s="124">
        <f>交易记录!AA342</f>
        <v>0</v>
      </c>
      <c r="AO571" s="124">
        <f>交易记录!AA373</f>
        <v>0</v>
      </c>
      <c r="AP571" s="30">
        <f t="shared" si="274"/>
        <v>0</v>
      </c>
      <c r="AQ571" s="121">
        <f>交易记录!AA406</f>
        <v>0</v>
      </c>
      <c r="AR571" s="121">
        <f>交易记录!AA437</f>
        <v>0</v>
      </c>
      <c r="AS571" s="30">
        <f t="shared" si="275"/>
        <v>0</v>
      </c>
      <c r="AT571" s="124">
        <f>交易记录!AA470</f>
        <v>0</v>
      </c>
      <c r="AU571" s="124">
        <f>交易记录!AA501</f>
        <v>0</v>
      </c>
      <c r="AV571" s="30">
        <f t="shared" si="253"/>
        <v>0</v>
      </c>
      <c r="AW571" s="121">
        <f>交易记录!AA534</f>
        <v>0</v>
      </c>
      <c r="AX571" s="121">
        <f>交易记录!AA565</f>
        <v>0</v>
      </c>
      <c r="AY571" s="30">
        <f t="shared" si="254"/>
        <v>0</v>
      </c>
      <c r="AZ571" s="124">
        <f>交易记录!AA598</f>
        <v>0</v>
      </c>
      <c r="BA571" s="124">
        <f>交易记录!AA629</f>
        <v>0</v>
      </c>
      <c r="BB571" s="30">
        <f t="shared" si="255"/>
        <v>0</v>
      </c>
      <c r="BC571" s="121">
        <f>交易记录!AA662</f>
        <v>0</v>
      </c>
      <c r="BD571" s="121">
        <f>交易记录!AA693</f>
        <v>0</v>
      </c>
      <c r="BE571" s="30">
        <f t="shared" si="256"/>
        <v>0</v>
      </c>
      <c r="BF571" s="124">
        <f>交易记录!AA726</f>
        <v>0</v>
      </c>
      <c r="BG571" s="124">
        <f>交易记录!AA757</f>
        <v>0</v>
      </c>
      <c r="BH571" s="30">
        <f t="shared" si="257"/>
        <v>0</v>
      </c>
      <c r="BI571" s="121">
        <f>交易记录!AA790</f>
        <v>0</v>
      </c>
      <c r="BJ571" s="121">
        <f>交易记录!AA821</f>
        <v>0</v>
      </c>
      <c r="BK571" s="30">
        <f t="shared" si="258"/>
        <v>0</v>
      </c>
      <c r="BL571" s="124">
        <f>交易记录!AA854</f>
        <v>0</v>
      </c>
      <c r="BM571" s="124">
        <f>交易记录!AA885</f>
        <v>0</v>
      </c>
      <c r="BN571" s="30">
        <f t="shared" si="259"/>
        <v>0</v>
      </c>
      <c r="BO571" s="121">
        <f>交易记录!AA918</f>
        <v>0</v>
      </c>
      <c r="BP571" s="121">
        <f>交易记录!AA949</f>
        <v>0</v>
      </c>
      <c r="BQ571" s="30">
        <f t="shared" si="260"/>
        <v>0</v>
      </c>
    </row>
    <row r="572" spans="1:69" ht="15">
      <c r="A572" s="125">
        <f>'维护-日期'!A$26</f>
        <v>46289</v>
      </c>
      <c r="B572" s="7" t="s">
        <v>24</v>
      </c>
      <c r="C572" s="144">
        <f t="shared" si="261"/>
        <v>23.85</v>
      </c>
      <c r="D572" s="144">
        <f>ROUND(INDEX(持仓数据!$C$3:$AG$26,MATCH('计算过程-数据汇总'!B572,持仓数据!$B$3:$B$26,0),MATCH('计算过程-数据汇总'!A572,'维护-日期'!$B$2:$AF$2,0)),3)</f>
        <v>23.85</v>
      </c>
      <c r="E572" s="98">
        <f t="shared" si="262"/>
        <v>23.85</v>
      </c>
      <c r="F572" s="22">
        <f>持仓数据!Z90</f>
        <v>0.45400000000000001</v>
      </c>
      <c r="G572" s="97">
        <v>372</v>
      </c>
      <c r="H572" s="97">
        <v>372</v>
      </c>
      <c r="I572" s="64">
        <v>0</v>
      </c>
      <c r="J572" s="64">
        <v>0</v>
      </c>
      <c r="K572" s="21">
        <f>IF(持仓数据!Z123="",0,持仓数据!Z123)</f>
        <v>372</v>
      </c>
      <c r="L572" s="21">
        <f t="shared" si="263"/>
        <v>0</v>
      </c>
      <c r="M572" s="28">
        <f t="shared" si="247"/>
        <v>8872.2000000000007</v>
      </c>
      <c r="N572" s="28">
        <f t="shared" si="248"/>
        <v>0</v>
      </c>
      <c r="O572" s="28">
        <f t="shared" si="249"/>
        <v>0</v>
      </c>
      <c r="P572" s="28">
        <f t="shared" si="250"/>
        <v>0</v>
      </c>
      <c r="Q572" s="28">
        <f t="shared" si="264"/>
        <v>0</v>
      </c>
      <c r="R572" s="28">
        <f t="shared" si="251"/>
        <v>8872.2000000000007</v>
      </c>
      <c r="S572" s="28">
        <f t="shared" si="265"/>
        <v>0</v>
      </c>
      <c r="T572" s="28">
        <f t="shared" si="266"/>
        <v>0</v>
      </c>
      <c r="U572" s="28">
        <f t="shared" si="269"/>
        <v>0</v>
      </c>
      <c r="V572" s="28">
        <f t="shared" si="267"/>
        <v>0</v>
      </c>
      <c r="W572" s="118"/>
      <c r="X572" s="143">
        <f t="shared" si="268"/>
        <v>28.166</v>
      </c>
      <c r="Y572" s="121">
        <f>交易记录!AA23</f>
        <v>0.45400000000000001</v>
      </c>
      <c r="Z572" s="121">
        <f>交易记录!AA54</f>
        <v>372</v>
      </c>
      <c r="AA572" s="30">
        <f t="shared" si="252"/>
        <v>0</v>
      </c>
      <c r="AB572" s="124">
        <f>交易记录!AA87</f>
        <v>0</v>
      </c>
      <c r="AC572" s="124">
        <f>交易记录!AA118</f>
        <v>0</v>
      </c>
      <c r="AD572" s="30">
        <f t="shared" si="270"/>
        <v>0</v>
      </c>
      <c r="AE572" s="121">
        <f>交易记录!AA151</f>
        <v>0</v>
      </c>
      <c r="AF572" s="121">
        <f>交易记录!AA182</f>
        <v>0</v>
      </c>
      <c r="AG572" s="30">
        <f t="shared" si="271"/>
        <v>0</v>
      </c>
      <c r="AH572" s="124">
        <f>交易记录!AA215</f>
        <v>0</v>
      </c>
      <c r="AI572" s="124">
        <f>交易记录!AA246</f>
        <v>0</v>
      </c>
      <c r="AJ572" s="30">
        <f t="shared" si="272"/>
        <v>0</v>
      </c>
      <c r="AK572" s="121">
        <f>交易记录!AA279</f>
        <v>0</v>
      </c>
      <c r="AL572" s="121">
        <f>交易记录!AA310</f>
        <v>0</v>
      </c>
      <c r="AM572" s="30">
        <f t="shared" si="273"/>
        <v>0</v>
      </c>
      <c r="AN572" s="124">
        <f>交易记录!AA343</f>
        <v>0</v>
      </c>
      <c r="AO572" s="124">
        <f>交易记录!AA374</f>
        <v>0</v>
      </c>
      <c r="AP572" s="30">
        <f t="shared" si="274"/>
        <v>0</v>
      </c>
      <c r="AQ572" s="121">
        <f>交易记录!AA407</f>
        <v>0</v>
      </c>
      <c r="AR572" s="121">
        <f>交易记录!AA438</f>
        <v>0</v>
      </c>
      <c r="AS572" s="30">
        <f t="shared" si="275"/>
        <v>0</v>
      </c>
      <c r="AT572" s="124">
        <f>交易记录!AA471</f>
        <v>0</v>
      </c>
      <c r="AU572" s="124">
        <f>交易记录!AA502</f>
        <v>0</v>
      </c>
      <c r="AV572" s="30">
        <f t="shared" si="253"/>
        <v>0</v>
      </c>
      <c r="AW572" s="121">
        <f>交易记录!AA535</f>
        <v>0</v>
      </c>
      <c r="AX572" s="121">
        <f>交易记录!AA566</f>
        <v>0</v>
      </c>
      <c r="AY572" s="30">
        <f t="shared" si="254"/>
        <v>0</v>
      </c>
      <c r="AZ572" s="124">
        <f>交易记录!AA599</f>
        <v>0</v>
      </c>
      <c r="BA572" s="124">
        <f>交易记录!AA630</f>
        <v>0</v>
      </c>
      <c r="BB572" s="30">
        <f t="shared" si="255"/>
        <v>0</v>
      </c>
      <c r="BC572" s="121">
        <f>交易记录!AA663</f>
        <v>0</v>
      </c>
      <c r="BD572" s="121">
        <f>交易记录!AA694</f>
        <v>0</v>
      </c>
      <c r="BE572" s="30">
        <f t="shared" si="256"/>
        <v>0</v>
      </c>
      <c r="BF572" s="124">
        <f>交易记录!AA727</f>
        <v>0</v>
      </c>
      <c r="BG572" s="124">
        <f>交易记录!AA758</f>
        <v>0</v>
      </c>
      <c r="BH572" s="30">
        <f t="shared" si="257"/>
        <v>0</v>
      </c>
      <c r="BI572" s="121">
        <f>交易记录!AA791</f>
        <v>0</v>
      </c>
      <c r="BJ572" s="121">
        <f>交易记录!AA822</f>
        <v>0</v>
      </c>
      <c r="BK572" s="30">
        <f t="shared" si="258"/>
        <v>0</v>
      </c>
      <c r="BL572" s="124">
        <f>交易记录!AA855</f>
        <v>0</v>
      </c>
      <c r="BM572" s="124">
        <f>交易记录!AA886</f>
        <v>0</v>
      </c>
      <c r="BN572" s="30">
        <f t="shared" si="259"/>
        <v>0</v>
      </c>
      <c r="BO572" s="121">
        <f>交易记录!AA919</f>
        <v>0</v>
      </c>
      <c r="BP572" s="121">
        <f>交易记录!AA950</f>
        <v>0</v>
      </c>
      <c r="BQ572" s="30">
        <f t="shared" si="260"/>
        <v>0</v>
      </c>
    </row>
    <row r="573" spans="1:69" ht="15">
      <c r="A573" s="125">
        <f>'维护-日期'!A$26</f>
        <v>46289</v>
      </c>
      <c r="B573" s="7" t="s">
        <v>25</v>
      </c>
      <c r="C573" s="144">
        <f t="shared" si="261"/>
        <v>24.105</v>
      </c>
      <c r="D573" s="144">
        <f>ROUND(INDEX(持仓数据!$C$3:$AG$26,MATCH('计算过程-数据汇总'!B573,持仓数据!$B$3:$B$26,0),MATCH('计算过程-数据汇总'!A573,'维护-日期'!$B$2:$AF$2,0)),3)</f>
        <v>24.105</v>
      </c>
      <c r="E573" s="98">
        <f t="shared" si="262"/>
        <v>24.105</v>
      </c>
      <c r="F573" s="22">
        <f>持仓数据!Z91</f>
        <v>1.1160000000000001</v>
      </c>
      <c r="G573" s="97">
        <v>372</v>
      </c>
      <c r="H573" s="97">
        <v>372</v>
      </c>
      <c r="I573" s="64">
        <v>0</v>
      </c>
      <c r="J573" s="64">
        <v>0</v>
      </c>
      <c r="K573" s="21">
        <f>IF(持仓数据!Z124="",0,持仓数据!Z124)</f>
        <v>372</v>
      </c>
      <c r="L573" s="21">
        <f t="shared" si="263"/>
        <v>0</v>
      </c>
      <c r="M573" s="28">
        <f t="shared" si="247"/>
        <v>8967.06</v>
      </c>
      <c r="N573" s="28">
        <f t="shared" si="248"/>
        <v>0</v>
      </c>
      <c r="O573" s="28">
        <f t="shared" si="249"/>
        <v>0</v>
      </c>
      <c r="P573" s="28">
        <f t="shared" si="250"/>
        <v>0</v>
      </c>
      <c r="Q573" s="28">
        <f t="shared" si="264"/>
        <v>0</v>
      </c>
      <c r="R573" s="28">
        <f t="shared" si="251"/>
        <v>8967.06</v>
      </c>
      <c r="S573" s="28">
        <f t="shared" si="265"/>
        <v>0</v>
      </c>
      <c r="T573" s="28">
        <f t="shared" si="266"/>
        <v>0</v>
      </c>
      <c r="U573" s="28">
        <f t="shared" si="269"/>
        <v>0</v>
      </c>
      <c r="V573" s="28">
        <f t="shared" si="267"/>
        <v>0</v>
      </c>
      <c r="W573" s="118"/>
      <c r="X573" s="143">
        <f t="shared" si="268"/>
        <v>27.81</v>
      </c>
      <c r="Y573" s="121">
        <f>交易记录!AA24</f>
        <v>1.1160000000000001</v>
      </c>
      <c r="Z573" s="121">
        <f>交易记录!AA55</f>
        <v>372</v>
      </c>
      <c r="AA573" s="30">
        <f t="shared" si="252"/>
        <v>0</v>
      </c>
      <c r="AB573" s="124">
        <f>交易记录!AA88</f>
        <v>0</v>
      </c>
      <c r="AC573" s="124">
        <f>交易记录!AA119</f>
        <v>0</v>
      </c>
      <c r="AD573" s="30">
        <f t="shared" si="270"/>
        <v>0</v>
      </c>
      <c r="AE573" s="121">
        <f>交易记录!AA152</f>
        <v>0</v>
      </c>
      <c r="AF573" s="121">
        <f>交易记录!AA183</f>
        <v>0</v>
      </c>
      <c r="AG573" s="30">
        <f t="shared" si="271"/>
        <v>0</v>
      </c>
      <c r="AH573" s="124">
        <f>交易记录!AA216</f>
        <v>0</v>
      </c>
      <c r="AI573" s="124">
        <f>交易记录!AA247</f>
        <v>0</v>
      </c>
      <c r="AJ573" s="30">
        <f t="shared" si="272"/>
        <v>0</v>
      </c>
      <c r="AK573" s="121">
        <f>交易记录!AA280</f>
        <v>0</v>
      </c>
      <c r="AL573" s="121">
        <f>交易记录!AA311</f>
        <v>0</v>
      </c>
      <c r="AM573" s="30">
        <f t="shared" si="273"/>
        <v>0</v>
      </c>
      <c r="AN573" s="124">
        <f>交易记录!AA344</f>
        <v>0</v>
      </c>
      <c r="AO573" s="124">
        <f>交易记录!AA375</f>
        <v>0</v>
      </c>
      <c r="AP573" s="30">
        <f t="shared" si="274"/>
        <v>0</v>
      </c>
      <c r="AQ573" s="121">
        <f>交易记录!AA408</f>
        <v>0</v>
      </c>
      <c r="AR573" s="121">
        <f>交易记录!AA439</f>
        <v>0</v>
      </c>
      <c r="AS573" s="30">
        <f t="shared" si="275"/>
        <v>0</v>
      </c>
      <c r="AT573" s="124">
        <f>交易记录!AA472</f>
        <v>0</v>
      </c>
      <c r="AU573" s="124">
        <f>交易记录!AA503</f>
        <v>0</v>
      </c>
      <c r="AV573" s="30">
        <f t="shared" si="253"/>
        <v>0</v>
      </c>
      <c r="AW573" s="121">
        <f>交易记录!AA536</f>
        <v>0</v>
      </c>
      <c r="AX573" s="121">
        <f>交易记录!AA567</f>
        <v>0</v>
      </c>
      <c r="AY573" s="30">
        <f t="shared" si="254"/>
        <v>0</v>
      </c>
      <c r="AZ573" s="124">
        <f>交易记录!AA600</f>
        <v>0</v>
      </c>
      <c r="BA573" s="124">
        <f>交易记录!AA631</f>
        <v>0</v>
      </c>
      <c r="BB573" s="30">
        <f t="shared" si="255"/>
        <v>0</v>
      </c>
      <c r="BC573" s="121">
        <f>交易记录!AA664</f>
        <v>0</v>
      </c>
      <c r="BD573" s="121">
        <f>交易记录!AA695</f>
        <v>0</v>
      </c>
      <c r="BE573" s="30">
        <f t="shared" si="256"/>
        <v>0</v>
      </c>
      <c r="BF573" s="124">
        <f>交易记录!AA728</f>
        <v>0</v>
      </c>
      <c r="BG573" s="124">
        <f>交易记录!AA759</f>
        <v>0</v>
      </c>
      <c r="BH573" s="30">
        <f t="shared" si="257"/>
        <v>0</v>
      </c>
      <c r="BI573" s="121">
        <f>交易记录!AA792</f>
        <v>0</v>
      </c>
      <c r="BJ573" s="121">
        <f>交易记录!AA823</f>
        <v>0</v>
      </c>
      <c r="BK573" s="30">
        <f t="shared" si="258"/>
        <v>0</v>
      </c>
      <c r="BL573" s="124">
        <f>交易记录!AA856</f>
        <v>0</v>
      </c>
      <c r="BM573" s="124">
        <f>交易记录!AA887</f>
        <v>0</v>
      </c>
      <c r="BN573" s="30">
        <f t="shared" si="259"/>
        <v>0</v>
      </c>
      <c r="BO573" s="121">
        <f>交易记录!AA920</f>
        <v>0</v>
      </c>
      <c r="BP573" s="121">
        <f>交易记录!AA951</f>
        <v>0</v>
      </c>
      <c r="BQ573" s="30">
        <f t="shared" si="260"/>
        <v>0</v>
      </c>
    </row>
    <row r="574" spans="1:69" ht="15">
      <c r="A574" s="125">
        <f>'维护-日期'!A$26</f>
        <v>46289</v>
      </c>
      <c r="B574" s="7" t="s">
        <v>26</v>
      </c>
      <c r="C574" s="144">
        <f t="shared" si="261"/>
        <v>24.047999999999998</v>
      </c>
      <c r="D574" s="144">
        <f>ROUND(INDEX(持仓数据!$C$3:$AG$26,MATCH('计算过程-数据汇总'!B574,持仓数据!$B$3:$B$26,0),MATCH('计算过程-数据汇总'!A574,'维护-日期'!$B$2:$AF$2,0)),3)</f>
        <v>24.047999999999998</v>
      </c>
      <c r="E574" s="98">
        <f t="shared" si="262"/>
        <v>24.047999999999998</v>
      </c>
      <c r="F574" s="22">
        <f>持仓数据!Z92</f>
        <v>1</v>
      </c>
      <c r="G574" s="97">
        <v>372</v>
      </c>
      <c r="H574" s="97">
        <v>372</v>
      </c>
      <c r="I574" s="64">
        <v>0</v>
      </c>
      <c r="J574" s="64">
        <v>0</v>
      </c>
      <c r="K574" s="21">
        <f>IF(持仓数据!Z125="",0,持仓数据!Z125)</f>
        <v>372</v>
      </c>
      <c r="L574" s="21">
        <f t="shared" si="263"/>
        <v>0</v>
      </c>
      <c r="M574" s="28">
        <f t="shared" si="247"/>
        <v>8945.8559999999998</v>
      </c>
      <c r="N574" s="28">
        <f t="shared" si="248"/>
        <v>0</v>
      </c>
      <c r="O574" s="28">
        <f t="shared" si="249"/>
        <v>0</v>
      </c>
      <c r="P574" s="28">
        <f t="shared" si="250"/>
        <v>0</v>
      </c>
      <c r="Q574" s="28">
        <f t="shared" si="264"/>
        <v>0</v>
      </c>
      <c r="R574" s="28">
        <f t="shared" si="251"/>
        <v>8945.8559999999998</v>
      </c>
      <c r="S574" s="28">
        <f t="shared" si="265"/>
        <v>0</v>
      </c>
      <c r="T574" s="28">
        <f t="shared" si="266"/>
        <v>0</v>
      </c>
      <c r="U574" s="28">
        <f t="shared" si="269"/>
        <v>0</v>
      </c>
      <c r="V574" s="28">
        <f t="shared" si="267"/>
        <v>0</v>
      </c>
      <c r="W574" s="118"/>
      <c r="X574" s="143">
        <f t="shared" si="268"/>
        <v>27.858000000000001</v>
      </c>
      <c r="Y574" s="121">
        <f>交易记录!AA25</f>
        <v>1</v>
      </c>
      <c r="Z574" s="121">
        <f>交易记录!AA56</f>
        <v>372</v>
      </c>
      <c r="AA574" s="30">
        <f t="shared" si="252"/>
        <v>0</v>
      </c>
      <c r="AB574" s="124">
        <f>交易记录!AA89</f>
        <v>0</v>
      </c>
      <c r="AC574" s="124">
        <f>交易记录!AA120</f>
        <v>0</v>
      </c>
      <c r="AD574" s="30">
        <f t="shared" si="270"/>
        <v>0</v>
      </c>
      <c r="AE574" s="121">
        <f>交易记录!AA153</f>
        <v>0</v>
      </c>
      <c r="AF574" s="121">
        <f>交易记录!AA184</f>
        <v>0</v>
      </c>
      <c r="AG574" s="30">
        <f t="shared" si="271"/>
        <v>0</v>
      </c>
      <c r="AH574" s="124">
        <f>交易记录!AA217</f>
        <v>0</v>
      </c>
      <c r="AI574" s="124">
        <f>交易记录!AA248</f>
        <v>0</v>
      </c>
      <c r="AJ574" s="30">
        <f t="shared" si="272"/>
        <v>0</v>
      </c>
      <c r="AK574" s="121">
        <f>交易记录!AA281</f>
        <v>0</v>
      </c>
      <c r="AL574" s="121">
        <f>交易记录!AA312</f>
        <v>0</v>
      </c>
      <c r="AM574" s="30">
        <f t="shared" si="273"/>
        <v>0</v>
      </c>
      <c r="AN574" s="124">
        <f>交易记录!AA345</f>
        <v>0</v>
      </c>
      <c r="AO574" s="124">
        <f>交易记录!AA376</f>
        <v>0</v>
      </c>
      <c r="AP574" s="30">
        <f t="shared" si="274"/>
        <v>0</v>
      </c>
      <c r="AQ574" s="121">
        <f>交易记录!AA409</f>
        <v>0</v>
      </c>
      <c r="AR574" s="121">
        <f>交易记录!AA440</f>
        <v>0</v>
      </c>
      <c r="AS574" s="30">
        <f t="shared" si="275"/>
        <v>0</v>
      </c>
      <c r="AT574" s="124">
        <f>交易记录!AA473</f>
        <v>0</v>
      </c>
      <c r="AU574" s="124">
        <f>交易记录!AA504</f>
        <v>0</v>
      </c>
      <c r="AV574" s="30">
        <f t="shared" si="253"/>
        <v>0</v>
      </c>
      <c r="AW574" s="121">
        <f>交易记录!AA537</f>
        <v>0</v>
      </c>
      <c r="AX574" s="121">
        <f>交易记录!AA568</f>
        <v>0</v>
      </c>
      <c r="AY574" s="30">
        <f t="shared" si="254"/>
        <v>0</v>
      </c>
      <c r="AZ574" s="124">
        <f>交易记录!AA601</f>
        <v>0</v>
      </c>
      <c r="BA574" s="124">
        <f>交易记录!AA632</f>
        <v>0</v>
      </c>
      <c r="BB574" s="30">
        <f t="shared" si="255"/>
        <v>0</v>
      </c>
      <c r="BC574" s="121">
        <f>交易记录!AA665</f>
        <v>0</v>
      </c>
      <c r="BD574" s="121">
        <f>交易记录!AA696</f>
        <v>0</v>
      </c>
      <c r="BE574" s="30">
        <f t="shared" si="256"/>
        <v>0</v>
      </c>
      <c r="BF574" s="124">
        <f>交易记录!AA729</f>
        <v>0</v>
      </c>
      <c r="BG574" s="124">
        <f>交易记录!AA760</f>
        <v>0</v>
      </c>
      <c r="BH574" s="30">
        <f t="shared" si="257"/>
        <v>0</v>
      </c>
      <c r="BI574" s="121">
        <f>交易记录!AA793</f>
        <v>0</v>
      </c>
      <c r="BJ574" s="121">
        <f>交易记录!AA824</f>
        <v>0</v>
      </c>
      <c r="BK574" s="30">
        <f t="shared" si="258"/>
        <v>0</v>
      </c>
      <c r="BL574" s="124">
        <f>交易记录!AA857</f>
        <v>0</v>
      </c>
      <c r="BM574" s="124">
        <f>交易记录!AA888</f>
        <v>0</v>
      </c>
      <c r="BN574" s="30">
        <f t="shared" si="259"/>
        <v>0</v>
      </c>
      <c r="BO574" s="121">
        <f>交易记录!AA921</f>
        <v>0</v>
      </c>
      <c r="BP574" s="121">
        <f>交易记录!AA952</f>
        <v>0</v>
      </c>
      <c r="BQ574" s="30">
        <f t="shared" si="260"/>
        <v>0</v>
      </c>
    </row>
    <row r="575" spans="1:69" ht="15">
      <c r="A575" s="125">
        <f>'维护-日期'!A$26</f>
        <v>46289</v>
      </c>
      <c r="B575" s="7" t="s">
        <v>27</v>
      </c>
      <c r="C575" s="144">
        <f t="shared" si="261"/>
        <v>22.594000000000001</v>
      </c>
      <c r="D575" s="144">
        <f>ROUND(INDEX(持仓数据!$C$3:$AG$26,MATCH('计算过程-数据汇总'!B575,持仓数据!$B$3:$B$26,0),MATCH('计算过程-数据汇总'!A575,'维护-日期'!$B$2:$AF$2,0)),3)</f>
        <v>22.594000000000001</v>
      </c>
      <c r="E575" s="98">
        <f t="shared" si="262"/>
        <v>22.594000000000001</v>
      </c>
      <c r="F575" s="22">
        <f>持仓数据!Z93</f>
        <v>0.95199999999999996</v>
      </c>
      <c r="G575" s="97">
        <v>372</v>
      </c>
      <c r="H575" s="97">
        <v>372</v>
      </c>
      <c r="I575" s="64">
        <v>0</v>
      </c>
      <c r="J575" s="64">
        <v>0</v>
      </c>
      <c r="K575" s="21">
        <f>IF(持仓数据!Z126="",0,持仓数据!Z126)</f>
        <v>372</v>
      </c>
      <c r="L575" s="21">
        <f t="shared" si="263"/>
        <v>0</v>
      </c>
      <c r="M575" s="28">
        <f t="shared" si="247"/>
        <v>8404.9680000000008</v>
      </c>
      <c r="N575" s="28">
        <f t="shared" si="248"/>
        <v>0</v>
      </c>
      <c r="O575" s="28">
        <f t="shared" si="249"/>
        <v>0</v>
      </c>
      <c r="P575" s="28">
        <f t="shared" si="250"/>
        <v>0</v>
      </c>
      <c r="Q575" s="28">
        <f t="shared" si="264"/>
        <v>0</v>
      </c>
      <c r="R575" s="28">
        <f t="shared" si="251"/>
        <v>8404.9680000000008</v>
      </c>
      <c r="S575" s="28">
        <f t="shared" si="265"/>
        <v>0</v>
      </c>
      <c r="T575" s="28">
        <f t="shared" si="266"/>
        <v>0</v>
      </c>
      <c r="U575" s="28">
        <f t="shared" si="269"/>
        <v>0</v>
      </c>
      <c r="V575" s="28">
        <f t="shared" si="267"/>
        <v>0</v>
      </c>
      <c r="W575" s="118"/>
      <c r="X575" s="143">
        <f t="shared" si="268"/>
        <v>26.161000000000001</v>
      </c>
      <c r="Y575" s="121">
        <f>交易记录!AA26</f>
        <v>0.95199999999999996</v>
      </c>
      <c r="Z575" s="121">
        <f>交易记录!AA57</f>
        <v>372</v>
      </c>
      <c r="AA575" s="30">
        <f t="shared" si="252"/>
        <v>0</v>
      </c>
      <c r="AB575" s="124">
        <f>交易记录!AA90</f>
        <v>0</v>
      </c>
      <c r="AC575" s="124">
        <f>交易记录!AA121</f>
        <v>0</v>
      </c>
      <c r="AD575" s="30">
        <f t="shared" si="270"/>
        <v>0</v>
      </c>
      <c r="AE575" s="121">
        <f>交易记录!AA154</f>
        <v>0</v>
      </c>
      <c r="AF575" s="121">
        <f>交易记录!AA185</f>
        <v>0</v>
      </c>
      <c r="AG575" s="30">
        <f t="shared" si="271"/>
        <v>0</v>
      </c>
      <c r="AH575" s="124">
        <f>交易记录!AA218</f>
        <v>0</v>
      </c>
      <c r="AI575" s="124">
        <f>交易记录!AA249</f>
        <v>0</v>
      </c>
      <c r="AJ575" s="30">
        <f t="shared" si="272"/>
        <v>0</v>
      </c>
      <c r="AK575" s="121">
        <f>交易记录!AA282</f>
        <v>0</v>
      </c>
      <c r="AL575" s="121">
        <f>交易记录!AA313</f>
        <v>0</v>
      </c>
      <c r="AM575" s="30">
        <f t="shared" si="273"/>
        <v>0</v>
      </c>
      <c r="AN575" s="124">
        <f>交易记录!AA346</f>
        <v>0</v>
      </c>
      <c r="AO575" s="124">
        <f>交易记录!AA377</f>
        <v>0</v>
      </c>
      <c r="AP575" s="30">
        <f t="shared" si="274"/>
        <v>0</v>
      </c>
      <c r="AQ575" s="121">
        <f>交易记录!AA410</f>
        <v>0</v>
      </c>
      <c r="AR575" s="121">
        <f>交易记录!AA441</f>
        <v>0</v>
      </c>
      <c r="AS575" s="30">
        <f t="shared" si="275"/>
        <v>0</v>
      </c>
      <c r="AT575" s="124">
        <f>交易记录!AA474</f>
        <v>0</v>
      </c>
      <c r="AU575" s="124">
        <f>交易记录!AA505</f>
        <v>0</v>
      </c>
      <c r="AV575" s="30">
        <f t="shared" si="253"/>
        <v>0</v>
      </c>
      <c r="AW575" s="121">
        <f>交易记录!AA538</f>
        <v>0</v>
      </c>
      <c r="AX575" s="121">
        <f>交易记录!AA569</f>
        <v>0</v>
      </c>
      <c r="AY575" s="30">
        <f t="shared" si="254"/>
        <v>0</v>
      </c>
      <c r="AZ575" s="124">
        <f>交易记录!AA602</f>
        <v>0</v>
      </c>
      <c r="BA575" s="124">
        <f>交易记录!AA633</f>
        <v>0</v>
      </c>
      <c r="BB575" s="30">
        <f t="shared" si="255"/>
        <v>0</v>
      </c>
      <c r="BC575" s="121">
        <f>交易记录!AA666</f>
        <v>0</v>
      </c>
      <c r="BD575" s="121">
        <f>交易记录!AA697</f>
        <v>0</v>
      </c>
      <c r="BE575" s="30">
        <f t="shared" si="256"/>
        <v>0</v>
      </c>
      <c r="BF575" s="124">
        <f>交易记录!AA730</f>
        <v>0</v>
      </c>
      <c r="BG575" s="124">
        <f>交易记录!AA761</f>
        <v>0</v>
      </c>
      <c r="BH575" s="30">
        <f t="shared" si="257"/>
        <v>0</v>
      </c>
      <c r="BI575" s="121">
        <f>交易记录!AA794</f>
        <v>0</v>
      </c>
      <c r="BJ575" s="121">
        <f>交易记录!AA825</f>
        <v>0</v>
      </c>
      <c r="BK575" s="30">
        <f t="shared" si="258"/>
        <v>0</v>
      </c>
      <c r="BL575" s="124">
        <f>交易记录!AA858</f>
        <v>0</v>
      </c>
      <c r="BM575" s="124">
        <f>交易记录!AA889</f>
        <v>0</v>
      </c>
      <c r="BN575" s="30">
        <f t="shared" si="259"/>
        <v>0</v>
      </c>
      <c r="BO575" s="121">
        <f>交易记录!AA922</f>
        <v>0</v>
      </c>
      <c r="BP575" s="121">
        <f>交易记录!AA953</f>
        <v>0</v>
      </c>
      <c r="BQ575" s="30">
        <f t="shared" si="260"/>
        <v>0</v>
      </c>
    </row>
    <row r="576" spans="1:69" ht="15">
      <c r="A576" s="125">
        <f>'维护-日期'!A$26</f>
        <v>46289</v>
      </c>
      <c r="B576" s="7" t="s">
        <v>28</v>
      </c>
      <c r="C576" s="144">
        <f t="shared" si="261"/>
        <v>19.387</v>
      </c>
      <c r="D576" s="144">
        <f>ROUND(INDEX(持仓数据!$C$3:$AG$26,MATCH('计算过程-数据汇总'!B576,持仓数据!$B$3:$B$26,0),MATCH('计算过程-数据汇总'!A576,'维护-日期'!$B$2:$AF$2,0)),3)</f>
        <v>19.387</v>
      </c>
      <c r="E576" s="98">
        <f t="shared" si="262"/>
        <v>19.387</v>
      </c>
      <c r="F576" s="22">
        <f>持仓数据!Z94</f>
        <v>0.84300000000000008</v>
      </c>
      <c r="G576" s="97">
        <v>372</v>
      </c>
      <c r="H576" s="97">
        <v>372</v>
      </c>
      <c r="I576" s="64">
        <v>0</v>
      </c>
      <c r="J576" s="64">
        <v>0</v>
      </c>
      <c r="K576" s="21">
        <f>IF(持仓数据!Z127="",0,持仓数据!Z127)</f>
        <v>371.99999999999994</v>
      </c>
      <c r="L576" s="21">
        <f t="shared" si="263"/>
        <v>0</v>
      </c>
      <c r="M576" s="28">
        <f t="shared" si="247"/>
        <v>7211.9639999999999</v>
      </c>
      <c r="N576" s="28">
        <f t="shared" si="248"/>
        <v>0</v>
      </c>
      <c r="O576" s="28">
        <f t="shared" si="249"/>
        <v>0</v>
      </c>
      <c r="P576" s="28">
        <f t="shared" si="250"/>
        <v>-4.7919002099661161E-14</v>
      </c>
      <c r="Q576" s="28">
        <f t="shared" si="264"/>
        <v>0</v>
      </c>
      <c r="R576" s="28">
        <f t="shared" si="251"/>
        <v>7211.963999999999</v>
      </c>
      <c r="S576" s="28">
        <f t="shared" si="265"/>
        <v>0</v>
      </c>
      <c r="T576" s="28">
        <f t="shared" si="266"/>
        <v>1.0541043593548239E-12</v>
      </c>
      <c r="U576" s="28">
        <f t="shared" si="269"/>
        <v>0</v>
      </c>
      <c r="V576" s="28">
        <f t="shared" si="267"/>
        <v>0</v>
      </c>
      <c r="W576" s="118"/>
      <c r="X576" s="143">
        <f t="shared" si="268"/>
        <v>22.420999999999999</v>
      </c>
      <c r="Y576" s="121">
        <f>交易记录!AA27</f>
        <v>0.84300000000000008</v>
      </c>
      <c r="Z576" s="121">
        <f>交易记录!AA58</f>
        <v>372</v>
      </c>
      <c r="AA576" s="30">
        <f t="shared" si="252"/>
        <v>0</v>
      </c>
      <c r="AB576" s="124">
        <f>交易记录!AA91</f>
        <v>0</v>
      </c>
      <c r="AC576" s="124">
        <f>交易记录!AA122</f>
        <v>0</v>
      </c>
      <c r="AD576" s="30">
        <f t="shared" si="270"/>
        <v>0</v>
      </c>
      <c r="AE576" s="121">
        <f>交易记录!AA155</f>
        <v>0</v>
      </c>
      <c r="AF576" s="121">
        <f>交易记录!AA186</f>
        <v>0</v>
      </c>
      <c r="AG576" s="30">
        <f t="shared" si="271"/>
        <v>0</v>
      </c>
      <c r="AH576" s="124">
        <f>交易记录!AA219</f>
        <v>0</v>
      </c>
      <c r="AI576" s="124">
        <f>交易记录!AA250</f>
        <v>0</v>
      </c>
      <c r="AJ576" s="30">
        <f t="shared" si="272"/>
        <v>0</v>
      </c>
      <c r="AK576" s="121">
        <f>交易记录!AA283</f>
        <v>0</v>
      </c>
      <c r="AL576" s="121">
        <f>交易记录!AA314</f>
        <v>0</v>
      </c>
      <c r="AM576" s="30">
        <f t="shared" si="273"/>
        <v>0</v>
      </c>
      <c r="AN576" s="124">
        <f>交易记录!AA347</f>
        <v>0</v>
      </c>
      <c r="AO576" s="124">
        <f>交易记录!AA378</f>
        <v>0</v>
      </c>
      <c r="AP576" s="30">
        <f t="shared" si="274"/>
        <v>0</v>
      </c>
      <c r="AQ576" s="121">
        <f>交易记录!AA411</f>
        <v>0</v>
      </c>
      <c r="AR576" s="121">
        <f>交易记录!AA442</f>
        <v>0</v>
      </c>
      <c r="AS576" s="30">
        <f t="shared" si="275"/>
        <v>0</v>
      </c>
      <c r="AT576" s="124">
        <f>交易记录!AA475</f>
        <v>0</v>
      </c>
      <c r="AU576" s="124">
        <f>交易记录!AA506</f>
        <v>0</v>
      </c>
      <c r="AV576" s="30">
        <f t="shared" si="253"/>
        <v>0</v>
      </c>
      <c r="AW576" s="121">
        <f>交易记录!AA539</f>
        <v>0</v>
      </c>
      <c r="AX576" s="121">
        <f>交易记录!AA570</f>
        <v>0</v>
      </c>
      <c r="AY576" s="30">
        <f t="shared" si="254"/>
        <v>0</v>
      </c>
      <c r="AZ576" s="124">
        <f>交易记录!AA603</f>
        <v>0</v>
      </c>
      <c r="BA576" s="124">
        <f>交易记录!AA634</f>
        <v>0</v>
      </c>
      <c r="BB576" s="30">
        <f t="shared" si="255"/>
        <v>0</v>
      </c>
      <c r="BC576" s="121">
        <f>交易记录!AA667</f>
        <v>0</v>
      </c>
      <c r="BD576" s="121">
        <f>交易记录!AA698</f>
        <v>0</v>
      </c>
      <c r="BE576" s="30">
        <f t="shared" si="256"/>
        <v>0</v>
      </c>
      <c r="BF576" s="124">
        <f>交易记录!AA731</f>
        <v>0</v>
      </c>
      <c r="BG576" s="124">
        <f>交易记录!AA762</f>
        <v>0</v>
      </c>
      <c r="BH576" s="30">
        <f t="shared" si="257"/>
        <v>0</v>
      </c>
      <c r="BI576" s="121">
        <f>交易记录!AA795</f>
        <v>0</v>
      </c>
      <c r="BJ576" s="121">
        <f>交易记录!AA826</f>
        <v>0</v>
      </c>
      <c r="BK576" s="30">
        <f t="shared" si="258"/>
        <v>0</v>
      </c>
      <c r="BL576" s="124">
        <f>交易记录!AA859</f>
        <v>0</v>
      </c>
      <c r="BM576" s="124">
        <f>交易记录!AA890</f>
        <v>0</v>
      </c>
      <c r="BN576" s="30">
        <f t="shared" si="259"/>
        <v>0</v>
      </c>
      <c r="BO576" s="121">
        <f>交易记录!AA923</f>
        <v>0</v>
      </c>
      <c r="BP576" s="121">
        <f>交易记录!AA954</f>
        <v>0</v>
      </c>
      <c r="BQ576" s="30">
        <f t="shared" si="260"/>
        <v>0</v>
      </c>
    </row>
    <row r="577" spans="1:69" ht="15">
      <c r="A577" s="125">
        <f>'维护-日期'!A$26</f>
        <v>46289</v>
      </c>
      <c r="B577" s="7" t="s">
        <v>29</v>
      </c>
      <c r="C577" s="144">
        <f t="shared" si="261"/>
        <v>16.963000000000001</v>
      </c>
      <c r="D577" s="144">
        <f>ROUND(INDEX(持仓数据!$C$3:$AG$26,MATCH('计算过程-数据汇总'!B577,持仓数据!$B$3:$B$26,0),MATCH('计算过程-数据汇总'!A577,'维护-日期'!$B$2:$AF$2,0)),3)</f>
        <v>16.963000000000001</v>
      </c>
      <c r="E577" s="98">
        <f t="shared" si="262"/>
        <v>16.963000000000001</v>
      </c>
      <c r="F577" s="22">
        <f>持仓数据!Z95</f>
        <v>0.33299999999999996</v>
      </c>
      <c r="G577" s="97">
        <v>372</v>
      </c>
      <c r="H577" s="97">
        <v>372</v>
      </c>
      <c r="I577" s="64">
        <v>0</v>
      </c>
      <c r="J577" s="64">
        <v>0</v>
      </c>
      <c r="K577" s="21">
        <f>IF(持仓数据!Z128="",0,持仓数据!Z128)</f>
        <v>372</v>
      </c>
      <c r="L577" s="21">
        <f t="shared" si="263"/>
        <v>0</v>
      </c>
      <c r="M577" s="28">
        <f t="shared" si="247"/>
        <v>6310.2360000000008</v>
      </c>
      <c r="N577" s="28">
        <f t="shared" si="248"/>
        <v>0</v>
      </c>
      <c r="O577" s="28">
        <f t="shared" si="249"/>
        <v>0</v>
      </c>
      <c r="P577" s="28">
        <f t="shared" si="250"/>
        <v>0</v>
      </c>
      <c r="Q577" s="28">
        <f t="shared" si="264"/>
        <v>0</v>
      </c>
      <c r="R577" s="28">
        <f t="shared" si="251"/>
        <v>6310.2360000000008</v>
      </c>
      <c r="S577" s="28">
        <f t="shared" si="265"/>
        <v>0</v>
      </c>
      <c r="T577" s="28">
        <f t="shared" si="266"/>
        <v>0</v>
      </c>
      <c r="U577" s="28">
        <f t="shared" si="269"/>
        <v>0</v>
      </c>
      <c r="V577" s="28">
        <f t="shared" si="267"/>
        <v>0</v>
      </c>
      <c r="W577" s="118"/>
      <c r="X577" s="143">
        <f t="shared" si="268"/>
        <v>20.023</v>
      </c>
      <c r="Y577" s="121">
        <f>交易记录!AA28</f>
        <v>0.33299999999999996</v>
      </c>
      <c r="Z577" s="121">
        <f>交易记录!AA59</f>
        <v>372</v>
      </c>
      <c r="AA577" s="30">
        <f t="shared" si="252"/>
        <v>0</v>
      </c>
      <c r="AB577" s="124">
        <f>交易记录!AA92</f>
        <v>0</v>
      </c>
      <c r="AC577" s="124">
        <f>交易记录!AA123</f>
        <v>0</v>
      </c>
      <c r="AD577" s="30">
        <f t="shared" si="270"/>
        <v>0</v>
      </c>
      <c r="AE577" s="121">
        <f>交易记录!AA156</f>
        <v>0</v>
      </c>
      <c r="AF577" s="121">
        <f>交易记录!AA187</f>
        <v>0</v>
      </c>
      <c r="AG577" s="30">
        <f t="shared" si="271"/>
        <v>0</v>
      </c>
      <c r="AH577" s="124">
        <f>交易记录!AA220</f>
        <v>0</v>
      </c>
      <c r="AI577" s="124">
        <f>交易记录!AA251</f>
        <v>0</v>
      </c>
      <c r="AJ577" s="30">
        <f t="shared" si="272"/>
        <v>0</v>
      </c>
      <c r="AK577" s="121">
        <f>交易记录!AA284</f>
        <v>0</v>
      </c>
      <c r="AL577" s="121">
        <f>交易记录!AA315</f>
        <v>0</v>
      </c>
      <c r="AM577" s="30">
        <f t="shared" si="273"/>
        <v>0</v>
      </c>
      <c r="AN577" s="124">
        <f>交易记录!AA348</f>
        <v>0</v>
      </c>
      <c r="AO577" s="124">
        <f>交易记录!AA379</f>
        <v>0</v>
      </c>
      <c r="AP577" s="30">
        <f t="shared" si="274"/>
        <v>0</v>
      </c>
      <c r="AQ577" s="121">
        <f>交易记录!AA412</f>
        <v>0</v>
      </c>
      <c r="AR577" s="121">
        <f>交易记录!AA443</f>
        <v>0</v>
      </c>
      <c r="AS577" s="30">
        <f t="shared" si="275"/>
        <v>0</v>
      </c>
      <c r="AT577" s="124">
        <f>交易记录!AA476</f>
        <v>0</v>
      </c>
      <c r="AU577" s="124">
        <f>交易记录!AA507</f>
        <v>0</v>
      </c>
      <c r="AV577" s="30">
        <f t="shared" si="253"/>
        <v>0</v>
      </c>
      <c r="AW577" s="121">
        <f>交易记录!AA540</f>
        <v>0</v>
      </c>
      <c r="AX577" s="121">
        <f>交易记录!AA571</f>
        <v>0</v>
      </c>
      <c r="AY577" s="30">
        <f t="shared" si="254"/>
        <v>0</v>
      </c>
      <c r="AZ577" s="124">
        <f>交易记录!AA604</f>
        <v>0</v>
      </c>
      <c r="BA577" s="124">
        <f>交易记录!AA635</f>
        <v>0</v>
      </c>
      <c r="BB577" s="30">
        <f t="shared" si="255"/>
        <v>0</v>
      </c>
      <c r="BC577" s="121">
        <f>交易记录!AA668</f>
        <v>0</v>
      </c>
      <c r="BD577" s="121">
        <f>交易记录!AA699</f>
        <v>0</v>
      </c>
      <c r="BE577" s="30">
        <f t="shared" si="256"/>
        <v>0</v>
      </c>
      <c r="BF577" s="124">
        <f>交易记录!AA732</f>
        <v>0</v>
      </c>
      <c r="BG577" s="124">
        <f>交易记录!AA763</f>
        <v>0</v>
      </c>
      <c r="BH577" s="30">
        <f t="shared" si="257"/>
        <v>0</v>
      </c>
      <c r="BI577" s="121">
        <f>交易记录!AA796</f>
        <v>0</v>
      </c>
      <c r="BJ577" s="121">
        <f>交易记录!AA827</f>
        <v>0</v>
      </c>
      <c r="BK577" s="30">
        <f t="shared" si="258"/>
        <v>0</v>
      </c>
      <c r="BL577" s="124">
        <f>交易记录!AA860</f>
        <v>0</v>
      </c>
      <c r="BM577" s="124">
        <f>交易记录!AA891</f>
        <v>0</v>
      </c>
      <c r="BN577" s="30">
        <f t="shared" si="259"/>
        <v>0</v>
      </c>
      <c r="BO577" s="121">
        <f>交易记录!AA924</f>
        <v>0</v>
      </c>
      <c r="BP577" s="121">
        <f>交易记录!AA955</f>
        <v>0</v>
      </c>
      <c r="BQ577" s="30">
        <f t="shared" si="260"/>
        <v>0</v>
      </c>
    </row>
    <row r="578" spans="1:69" ht="15">
      <c r="A578" s="125">
        <f>'维护-日期'!A$27</f>
        <v>46290</v>
      </c>
      <c r="B578" s="7" t="s">
        <v>6</v>
      </c>
      <c r="C578" s="144">
        <f t="shared" si="261"/>
        <v>16.655999999999999</v>
      </c>
      <c r="D578" s="144">
        <f>ROUND(INDEX(持仓数据!$C$3:$AG$26,MATCH('计算过程-数据汇总'!B578,持仓数据!$B$3:$B$26,0),MATCH('计算过程-数据汇总'!A578,'维护-日期'!$B$2:$AF$2,0)),3)</f>
        <v>16.655999999999999</v>
      </c>
      <c r="E578" s="98">
        <f t="shared" si="262"/>
        <v>16.655999999999999</v>
      </c>
      <c r="F578" s="22">
        <f>持仓数据!AA72</f>
        <v>0.39700000000000002</v>
      </c>
      <c r="G578" s="97">
        <v>372</v>
      </c>
      <c r="H578" s="97">
        <v>372</v>
      </c>
      <c r="I578" s="64">
        <v>0</v>
      </c>
      <c r="J578" s="64">
        <v>0</v>
      </c>
      <c r="K578" s="21">
        <f>IF(持仓数据!AA105="",0,持仓数据!AA105)</f>
        <v>372</v>
      </c>
      <c r="L578" s="21">
        <f t="shared" si="263"/>
        <v>0</v>
      </c>
      <c r="M578" s="28">
        <f t="shared" ref="M578:M641" si="276">IFERROR(C578*G578,0)</f>
        <v>6196.0319999999992</v>
      </c>
      <c r="N578" s="28">
        <f t="shared" ref="N578:N641" si="277">IFERROR((D578-C578)*(G578-H578),0)</f>
        <v>0</v>
      </c>
      <c r="O578" s="28">
        <f t="shared" ref="O578:O641" si="278">IFERROR((E578-D578)*(G578-H578),0)</f>
        <v>0</v>
      </c>
      <c r="P578" s="28">
        <f t="shared" ref="P578:P641" si="279">IFERROR(F578*(K578-G578),0)</f>
        <v>0</v>
      </c>
      <c r="Q578" s="28">
        <f t="shared" si="264"/>
        <v>0</v>
      </c>
      <c r="R578" s="28">
        <f t="shared" ref="R578:R641" si="280">IFERROR(K578*C578,0)</f>
        <v>6196.0319999999992</v>
      </c>
      <c r="S578" s="28">
        <f t="shared" si="265"/>
        <v>0</v>
      </c>
      <c r="T578" s="28">
        <f t="shared" si="266"/>
        <v>0</v>
      </c>
      <c r="U578" s="28">
        <f t="shared" si="269"/>
        <v>0</v>
      </c>
      <c r="V578" s="28">
        <f t="shared" si="267"/>
        <v>0</v>
      </c>
      <c r="W578" s="118"/>
      <c r="X578" s="143">
        <f t="shared" si="268"/>
        <v>19.59</v>
      </c>
      <c r="Y578" s="121">
        <f>交易记录!AB5</f>
        <v>0.39700000000000002</v>
      </c>
      <c r="Z578" s="121">
        <f>交易记录!AB36</f>
        <v>372</v>
      </c>
      <c r="AA578" s="30">
        <f t="shared" ref="AA578:AA641" si="281">IFERROR((Z578-G578)*Y578,0)</f>
        <v>0</v>
      </c>
      <c r="AB578" s="124">
        <f>交易记录!AB69</f>
        <v>0</v>
      </c>
      <c r="AC578" s="124">
        <f>交易记录!AB100</f>
        <v>0</v>
      </c>
      <c r="AD578" s="30">
        <f t="shared" si="270"/>
        <v>0</v>
      </c>
      <c r="AE578" s="121">
        <f>交易记录!AB133</f>
        <v>0</v>
      </c>
      <c r="AF578" s="121">
        <f>交易记录!AB164</f>
        <v>0</v>
      </c>
      <c r="AG578" s="30">
        <f t="shared" si="271"/>
        <v>0</v>
      </c>
      <c r="AH578" s="124">
        <f>交易记录!AB197</f>
        <v>0</v>
      </c>
      <c r="AI578" s="124">
        <f>交易记录!AB228</f>
        <v>0</v>
      </c>
      <c r="AJ578" s="30">
        <f t="shared" si="272"/>
        <v>0</v>
      </c>
      <c r="AK578" s="121">
        <f>交易记录!AB261</f>
        <v>0</v>
      </c>
      <c r="AL578" s="121">
        <f>交易记录!AB292</f>
        <v>0</v>
      </c>
      <c r="AM578" s="30">
        <f t="shared" si="273"/>
        <v>0</v>
      </c>
      <c r="AN578" s="124">
        <f>交易记录!AB325</f>
        <v>0</v>
      </c>
      <c r="AO578" s="124">
        <f>交易记录!AB356</f>
        <v>0</v>
      </c>
      <c r="AP578" s="30">
        <f t="shared" si="274"/>
        <v>0</v>
      </c>
      <c r="AQ578" s="121">
        <f>交易记录!AB389</f>
        <v>0</v>
      </c>
      <c r="AR578" s="121">
        <f>交易记录!AB420</f>
        <v>0</v>
      </c>
      <c r="AS578" s="30">
        <f t="shared" si="275"/>
        <v>0</v>
      </c>
      <c r="AT578" s="124">
        <f>交易记录!AB453</f>
        <v>0</v>
      </c>
      <c r="AU578" s="124">
        <f>交易记录!AB484</f>
        <v>0</v>
      </c>
      <c r="AV578" s="30">
        <f t="shared" ref="AV578:AV641" si="282">IFERROR((AU578-$G578)*AT578,0)</f>
        <v>0</v>
      </c>
      <c r="AW578" s="121">
        <f>交易记录!AB517</f>
        <v>0</v>
      </c>
      <c r="AX578" s="121">
        <f>交易记录!AB548</f>
        <v>0</v>
      </c>
      <c r="AY578" s="30">
        <f t="shared" ref="AY578:AY641" si="283">IFERROR((AX578-$G578)*AW578,0)</f>
        <v>0</v>
      </c>
      <c r="AZ578" s="124">
        <f>交易记录!AB581</f>
        <v>0</v>
      </c>
      <c r="BA578" s="124">
        <f>交易记录!AB612</f>
        <v>0</v>
      </c>
      <c r="BB578" s="30">
        <f t="shared" ref="BB578:BB641" si="284">IFERROR((BA578-$G578)*AZ578,0)</f>
        <v>0</v>
      </c>
      <c r="BC578" s="121">
        <f>交易记录!AB645</f>
        <v>0</v>
      </c>
      <c r="BD578" s="121">
        <f>交易记录!AB676</f>
        <v>0</v>
      </c>
      <c r="BE578" s="30">
        <f t="shared" ref="BE578:BE641" si="285">IFERROR((BD578-$G578)*BC578,0)</f>
        <v>0</v>
      </c>
      <c r="BF578" s="124">
        <f>交易记录!AB709</f>
        <v>0</v>
      </c>
      <c r="BG578" s="124">
        <f>交易记录!AB740</f>
        <v>0</v>
      </c>
      <c r="BH578" s="30">
        <f t="shared" ref="BH578:BH641" si="286">IFERROR((BG578-$G578)*BF578,0)</f>
        <v>0</v>
      </c>
      <c r="BI578" s="121">
        <f>交易记录!AB773</f>
        <v>0</v>
      </c>
      <c r="BJ578" s="121">
        <f>交易记录!AB804</f>
        <v>0</v>
      </c>
      <c r="BK578" s="30">
        <f t="shared" ref="BK578:BK641" si="287">IFERROR((BJ578-$G578)*BI578,0)</f>
        <v>0</v>
      </c>
      <c r="BL578" s="124">
        <f>交易记录!AB837</f>
        <v>0</v>
      </c>
      <c r="BM578" s="124">
        <f>交易记录!AB868</f>
        <v>0</v>
      </c>
      <c r="BN578" s="30">
        <f t="shared" ref="BN578:BN641" si="288">IFERROR((BM578-$G578)*BL578,0)</f>
        <v>0</v>
      </c>
      <c r="BO578" s="121">
        <f>交易记录!AB901</f>
        <v>0</v>
      </c>
      <c r="BP578" s="121">
        <f>交易记录!AB932</f>
        <v>0</v>
      </c>
      <c r="BQ578" s="30">
        <f t="shared" ref="BQ578:BQ641" si="289">IFERROR((BP578-$G578)*BO578,0)</f>
        <v>0</v>
      </c>
    </row>
    <row r="579" spans="1:69" ht="15">
      <c r="A579" s="125">
        <f>'维护-日期'!A$27</f>
        <v>46290</v>
      </c>
      <c r="B579" s="7" t="s">
        <v>7</v>
      </c>
      <c r="C579" s="144">
        <f t="shared" ref="C579:C642" si="290">D579</f>
        <v>15.792</v>
      </c>
      <c r="D579" s="144">
        <f>ROUND(INDEX(持仓数据!$C$3:$AG$26,MATCH('计算过程-数据汇总'!B579,持仓数据!$B$3:$B$26,0),MATCH('计算过程-数据汇总'!A579,'维护-日期'!$B$2:$AF$2,0)),3)</f>
        <v>15.792</v>
      </c>
      <c r="E579" s="98">
        <f t="shared" ref="E579:E642" si="291">D579*1</f>
        <v>15.792</v>
      </c>
      <c r="F579" s="22">
        <f>持仓数据!AA73</f>
        <v>0.26500000000000001</v>
      </c>
      <c r="G579" s="97">
        <v>372</v>
      </c>
      <c r="H579" s="97">
        <v>372</v>
      </c>
      <c r="I579" s="64">
        <v>0</v>
      </c>
      <c r="J579" s="64">
        <v>0</v>
      </c>
      <c r="K579" s="21">
        <f>IF(持仓数据!AA106="",0,持仓数据!AA106)</f>
        <v>372</v>
      </c>
      <c r="L579" s="21">
        <f t="shared" ref="L579:L642" si="292">I579*J579</f>
        <v>0</v>
      </c>
      <c r="M579" s="28">
        <f t="shared" si="276"/>
        <v>5874.6239999999998</v>
      </c>
      <c r="N579" s="28">
        <f t="shared" si="277"/>
        <v>0</v>
      </c>
      <c r="O579" s="28">
        <f t="shared" si="278"/>
        <v>0</v>
      </c>
      <c r="P579" s="28">
        <f t="shared" si="279"/>
        <v>0</v>
      </c>
      <c r="Q579" s="28">
        <f t="shared" ref="Q579:Q642" si="293">IFERROR(IF(ABS((E579-C579)/C579)&gt;0.2,IF(SUM(N579:O579)&lt;0,ABS(G579-H579)*(ABS(C579-E579)-C579*0.2),0),0),IF(SUM(N579:O579)&lt;0,ABS(G579-H579)*(ABS(C579-E579)-C579*0.2),0))</f>
        <v>0</v>
      </c>
      <c r="R579" s="28">
        <f t="shared" si="280"/>
        <v>5874.6239999999998</v>
      </c>
      <c r="S579" s="28">
        <f t="shared" ref="S579:S642" si="294">IFERROR((D579-E579)*(K579-G579),0)</f>
        <v>0</v>
      </c>
      <c r="T579" s="28">
        <f t="shared" ref="T579:T642" si="295">IFERROR((F579-D579)*(K579-G579),0)</f>
        <v>0</v>
      </c>
      <c r="U579" s="28">
        <f t="shared" si="269"/>
        <v>0</v>
      </c>
      <c r="V579" s="28">
        <f t="shared" ref="V579:V642" si="296">IFERROR((E579-D579)*(K579-H579),0)</f>
        <v>0</v>
      </c>
      <c r="W579" s="118"/>
      <c r="X579" s="143">
        <f t="shared" ref="X579:X642" si="297">ROUND(D579*1.2-SUM(Y579,AB579,AE579,AH579,AK579,AN579,AQ579,AT579,AW579,AZ579,BC579,BF579,BI579,BL579,BO579),3)</f>
        <v>18.684999999999999</v>
      </c>
      <c r="Y579" s="121">
        <f>交易记录!AB6</f>
        <v>0.26500000000000001</v>
      </c>
      <c r="Z579" s="121">
        <f>交易记录!AB37</f>
        <v>372</v>
      </c>
      <c r="AA579" s="30">
        <f t="shared" si="281"/>
        <v>0</v>
      </c>
      <c r="AB579" s="124">
        <f>交易记录!AB70</f>
        <v>0</v>
      </c>
      <c r="AC579" s="124">
        <f>交易记录!AB101</f>
        <v>0</v>
      </c>
      <c r="AD579" s="30">
        <f t="shared" si="270"/>
        <v>0</v>
      </c>
      <c r="AE579" s="121">
        <f>交易记录!AB134</f>
        <v>0</v>
      </c>
      <c r="AF579" s="121">
        <f>交易记录!AB165</f>
        <v>0</v>
      </c>
      <c r="AG579" s="30">
        <f t="shared" si="271"/>
        <v>0</v>
      </c>
      <c r="AH579" s="124">
        <f>交易记录!AB198</f>
        <v>0</v>
      </c>
      <c r="AI579" s="124">
        <f>交易记录!AB229</f>
        <v>0</v>
      </c>
      <c r="AJ579" s="30">
        <f t="shared" si="272"/>
        <v>0</v>
      </c>
      <c r="AK579" s="121">
        <f>交易记录!AB262</f>
        <v>0</v>
      </c>
      <c r="AL579" s="121">
        <f>交易记录!AB293</f>
        <v>0</v>
      </c>
      <c r="AM579" s="30">
        <f t="shared" si="273"/>
        <v>0</v>
      </c>
      <c r="AN579" s="124">
        <f>交易记录!AB326</f>
        <v>0</v>
      </c>
      <c r="AO579" s="124">
        <f>交易记录!AB357</f>
        <v>0</v>
      </c>
      <c r="AP579" s="30">
        <f t="shared" si="274"/>
        <v>0</v>
      </c>
      <c r="AQ579" s="121">
        <f>交易记录!AB390</f>
        <v>0</v>
      </c>
      <c r="AR579" s="121">
        <f>交易记录!AB421</f>
        <v>0</v>
      </c>
      <c r="AS579" s="30">
        <f t="shared" si="275"/>
        <v>0</v>
      </c>
      <c r="AT579" s="124">
        <f>交易记录!AB454</f>
        <v>0</v>
      </c>
      <c r="AU579" s="124">
        <f>交易记录!AB485</f>
        <v>0</v>
      </c>
      <c r="AV579" s="30">
        <f t="shared" si="282"/>
        <v>0</v>
      </c>
      <c r="AW579" s="121">
        <f>交易记录!AB518</f>
        <v>0</v>
      </c>
      <c r="AX579" s="121">
        <f>交易记录!AB549</f>
        <v>0</v>
      </c>
      <c r="AY579" s="30">
        <f t="shared" si="283"/>
        <v>0</v>
      </c>
      <c r="AZ579" s="124">
        <f>交易记录!AB582</f>
        <v>0</v>
      </c>
      <c r="BA579" s="124">
        <f>交易记录!AB613</f>
        <v>0</v>
      </c>
      <c r="BB579" s="30">
        <f t="shared" si="284"/>
        <v>0</v>
      </c>
      <c r="BC579" s="121">
        <f>交易记录!AB646</f>
        <v>0</v>
      </c>
      <c r="BD579" s="121">
        <f>交易记录!AB677</f>
        <v>0</v>
      </c>
      <c r="BE579" s="30">
        <f t="shared" si="285"/>
        <v>0</v>
      </c>
      <c r="BF579" s="124">
        <f>交易记录!AB710</f>
        <v>0</v>
      </c>
      <c r="BG579" s="124">
        <f>交易记录!AB741</f>
        <v>0</v>
      </c>
      <c r="BH579" s="30">
        <f t="shared" si="286"/>
        <v>0</v>
      </c>
      <c r="BI579" s="121">
        <f>交易记录!AB774</f>
        <v>0</v>
      </c>
      <c r="BJ579" s="121">
        <f>交易记录!AB805</f>
        <v>0</v>
      </c>
      <c r="BK579" s="30">
        <f t="shared" si="287"/>
        <v>0</v>
      </c>
      <c r="BL579" s="124">
        <f>交易记录!AB838</f>
        <v>0</v>
      </c>
      <c r="BM579" s="124">
        <f>交易记录!AB869</f>
        <v>0</v>
      </c>
      <c r="BN579" s="30">
        <f t="shared" si="288"/>
        <v>0</v>
      </c>
      <c r="BO579" s="121">
        <f>交易记录!AB902</f>
        <v>0</v>
      </c>
      <c r="BP579" s="121">
        <f>交易记录!AB933</f>
        <v>0</v>
      </c>
      <c r="BQ579" s="30">
        <f t="shared" si="289"/>
        <v>0</v>
      </c>
    </row>
    <row r="580" spans="1:69" ht="15">
      <c r="A580" s="125">
        <f>'维护-日期'!A$27</f>
        <v>46290</v>
      </c>
      <c r="B580" s="7" t="s">
        <v>8</v>
      </c>
      <c r="C580" s="144">
        <f t="shared" si="290"/>
        <v>14.821999999999999</v>
      </c>
      <c r="D580" s="144">
        <f>ROUND(INDEX(持仓数据!$C$3:$AG$26,MATCH('计算过程-数据汇总'!B580,持仓数据!$B$3:$B$26,0),MATCH('计算过程-数据汇总'!A580,'维护-日期'!$B$2:$AF$2,0)),3)</f>
        <v>14.821999999999999</v>
      </c>
      <c r="E580" s="98">
        <f t="shared" si="291"/>
        <v>14.821999999999999</v>
      </c>
      <c r="F580" s="22">
        <f>持仓数据!AA74</f>
        <v>0.24199999999999999</v>
      </c>
      <c r="G580" s="97">
        <v>372</v>
      </c>
      <c r="H580" s="97">
        <v>372</v>
      </c>
      <c r="I580" s="64">
        <v>0</v>
      </c>
      <c r="J580" s="64">
        <v>0</v>
      </c>
      <c r="K580" s="21">
        <f>IF(持仓数据!AA107="",0,持仓数据!AA107)</f>
        <v>372</v>
      </c>
      <c r="L580" s="21">
        <f t="shared" si="292"/>
        <v>0</v>
      </c>
      <c r="M580" s="28">
        <f t="shared" si="276"/>
        <v>5513.7839999999997</v>
      </c>
      <c r="N580" s="28">
        <f t="shared" si="277"/>
        <v>0</v>
      </c>
      <c r="O580" s="28">
        <f t="shared" si="278"/>
        <v>0</v>
      </c>
      <c r="P580" s="28">
        <f t="shared" si="279"/>
        <v>0</v>
      </c>
      <c r="Q580" s="28">
        <f t="shared" si="293"/>
        <v>0</v>
      </c>
      <c r="R580" s="28">
        <f t="shared" si="280"/>
        <v>5513.7839999999997</v>
      </c>
      <c r="S580" s="28">
        <f t="shared" si="294"/>
        <v>0</v>
      </c>
      <c r="T580" s="28">
        <f t="shared" si="295"/>
        <v>0</v>
      </c>
      <c r="U580" s="28">
        <f t="shared" ref="U580:U643" si="298">IFERROR((D580-C580)*(K580-H580),0)</f>
        <v>0</v>
      </c>
      <c r="V580" s="28">
        <f t="shared" si="296"/>
        <v>0</v>
      </c>
      <c r="W580" s="118"/>
      <c r="X580" s="143">
        <f t="shared" si="297"/>
        <v>17.544</v>
      </c>
      <c r="Y580" s="121">
        <f>交易记录!AB7</f>
        <v>0.24199999999999999</v>
      </c>
      <c r="Z580" s="121">
        <f>交易记录!AB38</f>
        <v>372</v>
      </c>
      <c r="AA580" s="30">
        <f t="shared" si="281"/>
        <v>0</v>
      </c>
      <c r="AB580" s="124">
        <f>交易记录!AB71</f>
        <v>0</v>
      </c>
      <c r="AC580" s="124">
        <f>交易记录!AB102</f>
        <v>0</v>
      </c>
      <c r="AD580" s="30">
        <f t="shared" si="270"/>
        <v>0</v>
      </c>
      <c r="AE580" s="121">
        <f>交易记录!AB135</f>
        <v>0</v>
      </c>
      <c r="AF580" s="121">
        <f>交易记录!AB166</f>
        <v>0</v>
      </c>
      <c r="AG580" s="30">
        <f t="shared" si="271"/>
        <v>0</v>
      </c>
      <c r="AH580" s="124">
        <f>交易记录!AB199</f>
        <v>0</v>
      </c>
      <c r="AI580" s="124">
        <f>交易记录!AB230</f>
        <v>0</v>
      </c>
      <c r="AJ580" s="30">
        <f t="shared" si="272"/>
        <v>0</v>
      </c>
      <c r="AK580" s="121">
        <f>交易记录!AB263</f>
        <v>0</v>
      </c>
      <c r="AL580" s="121">
        <f>交易记录!AB294</f>
        <v>0</v>
      </c>
      <c r="AM580" s="30">
        <f t="shared" si="273"/>
        <v>0</v>
      </c>
      <c r="AN580" s="124">
        <f>交易记录!AB327</f>
        <v>0</v>
      </c>
      <c r="AO580" s="124">
        <f>交易记录!AB358</f>
        <v>0</v>
      </c>
      <c r="AP580" s="30">
        <f t="shared" si="274"/>
        <v>0</v>
      </c>
      <c r="AQ580" s="121">
        <f>交易记录!AB391</f>
        <v>0</v>
      </c>
      <c r="AR580" s="121">
        <f>交易记录!AB422</f>
        <v>0</v>
      </c>
      <c r="AS580" s="30">
        <f t="shared" si="275"/>
        <v>0</v>
      </c>
      <c r="AT580" s="124">
        <f>交易记录!AB455</f>
        <v>0</v>
      </c>
      <c r="AU580" s="124">
        <f>交易记录!AB486</f>
        <v>0</v>
      </c>
      <c r="AV580" s="30">
        <f t="shared" si="282"/>
        <v>0</v>
      </c>
      <c r="AW580" s="121">
        <f>交易记录!AB519</f>
        <v>0</v>
      </c>
      <c r="AX580" s="121">
        <f>交易记录!AB550</f>
        <v>0</v>
      </c>
      <c r="AY580" s="30">
        <f t="shared" si="283"/>
        <v>0</v>
      </c>
      <c r="AZ580" s="124">
        <f>交易记录!AB583</f>
        <v>0</v>
      </c>
      <c r="BA580" s="124">
        <f>交易记录!AB614</f>
        <v>0</v>
      </c>
      <c r="BB580" s="30">
        <f t="shared" si="284"/>
        <v>0</v>
      </c>
      <c r="BC580" s="121">
        <f>交易记录!AB647</f>
        <v>0</v>
      </c>
      <c r="BD580" s="121">
        <f>交易记录!AB678</f>
        <v>0</v>
      </c>
      <c r="BE580" s="30">
        <f t="shared" si="285"/>
        <v>0</v>
      </c>
      <c r="BF580" s="124">
        <f>交易记录!AB711</f>
        <v>0</v>
      </c>
      <c r="BG580" s="124">
        <f>交易记录!AB742</f>
        <v>0</v>
      </c>
      <c r="BH580" s="30">
        <f t="shared" si="286"/>
        <v>0</v>
      </c>
      <c r="BI580" s="121">
        <f>交易记录!AB775</f>
        <v>0</v>
      </c>
      <c r="BJ580" s="121">
        <f>交易记录!AB806</f>
        <v>0</v>
      </c>
      <c r="BK580" s="30">
        <f t="shared" si="287"/>
        <v>0</v>
      </c>
      <c r="BL580" s="124">
        <f>交易记录!AB839</f>
        <v>0</v>
      </c>
      <c r="BM580" s="124">
        <f>交易记录!AB870</f>
        <v>0</v>
      </c>
      <c r="BN580" s="30">
        <f t="shared" si="288"/>
        <v>0</v>
      </c>
      <c r="BO580" s="121">
        <f>交易记录!AB903</f>
        <v>0</v>
      </c>
      <c r="BP580" s="121">
        <f>交易记录!AB934</f>
        <v>0</v>
      </c>
      <c r="BQ580" s="30">
        <f t="shared" si="289"/>
        <v>0</v>
      </c>
    </row>
    <row r="581" spans="1:69" ht="15">
      <c r="A581" s="125">
        <f>'维护-日期'!A$27</f>
        <v>46290</v>
      </c>
      <c r="B581" s="7" t="s">
        <v>9</v>
      </c>
      <c r="C581" s="144">
        <f t="shared" si="290"/>
        <v>13.817</v>
      </c>
      <c r="D581" s="144">
        <f>ROUND(INDEX(持仓数据!$C$3:$AG$26,MATCH('计算过程-数据汇总'!B581,持仓数据!$B$3:$B$26,0),MATCH('计算过程-数据汇总'!A581,'维护-日期'!$B$2:$AF$2,0)),3)</f>
        <v>13.817</v>
      </c>
      <c r="E581" s="98">
        <f t="shared" si="291"/>
        <v>13.817</v>
      </c>
      <c r="F581" s="22">
        <f>持仓数据!AA75</f>
        <v>0.09</v>
      </c>
      <c r="G581" s="97">
        <v>372</v>
      </c>
      <c r="H581" s="97">
        <v>372</v>
      </c>
      <c r="I581" s="64">
        <v>0</v>
      </c>
      <c r="J581" s="64">
        <v>0</v>
      </c>
      <c r="K581" s="21">
        <f>IF(持仓数据!AA108="",0,持仓数据!AA108)</f>
        <v>372</v>
      </c>
      <c r="L581" s="21">
        <f t="shared" si="292"/>
        <v>0</v>
      </c>
      <c r="M581" s="28">
        <f t="shared" si="276"/>
        <v>5139.924</v>
      </c>
      <c r="N581" s="28">
        <f t="shared" si="277"/>
        <v>0</v>
      </c>
      <c r="O581" s="28">
        <f t="shared" si="278"/>
        <v>0</v>
      </c>
      <c r="P581" s="28">
        <f t="shared" si="279"/>
        <v>0</v>
      </c>
      <c r="Q581" s="28">
        <f t="shared" si="293"/>
        <v>0</v>
      </c>
      <c r="R581" s="28">
        <f t="shared" si="280"/>
        <v>5139.924</v>
      </c>
      <c r="S581" s="28">
        <f t="shared" si="294"/>
        <v>0</v>
      </c>
      <c r="T581" s="28">
        <f t="shared" si="295"/>
        <v>0</v>
      </c>
      <c r="U581" s="28">
        <f t="shared" si="298"/>
        <v>0</v>
      </c>
      <c r="V581" s="28">
        <f t="shared" si="296"/>
        <v>0</v>
      </c>
      <c r="W581" s="118"/>
      <c r="X581" s="143">
        <f t="shared" si="297"/>
        <v>16.489999999999998</v>
      </c>
      <c r="Y581" s="121">
        <f>交易记录!AB8</f>
        <v>0.09</v>
      </c>
      <c r="Z581" s="121">
        <f>交易记录!AB39</f>
        <v>372</v>
      </c>
      <c r="AA581" s="30">
        <f t="shared" si="281"/>
        <v>0</v>
      </c>
      <c r="AB581" s="124">
        <f>交易记录!AB72</f>
        <v>0</v>
      </c>
      <c r="AC581" s="124">
        <f>交易记录!AB103</f>
        <v>0</v>
      </c>
      <c r="AD581" s="30">
        <f t="shared" si="270"/>
        <v>0</v>
      </c>
      <c r="AE581" s="121">
        <f>交易记录!AB136</f>
        <v>0</v>
      </c>
      <c r="AF581" s="121">
        <f>交易记录!AB167</f>
        <v>0</v>
      </c>
      <c r="AG581" s="30">
        <f t="shared" si="271"/>
        <v>0</v>
      </c>
      <c r="AH581" s="124">
        <f>交易记录!AB200</f>
        <v>0</v>
      </c>
      <c r="AI581" s="124">
        <f>交易记录!AB231</f>
        <v>0</v>
      </c>
      <c r="AJ581" s="30">
        <f t="shared" si="272"/>
        <v>0</v>
      </c>
      <c r="AK581" s="121">
        <f>交易记录!AB264</f>
        <v>0</v>
      </c>
      <c r="AL581" s="121">
        <f>交易记录!AB295</f>
        <v>0</v>
      </c>
      <c r="AM581" s="30">
        <f t="shared" si="273"/>
        <v>0</v>
      </c>
      <c r="AN581" s="124">
        <f>交易记录!AB328</f>
        <v>0</v>
      </c>
      <c r="AO581" s="124">
        <f>交易记录!AB359</f>
        <v>0</v>
      </c>
      <c r="AP581" s="30">
        <f t="shared" si="274"/>
        <v>0</v>
      </c>
      <c r="AQ581" s="121">
        <f>交易记录!AB392</f>
        <v>0</v>
      </c>
      <c r="AR581" s="121">
        <f>交易记录!AB423</f>
        <v>0</v>
      </c>
      <c r="AS581" s="30">
        <f t="shared" si="275"/>
        <v>0</v>
      </c>
      <c r="AT581" s="124">
        <f>交易记录!AB456</f>
        <v>0</v>
      </c>
      <c r="AU581" s="124">
        <f>交易记录!AB487</f>
        <v>0</v>
      </c>
      <c r="AV581" s="30">
        <f t="shared" si="282"/>
        <v>0</v>
      </c>
      <c r="AW581" s="121">
        <f>交易记录!AB520</f>
        <v>0</v>
      </c>
      <c r="AX581" s="121">
        <f>交易记录!AB551</f>
        <v>0</v>
      </c>
      <c r="AY581" s="30">
        <f t="shared" si="283"/>
        <v>0</v>
      </c>
      <c r="AZ581" s="124">
        <f>交易记录!AB584</f>
        <v>0</v>
      </c>
      <c r="BA581" s="124">
        <f>交易记录!AB615</f>
        <v>0</v>
      </c>
      <c r="BB581" s="30">
        <f t="shared" si="284"/>
        <v>0</v>
      </c>
      <c r="BC581" s="121">
        <f>交易记录!AB648</f>
        <v>0</v>
      </c>
      <c r="BD581" s="121">
        <f>交易记录!AB679</f>
        <v>0</v>
      </c>
      <c r="BE581" s="30">
        <f t="shared" si="285"/>
        <v>0</v>
      </c>
      <c r="BF581" s="124">
        <f>交易记录!AB712</f>
        <v>0</v>
      </c>
      <c r="BG581" s="124">
        <f>交易记录!AB743</f>
        <v>0</v>
      </c>
      <c r="BH581" s="30">
        <f t="shared" si="286"/>
        <v>0</v>
      </c>
      <c r="BI581" s="121">
        <f>交易记录!AB776</f>
        <v>0</v>
      </c>
      <c r="BJ581" s="121">
        <f>交易记录!AB807</f>
        <v>0</v>
      </c>
      <c r="BK581" s="30">
        <f t="shared" si="287"/>
        <v>0</v>
      </c>
      <c r="BL581" s="124">
        <f>交易记录!AB840</f>
        <v>0</v>
      </c>
      <c r="BM581" s="124">
        <f>交易记录!AB871</f>
        <v>0</v>
      </c>
      <c r="BN581" s="30">
        <f t="shared" si="288"/>
        <v>0</v>
      </c>
      <c r="BO581" s="121">
        <f>交易记录!AB904</f>
        <v>0</v>
      </c>
      <c r="BP581" s="121">
        <f>交易记录!AB935</f>
        <v>0</v>
      </c>
      <c r="BQ581" s="30">
        <f t="shared" si="289"/>
        <v>0</v>
      </c>
    </row>
    <row r="582" spans="1:69" ht="15">
      <c r="A582" s="125">
        <f>'维护-日期'!A$27</f>
        <v>46290</v>
      </c>
      <c r="B582" s="7" t="s">
        <v>10</v>
      </c>
      <c r="C582" s="144">
        <f t="shared" si="290"/>
        <v>13.388</v>
      </c>
      <c r="D582" s="144">
        <f>ROUND(INDEX(持仓数据!$C$3:$AG$26,MATCH('计算过程-数据汇总'!B582,持仓数据!$B$3:$B$26,0),MATCH('计算过程-数据汇总'!A582,'维护-日期'!$B$2:$AF$2,0)),3)</f>
        <v>13.388</v>
      </c>
      <c r="E582" s="98">
        <f t="shared" si="291"/>
        <v>13.388</v>
      </c>
      <c r="F582" s="22">
        <f>持仓数据!AA76</f>
        <v>8.6999999999999994E-2</v>
      </c>
      <c r="G582" s="97">
        <v>372</v>
      </c>
      <c r="H582" s="97">
        <v>372</v>
      </c>
      <c r="I582" s="64">
        <v>0</v>
      </c>
      <c r="J582" s="64">
        <v>0</v>
      </c>
      <c r="K582" s="21">
        <f>IF(持仓数据!AA109="",0,持仓数据!AA109)</f>
        <v>372</v>
      </c>
      <c r="L582" s="21">
        <f t="shared" si="292"/>
        <v>0</v>
      </c>
      <c r="M582" s="28">
        <f t="shared" si="276"/>
        <v>4980.3360000000002</v>
      </c>
      <c r="N582" s="28">
        <f t="shared" si="277"/>
        <v>0</v>
      </c>
      <c r="O582" s="28">
        <f t="shared" si="278"/>
        <v>0</v>
      </c>
      <c r="P582" s="28">
        <f t="shared" si="279"/>
        <v>0</v>
      </c>
      <c r="Q582" s="28">
        <f t="shared" si="293"/>
        <v>0</v>
      </c>
      <c r="R582" s="28">
        <f t="shared" si="280"/>
        <v>4980.3360000000002</v>
      </c>
      <c r="S582" s="28">
        <f t="shared" si="294"/>
        <v>0</v>
      </c>
      <c r="T582" s="28">
        <f t="shared" si="295"/>
        <v>0</v>
      </c>
      <c r="U582" s="28">
        <f t="shared" si="298"/>
        <v>0</v>
      </c>
      <c r="V582" s="28">
        <f t="shared" si="296"/>
        <v>0</v>
      </c>
      <c r="W582" s="118"/>
      <c r="X582" s="143">
        <f t="shared" si="297"/>
        <v>15.978999999999999</v>
      </c>
      <c r="Y582" s="121">
        <f>交易记录!AB9</f>
        <v>8.6999999999999994E-2</v>
      </c>
      <c r="Z582" s="121">
        <f>交易记录!AB40</f>
        <v>372</v>
      </c>
      <c r="AA582" s="30">
        <f t="shared" si="281"/>
        <v>0</v>
      </c>
      <c r="AB582" s="124">
        <f>交易记录!AB73</f>
        <v>0</v>
      </c>
      <c r="AC582" s="124">
        <f>交易记录!AB104</f>
        <v>0</v>
      </c>
      <c r="AD582" s="30">
        <f t="shared" si="270"/>
        <v>0</v>
      </c>
      <c r="AE582" s="121">
        <f>交易记录!AB137</f>
        <v>0</v>
      </c>
      <c r="AF582" s="121">
        <f>交易记录!AB168</f>
        <v>0</v>
      </c>
      <c r="AG582" s="30">
        <f t="shared" si="271"/>
        <v>0</v>
      </c>
      <c r="AH582" s="124">
        <f>交易记录!AB201</f>
        <v>0</v>
      </c>
      <c r="AI582" s="124">
        <f>交易记录!AB232</f>
        <v>0</v>
      </c>
      <c r="AJ582" s="30">
        <f t="shared" si="272"/>
        <v>0</v>
      </c>
      <c r="AK582" s="121">
        <f>交易记录!AB265</f>
        <v>0</v>
      </c>
      <c r="AL582" s="121">
        <f>交易记录!AB296</f>
        <v>0</v>
      </c>
      <c r="AM582" s="30">
        <f t="shared" si="273"/>
        <v>0</v>
      </c>
      <c r="AN582" s="124">
        <f>交易记录!AB329</f>
        <v>0</v>
      </c>
      <c r="AO582" s="124">
        <f>交易记录!AB360</f>
        <v>0</v>
      </c>
      <c r="AP582" s="30">
        <f t="shared" si="274"/>
        <v>0</v>
      </c>
      <c r="AQ582" s="121">
        <f>交易记录!AB393</f>
        <v>0</v>
      </c>
      <c r="AR582" s="121">
        <f>交易记录!AB424</f>
        <v>0</v>
      </c>
      <c r="AS582" s="30">
        <f t="shared" si="275"/>
        <v>0</v>
      </c>
      <c r="AT582" s="124">
        <f>交易记录!AB457</f>
        <v>0</v>
      </c>
      <c r="AU582" s="124">
        <f>交易记录!AB488</f>
        <v>0</v>
      </c>
      <c r="AV582" s="30">
        <f t="shared" si="282"/>
        <v>0</v>
      </c>
      <c r="AW582" s="121">
        <f>交易记录!AB521</f>
        <v>0</v>
      </c>
      <c r="AX582" s="121">
        <f>交易记录!AB552</f>
        <v>0</v>
      </c>
      <c r="AY582" s="30">
        <f t="shared" si="283"/>
        <v>0</v>
      </c>
      <c r="AZ582" s="124">
        <f>交易记录!AB585</f>
        <v>0</v>
      </c>
      <c r="BA582" s="124">
        <f>交易记录!AB616</f>
        <v>0</v>
      </c>
      <c r="BB582" s="30">
        <f t="shared" si="284"/>
        <v>0</v>
      </c>
      <c r="BC582" s="121">
        <f>交易记录!AB649</f>
        <v>0</v>
      </c>
      <c r="BD582" s="121">
        <f>交易记录!AB680</f>
        <v>0</v>
      </c>
      <c r="BE582" s="30">
        <f t="shared" si="285"/>
        <v>0</v>
      </c>
      <c r="BF582" s="124">
        <f>交易记录!AB713</f>
        <v>0</v>
      </c>
      <c r="BG582" s="124">
        <f>交易记录!AB744</f>
        <v>0</v>
      </c>
      <c r="BH582" s="30">
        <f t="shared" si="286"/>
        <v>0</v>
      </c>
      <c r="BI582" s="121">
        <f>交易记录!AB777</f>
        <v>0</v>
      </c>
      <c r="BJ582" s="121">
        <f>交易记录!AB808</f>
        <v>0</v>
      </c>
      <c r="BK582" s="30">
        <f t="shared" si="287"/>
        <v>0</v>
      </c>
      <c r="BL582" s="124">
        <f>交易记录!AB841</f>
        <v>0</v>
      </c>
      <c r="BM582" s="124">
        <f>交易记录!AB872</f>
        <v>0</v>
      </c>
      <c r="BN582" s="30">
        <f t="shared" si="288"/>
        <v>0</v>
      </c>
      <c r="BO582" s="121">
        <f>交易记录!AB905</f>
        <v>0</v>
      </c>
      <c r="BP582" s="121">
        <f>交易记录!AB936</f>
        <v>0</v>
      </c>
      <c r="BQ582" s="30">
        <f t="shared" si="289"/>
        <v>0</v>
      </c>
    </row>
    <row r="583" spans="1:69" ht="15">
      <c r="A583" s="125">
        <f>'维护-日期'!A$27</f>
        <v>46290</v>
      </c>
      <c r="B583" s="7" t="s">
        <v>11</v>
      </c>
      <c r="C583" s="144">
        <f t="shared" si="290"/>
        <v>13.087</v>
      </c>
      <c r="D583" s="144">
        <f>ROUND(INDEX(持仓数据!$C$3:$AG$26,MATCH('计算过程-数据汇总'!B583,持仓数据!$B$3:$B$26,0),MATCH('计算过程-数据汇总'!A583,'维护-日期'!$B$2:$AF$2,0)),3)</f>
        <v>13.087</v>
      </c>
      <c r="E583" s="98">
        <f t="shared" si="291"/>
        <v>13.087</v>
      </c>
      <c r="F583" s="22">
        <f>持仓数据!AA77</f>
        <v>8.6999999999999994E-2</v>
      </c>
      <c r="G583" s="97">
        <v>372</v>
      </c>
      <c r="H583" s="97">
        <v>372</v>
      </c>
      <c r="I583" s="64">
        <v>0</v>
      </c>
      <c r="J583" s="64">
        <v>0</v>
      </c>
      <c r="K583" s="21">
        <f>IF(持仓数据!AA110="",0,持仓数据!AA110)</f>
        <v>372</v>
      </c>
      <c r="L583" s="21">
        <f t="shared" si="292"/>
        <v>0</v>
      </c>
      <c r="M583" s="28">
        <f t="shared" si="276"/>
        <v>4868.3639999999996</v>
      </c>
      <c r="N583" s="28">
        <f t="shared" si="277"/>
        <v>0</v>
      </c>
      <c r="O583" s="28">
        <f t="shared" si="278"/>
        <v>0</v>
      </c>
      <c r="P583" s="28">
        <f t="shared" si="279"/>
        <v>0</v>
      </c>
      <c r="Q583" s="28">
        <f t="shared" si="293"/>
        <v>0</v>
      </c>
      <c r="R583" s="28">
        <f t="shared" si="280"/>
        <v>4868.3639999999996</v>
      </c>
      <c r="S583" s="28">
        <f t="shared" si="294"/>
        <v>0</v>
      </c>
      <c r="T583" s="28">
        <f t="shared" si="295"/>
        <v>0</v>
      </c>
      <c r="U583" s="28">
        <f t="shared" si="298"/>
        <v>0</v>
      </c>
      <c r="V583" s="28">
        <f t="shared" si="296"/>
        <v>0</v>
      </c>
      <c r="W583" s="118"/>
      <c r="X583" s="143">
        <f t="shared" si="297"/>
        <v>15.617000000000001</v>
      </c>
      <c r="Y583" s="121">
        <f>交易记录!AB10</f>
        <v>8.6999999999999994E-2</v>
      </c>
      <c r="Z583" s="121">
        <f>交易记录!AB41</f>
        <v>372</v>
      </c>
      <c r="AA583" s="30">
        <f t="shared" si="281"/>
        <v>0</v>
      </c>
      <c r="AB583" s="124">
        <f>交易记录!AB74</f>
        <v>0</v>
      </c>
      <c r="AC583" s="124">
        <f>交易记录!AB105</f>
        <v>0</v>
      </c>
      <c r="AD583" s="30">
        <f t="shared" si="270"/>
        <v>0</v>
      </c>
      <c r="AE583" s="121">
        <f>交易记录!AB138</f>
        <v>0</v>
      </c>
      <c r="AF583" s="121">
        <f>交易记录!AB169</f>
        <v>0</v>
      </c>
      <c r="AG583" s="30">
        <f t="shared" si="271"/>
        <v>0</v>
      </c>
      <c r="AH583" s="124">
        <f>交易记录!AB202</f>
        <v>0</v>
      </c>
      <c r="AI583" s="124">
        <f>交易记录!AB233</f>
        <v>0</v>
      </c>
      <c r="AJ583" s="30">
        <f t="shared" si="272"/>
        <v>0</v>
      </c>
      <c r="AK583" s="121">
        <f>交易记录!AB266</f>
        <v>0</v>
      </c>
      <c r="AL583" s="121">
        <f>交易记录!AB297</f>
        <v>0</v>
      </c>
      <c r="AM583" s="30">
        <f t="shared" si="273"/>
        <v>0</v>
      </c>
      <c r="AN583" s="124">
        <f>交易记录!AB330</f>
        <v>0</v>
      </c>
      <c r="AO583" s="124">
        <f>交易记录!AB361</f>
        <v>0</v>
      </c>
      <c r="AP583" s="30">
        <f t="shared" si="274"/>
        <v>0</v>
      </c>
      <c r="AQ583" s="121">
        <f>交易记录!AB394</f>
        <v>0</v>
      </c>
      <c r="AR583" s="121">
        <f>交易记录!AB425</f>
        <v>0</v>
      </c>
      <c r="AS583" s="30">
        <f t="shared" si="275"/>
        <v>0</v>
      </c>
      <c r="AT583" s="124">
        <f>交易记录!AB458</f>
        <v>0</v>
      </c>
      <c r="AU583" s="124">
        <f>交易记录!AB489</f>
        <v>0</v>
      </c>
      <c r="AV583" s="30">
        <f t="shared" si="282"/>
        <v>0</v>
      </c>
      <c r="AW583" s="121">
        <f>交易记录!AB522</f>
        <v>0</v>
      </c>
      <c r="AX583" s="121">
        <f>交易记录!AB553</f>
        <v>0</v>
      </c>
      <c r="AY583" s="30">
        <f t="shared" si="283"/>
        <v>0</v>
      </c>
      <c r="AZ583" s="124">
        <f>交易记录!AB586</f>
        <v>0</v>
      </c>
      <c r="BA583" s="124">
        <f>交易记录!AB617</f>
        <v>0</v>
      </c>
      <c r="BB583" s="30">
        <f t="shared" si="284"/>
        <v>0</v>
      </c>
      <c r="BC583" s="121">
        <f>交易记录!AB650</f>
        <v>0</v>
      </c>
      <c r="BD583" s="121">
        <f>交易记录!AB681</f>
        <v>0</v>
      </c>
      <c r="BE583" s="30">
        <f t="shared" si="285"/>
        <v>0</v>
      </c>
      <c r="BF583" s="124">
        <f>交易记录!AB714</f>
        <v>0</v>
      </c>
      <c r="BG583" s="124">
        <f>交易记录!AB745</f>
        <v>0</v>
      </c>
      <c r="BH583" s="30">
        <f t="shared" si="286"/>
        <v>0</v>
      </c>
      <c r="BI583" s="121">
        <f>交易记录!AB778</f>
        <v>0</v>
      </c>
      <c r="BJ583" s="121">
        <f>交易记录!AB809</f>
        <v>0</v>
      </c>
      <c r="BK583" s="30">
        <f t="shared" si="287"/>
        <v>0</v>
      </c>
      <c r="BL583" s="124">
        <f>交易记录!AB842</f>
        <v>0</v>
      </c>
      <c r="BM583" s="124">
        <f>交易记录!AB873</f>
        <v>0</v>
      </c>
      <c r="BN583" s="30">
        <f t="shared" si="288"/>
        <v>0</v>
      </c>
      <c r="BO583" s="121">
        <f>交易记录!AB906</f>
        <v>0</v>
      </c>
      <c r="BP583" s="121">
        <f>交易记录!AB937</f>
        <v>0</v>
      </c>
      <c r="BQ583" s="30">
        <f t="shared" si="289"/>
        <v>0</v>
      </c>
    </row>
    <row r="584" spans="1:69" ht="15">
      <c r="A584" s="125">
        <f>'维护-日期'!A$27</f>
        <v>46290</v>
      </c>
      <c r="B584" s="7" t="s">
        <v>12</v>
      </c>
      <c r="C584" s="144">
        <f t="shared" si="290"/>
        <v>12.95</v>
      </c>
      <c r="D584" s="144">
        <f>ROUND(INDEX(持仓数据!$C$3:$AG$26,MATCH('计算过程-数据汇总'!B584,持仓数据!$B$3:$B$26,0),MATCH('计算过程-数据汇总'!A584,'维护-日期'!$B$2:$AF$2,0)),3)</f>
        <v>12.95</v>
      </c>
      <c r="E584" s="98">
        <f t="shared" si="291"/>
        <v>12.95</v>
      </c>
      <c r="F584" s="22">
        <f>持仓数据!AA78</f>
        <v>0.14499999999999999</v>
      </c>
      <c r="G584" s="97">
        <v>372</v>
      </c>
      <c r="H584" s="97">
        <v>372</v>
      </c>
      <c r="I584" s="64">
        <v>0</v>
      </c>
      <c r="J584" s="64">
        <v>0</v>
      </c>
      <c r="K584" s="21">
        <f>IF(持仓数据!AA111="",0,持仓数据!AA111)</f>
        <v>372</v>
      </c>
      <c r="L584" s="21">
        <f t="shared" si="292"/>
        <v>0</v>
      </c>
      <c r="M584" s="28">
        <f t="shared" si="276"/>
        <v>4817.3999999999996</v>
      </c>
      <c r="N584" s="28">
        <f t="shared" si="277"/>
        <v>0</v>
      </c>
      <c r="O584" s="28">
        <f t="shared" si="278"/>
        <v>0</v>
      </c>
      <c r="P584" s="28">
        <f t="shared" si="279"/>
        <v>0</v>
      </c>
      <c r="Q584" s="28">
        <f t="shared" si="293"/>
        <v>0</v>
      </c>
      <c r="R584" s="28">
        <f t="shared" si="280"/>
        <v>4817.3999999999996</v>
      </c>
      <c r="S584" s="28">
        <f t="shared" si="294"/>
        <v>0</v>
      </c>
      <c r="T584" s="28">
        <f t="shared" si="295"/>
        <v>0</v>
      </c>
      <c r="U584" s="28">
        <f t="shared" si="298"/>
        <v>0</v>
      </c>
      <c r="V584" s="28">
        <f t="shared" si="296"/>
        <v>0</v>
      </c>
      <c r="W584" s="118"/>
      <c r="X584" s="143">
        <f t="shared" si="297"/>
        <v>15.395</v>
      </c>
      <c r="Y584" s="121">
        <f>交易记录!AB11</f>
        <v>0.14499999999999999</v>
      </c>
      <c r="Z584" s="121">
        <f>交易记录!AB42</f>
        <v>372</v>
      </c>
      <c r="AA584" s="30">
        <f t="shared" si="281"/>
        <v>0</v>
      </c>
      <c r="AB584" s="124">
        <f>交易记录!AB75</f>
        <v>0</v>
      </c>
      <c r="AC584" s="124">
        <f>交易记录!AB106</f>
        <v>0</v>
      </c>
      <c r="AD584" s="30">
        <f t="shared" si="270"/>
        <v>0</v>
      </c>
      <c r="AE584" s="121">
        <f>交易记录!AB139</f>
        <v>0</v>
      </c>
      <c r="AF584" s="121">
        <f>交易记录!AB170</f>
        <v>0</v>
      </c>
      <c r="AG584" s="30">
        <f t="shared" si="271"/>
        <v>0</v>
      </c>
      <c r="AH584" s="124">
        <f>交易记录!AB203</f>
        <v>0</v>
      </c>
      <c r="AI584" s="124">
        <f>交易记录!AB234</f>
        <v>0</v>
      </c>
      <c r="AJ584" s="30">
        <f t="shared" si="272"/>
        <v>0</v>
      </c>
      <c r="AK584" s="121">
        <f>交易记录!AB267</f>
        <v>0</v>
      </c>
      <c r="AL584" s="121">
        <f>交易记录!AB298</f>
        <v>0</v>
      </c>
      <c r="AM584" s="30">
        <f t="shared" si="273"/>
        <v>0</v>
      </c>
      <c r="AN584" s="124">
        <f>交易记录!AB331</f>
        <v>0</v>
      </c>
      <c r="AO584" s="124">
        <f>交易记录!AB362</f>
        <v>0</v>
      </c>
      <c r="AP584" s="30">
        <f t="shared" si="274"/>
        <v>0</v>
      </c>
      <c r="AQ584" s="121">
        <f>交易记录!AB395</f>
        <v>0</v>
      </c>
      <c r="AR584" s="121">
        <f>交易记录!AB426</f>
        <v>0</v>
      </c>
      <c r="AS584" s="30">
        <f t="shared" si="275"/>
        <v>0</v>
      </c>
      <c r="AT584" s="124">
        <f>交易记录!AB459</f>
        <v>0</v>
      </c>
      <c r="AU584" s="124">
        <f>交易记录!AB490</f>
        <v>0</v>
      </c>
      <c r="AV584" s="30">
        <f t="shared" si="282"/>
        <v>0</v>
      </c>
      <c r="AW584" s="121">
        <f>交易记录!AB523</f>
        <v>0</v>
      </c>
      <c r="AX584" s="121">
        <f>交易记录!AB554</f>
        <v>0</v>
      </c>
      <c r="AY584" s="30">
        <f t="shared" si="283"/>
        <v>0</v>
      </c>
      <c r="AZ584" s="124">
        <f>交易记录!AB587</f>
        <v>0</v>
      </c>
      <c r="BA584" s="124">
        <f>交易记录!AB618</f>
        <v>0</v>
      </c>
      <c r="BB584" s="30">
        <f t="shared" si="284"/>
        <v>0</v>
      </c>
      <c r="BC584" s="121">
        <f>交易记录!AB651</f>
        <v>0</v>
      </c>
      <c r="BD584" s="121">
        <f>交易记录!AB682</f>
        <v>0</v>
      </c>
      <c r="BE584" s="30">
        <f t="shared" si="285"/>
        <v>0</v>
      </c>
      <c r="BF584" s="124">
        <f>交易记录!AB715</f>
        <v>0</v>
      </c>
      <c r="BG584" s="124">
        <f>交易记录!AB746</f>
        <v>0</v>
      </c>
      <c r="BH584" s="30">
        <f t="shared" si="286"/>
        <v>0</v>
      </c>
      <c r="BI584" s="121">
        <f>交易记录!AB779</f>
        <v>0</v>
      </c>
      <c r="BJ584" s="121">
        <f>交易记录!AB810</f>
        <v>0</v>
      </c>
      <c r="BK584" s="30">
        <f t="shared" si="287"/>
        <v>0</v>
      </c>
      <c r="BL584" s="124">
        <f>交易记录!AB843</f>
        <v>0</v>
      </c>
      <c r="BM584" s="124">
        <f>交易记录!AB874</f>
        <v>0</v>
      </c>
      <c r="BN584" s="30">
        <f t="shared" si="288"/>
        <v>0</v>
      </c>
      <c r="BO584" s="121">
        <f>交易记录!AB907</f>
        <v>0</v>
      </c>
      <c r="BP584" s="121">
        <f>交易记录!AB938</f>
        <v>0</v>
      </c>
      <c r="BQ584" s="30">
        <f t="shared" si="289"/>
        <v>0</v>
      </c>
    </row>
    <row r="585" spans="1:69" ht="15">
      <c r="A585" s="125">
        <f>'维护-日期'!A$27</f>
        <v>46290</v>
      </c>
      <c r="B585" s="7" t="s">
        <v>13</v>
      </c>
      <c r="C585" s="144">
        <f t="shared" si="290"/>
        <v>13.266999999999999</v>
      </c>
      <c r="D585" s="144">
        <f>ROUND(INDEX(持仓数据!$C$3:$AG$26,MATCH('计算过程-数据汇总'!B585,持仓数据!$B$3:$B$26,0),MATCH('计算过程-数据汇总'!A585,'维护-日期'!$B$2:$AF$2,0)),3)</f>
        <v>13.266999999999999</v>
      </c>
      <c r="E585" s="98">
        <f t="shared" si="291"/>
        <v>13.266999999999999</v>
      </c>
      <c r="F585" s="22">
        <f>持仓数据!AA79</f>
        <v>0.307</v>
      </c>
      <c r="G585" s="97">
        <v>372</v>
      </c>
      <c r="H585" s="97">
        <v>372</v>
      </c>
      <c r="I585" s="64">
        <v>0</v>
      </c>
      <c r="J585" s="64">
        <v>0</v>
      </c>
      <c r="K585" s="21">
        <f>IF(持仓数据!AA112="",0,持仓数据!AA112)</f>
        <v>372</v>
      </c>
      <c r="L585" s="21">
        <f t="shared" si="292"/>
        <v>0</v>
      </c>
      <c r="M585" s="28">
        <f t="shared" si="276"/>
        <v>4935.3239999999996</v>
      </c>
      <c r="N585" s="28">
        <f t="shared" si="277"/>
        <v>0</v>
      </c>
      <c r="O585" s="28">
        <f t="shared" si="278"/>
        <v>0</v>
      </c>
      <c r="P585" s="28">
        <f t="shared" si="279"/>
        <v>0</v>
      </c>
      <c r="Q585" s="28">
        <f t="shared" si="293"/>
        <v>0</v>
      </c>
      <c r="R585" s="28">
        <f t="shared" si="280"/>
        <v>4935.3239999999996</v>
      </c>
      <c r="S585" s="28">
        <f t="shared" si="294"/>
        <v>0</v>
      </c>
      <c r="T585" s="28">
        <f t="shared" si="295"/>
        <v>0</v>
      </c>
      <c r="U585" s="28">
        <f t="shared" si="298"/>
        <v>0</v>
      </c>
      <c r="V585" s="28">
        <f t="shared" si="296"/>
        <v>0</v>
      </c>
      <c r="W585" s="118"/>
      <c r="X585" s="143">
        <f t="shared" si="297"/>
        <v>15.613</v>
      </c>
      <c r="Y585" s="121">
        <f>交易记录!AB12</f>
        <v>0.307</v>
      </c>
      <c r="Z585" s="121">
        <f>交易记录!AB43</f>
        <v>372</v>
      </c>
      <c r="AA585" s="30">
        <f t="shared" si="281"/>
        <v>0</v>
      </c>
      <c r="AB585" s="124">
        <f>交易记录!AB76</f>
        <v>0</v>
      </c>
      <c r="AC585" s="124">
        <f>交易记录!AB107</f>
        <v>0</v>
      </c>
      <c r="AD585" s="30">
        <f t="shared" si="270"/>
        <v>0</v>
      </c>
      <c r="AE585" s="121">
        <f>交易记录!AB140</f>
        <v>0</v>
      </c>
      <c r="AF585" s="121">
        <f>交易记录!AB171</f>
        <v>0</v>
      </c>
      <c r="AG585" s="30">
        <f t="shared" si="271"/>
        <v>0</v>
      </c>
      <c r="AH585" s="124">
        <f>交易记录!AB204</f>
        <v>0</v>
      </c>
      <c r="AI585" s="124">
        <f>交易记录!AB235</f>
        <v>0</v>
      </c>
      <c r="AJ585" s="30">
        <f t="shared" si="272"/>
        <v>0</v>
      </c>
      <c r="AK585" s="121">
        <f>交易记录!AB268</f>
        <v>0</v>
      </c>
      <c r="AL585" s="121">
        <f>交易记录!AB299</f>
        <v>0</v>
      </c>
      <c r="AM585" s="30">
        <f t="shared" si="273"/>
        <v>0</v>
      </c>
      <c r="AN585" s="124">
        <f>交易记录!AB332</f>
        <v>0</v>
      </c>
      <c r="AO585" s="124">
        <f>交易记录!AB363</f>
        <v>0</v>
      </c>
      <c r="AP585" s="30">
        <f t="shared" si="274"/>
        <v>0</v>
      </c>
      <c r="AQ585" s="121">
        <f>交易记录!AB396</f>
        <v>0</v>
      </c>
      <c r="AR585" s="121">
        <f>交易记录!AB427</f>
        <v>0</v>
      </c>
      <c r="AS585" s="30">
        <f t="shared" si="275"/>
        <v>0</v>
      </c>
      <c r="AT585" s="124">
        <f>交易记录!AB460</f>
        <v>0</v>
      </c>
      <c r="AU585" s="124">
        <f>交易记录!AB491</f>
        <v>0</v>
      </c>
      <c r="AV585" s="30">
        <f t="shared" si="282"/>
        <v>0</v>
      </c>
      <c r="AW585" s="121">
        <f>交易记录!AB524</f>
        <v>0</v>
      </c>
      <c r="AX585" s="121">
        <f>交易记录!AB555</f>
        <v>0</v>
      </c>
      <c r="AY585" s="30">
        <f t="shared" si="283"/>
        <v>0</v>
      </c>
      <c r="AZ585" s="124">
        <f>交易记录!AB588</f>
        <v>0</v>
      </c>
      <c r="BA585" s="124">
        <f>交易记录!AB619</f>
        <v>0</v>
      </c>
      <c r="BB585" s="30">
        <f t="shared" si="284"/>
        <v>0</v>
      </c>
      <c r="BC585" s="121">
        <f>交易记录!AB652</f>
        <v>0</v>
      </c>
      <c r="BD585" s="121">
        <f>交易记录!AB683</f>
        <v>0</v>
      </c>
      <c r="BE585" s="30">
        <f t="shared" si="285"/>
        <v>0</v>
      </c>
      <c r="BF585" s="124">
        <f>交易记录!AB716</f>
        <v>0</v>
      </c>
      <c r="BG585" s="124">
        <f>交易记录!AB747</f>
        <v>0</v>
      </c>
      <c r="BH585" s="30">
        <f t="shared" si="286"/>
        <v>0</v>
      </c>
      <c r="BI585" s="121">
        <f>交易记录!AB780</f>
        <v>0</v>
      </c>
      <c r="BJ585" s="121">
        <f>交易记录!AB811</f>
        <v>0</v>
      </c>
      <c r="BK585" s="30">
        <f t="shared" si="287"/>
        <v>0</v>
      </c>
      <c r="BL585" s="124">
        <f>交易记录!AB844</f>
        <v>0</v>
      </c>
      <c r="BM585" s="124">
        <f>交易记录!AB875</f>
        <v>0</v>
      </c>
      <c r="BN585" s="30">
        <f t="shared" si="288"/>
        <v>0</v>
      </c>
      <c r="BO585" s="121">
        <f>交易记录!AB908</f>
        <v>0</v>
      </c>
      <c r="BP585" s="121">
        <f>交易记录!AB939</f>
        <v>0</v>
      </c>
      <c r="BQ585" s="30">
        <f t="shared" si="289"/>
        <v>0</v>
      </c>
    </row>
    <row r="586" spans="1:69" ht="15">
      <c r="A586" s="125">
        <f>'维护-日期'!A$27</f>
        <v>46290</v>
      </c>
      <c r="B586" s="7" t="s">
        <v>14</v>
      </c>
      <c r="C586" s="144">
        <f t="shared" si="290"/>
        <v>15.795999999999999</v>
      </c>
      <c r="D586" s="144">
        <f>ROUND(INDEX(持仓数据!$C$3:$AG$26,MATCH('计算过程-数据汇总'!B586,持仓数据!$B$3:$B$26,0),MATCH('计算过程-数据汇总'!A586,'维护-日期'!$B$2:$AF$2,0)),3)</f>
        <v>15.795999999999999</v>
      </c>
      <c r="E586" s="98">
        <f t="shared" si="291"/>
        <v>15.795999999999999</v>
      </c>
      <c r="F586" s="22">
        <f>持仓数据!AA80</f>
        <v>0.42800000000000005</v>
      </c>
      <c r="G586" s="97">
        <v>372</v>
      </c>
      <c r="H586" s="97">
        <v>372</v>
      </c>
      <c r="I586" s="64">
        <v>0</v>
      </c>
      <c r="J586" s="64">
        <v>0</v>
      </c>
      <c r="K586" s="21">
        <f>IF(持仓数据!AA113="",0,持仓数据!AA113)</f>
        <v>372</v>
      </c>
      <c r="L586" s="21">
        <f t="shared" si="292"/>
        <v>0</v>
      </c>
      <c r="M586" s="28">
        <f t="shared" si="276"/>
        <v>5876.1120000000001</v>
      </c>
      <c r="N586" s="28">
        <f t="shared" si="277"/>
        <v>0</v>
      </c>
      <c r="O586" s="28">
        <f t="shared" si="278"/>
        <v>0</v>
      </c>
      <c r="P586" s="28">
        <f t="shared" si="279"/>
        <v>0</v>
      </c>
      <c r="Q586" s="28">
        <f t="shared" si="293"/>
        <v>0</v>
      </c>
      <c r="R586" s="28">
        <f t="shared" si="280"/>
        <v>5876.1120000000001</v>
      </c>
      <c r="S586" s="28">
        <f t="shared" si="294"/>
        <v>0</v>
      </c>
      <c r="T586" s="28">
        <f t="shared" si="295"/>
        <v>0</v>
      </c>
      <c r="U586" s="28">
        <f t="shared" si="298"/>
        <v>0</v>
      </c>
      <c r="V586" s="28">
        <f t="shared" si="296"/>
        <v>0</v>
      </c>
      <c r="W586" s="118"/>
      <c r="X586" s="143">
        <f t="shared" si="297"/>
        <v>18.527000000000001</v>
      </c>
      <c r="Y586" s="121">
        <f>交易记录!AB13</f>
        <v>0.42800000000000005</v>
      </c>
      <c r="Z586" s="121">
        <f>交易记录!AB44</f>
        <v>372</v>
      </c>
      <c r="AA586" s="30">
        <f t="shared" si="281"/>
        <v>0</v>
      </c>
      <c r="AB586" s="124">
        <f>交易记录!AB77</f>
        <v>0</v>
      </c>
      <c r="AC586" s="124">
        <f>交易记录!AB108</f>
        <v>0</v>
      </c>
      <c r="AD586" s="30">
        <f t="shared" si="270"/>
        <v>0</v>
      </c>
      <c r="AE586" s="121">
        <f>交易记录!AB141</f>
        <v>0</v>
      </c>
      <c r="AF586" s="121">
        <f>交易记录!AB172</f>
        <v>0</v>
      </c>
      <c r="AG586" s="30">
        <f t="shared" si="271"/>
        <v>0</v>
      </c>
      <c r="AH586" s="124">
        <f>交易记录!AB205</f>
        <v>0</v>
      </c>
      <c r="AI586" s="124">
        <f>交易记录!AB236</f>
        <v>0</v>
      </c>
      <c r="AJ586" s="30">
        <f t="shared" si="272"/>
        <v>0</v>
      </c>
      <c r="AK586" s="121">
        <f>交易记录!AB269</f>
        <v>0</v>
      </c>
      <c r="AL586" s="121">
        <f>交易记录!AB300</f>
        <v>0</v>
      </c>
      <c r="AM586" s="30">
        <f t="shared" si="273"/>
        <v>0</v>
      </c>
      <c r="AN586" s="124">
        <f>交易记录!AB333</f>
        <v>0</v>
      </c>
      <c r="AO586" s="124">
        <f>交易记录!AB364</f>
        <v>0</v>
      </c>
      <c r="AP586" s="30">
        <f t="shared" si="274"/>
        <v>0</v>
      </c>
      <c r="AQ586" s="121">
        <f>交易记录!AB397</f>
        <v>0</v>
      </c>
      <c r="AR586" s="121">
        <f>交易记录!AB428</f>
        <v>0</v>
      </c>
      <c r="AS586" s="30">
        <f t="shared" si="275"/>
        <v>0</v>
      </c>
      <c r="AT586" s="124">
        <f>交易记录!AB461</f>
        <v>0</v>
      </c>
      <c r="AU586" s="124">
        <f>交易记录!AB492</f>
        <v>0</v>
      </c>
      <c r="AV586" s="30">
        <f t="shared" si="282"/>
        <v>0</v>
      </c>
      <c r="AW586" s="121">
        <f>交易记录!AB525</f>
        <v>0</v>
      </c>
      <c r="AX586" s="121">
        <f>交易记录!AB556</f>
        <v>0</v>
      </c>
      <c r="AY586" s="30">
        <f t="shared" si="283"/>
        <v>0</v>
      </c>
      <c r="AZ586" s="124">
        <f>交易记录!AB589</f>
        <v>0</v>
      </c>
      <c r="BA586" s="124">
        <f>交易记录!AB620</f>
        <v>0</v>
      </c>
      <c r="BB586" s="30">
        <f t="shared" si="284"/>
        <v>0</v>
      </c>
      <c r="BC586" s="121">
        <f>交易记录!AB653</f>
        <v>0</v>
      </c>
      <c r="BD586" s="121">
        <f>交易记录!AB684</f>
        <v>0</v>
      </c>
      <c r="BE586" s="30">
        <f t="shared" si="285"/>
        <v>0</v>
      </c>
      <c r="BF586" s="124">
        <f>交易记录!AB717</f>
        <v>0</v>
      </c>
      <c r="BG586" s="124">
        <f>交易记录!AB748</f>
        <v>0</v>
      </c>
      <c r="BH586" s="30">
        <f t="shared" si="286"/>
        <v>0</v>
      </c>
      <c r="BI586" s="121">
        <f>交易记录!AB781</f>
        <v>0</v>
      </c>
      <c r="BJ586" s="121">
        <f>交易记录!AB812</f>
        <v>0</v>
      </c>
      <c r="BK586" s="30">
        <f t="shared" si="287"/>
        <v>0</v>
      </c>
      <c r="BL586" s="124">
        <f>交易记录!AB845</f>
        <v>0</v>
      </c>
      <c r="BM586" s="124">
        <f>交易记录!AB876</f>
        <v>0</v>
      </c>
      <c r="BN586" s="30">
        <f t="shared" si="288"/>
        <v>0</v>
      </c>
      <c r="BO586" s="121">
        <f>交易记录!AB909</f>
        <v>0</v>
      </c>
      <c r="BP586" s="121">
        <f>交易记录!AB940</f>
        <v>0</v>
      </c>
      <c r="BQ586" s="30">
        <f t="shared" si="289"/>
        <v>0</v>
      </c>
    </row>
    <row r="587" spans="1:69" ht="15">
      <c r="A587" s="125">
        <f>'维护-日期'!A$27</f>
        <v>46290</v>
      </c>
      <c r="B587" s="7" t="s">
        <v>15</v>
      </c>
      <c r="C587" s="144">
        <f t="shared" si="290"/>
        <v>19.308</v>
      </c>
      <c r="D587" s="144">
        <f>ROUND(INDEX(持仓数据!$C$3:$AG$26,MATCH('计算过程-数据汇总'!B587,持仓数据!$B$3:$B$26,0),MATCH('计算过程-数据汇总'!A587,'维护-日期'!$B$2:$AF$2,0)),3)</f>
        <v>19.308</v>
      </c>
      <c r="E587" s="98">
        <f t="shared" si="291"/>
        <v>19.308</v>
      </c>
      <c r="F587" s="22">
        <f>持仓数据!AA81</f>
        <v>0.46100000000000002</v>
      </c>
      <c r="G587" s="97">
        <v>372</v>
      </c>
      <c r="H587" s="97">
        <v>372</v>
      </c>
      <c r="I587" s="64">
        <v>0</v>
      </c>
      <c r="J587" s="64">
        <v>0</v>
      </c>
      <c r="K587" s="21">
        <f>IF(持仓数据!AA114="",0,持仓数据!AA114)</f>
        <v>372</v>
      </c>
      <c r="L587" s="21">
        <f t="shared" si="292"/>
        <v>0</v>
      </c>
      <c r="M587" s="28">
        <f t="shared" si="276"/>
        <v>7182.576</v>
      </c>
      <c r="N587" s="28">
        <f t="shared" si="277"/>
        <v>0</v>
      </c>
      <c r="O587" s="28">
        <f t="shared" si="278"/>
        <v>0</v>
      </c>
      <c r="P587" s="28">
        <f t="shared" si="279"/>
        <v>0</v>
      </c>
      <c r="Q587" s="28">
        <f t="shared" si="293"/>
        <v>0</v>
      </c>
      <c r="R587" s="28">
        <f t="shared" si="280"/>
        <v>7182.576</v>
      </c>
      <c r="S587" s="28">
        <f t="shared" si="294"/>
        <v>0</v>
      </c>
      <c r="T587" s="28">
        <f t="shared" si="295"/>
        <v>0</v>
      </c>
      <c r="U587" s="28">
        <f t="shared" si="298"/>
        <v>0</v>
      </c>
      <c r="V587" s="28">
        <f t="shared" si="296"/>
        <v>0</v>
      </c>
      <c r="W587" s="118"/>
      <c r="X587" s="143">
        <f t="shared" si="297"/>
        <v>22.709</v>
      </c>
      <c r="Y587" s="121">
        <f>交易记录!AB14</f>
        <v>0.46100000000000002</v>
      </c>
      <c r="Z587" s="121">
        <f>交易记录!AB45</f>
        <v>372</v>
      </c>
      <c r="AA587" s="30">
        <f t="shared" si="281"/>
        <v>0</v>
      </c>
      <c r="AB587" s="124">
        <f>交易记录!AB78</f>
        <v>0</v>
      </c>
      <c r="AC587" s="124">
        <f>交易记录!AB109</f>
        <v>0</v>
      </c>
      <c r="AD587" s="30">
        <f t="shared" si="270"/>
        <v>0</v>
      </c>
      <c r="AE587" s="121">
        <f>交易记录!AB142</f>
        <v>0</v>
      </c>
      <c r="AF587" s="121">
        <f>交易记录!AB173</f>
        <v>0</v>
      </c>
      <c r="AG587" s="30">
        <f t="shared" si="271"/>
        <v>0</v>
      </c>
      <c r="AH587" s="124">
        <f>交易记录!AB206</f>
        <v>0</v>
      </c>
      <c r="AI587" s="124">
        <f>交易记录!AB237</f>
        <v>0</v>
      </c>
      <c r="AJ587" s="30">
        <f t="shared" si="272"/>
        <v>0</v>
      </c>
      <c r="AK587" s="121">
        <f>交易记录!AB270</f>
        <v>0</v>
      </c>
      <c r="AL587" s="121">
        <f>交易记录!AB301</f>
        <v>0</v>
      </c>
      <c r="AM587" s="30">
        <f t="shared" si="273"/>
        <v>0</v>
      </c>
      <c r="AN587" s="124">
        <f>交易记录!AB334</f>
        <v>0</v>
      </c>
      <c r="AO587" s="124">
        <f>交易记录!AB365</f>
        <v>0</v>
      </c>
      <c r="AP587" s="30">
        <f t="shared" si="274"/>
        <v>0</v>
      </c>
      <c r="AQ587" s="121">
        <f>交易记录!AB398</f>
        <v>0</v>
      </c>
      <c r="AR587" s="121">
        <f>交易记录!AB429</f>
        <v>0</v>
      </c>
      <c r="AS587" s="30">
        <f t="shared" si="275"/>
        <v>0</v>
      </c>
      <c r="AT587" s="124">
        <f>交易记录!AB462</f>
        <v>0</v>
      </c>
      <c r="AU587" s="124">
        <f>交易记录!AB493</f>
        <v>0</v>
      </c>
      <c r="AV587" s="30">
        <f t="shared" si="282"/>
        <v>0</v>
      </c>
      <c r="AW587" s="121">
        <f>交易记录!AB526</f>
        <v>0</v>
      </c>
      <c r="AX587" s="121">
        <f>交易记录!AB557</f>
        <v>0</v>
      </c>
      <c r="AY587" s="30">
        <f t="shared" si="283"/>
        <v>0</v>
      </c>
      <c r="AZ587" s="124">
        <f>交易记录!AB590</f>
        <v>0</v>
      </c>
      <c r="BA587" s="124">
        <f>交易记录!AB621</f>
        <v>0</v>
      </c>
      <c r="BB587" s="30">
        <f t="shared" si="284"/>
        <v>0</v>
      </c>
      <c r="BC587" s="121">
        <f>交易记录!AB654</f>
        <v>0</v>
      </c>
      <c r="BD587" s="121">
        <f>交易记录!AB685</f>
        <v>0</v>
      </c>
      <c r="BE587" s="30">
        <f t="shared" si="285"/>
        <v>0</v>
      </c>
      <c r="BF587" s="124">
        <f>交易记录!AB718</f>
        <v>0</v>
      </c>
      <c r="BG587" s="124">
        <f>交易记录!AB749</f>
        <v>0</v>
      </c>
      <c r="BH587" s="30">
        <f t="shared" si="286"/>
        <v>0</v>
      </c>
      <c r="BI587" s="121">
        <f>交易记录!AB782</f>
        <v>0</v>
      </c>
      <c r="BJ587" s="121">
        <f>交易记录!AB813</f>
        <v>0</v>
      </c>
      <c r="BK587" s="30">
        <f t="shared" si="287"/>
        <v>0</v>
      </c>
      <c r="BL587" s="124">
        <f>交易记录!AB846</f>
        <v>0</v>
      </c>
      <c r="BM587" s="124">
        <f>交易记录!AB877</f>
        <v>0</v>
      </c>
      <c r="BN587" s="30">
        <f t="shared" si="288"/>
        <v>0</v>
      </c>
      <c r="BO587" s="121">
        <f>交易记录!AB910</f>
        <v>0</v>
      </c>
      <c r="BP587" s="121">
        <f>交易记录!AB941</f>
        <v>0</v>
      </c>
      <c r="BQ587" s="30">
        <f t="shared" si="289"/>
        <v>0</v>
      </c>
    </row>
    <row r="588" spans="1:69" ht="15">
      <c r="A588" s="125">
        <f>'维护-日期'!A$27</f>
        <v>46290</v>
      </c>
      <c r="B588" s="7" t="s">
        <v>16</v>
      </c>
      <c r="C588" s="144">
        <f t="shared" si="290"/>
        <v>21.01</v>
      </c>
      <c r="D588" s="144">
        <f>ROUND(INDEX(持仓数据!$C$3:$AG$26,MATCH('计算过程-数据汇总'!B588,持仓数据!$B$3:$B$26,0),MATCH('计算过程-数据汇总'!A588,'维护-日期'!$B$2:$AF$2,0)),3)</f>
        <v>21.01</v>
      </c>
      <c r="E588" s="98">
        <f t="shared" si="291"/>
        <v>21.01</v>
      </c>
      <c r="F588" s="22">
        <f>持仓数据!AA82</f>
        <v>0.46700000000000003</v>
      </c>
      <c r="G588" s="97">
        <v>372</v>
      </c>
      <c r="H588" s="97">
        <v>372</v>
      </c>
      <c r="I588" s="64">
        <v>0</v>
      </c>
      <c r="J588" s="64">
        <v>0</v>
      </c>
      <c r="K588" s="21">
        <f>IF(持仓数据!AA115="",0,持仓数据!AA115)</f>
        <v>372</v>
      </c>
      <c r="L588" s="21">
        <f t="shared" si="292"/>
        <v>0</v>
      </c>
      <c r="M588" s="28">
        <f t="shared" si="276"/>
        <v>7815.72</v>
      </c>
      <c r="N588" s="28">
        <f t="shared" si="277"/>
        <v>0</v>
      </c>
      <c r="O588" s="28">
        <f t="shared" si="278"/>
        <v>0</v>
      </c>
      <c r="P588" s="28">
        <f t="shared" si="279"/>
        <v>0</v>
      </c>
      <c r="Q588" s="28">
        <f t="shared" si="293"/>
        <v>0</v>
      </c>
      <c r="R588" s="28">
        <f t="shared" si="280"/>
        <v>7815.72</v>
      </c>
      <c r="S588" s="28">
        <f t="shared" si="294"/>
        <v>0</v>
      </c>
      <c r="T588" s="28">
        <f t="shared" si="295"/>
        <v>0</v>
      </c>
      <c r="U588" s="28">
        <f t="shared" si="298"/>
        <v>0</v>
      </c>
      <c r="V588" s="28">
        <f t="shared" si="296"/>
        <v>0</v>
      </c>
      <c r="W588" s="118"/>
      <c r="X588" s="143">
        <f t="shared" si="297"/>
        <v>24.745000000000001</v>
      </c>
      <c r="Y588" s="121">
        <f>交易记录!AB15</f>
        <v>0.46700000000000003</v>
      </c>
      <c r="Z588" s="121">
        <f>交易记录!AB46</f>
        <v>372</v>
      </c>
      <c r="AA588" s="30">
        <f t="shared" si="281"/>
        <v>0</v>
      </c>
      <c r="AB588" s="124">
        <f>交易记录!AB79</f>
        <v>0</v>
      </c>
      <c r="AC588" s="124">
        <f>交易记录!AB110</f>
        <v>0</v>
      </c>
      <c r="AD588" s="30">
        <f t="shared" si="270"/>
        <v>0</v>
      </c>
      <c r="AE588" s="121">
        <f>交易记录!AB143</f>
        <v>0</v>
      </c>
      <c r="AF588" s="121">
        <f>交易记录!AB174</f>
        <v>0</v>
      </c>
      <c r="AG588" s="30">
        <f t="shared" si="271"/>
        <v>0</v>
      </c>
      <c r="AH588" s="124">
        <f>交易记录!AB207</f>
        <v>0</v>
      </c>
      <c r="AI588" s="124">
        <f>交易记录!AB238</f>
        <v>0</v>
      </c>
      <c r="AJ588" s="30">
        <f t="shared" si="272"/>
        <v>0</v>
      </c>
      <c r="AK588" s="121">
        <f>交易记录!AB271</f>
        <v>0</v>
      </c>
      <c r="AL588" s="121">
        <f>交易记录!AB302</f>
        <v>0</v>
      </c>
      <c r="AM588" s="30">
        <f t="shared" si="273"/>
        <v>0</v>
      </c>
      <c r="AN588" s="124">
        <f>交易记录!AB335</f>
        <v>0</v>
      </c>
      <c r="AO588" s="124">
        <f>交易记录!AB366</f>
        <v>0</v>
      </c>
      <c r="AP588" s="30">
        <f t="shared" si="274"/>
        <v>0</v>
      </c>
      <c r="AQ588" s="121">
        <f>交易记录!AB399</f>
        <v>0</v>
      </c>
      <c r="AR588" s="121">
        <f>交易记录!AB430</f>
        <v>0</v>
      </c>
      <c r="AS588" s="30">
        <f t="shared" si="275"/>
        <v>0</v>
      </c>
      <c r="AT588" s="124">
        <f>交易记录!AB463</f>
        <v>0</v>
      </c>
      <c r="AU588" s="124">
        <f>交易记录!AB494</f>
        <v>0</v>
      </c>
      <c r="AV588" s="30">
        <f t="shared" si="282"/>
        <v>0</v>
      </c>
      <c r="AW588" s="121">
        <f>交易记录!AB527</f>
        <v>0</v>
      </c>
      <c r="AX588" s="121">
        <f>交易记录!AB558</f>
        <v>0</v>
      </c>
      <c r="AY588" s="30">
        <f t="shared" si="283"/>
        <v>0</v>
      </c>
      <c r="AZ588" s="124">
        <f>交易记录!AB591</f>
        <v>0</v>
      </c>
      <c r="BA588" s="124">
        <f>交易记录!AB622</f>
        <v>0</v>
      </c>
      <c r="BB588" s="30">
        <f t="shared" si="284"/>
        <v>0</v>
      </c>
      <c r="BC588" s="121">
        <f>交易记录!AB655</f>
        <v>0</v>
      </c>
      <c r="BD588" s="121">
        <f>交易记录!AB686</f>
        <v>0</v>
      </c>
      <c r="BE588" s="30">
        <f t="shared" si="285"/>
        <v>0</v>
      </c>
      <c r="BF588" s="124">
        <f>交易记录!AB719</f>
        <v>0</v>
      </c>
      <c r="BG588" s="124">
        <f>交易记录!AB750</f>
        <v>0</v>
      </c>
      <c r="BH588" s="30">
        <f t="shared" si="286"/>
        <v>0</v>
      </c>
      <c r="BI588" s="121">
        <f>交易记录!AB783</f>
        <v>0</v>
      </c>
      <c r="BJ588" s="121">
        <f>交易记录!AB814</f>
        <v>0</v>
      </c>
      <c r="BK588" s="30">
        <f t="shared" si="287"/>
        <v>0</v>
      </c>
      <c r="BL588" s="124">
        <f>交易记录!AB847</f>
        <v>0</v>
      </c>
      <c r="BM588" s="124">
        <f>交易记录!AB878</f>
        <v>0</v>
      </c>
      <c r="BN588" s="30">
        <f t="shared" si="288"/>
        <v>0</v>
      </c>
      <c r="BO588" s="121">
        <f>交易记录!AB911</f>
        <v>0</v>
      </c>
      <c r="BP588" s="121">
        <f>交易记录!AB942</f>
        <v>0</v>
      </c>
      <c r="BQ588" s="30">
        <f t="shared" si="289"/>
        <v>0</v>
      </c>
    </row>
    <row r="589" spans="1:69" ht="15">
      <c r="A589" s="125">
        <f>'维护-日期'!A$27</f>
        <v>46290</v>
      </c>
      <c r="B589" s="7" t="s">
        <v>17</v>
      </c>
      <c r="C589" s="144">
        <f t="shared" si="290"/>
        <v>21.329000000000001</v>
      </c>
      <c r="D589" s="144">
        <f>ROUND(INDEX(持仓数据!$C$3:$AG$26,MATCH('计算过程-数据汇总'!B589,持仓数据!$B$3:$B$26,0),MATCH('计算过程-数据汇总'!A589,'维护-日期'!$B$2:$AF$2,0)),3)</f>
        <v>21.329000000000001</v>
      </c>
      <c r="E589" s="98">
        <f t="shared" si="291"/>
        <v>21.329000000000001</v>
      </c>
      <c r="F589" s="22">
        <f>持仓数据!AA83</f>
        <v>0.32100000000000001</v>
      </c>
      <c r="G589" s="97">
        <v>372</v>
      </c>
      <c r="H589" s="97">
        <v>372</v>
      </c>
      <c r="I589" s="64">
        <v>0</v>
      </c>
      <c r="J589" s="64">
        <v>0</v>
      </c>
      <c r="K589" s="21">
        <f>IF(持仓数据!AA116="",0,持仓数据!AA116)</f>
        <v>372</v>
      </c>
      <c r="L589" s="21">
        <f t="shared" si="292"/>
        <v>0</v>
      </c>
      <c r="M589" s="28">
        <f t="shared" si="276"/>
        <v>7934.3879999999999</v>
      </c>
      <c r="N589" s="28">
        <f t="shared" si="277"/>
        <v>0</v>
      </c>
      <c r="O589" s="28">
        <f t="shared" si="278"/>
        <v>0</v>
      </c>
      <c r="P589" s="28">
        <f t="shared" si="279"/>
        <v>0</v>
      </c>
      <c r="Q589" s="28">
        <f t="shared" si="293"/>
        <v>0</v>
      </c>
      <c r="R589" s="28">
        <f t="shared" si="280"/>
        <v>7934.3879999999999</v>
      </c>
      <c r="S589" s="28">
        <f t="shared" si="294"/>
        <v>0</v>
      </c>
      <c r="T589" s="28">
        <f t="shared" si="295"/>
        <v>0</v>
      </c>
      <c r="U589" s="28">
        <f t="shared" si="298"/>
        <v>0</v>
      </c>
      <c r="V589" s="28">
        <f t="shared" si="296"/>
        <v>0</v>
      </c>
      <c r="W589" s="118"/>
      <c r="X589" s="143">
        <f t="shared" si="297"/>
        <v>25.274000000000001</v>
      </c>
      <c r="Y589" s="121">
        <f>交易记录!AB16</f>
        <v>0.32100000000000001</v>
      </c>
      <c r="Z589" s="121">
        <f>交易记录!AB47</f>
        <v>372</v>
      </c>
      <c r="AA589" s="30">
        <f t="shared" si="281"/>
        <v>0</v>
      </c>
      <c r="AB589" s="124">
        <f>交易记录!AB80</f>
        <v>0</v>
      </c>
      <c r="AC589" s="124">
        <f>交易记录!AB111</f>
        <v>0</v>
      </c>
      <c r="AD589" s="30">
        <f t="shared" si="270"/>
        <v>0</v>
      </c>
      <c r="AE589" s="121">
        <f>交易记录!AB144</f>
        <v>0</v>
      </c>
      <c r="AF589" s="121">
        <f>交易记录!AB175</f>
        <v>0</v>
      </c>
      <c r="AG589" s="30">
        <f t="shared" si="271"/>
        <v>0</v>
      </c>
      <c r="AH589" s="124">
        <f>交易记录!AB208</f>
        <v>0</v>
      </c>
      <c r="AI589" s="124">
        <f>交易记录!AB239</f>
        <v>0</v>
      </c>
      <c r="AJ589" s="30">
        <f t="shared" si="272"/>
        <v>0</v>
      </c>
      <c r="AK589" s="121">
        <f>交易记录!AB272</f>
        <v>0</v>
      </c>
      <c r="AL589" s="121">
        <f>交易记录!AB303</f>
        <v>0</v>
      </c>
      <c r="AM589" s="30">
        <f t="shared" si="273"/>
        <v>0</v>
      </c>
      <c r="AN589" s="124">
        <f>交易记录!AB336</f>
        <v>0</v>
      </c>
      <c r="AO589" s="124">
        <f>交易记录!AB367</f>
        <v>0</v>
      </c>
      <c r="AP589" s="30">
        <f t="shared" si="274"/>
        <v>0</v>
      </c>
      <c r="AQ589" s="121">
        <f>交易记录!AB400</f>
        <v>0</v>
      </c>
      <c r="AR589" s="121">
        <f>交易记录!AB431</f>
        <v>0</v>
      </c>
      <c r="AS589" s="30">
        <f t="shared" si="275"/>
        <v>0</v>
      </c>
      <c r="AT589" s="124">
        <f>交易记录!AB464</f>
        <v>0</v>
      </c>
      <c r="AU589" s="124">
        <f>交易记录!AB495</f>
        <v>0</v>
      </c>
      <c r="AV589" s="30">
        <f t="shared" si="282"/>
        <v>0</v>
      </c>
      <c r="AW589" s="121">
        <f>交易记录!AB528</f>
        <v>0</v>
      </c>
      <c r="AX589" s="121">
        <f>交易记录!AB559</f>
        <v>0</v>
      </c>
      <c r="AY589" s="30">
        <f t="shared" si="283"/>
        <v>0</v>
      </c>
      <c r="AZ589" s="124">
        <f>交易记录!AB592</f>
        <v>0</v>
      </c>
      <c r="BA589" s="124">
        <f>交易记录!AB623</f>
        <v>0</v>
      </c>
      <c r="BB589" s="30">
        <f t="shared" si="284"/>
        <v>0</v>
      </c>
      <c r="BC589" s="121">
        <f>交易记录!AB656</f>
        <v>0</v>
      </c>
      <c r="BD589" s="121">
        <f>交易记录!AB687</f>
        <v>0</v>
      </c>
      <c r="BE589" s="30">
        <f t="shared" si="285"/>
        <v>0</v>
      </c>
      <c r="BF589" s="124">
        <f>交易记录!AB720</f>
        <v>0</v>
      </c>
      <c r="BG589" s="124">
        <f>交易记录!AB751</f>
        <v>0</v>
      </c>
      <c r="BH589" s="30">
        <f t="shared" si="286"/>
        <v>0</v>
      </c>
      <c r="BI589" s="121">
        <f>交易记录!AB784</f>
        <v>0</v>
      </c>
      <c r="BJ589" s="121">
        <f>交易记录!AB815</f>
        <v>0</v>
      </c>
      <c r="BK589" s="30">
        <f t="shared" si="287"/>
        <v>0</v>
      </c>
      <c r="BL589" s="124">
        <f>交易记录!AB848</f>
        <v>0</v>
      </c>
      <c r="BM589" s="124">
        <f>交易记录!AB879</f>
        <v>0</v>
      </c>
      <c r="BN589" s="30">
        <f t="shared" si="288"/>
        <v>0</v>
      </c>
      <c r="BO589" s="121">
        <f>交易记录!AB912</f>
        <v>0</v>
      </c>
      <c r="BP589" s="121">
        <f>交易记录!AB943</f>
        <v>0</v>
      </c>
      <c r="BQ589" s="30">
        <f t="shared" si="289"/>
        <v>0</v>
      </c>
    </row>
    <row r="590" spans="1:69" ht="15">
      <c r="A590" s="125">
        <f>'维护-日期'!A$27</f>
        <v>46290</v>
      </c>
      <c r="B590" s="7" t="s">
        <v>18</v>
      </c>
      <c r="C590" s="144">
        <f t="shared" si="290"/>
        <v>22.643999999999998</v>
      </c>
      <c r="D590" s="144">
        <f>ROUND(INDEX(持仓数据!$C$3:$AG$26,MATCH('计算过程-数据汇总'!B590,持仓数据!$B$3:$B$26,0),MATCH('计算过程-数据汇总'!A590,'维护-日期'!$B$2:$AF$2,0)),3)</f>
        <v>22.643999999999998</v>
      </c>
      <c r="E590" s="98">
        <f t="shared" si="291"/>
        <v>22.643999999999998</v>
      </c>
      <c r="F590" s="22">
        <f>持仓数据!AA84</f>
        <v>7.8E-2</v>
      </c>
      <c r="G590" s="97">
        <v>372</v>
      </c>
      <c r="H590" s="97">
        <v>372</v>
      </c>
      <c r="I590" s="64">
        <v>0</v>
      </c>
      <c r="J590" s="64">
        <v>0</v>
      </c>
      <c r="K590" s="21">
        <f>IF(持仓数据!AA117="",0,持仓数据!AA117)</f>
        <v>372</v>
      </c>
      <c r="L590" s="21">
        <f t="shared" si="292"/>
        <v>0</v>
      </c>
      <c r="M590" s="28">
        <f t="shared" si="276"/>
        <v>8423.5679999999993</v>
      </c>
      <c r="N590" s="28">
        <f t="shared" si="277"/>
        <v>0</v>
      </c>
      <c r="O590" s="28">
        <f t="shared" si="278"/>
        <v>0</v>
      </c>
      <c r="P590" s="28">
        <f t="shared" si="279"/>
        <v>0</v>
      </c>
      <c r="Q590" s="28">
        <f t="shared" si="293"/>
        <v>0</v>
      </c>
      <c r="R590" s="28">
        <f t="shared" si="280"/>
        <v>8423.5679999999993</v>
      </c>
      <c r="S590" s="28">
        <f t="shared" si="294"/>
        <v>0</v>
      </c>
      <c r="T590" s="28">
        <f t="shared" si="295"/>
        <v>0</v>
      </c>
      <c r="U590" s="28">
        <f t="shared" si="298"/>
        <v>0</v>
      </c>
      <c r="V590" s="28">
        <f t="shared" si="296"/>
        <v>0</v>
      </c>
      <c r="W590" s="118"/>
      <c r="X590" s="143">
        <f t="shared" si="297"/>
        <v>27.094999999999999</v>
      </c>
      <c r="Y590" s="121">
        <f>交易记录!AB17</f>
        <v>7.8E-2</v>
      </c>
      <c r="Z590" s="121">
        <f>交易记录!AB48</f>
        <v>372</v>
      </c>
      <c r="AA590" s="30">
        <f t="shared" si="281"/>
        <v>0</v>
      </c>
      <c r="AB590" s="124">
        <f>交易记录!AB81</f>
        <v>0</v>
      </c>
      <c r="AC590" s="124">
        <f>交易记录!AB112</f>
        <v>0</v>
      </c>
      <c r="AD590" s="30">
        <f t="shared" si="270"/>
        <v>0</v>
      </c>
      <c r="AE590" s="121">
        <f>交易记录!AB145</f>
        <v>0</v>
      </c>
      <c r="AF590" s="121">
        <f>交易记录!AB176</f>
        <v>0</v>
      </c>
      <c r="AG590" s="30">
        <f t="shared" si="271"/>
        <v>0</v>
      </c>
      <c r="AH590" s="124">
        <f>交易记录!AB209</f>
        <v>0</v>
      </c>
      <c r="AI590" s="124">
        <f>交易记录!AB240</f>
        <v>0</v>
      </c>
      <c r="AJ590" s="30">
        <f t="shared" si="272"/>
        <v>0</v>
      </c>
      <c r="AK590" s="121">
        <f>交易记录!AB273</f>
        <v>0</v>
      </c>
      <c r="AL590" s="121">
        <f>交易记录!AB304</f>
        <v>0</v>
      </c>
      <c r="AM590" s="30">
        <f t="shared" si="273"/>
        <v>0</v>
      </c>
      <c r="AN590" s="124">
        <f>交易记录!AB337</f>
        <v>0</v>
      </c>
      <c r="AO590" s="124">
        <f>交易记录!AB368</f>
        <v>0</v>
      </c>
      <c r="AP590" s="30">
        <f t="shared" si="274"/>
        <v>0</v>
      </c>
      <c r="AQ590" s="121">
        <f>交易记录!AB401</f>
        <v>0</v>
      </c>
      <c r="AR590" s="121">
        <f>交易记录!AB432</f>
        <v>0</v>
      </c>
      <c r="AS590" s="30">
        <f t="shared" si="275"/>
        <v>0</v>
      </c>
      <c r="AT590" s="124">
        <f>交易记录!AB465</f>
        <v>0</v>
      </c>
      <c r="AU590" s="124">
        <f>交易记录!AB496</f>
        <v>0</v>
      </c>
      <c r="AV590" s="30">
        <f t="shared" si="282"/>
        <v>0</v>
      </c>
      <c r="AW590" s="121">
        <f>交易记录!AB529</f>
        <v>0</v>
      </c>
      <c r="AX590" s="121">
        <f>交易记录!AB560</f>
        <v>0</v>
      </c>
      <c r="AY590" s="30">
        <f t="shared" si="283"/>
        <v>0</v>
      </c>
      <c r="AZ590" s="124">
        <f>交易记录!AB593</f>
        <v>0</v>
      </c>
      <c r="BA590" s="124">
        <f>交易记录!AB624</f>
        <v>0</v>
      </c>
      <c r="BB590" s="30">
        <f t="shared" si="284"/>
        <v>0</v>
      </c>
      <c r="BC590" s="121">
        <f>交易记录!AB657</f>
        <v>0</v>
      </c>
      <c r="BD590" s="121">
        <f>交易记录!AB688</f>
        <v>0</v>
      </c>
      <c r="BE590" s="30">
        <f t="shared" si="285"/>
        <v>0</v>
      </c>
      <c r="BF590" s="124">
        <f>交易记录!AB721</f>
        <v>0</v>
      </c>
      <c r="BG590" s="124">
        <f>交易记录!AB752</f>
        <v>0</v>
      </c>
      <c r="BH590" s="30">
        <f t="shared" si="286"/>
        <v>0</v>
      </c>
      <c r="BI590" s="121">
        <f>交易记录!AB785</f>
        <v>0</v>
      </c>
      <c r="BJ590" s="121">
        <f>交易记录!AB816</f>
        <v>0</v>
      </c>
      <c r="BK590" s="30">
        <f t="shared" si="287"/>
        <v>0</v>
      </c>
      <c r="BL590" s="124">
        <f>交易记录!AB849</f>
        <v>0</v>
      </c>
      <c r="BM590" s="124">
        <f>交易记录!AB880</f>
        <v>0</v>
      </c>
      <c r="BN590" s="30">
        <f t="shared" si="288"/>
        <v>0</v>
      </c>
      <c r="BO590" s="121">
        <f>交易记录!AB913</f>
        <v>0</v>
      </c>
      <c r="BP590" s="121">
        <f>交易记录!AB944</f>
        <v>0</v>
      </c>
      <c r="BQ590" s="30">
        <f t="shared" si="289"/>
        <v>0</v>
      </c>
    </row>
    <row r="591" spans="1:69" ht="15">
      <c r="A591" s="125">
        <f>'维护-日期'!A$27</f>
        <v>46290</v>
      </c>
      <c r="B591" s="7" t="s">
        <v>19</v>
      </c>
      <c r="C591" s="144">
        <f t="shared" si="290"/>
        <v>22.904</v>
      </c>
      <c r="D591" s="144">
        <f>ROUND(INDEX(持仓数据!$C$3:$AG$26,MATCH('计算过程-数据汇总'!B591,持仓数据!$B$3:$B$26,0),MATCH('计算过程-数据汇总'!A591,'维护-日期'!$B$2:$AF$2,0)),3)</f>
        <v>22.904</v>
      </c>
      <c r="E591" s="98">
        <f t="shared" si="291"/>
        <v>22.904</v>
      </c>
      <c r="F591" s="22">
        <f>持仓数据!AA85</f>
        <v>0.19500000000000001</v>
      </c>
      <c r="G591" s="97">
        <v>372</v>
      </c>
      <c r="H591" s="97">
        <v>372</v>
      </c>
      <c r="I591" s="64">
        <v>0</v>
      </c>
      <c r="J591" s="64">
        <v>0</v>
      </c>
      <c r="K591" s="21">
        <f>IF(持仓数据!AA118="",0,持仓数据!AA118)</f>
        <v>372</v>
      </c>
      <c r="L591" s="21">
        <f t="shared" si="292"/>
        <v>0</v>
      </c>
      <c r="M591" s="28">
        <f t="shared" si="276"/>
        <v>8520.2880000000005</v>
      </c>
      <c r="N591" s="28">
        <f t="shared" si="277"/>
        <v>0</v>
      </c>
      <c r="O591" s="28">
        <f t="shared" si="278"/>
        <v>0</v>
      </c>
      <c r="P591" s="28">
        <f t="shared" si="279"/>
        <v>0</v>
      </c>
      <c r="Q591" s="28">
        <f t="shared" si="293"/>
        <v>0</v>
      </c>
      <c r="R591" s="28">
        <f t="shared" si="280"/>
        <v>8520.2880000000005</v>
      </c>
      <c r="S591" s="28">
        <f t="shared" si="294"/>
        <v>0</v>
      </c>
      <c r="T591" s="28">
        <f t="shared" si="295"/>
        <v>0</v>
      </c>
      <c r="U591" s="28">
        <f t="shared" si="298"/>
        <v>0</v>
      </c>
      <c r="V591" s="28">
        <f t="shared" si="296"/>
        <v>0</v>
      </c>
      <c r="W591" s="118"/>
      <c r="X591" s="143">
        <f t="shared" si="297"/>
        <v>27.29</v>
      </c>
      <c r="Y591" s="121">
        <f>交易记录!AB18</f>
        <v>0.19500000000000001</v>
      </c>
      <c r="Z591" s="121">
        <f>交易记录!AB49</f>
        <v>372</v>
      </c>
      <c r="AA591" s="30">
        <f t="shared" si="281"/>
        <v>0</v>
      </c>
      <c r="AB591" s="124">
        <f>交易记录!AB82</f>
        <v>0</v>
      </c>
      <c r="AC591" s="124">
        <f>交易记录!AB113</f>
        <v>0</v>
      </c>
      <c r="AD591" s="30">
        <f t="shared" si="270"/>
        <v>0</v>
      </c>
      <c r="AE591" s="121">
        <f>交易记录!AB146</f>
        <v>0</v>
      </c>
      <c r="AF591" s="121">
        <f>交易记录!AB177</f>
        <v>0</v>
      </c>
      <c r="AG591" s="30">
        <f t="shared" si="271"/>
        <v>0</v>
      </c>
      <c r="AH591" s="124">
        <f>交易记录!AB210</f>
        <v>0</v>
      </c>
      <c r="AI591" s="124">
        <f>交易记录!AB241</f>
        <v>0</v>
      </c>
      <c r="AJ591" s="30">
        <f t="shared" si="272"/>
        <v>0</v>
      </c>
      <c r="AK591" s="121">
        <f>交易记录!AB274</f>
        <v>0</v>
      </c>
      <c r="AL591" s="121">
        <f>交易记录!AB305</f>
        <v>0</v>
      </c>
      <c r="AM591" s="30">
        <f t="shared" si="273"/>
        <v>0</v>
      </c>
      <c r="AN591" s="124">
        <f>交易记录!AB338</f>
        <v>0</v>
      </c>
      <c r="AO591" s="124">
        <f>交易记录!AB369</f>
        <v>0</v>
      </c>
      <c r="AP591" s="30">
        <f t="shared" si="274"/>
        <v>0</v>
      </c>
      <c r="AQ591" s="121">
        <f>交易记录!AB402</f>
        <v>0</v>
      </c>
      <c r="AR591" s="121">
        <f>交易记录!AB433</f>
        <v>0</v>
      </c>
      <c r="AS591" s="30">
        <f t="shared" si="275"/>
        <v>0</v>
      </c>
      <c r="AT591" s="124">
        <f>交易记录!AB466</f>
        <v>0</v>
      </c>
      <c r="AU591" s="124">
        <f>交易记录!AB497</f>
        <v>0</v>
      </c>
      <c r="AV591" s="30">
        <f t="shared" si="282"/>
        <v>0</v>
      </c>
      <c r="AW591" s="121">
        <f>交易记录!AB530</f>
        <v>0</v>
      </c>
      <c r="AX591" s="121">
        <f>交易记录!AB561</f>
        <v>0</v>
      </c>
      <c r="AY591" s="30">
        <f t="shared" si="283"/>
        <v>0</v>
      </c>
      <c r="AZ591" s="124">
        <f>交易记录!AB594</f>
        <v>0</v>
      </c>
      <c r="BA591" s="124">
        <f>交易记录!AB625</f>
        <v>0</v>
      </c>
      <c r="BB591" s="30">
        <f t="shared" si="284"/>
        <v>0</v>
      </c>
      <c r="BC591" s="121">
        <f>交易记录!AB658</f>
        <v>0</v>
      </c>
      <c r="BD591" s="121">
        <f>交易记录!AB689</f>
        <v>0</v>
      </c>
      <c r="BE591" s="30">
        <f t="shared" si="285"/>
        <v>0</v>
      </c>
      <c r="BF591" s="124">
        <f>交易记录!AB722</f>
        <v>0</v>
      </c>
      <c r="BG591" s="124">
        <f>交易记录!AB753</f>
        <v>0</v>
      </c>
      <c r="BH591" s="30">
        <f t="shared" si="286"/>
        <v>0</v>
      </c>
      <c r="BI591" s="121">
        <f>交易记录!AB786</f>
        <v>0</v>
      </c>
      <c r="BJ591" s="121">
        <f>交易记录!AB817</f>
        <v>0</v>
      </c>
      <c r="BK591" s="30">
        <f t="shared" si="287"/>
        <v>0</v>
      </c>
      <c r="BL591" s="124">
        <f>交易记录!AB850</f>
        <v>0</v>
      </c>
      <c r="BM591" s="124">
        <f>交易记录!AB881</f>
        <v>0</v>
      </c>
      <c r="BN591" s="30">
        <f t="shared" si="288"/>
        <v>0</v>
      </c>
      <c r="BO591" s="121">
        <f>交易记录!AB914</f>
        <v>0</v>
      </c>
      <c r="BP591" s="121">
        <f>交易记录!AB945</f>
        <v>0</v>
      </c>
      <c r="BQ591" s="30">
        <f t="shared" si="289"/>
        <v>0</v>
      </c>
    </row>
    <row r="592" spans="1:69" ht="15">
      <c r="A592" s="125">
        <f>'维护-日期'!A$27</f>
        <v>46290</v>
      </c>
      <c r="B592" s="7" t="s">
        <v>20</v>
      </c>
      <c r="C592" s="144">
        <f t="shared" si="290"/>
        <v>22.071000000000002</v>
      </c>
      <c r="D592" s="144">
        <f>ROUND(INDEX(持仓数据!$C$3:$AG$26,MATCH('计算过程-数据汇总'!B592,持仓数据!$B$3:$B$26,0),MATCH('计算过程-数据汇总'!A592,'维护-日期'!$B$2:$AF$2,0)),3)</f>
        <v>22.071000000000002</v>
      </c>
      <c r="E592" s="98">
        <f t="shared" si="291"/>
        <v>22.071000000000002</v>
      </c>
      <c r="F592" s="22">
        <f>持仓数据!AA86</f>
        <v>0.34599999999999997</v>
      </c>
      <c r="G592" s="97">
        <v>372</v>
      </c>
      <c r="H592" s="97">
        <v>372</v>
      </c>
      <c r="I592" s="64">
        <v>0</v>
      </c>
      <c r="J592" s="64">
        <v>0</v>
      </c>
      <c r="K592" s="21">
        <f>IF(持仓数据!AA119="",0,持仓数据!AA119)</f>
        <v>372</v>
      </c>
      <c r="L592" s="21">
        <f t="shared" si="292"/>
        <v>0</v>
      </c>
      <c r="M592" s="28">
        <f t="shared" si="276"/>
        <v>8210.4120000000003</v>
      </c>
      <c r="N592" s="28">
        <f t="shared" si="277"/>
        <v>0</v>
      </c>
      <c r="O592" s="28">
        <f t="shared" si="278"/>
        <v>0</v>
      </c>
      <c r="P592" s="28">
        <f t="shared" si="279"/>
        <v>0</v>
      </c>
      <c r="Q592" s="28">
        <f t="shared" si="293"/>
        <v>0</v>
      </c>
      <c r="R592" s="28">
        <f t="shared" si="280"/>
        <v>8210.4120000000003</v>
      </c>
      <c r="S592" s="28">
        <f t="shared" si="294"/>
        <v>0</v>
      </c>
      <c r="T592" s="28">
        <f t="shared" si="295"/>
        <v>0</v>
      </c>
      <c r="U592" s="28">
        <f t="shared" si="298"/>
        <v>0</v>
      </c>
      <c r="V592" s="28">
        <f t="shared" si="296"/>
        <v>0</v>
      </c>
      <c r="W592" s="118"/>
      <c r="X592" s="143">
        <f t="shared" si="297"/>
        <v>26.138999999999999</v>
      </c>
      <c r="Y592" s="121">
        <f>交易记录!AB19</f>
        <v>0.34599999999999997</v>
      </c>
      <c r="Z592" s="121">
        <f>交易记录!AB50</f>
        <v>372</v>
      </c>
      <c r="AA592" s="30">
        <f t="shared" si="281"/>
        <v>0</v>
      </c>
      <c r="AB592" s="124">
        <f>交易记录!AB83</f>
        <v>0</v>
      </c>
      <c r="AC592" s="124">
        <f>交易记录!AB114</f>
        <v>0</v>
      </c>
      <c r="AD592" s="30">
        <f t="shared" si="270"/>
        <v>0</v>
      </c>
      <c r="AE592" s="121">
        <f>交易记录!AB147</f>
        <v>0</v>
      </c>
      <c r="AF592" s="121">
        <f>交易记录!AB178</f>
        <v>0</v>
      </c>
      <c r="AG592" s="30">
        <f t="shared" si="271"/>
        <v>0</v>
      </c>
      <c r="AH592" s="124">
        <f>交易记录!AB211</f>
        <v>0</v>
      </c>
      <c r="AI592" s="124">
        <f>交易记录!AB242</f>
        <v>0</v>
      </c>
      <c r="AJ592" s="30">
        <f t="shared" si="272"/>
        <v>0</v>
      </c>
      <c r="AK592" s="121">
        <f>交易记录!AB275</f>
        <v>0</v>
      </c>
      <c r="AL592" s="121">
        <f>交易记录!AB306</f>
        <v>0</v>
      </c>
      <c r="AM592" s="30">
        <f t="shared" si="273"/>
        <v>0</v>
      </c>
      <c r="AN592" s="124">
        <f>交易记录!AB339</f>
        <v>0</v>
      </c>
      <c r="AO592" s="124">
        <f>交易记录!AB370</f>
        <v>0</v>
      </c>
      <c r="AP592" s="30">
        <f t="shared" si="274"/>
        <v>0</v>
      </c>
      <c r="AQ592" s="121">
        <f>交易记录!AB403</f>
        <v>0</v>
      </c>
      <c r="AR592" s="121">
        <f>交易记录!AB434</f>
        <v>0</v>
      </c>
      <c r="AS592" s="30">
        <f t="shared" si="275"/>
        <v>0</v>
      </c>
      <c r="AT592" s="124">
        <f>交易记录!AB467</f>
        <v>0</v>
      </c>
      <c r="AU592" s="124">
        <f>交易记录!AB498</f>
        <v>0</v>
      </c>
      <c r="AV592" s="30">
        <f t="shared" si="282"/>
        <v>0</v>
      </c>
      <c r="AW592" s="121">
        <f>交易记录!AB531</f>
        <v>0</v>
      </c>
      <c r="AX592" s="121">
        <f>交易记录!AB562</f>
        <v>0</v>
      </c>
      <c r="AY592" s="30">
        <f t="shared" si="283"/>
        <v>0</v>
      </c>
      <c r="AZ592" s="124">
        <f>交易记录!AB595</f>
        <v>0</v>
      </c>
      <c r="BA592" s="124">
        <f>交易记录!AB626</f>
        <v>0</v>
      </c>
      <c r="BB592" s="30">
        <f t="shared" si="284"/>
        <v>0</v>
      </c>
      <c r="BC592" s="121">
        <f>交易记录!AB659</f>
        <v>0</v>
      </c>
      <c r="BD592" s="121">
        <f>交易记录!AB690</f>
        <v>0</v>
      </c>
      <c r="BE592" s="30">
        <f t="shared" si="285"/>
        <v>0</v>
      </c>
      <c r="BF592" s="124">
        <f>交易记录!AB723</f>
        <v>0</v>
      </c>
      <c r="BG592" s="124">
        <f>交易记录!AB754</f>
        <v>0</v>
      </c>
      <c r="BH592" s="30">
        <f t="shared" si="286"/>
        <v>0</v>
      </c>
      <c r="BI592" s="121">
        <f>交易记录!AB787</f>
        <v>0</v>
      </c>
      <c r="BJ592" s="121">
        <f>交易记录!AB818</f>
        <v>0</v>
      </c>
      <c r="BK592" s="30">
        <f t="shared" si="287"/>
        <v>0</v>
      </c>
      <c r="BL592" s="124">
        <f>交易记录!AB851</f>
        <v>0</v>
      </c>
      <c r="BM592" s="124">
        <f>交易记录!AB882</f>
        <v>0</v>
      </c>
      <c r="BN592" s="30">
        <f t="shared" si="288"/>
        <v>0</v>
      </c>
      <c r="BO592" s="121">
        <f>交易记录!AB915</f>
        <v>0</v>
      </c>
      <c r="BP592" s="121">
        <f>交易记录!AB946</f>
        <v>0</v>
      </c>
      <c r="BQ592" s="30">
        <f t="shared" si="289"/>
        <v>0</v>
      </c>
    </row>
    <row r="593" spans="1:69" ht="15">
      <c r="A593" s="125">
        <f>'维护-日期'!A$27</f>
        <v>46290</v>
      </c>
      <c r="B593" s="7" t="s">
        <v>21</v>
      </c>
      <c r="C593" s="144">
        <f t="shared" si="290"/>
        <v>22.087</v>
      </c>
      <c r="D593" s="144">
        <f>ROUND(INDEX(持仓数据!$C$3:$AG$26,MATCH('计算过程-数据汇总'!B593,持仓数据!$B$3:$B$26,0),MATCH('计算过程-数据汇总'!A593,'维护-日期'!$B$2:$AF$2,0)),3)</f>
        <v>22.087</v>
      </c>
      <c r="E593" s="98">
        <f t="shared" si="291"/>
        <v>22.087</v>
      </c>
      <c r="F593" s="22">
        <f>持仓数据!AA87</f>
        <v>0.38</v>
      </c>
      <c r="G593" s="97">
        <v>372</v>
      </c>
      <c r="H593" s="97">
        <v>372</v>
      </c>
      <c r="I593" s="64">
        <v>0</v>
      </c>
      <c r="J593" s="64">
        <v>0</v>
      </c>
      <c r="K593" s="21">
        <f>IF(持仓数据!AA120="",0,持仓数据!AA120)</f>
        <v>372.00000000000006</v>
      </c>
      <c r="L593" s="21">
        <f t="shared" si="292"/>
        <v>0</v>
      </c>
      <c r="M593" s="28">
        <f t="shared" si="276"/>
        <v>8216.3639999999996</v>
      </c>
      <c r="N593" s="28">
        <f t="shared" si="277"/>
        <v>0</v>
      </c>
      <c r="O593" s="28">
        <f t="shared" si="278"/>
        <v>0</v>
      </c>
      <c r="P593" s="28">
        <f t="shared" si="279"/>
        <v>2.1600499167107046E-14</v>
      </c>
      <c r="Q593" s="28">
        <f t="shared" si="293"/>
        <v>0</v>
      </c>
      <c r="R593" s="28">
        <f t="shared" si="280"/>
        <v>8216.3640000000014</v>
      </c>
      <c r="S593" s="28">
        <f t="shared" si="294"/>
        <v>0</v>
      </c>
      <c r="T593" s="28">
        <f t="shared" si="295"/>
        <v>-1.2339000932115596E-12</v>
      </c>
      <c r="U593" s="28">
        <f t="shared" si="298"/>
        <v>0</v>
      </c>
      <c r="V593" s="28">
        <f t="shared" si="296"/>
        <v>0</v>
      </c>
      <c r="W593" s="118"/>
      <c r="X593" s="143">
        <f t="shared" si="297"/>
        <v>26.123999999999999</v>
      </c>
      <c r="Y593" s="121">
        <f>交易记录!AB20</f>
        <v>0.38</v>
      </c>
      <c r="Z593" s="121">
        <f>交易记录!AB51</f>
        <v>372</v>
      </c>
      <c r="AA593" s="30">
        <f t="shared" si="281"/>
        <v>0</v>
      </c>
      <c r="AB593" s="124">
        <f>交易记录!AB84</f>
        <v>0</v>
      </c>
      <c r="AC593" s="124">
        <f>交易记录!AB115</f>
        <v>0</v>
      </c>
      <c r="AD593" s="30">
        <f t="shared" si="270"/>
        <v>0</v>
      </c>
      <c r="AE593" s="121">
        <f>交易记录!AB148</f>
        <v>0</v>
      </c>
      <c r="AF593" s="121">
        <f>交易记录!AB179</f>
        <v>0</v>
      </c>
      <c r="AG593" s="30">
        <f t="shared" si="271"/>
        <v>0</v>
      </c>
      <c r="AH593" s="124">
        <f>交易记录!AB212</f>
        <v>0</v>
      </c>
      <c r="AI593" s="124">
        <f>交易记录!AB243</f>
        <v>0</v>
      </c>
      <c r="AJ593" s="30">
        <f t="shared" si="272"/>
        <v>0</v>
      </c>
      <c r="AK593" s="121">
        <f>交易记录!AB276</f>
        <v>0</v>
      </c>
      <c r="AL593" s="121">
        <f>交易记录!AB307</f>
        <v>0</v>
      </c>
      <c r="AM593" s="30">
        <f t="shared" si="273"/>
        <v>0</v>
      </c>
      <c r="AN593" s="124">
        <f>交易记录!AB340</f>
        <v>0</v>
      </c>
      <c r="AO593" s="124">
        <f>交易记录!AB371</f>
        <v>0</v>
      </c>
      <c r="AP593" s="30">
        <f t="shared" si="274"/>
        <v>0</v>
      </c>
      <c r="AQ593" s="121">
        <f>交易记录!AB404</f>
        <v>0</v>
      </c>
      <c r="AR593" s="121">
        <f>交易记录!AB435</f>
        <v>0</v>
      </c>
      <c r="AS593" s="30">
        <f t="shared" si="275"/>
        <v>0</v>
      </c>
      <c r="AT593" s="124">
        <f>交易记录!AB468</f>
        <v>0</v>
      </c>
      <c r="AU593" s="124">
        <f>交易记录!AB499</f>
        <v>0</v>
      </c>
      <c r="AV593" s="30">
        <f t="shared" si="282"/>
        <v>0</v>
      </c>
      <c r="AW593" s="121">
        <f>交易记录!AB532</f>
        <v>0</v>
      </c>
      <c r="AX593" s="121">
        <f>交易记录!AB563</f>
        <v>0</v>
      </c>
      <c r="AY593" s="30">
        <f t="shared" si="283"/>
        <v>0</v>
      </c>
      <c r="AZ593" s="124">
        <f>交易记录!AB596</f>
        <v>0</v>
      </c>
      <c r="BA593" s="124">
        <f>交易记录!AB627</f>
        <v>0</v>
      </c>
      <c r="BB593" s="30">
        <f t="shared" si="284"/>
        <v>0</v>
      </c>
      <c r="BC593" s="121">
        <f>交易记录!AB660</f>
        <v>0</v>
      </c>
      <c r="BD593" s="121">
        <f>交易记录!AB691</f>
        <v>0</v>
      </c>
      <c r="BE593" s="30">
        <f t="shared" si="285"/>
        <v>0</v>
      </c>
      <c r="BF593" s="124">
        <f>交易记录!AB724</f>
        <v>0</v>
      </c>
      <c r="BG593" s="124">
        <f>交易记录!AB755</f>
        <v>0</v>
      </c>
      <c r="BH593" s="30">
        <f t="shared" si="286"/>
        <v>0</v>
      </c>
      <c r="BI593" s="121">
        <f>交易记录!AB788</f>
        <v>0</v>
      </c>
      <c r="BJ593" s="121">
        <f>交易记录!AB819</f>
        <v>0</v>
      </c>
      <c r="BK593" s="30">
        <f t="shared" si="287"/>
        <v>0</v>
      </c>
      <c r="BL593" s="124">
        <f>交易记录!AB852</f>
        <v>0</v>
      </c>
      <c r="BM593" s="124">
        <f>交易记录!AB883</f>
        <v>0</v>
      </c>
      <c r="BN593" s="30">
        <f t="shared" si="288"/>
        <v>0</v>
      </c>
      <c r="BO593" s="121">
        <f>交易记录!AB916</f>
        <v>0</v>
      </c>
      <c r="BP593" s="121">
        <f>交易记录!AB947</f>
        <v>0</v>
      </c>
      <c r="BQ593" s="30">
        <f t="shared" si="289"/>
        <v>0</v>
      </c>
    </row>
    <row r="594" spans="1:69" ht="15">
      <c r="A594" s="125">
        <f>'维护-日期'!A$27</f>
        <v>46290</v>
      </c>
      <c r="B594" s="7" t="s">
        <v>22</v>
      </c>
      <c r="C594" s="144">
        <f t="shared" si="290"/>
        <v>23.077999999999999</v>
      </c>
      <c r="D594" s="144">
        <f>ROUND(INDEX(持仓数据!$C$3:$AG$26,MATCH('计算过程-数据汇总'!B594,持仓数据!$B$3:$B$26,0),MATCH('计算过程-数据汇总'!A594,'维护-日期'!$B$2:$AF$2,0)),3)</f>
        <v>23.077999999999999</v>
      </c>
      <c r="E594" s="98">
        <f t="shared" si="291"/>
        <v>23.077999999999999</v>
      </c>
      <c r="F594" s="22">
        <f>持仓数据!AA88</f>
        <v>0.58600000000000008</v>
      </c>
      <c r="G594" s="97">
        <v>372</v>
      </c>
      <c r="H594" s="97">
        <v>372</v>
      </c>
      <c r="I594" s="64">
        <v>0</v>
      </c>
      <c r="J594" s="64">
        <v>0</v>
      </c>
      <c r="K594" s="21">
        <f>IF(持仓数据!AA121="",0,持仓数据!AA121)</f>
        <v>372</v>
      </c>
      <c r="L594" s="21">
        <f t="shared" si="292"/>
        <v>0</v>
      </c>
      <c r="M594" s="28">
        <f t="shared" si="276"/>
        <v>8585.0159999999996</v>
      </c>
      <c r="N594" s="28">
        <f t="shared" si="277"/>
        <v>0</v>
      </c>
      <c r="O594" s="28">
        <f t="shared" si="278"/>
        <v>0</v>
      </c>
      <c r="P594" s="28">
        <f t="shared" si="279"/>
        <v>0</v>
      </c>
      <c r="Q594" s="28">
        <f t="shared" si="293"/>
        <v>0</v>
      </c>
      <c r="R594" s="28">
        <f t="shared" si="280"/>
        <v>8585.0159999999996</v>
      </c>
      <c r="S594" s="28">
        <f t="shared" si="294"/>
        <v>0</v>
      </c>
      <c r="T594" s="28">
        <f t="shared" si="295"/>
        <v>0</v>
      </c>
      <c r="U594" s="28">
        <f t="shared" si="298"/>
        <v>0</v>
      </c>
      <c r="V594" s="28">
        <f t="shared" si="296"/>
        <v>0</v>
      </c>
      <c r="W594" s="118"/>
      <c r="X594" s="143">
        <f t="shared" si="297"/>
        <v>27.108000000000001</v>
      </c>
      <c r="Y594" s="121">
        <f>交易记录!AB21</f>
        <v>0.58600000000000008</v>
      </c>
      <c r="Z594" s="121">
        <f>交易记录!AB52</f>
        <v>372</v>
      </c>
      <c r="AA594" s="30">
        <f t="shared" si="281"/>
        <v>0</v>
      </c>
      <c r="AB594" s="124">
        <f>交易记录!AB85</f>
        <v>0</v>
      </c>
      <c r="AC594" s="124">
        <f>交易记录!AB116</f>
        <v>0</v>
      </c>
      <c r="AD594" s="30">
        <f t="shared" si="270"/>
        <v>0</v>
      </c>
      <c r="AE594" s="121">
        <f>交易记录!AB149</f>
        <v>0</v>
      </c>
      <c r="AF594" s="121">
        <f>交易记录!AB180</f>
        <v>0</v>
      </c>
      <c r="AG594" s="30">
        <f t="shared" si="271"/>
        <v>0</v>
      </c>
      <c r="AH594" s="124">
        <f>交易记录!AB213</f>
        <v>0</v>
      </c>
      <c r="AI594" s="124">
        <f>交易记录!AB244</f>
        <v>0</v>
      </c>
      <c r="AJ594" s="30">
        <f t="shared" si="272"/>
        <v>0</v>
      </c>
      <c r="AK594" s="121">
        <f>交易记录!AB277</f>
        <v>0</v>
      </c>
      <c r="AL594" s="121">
        <f>交易记录!AB308</f>
        <v>0</v>
      </c>
      <c r="AM594" s="30">
        <f t="shared" si="273"/>
        <v>0</v>
      </c>
      <c r="AN594" s="124">
        <f>交易记录!AB341</f>
        <v>0</v>
      </c>
      <c r="AO594" s="124">
        <f>交易记录!AB372</f>
        <v>0</v>
      </c>
      <c r="AP594" s="30">
        <f t="shared" si="274"/>
        <v>0</v>
      </c>
      <c r="AQ594" s="121">
        <f>交易记录!AB405</f>
        <v>0</v>
      </c>
      <c r="AR594" s="121">
        <f>交易记录!AB436</f>
        <v>0</v>
      </c>
      <c r="AS594" s="30">
        <f t="shared" si="275"/>
        <v>0</v>
      </c>
      <c r="AT594" s="124">
        <f>交易记录!AB469</f>
        <v>0</v>
      </c>
      <c r="AU594" s="124">
        <f>交易记录!AB500</f>
        <v>0</v>
      </c>
      <c r="AV594" s="30">
        <f t="shared" si="282"/>
        <v>0</v>
      </c>
      <c r="AW594" s="121">
        <f>交易记录!AB533</f>
        <v>0</v>
      </c>
      <c r="AX594" s="121">
        <f>交易记录!AB564</f>
        <v>0</v>
      </c>
      <c r="AY594" s="30">
        <f t="shared" si="283"/>
        <v>0</v>
      </c>
      <c r="AZ594" s="124">
        <f>交易记录!AB597</f>
        <v>0</v>
      </c>
      <c r="BA594" s="124">
        <f>交易记录!AB628</f>
        <v>0</v>
      </c>
      <c r="BB594" s="30">
        <f t="shared" si="284"/>
        <v>0</v>
      </c>
      <c r="BC594" s="121">
        <f>交易记录!AB661</f>
        <v>0</v>
      </c>
      <c r="BD594" s="121">
        <f>交易记录!AB692</f>
        <v>0</v>
      </c>
      <c r="BE594" s="30">
        <f t="shared" si="285"/>
        <v>0</v>
      </c>
      <c r="BF594" s="124">
        <f>交易记录!AB725</f>
        <v>0</v>
      </c>
      <c r="BG594" s="124">
        <f>交易记录!AB756</f>
        <v>0</v>
      </c>
      <c r="BH594" s="30">
        <f t="shared" si="286"/>
        <v>0</v>
      </c>
      <c r="BI594" s="121">
        <f>交易记录!AB789</f>
        <v>0</v>
      </c>
      <c r="BJ594" s="121">
        <f>交易记录!AB820</f>
        <v>0</v>
      </c>
      <c r="BK594" s="30">
        <f t="shared" si="287"/>
        <v>0</v>
      </c>
      <c r="BL594" s="124">
        <f>交易记录!AB853</f>
        <v>0</v>
      </c>
      <c r="BM594" s="124">
        <f>交易记录!AB884</f>
        <v>0</v>
      </c>
      <c r="BN594" s="30">
        <f t="shared" si="288"/>
        <v>0</v>
      </c>
      <c r="BO594" s="121">
        <f>交易记录!AB917</f>
        <v>0</v>
      </c>
      <c r="BP594" s="121">
        <f>交易记录!AB948</f>
        <v>0</v>
      </c>
      <c r="BQ594" s="30">
        <f t="shared" si="289"/>
        <v>0</v>
      </c>
    </row>
    <row r="595" spans="1:69" ht="15">
      <c r="A595" s="125">
        <f>'维护-日期'!A$27</f>
        <v>46290</v>
      </c>
      <c r="B595" s="7" t="s">
        <v>23</v>
      </c>
      <c r="C595" s="144">
        <f t="shared" si="290"/>
        <v>23.443000000000001</v>
      </c>
      <c r="D595" s="144">
        <f>ROUND(INDEX(持仓数据!$C$3:$AG$26,MATCH('计算过程-数据汇总'!B595,持仓数据!$B$3:$B$26,0),MATCH('计算过程-数据汇总'!A595,'维护-日期'!$B$2:$AF$2,0)),3)</f>
        <v>23.443000000000001</v>
      </c>
      <c r="E595" s="98">
        <f t="shared" si="291"/>
        <v>23.443000000000001</v>
      </c>
      <c r="F595" s="22">
        <f>持仓数据!AA89</f>
        <v>0.63300000000000001</v>
      </c>
      <c r="G595" s="97">
        <v>372</v>
      </c>
      <c r="H595" s="97">
        <v>372</v>
      </c>
      <c r="I595" s="64">
        <v>0</v>
      </c>
      <c r="J595" s="64">
        <v>0</v>
      </c>
      <c r="K595" s="21">
        <f>IF(持仓数据!AA122="",0,持仓数据!AA122)</f>
        <v>372</v>
      </c>
      <c r="L595" s="21">
        <f t="shared" si="292"/>
        <v>0</v>
      </c>
      <c r="M595" s="28">
        <f t="shared" si="276"/>
        <v>8720.7960000000003</v>
      </c>
      <c r="N595" s="28">
        <f t="shared" si="277"/>
        <v>0</v>
      </c>
      <c r="O595" s="28">
        <f t="shared" si="278"/>
        <v>0</v>
      </c>
      <c r="P595" s="28">
        <f t="shared" si="279"/>
        <v>0</v>
      </c>
      <c r="Q595" s="28">
        <f t="shared" si="293"/>
        <v>0</v>
      </c>
      <c r="R595" s="28">
        <f t="shared" si="280"/>
        <v>8720.7960000000003</v>
      </c>
      <c r="S595" s="28">
        <f t="shared" si="294"/>
        <v>0</v>
      </c>
      <c r="T595" s="28">
        <f t="shared" si="295"/>
        <v>0</v>
      </c>
      <c r="U595" s="28">
        <f t="shared" si="298"/>
        <v>0</v>
      </c>
      <c r="V595" s="28">
        <f t="shared" si="296"/>
        <v>0</v>
      </c>
      <c r="W595" s="118"/>
      <c r="X595" s="143">
        <f t="shared" si="297"/>
        <v>27.498999999999999</v>
      </c>
      <c r="Y595" s="121">
        <f>交易记录!AB22</f>
        <v>0.63300000000000001</v>
      </c>
      <c r="Z595" s="121">
        <f>交易记录!AB53</f>
        <v>372</v>
      </c>
      <c r="AA595" s="30">
        <f t="shared" si="281"/>
        <v>0</v>
      </c>
      <c r="AB595" s="124">
        <f>交易记录!AB86</f>
        <v>0</v>
      </c>
      <c r="AC595" s="124">
        <f>交易记录!AB117</f>
        <v>0</v>
      </c>
      <c r="AD595" s="30">
        <f t="shared" si="270"/>
        <v>0</v>
      </c>
      <c r="AE595" s="121">
        <f>交易记录!AB150</f>
        <v>0</v>
      </c>
      <c r="AF595" s="121">
        <f>交易记录!AB181</f>
        <v>0</v>
      </c>
      <c r="AG595" s="30">
        <f t="shared" si="271"/>
        <v>0</v>
      </c>
      <c r="AH595" s="124">
        <f>交易记录!AB214</f>
        <v>0</v>
      </c>
      <c r="AI595" s="124">
        <f>交易记录!AB245</f>
        <v>0</v>
      </c>
      <c r="AJ595" s="30">
        <f t="shared" si="272"/>
        <v>0</v>
      </c>
      <c r="AK595" s="121">
        <f>交易记录!AB278</f>
        <v>0</v>
      </c>
      <c r="AL595" s="121">
        <f>交易记录!AB309</f>
        <v>0</v>
      </c>
      <c r="AM595" s="30">
        <f t="shared" si="273"/>
        <v>0</v>
      </c>
      <c r="AN595" s="124">
        <f>交易记录!AB342</f>
        <v>0</v>
      </c>
      <c r="AO595" s="124">
        <f>交易记录!AB373</f>
        <v>0</v>
      </c>
      <c r="AP595" s="30">
        <f t="shared" si="274"/>
        <v>0</v>
      </c>
      <c r="AQ595" s="121">
        <f>交易记录!AB406</f>
        <v>0</v>
      </c>
      <c r="AR595" s="121">
        <f>交易记录!AB437</f>
        <v>0</v>
      </c>
      <c r="AS595" s="30">
        <f t="shared" si="275"/>
        <v>0</v>
      </c>
      <c r="AT595" s="124">
        <f>交易记录!AB470</f>
        <v>0</v>
      </c>
      <c r="AU595" s="124">
        <f>交易记录!AB501</f>
        <v>0</v>
      </c>
      <c r="AV595" s="30">
        <f t="shared" si="282"/>
        <v>0</v>
      </c>
      <c r="AW595" s="121">
        <f>交易记录!AB534</f>
        <v>0</v>
      </c>
      <c r="AX595" s="121">
        <f>交易记录!AB565</f>
        <v>0</v>
      </c>
      <c r="AY595" s="30">
        <f t="shared" si="283"/>
        <v>0</v>
      </c>
      <c r="AZ595" s="124">
        <f>交易记录!AB598</f>
        <v>0</v>
      </c>
      <c r="BA595" s="124">
        <f>交易记录!AB629</f>
        <v>0</v>
      </c>
      <c r="BB595" s="30">
        <f t="shared" si="284"/>
        <v>0</v>
      </c>
      <c r="BC595" s="121">
        <f>交易记录!AB662</f>
        <v>0</v>
      </c>
      <c r="BD595" s="121">
        <f>交易记录!AB693</f>
        <v>0</v>
      </c>
      <c r="BE595" s="30">
        <f t="shared" si="285"/>
        <v>0</v>
      </c>
      <c r="BF595" s="124">
        <f>交易记录!AB726</f>
        <v>0</v>
      </c>
      <c r="BG595" s="124">
        <f>交易记录!AB757</f>
        <v>0</v>
      </c>
      <c r="BH595" s="30">
        <f t="shared" si="286"/>
        <v>0</v>
      </c>
      <c r="BI595" s="121">
        <f>交易记录!AB790</f>
        <v>0</v>
      </c>
      <c r="BJ595" s="121">
        <f>交易记录!AB821</f>
        <v>0</v>
      </c>
      <c r="BK595" s="30">
        <f t="shared" si="287"/>
        <v>0</v>
      </c>
      <c r="BL595" s="124">
        <f>交易记录!AB854</f>
        <v>0</v>
      </c>
      <c r="BM595" s="124">
        <f>交易记录!AB885</f>
        <v>0</v>
      </c>
      <c r="BN595" s="30">
        <f t="shared" si="288"/>
        <v>0</v>
      </c>
      <c r="BO595" s="121">
        <f>交易记录!AB918</f>
        <v>0</v>
      </c>
      <c r="BP595" s="121">
        <f>交易记录!AB949</f>
        <v>0</v>
      </c>
      <c r="BQ595" s="30">
        <f t="shared" si="289"/>
        <v>0</v>
      </c>
    </row>
    <row r="596" spans="1:69" ht="15">
      <c r="A596" s="125">
        <f>'维护-日期'!A$27</f>
        <v>46290</v>
      </c>
      <c r="B596" s="7" t="s">
        <v>24</v>
      </c>
      <c r="C596" s="144">
        <f t="shared" si="290"/>
        <v>23.85</v>
      </c>
      <c r="D596" s="144">
        <f>ROUND(INDEX(持仓数据!$C$3:$AG$26,MATCH('计算过程-数据汇总'!B596,持仓数据!$B$3:$B$26,0),MATCH('计算过程-数据汇总'!A596,'维护-日期'!$B$2:$AF$2,0)),3)</f>
        <v>23.85</v>
      </c>
      <c r="E596" s="98">
        <f t="shared" si="291"/>
        <v>23.85</v>
      </c>
      <c r="F596" s="22">
        <f>持仓数据!AA90</f>
        <v>0.45400000000000001</v>
      </c>
      <c r="G596" s="97">
        <v>372</v>
      </c>
      <c r="H596" s="97">
        <v>372</v>
      </c>
      <c r="I596" s="64">
        <v>0</v>
      </c>
      <c r="J596" s="64">
        <v>0</v>
      </c>
      <c r="K596" s="21">
        <f>IF(持仓数据!AA123="",0,持仓数据!AA123)</f>
        <v>372</v>
      </c>
      <c r="L596" s="21">
        <f t="shared" si="292"/>
        <v>0</v>
      </c>
      <c r="M596" s="28">
        <f t="shared" si="276"/>
        <v>8872.2000000000007</v>
      </c>
      <c r="N596" s="28">
        <f t="shared" si="277"/>
        <v>0</v>
      </c>
      <c r="O596" s="28">
        <f t="shared" si="278"/>
        <v>0</v>
      </c>
      <c r="P596" s="28">
        <f t="shared" si="279"/>
        <v>0</v>
      </c>
      <c r="Q596" s="28">
        <f t="shared" si="293"/>
        <v>0</v>
      </c>
      <c r="R596" s="28">
        <f t="shared" si="280"/>
        <v>8872.2000000000007</v>
      </c>
      <c r="S596" s="28">
        <f t="shared" si="294"/>
        <v>0</v>
      </c>
      <c r="T596" s="28">
        <f t="shared" si="295"/>
        <v>0</v>
      </c>
      <c r="U596" s="28">
        <f t="shared" si="298"/>
        <v>0</v>
      </c>
      <c r="V596" s="28">
        <f t="shared" si="296"/>
        <v>0</v>
      </c>
      <c r="W596" s="118"/>
      <c r="X596" s="143">
        <f t="shared" si="297"/>
        <v>28.166</v>
      </c>
      <c r="Y596" s="121">
        <f>交易记录!AB23</f>
        <v>0.45400000000000001</v>
      </c>
      <c r="Z596" s="121">
        <f>交易记录!AB54</f>
        <v>372</v>
      </c>
      <c r="AA596" s="30">
        <f t="shared" si="281"/>
        <v>0</v>
      </c>
      <c r="AB596" s="124">
        <f>交易记录!AB87</f>
        <v>0</v>
      </c>
      <c r="AC596" s="124">
        <f>交易记录!AB118</f>
        <v>0</v>
      </c>
      <c r="AD596" s="30">
        <f t="shared" si="270"/>
        <v>0</v>
      </c>
      <c r="AE596" s="121">
        <f>交易记录!AB151</f>
        <v>0</v>
      </c>
      <c r="AF596" s="121">
        <f>交易记录!AB182</f>
        <v>0</v>
      </c>
      <c r="AG596" s="30">
        <f t="shared" si="271"/>
        <v>0</v>
      </c>
      <c r="AH596" s="124">
        <f>交易记录!AB215</f>
        <v>0</v>
      </c>
      <c r="AI596" s="124">
        <f>交易记录!AB246</f>
        <v>0</v>
      </c>
      <c r="AJ596" s="30">
        <f t="shared" si="272"/>
        <v>0</v>
      </c>
      <c r="AK596" s="121">
        <f>交易记录!AB279</f>
        <v>0</v>
      </c>
      <c r="AL596" s="121">
        <f>交易记录!AB310</f>
        <v>0</v>
      </c>
      <c r="AM596" s="30">
        <f t="shared" si="273"/>
        <v>0</v>
      </c>
      <c r="AN596" s="124">
        <f>交易记录!AB343</f>
        <v>0</v>
      </c>
      <c r="AO596" s="124">
        <f>交易记录!AB374</f>
        <v>0</v>
      </c>
      <c r="AP596" s="30">
        <f t="shared" si="274"/>
        <v>0</v>
      </c>
      <c r="AQ596" s="121">
        <f>交易记录!AB407</f>
        <v>0</v>
      </c>
      <c r="AR596" s="121">
        <f>交易记录!AB438</f>
        <v>0</v>
      </c>
      <c r="AS596" s="30">
        <f t="shared" si="275"/>
        <v>0</v>
      </c>
      <c r="AT596" s="124">
        <f>交易记录!AB471</f>
        <v>0</v>
      </c>
      <c r="AU596" s="124">
        <f>交易记录!AB502</f>
        <v>0</v>
      </c>
      <c r="AV596" s="30">
        <f t="shared" si="282"/>
        <v>0</v>
      </c>
      <c r="AW596" s="121">
        <f>交易记录!AB535</f>
        <v>0</v>
      </c>
      <c r="AX596" s="121">
        <f>交易记录!AB566</f>
        <v>0</v>
      </c>
      <c r="AY596" s="30">
        <f t="shared" si="283"/>
        <v>0</v>
      </c>
      <c r="AZ596" s="124">
        <f>交易记录!AB599</f>
        <v>0</v>
      </c>
      <c r="BA596" s="124">
        <f>交易记录!AB630</f>
        <v>0</v>
      </c>
      <c r="BB596" s="30">
        <f t="shared" si="284"/>
        <v>0</v>
      </c>
      <c r="BC596" s="121">
        <f>交易记录!AB663</f>
        <v>0</v>
      </c>
      <c r="BD596" s="121">
        <f>交易记录!AB694</f>
        <v>0</v>
      </c>
      <c r="BE596" s="30">
        <f t="shared" si="285"/>
        <v>0</v>
      </c>
      <c r="BF596" s="124">
        <f>交易记录!AB727</f>
        <v>0</v>
      </c>
      <c r="BG596" s="124">
        <f>交易记录!AB758</f>
        <v>0</v>
      </c>
      <c r="BH596" s="30">
        <f t="shared" si="286"/>
        <v>0</v>
      </c>
      <c r="BI596" s="121">
        <f>交易记录!AB791</f>
        <v>0</v>
      </c>
      <c r="BJ596" s="121">
        <f>交易记录!AB822</f>
        <v>0</v>
      </c>
      <c r="BK596" s="30">
        <f t="shared" si="287"/>
        <v>0</v>
      </c>
      <c r="BL596" s="124">
        <f>交易记录!AB855</f>
        <v>0</v>
      </c>
      <c r="BM596" s="124">
        <f>交易记录!AB886</f>
        <v>0</v>
      </c>
      <c r="BN596" s="30">
        <f t="shared" si="288"/>
        <v>0</v>
      </c>
      <c r="BO596" s="121">
        <f>交易记录!AB919</f>
        <v>0</v>
      </c>
      <c r="BP596" s="121">
        <f>交易记录!AB950</f>
        <v>0</v>
      </c>
      <c r="BQ596" s="30">
        <f t="shared" si="289"/>
        <v>0</v>
      </c>
    </row>
    <row r="597" spans="1:69" ht="15">
      <c r="A597" s="125">
        <f>'维护-日期'!A$27</f>
        <v>46290</v>
      </c>
      <c r="B597" s="7" t="s">
        <v>25</v>
      </c>
      <c r="C597" s="144">
        <f t="shared" si="290"/>
        <v>24.105</v>
      </c>
      <c r="D597" s="144">
        <f>ROUND(INDEX(持仓数据!$C$3:$AG$26,MATCH('计算过程-数据汇总'!B597,持仓数据!$B$3:$B$26,0),MATCH('计算过程-数据汇总'!A597,'维护-日期'!$B$2:$AF$2,0)),3)</f>
        <v>24.105</v>
      </c>
      <c r="E597" s="98">
        <f t="shared" si="291"/>
        <v>24.105</v>
      </c>
      <c r="F597" s="22">
        <f>持仓数据!AA91</f>
        <v>1.1160000000000001</v>
      </c>
      <c r="G597" s="97">
        <v>372</v>
      </c>
      <c r="H597" s="97">
        <v>372</v>
      </c>
      <c r="I597" s="64">
        <v>0</v>
      </c>
      <c r="J597" s="64">
        <v>0</v>
      </c>
      <c r="K597" s="21">
        <f>IF(持仓数据!AA124="",0,持仓数据!AA124)</f>
        <v>372</v>
      </c>
      <c r="L597" s="21">
        <f t="shared" si="292"/>
        <v>0</v>
      </c>
      <c r="M597" s="28">
        <f t="shared" si="276"/>
        <v>8967.06</v>
      </c>
      <c r="N597" s="28">
        <f t="shared" si="277"/>
        <v>0</v>
      </c>
      <c r="O597" s="28">
        <f t="shared" si="278"/>
        <v>0</v>
      </c>
      <c r="P597" s="28">
        <f t="shared" si="279"/>
        <v>0</v>
      </c>
      <c r="Q597" s="28">
        <f t="shared" si="293"/>
        <v>0</v>
      </c>
      <c r="R597" s="28">
        <f t="shared" si="280"/>
        <v>8967.06</v>
      </c>
      <c r="S597" s="28">
        <f t="shared" si="294"/>
        <v>0</v>
      </c>
      <c r="T597" s="28">
        <f t="shared" si="295"/>
        <v>0</v>
      </c>
      <c r="U597" s="28">
        <f t="shared" si="298"/>
        <v>0</v>
      </c>
      <c r="V597" s="28">
        <f t="shared" si="296"/>
        <v>0</v>
      </c>
      <c r="W597" s="118"/>
      <c r="X597" s="143">
        <f t="shared" si="297"/>
        <v>27.81</v>
      </c>
      <c r="Y597" s="121">
        <f>交易记录!AB24</f>
        <v>1.1160000000000001</v>
      </c>
      <c r="Z597" s="121">
        <f>交易记录!AB55</f>
        <v>372</v>
      </c>
      <c r="AA597" s="30">
        <f t="shared" si="281"/>
        <v>0</v>
      </c>
      <c r="AB597" s="124">
        <f>交易记录!AB88</f>
        <v>0</v>
      </c>
      <c r="AC597" s="124">
        <f>交易记录!AB119</f>
        <v>0</v>
      </c>
      <c r="AD597" s="30">
        <f t="shared" si="270"/>
        <v>0</v>
      </c>
      <c r="AE597" s="121">
        <f>交易记录!AB152</f>
        <v>0</v>
      </c>
      <c r="AF597" s="121">
        <f>交易记录!AB183</f>
        <v>0</v>
      </c>
      <c r="AG597" s="30">
        <f t="shared" si="271"/>
        <v>0</v>
      </c>
      <c r="AH597" s="124">
        <f>交易记录!AB216</f>
        <v>0</v>
      </c>
      <c r="AI597" s="124">
        <f>交易记录!AB247</f>
        <v>0</v>
      </c>
      <c r="AJ597" s="30">
        <f t="shared" si="272"/>
        <v>0</v>
      </c>
      <c r="AK597" s="121">
        <f>交易记录!AB280</f>
        <v>0</v>
      </c>
      <c r="AL597" s="121">
        <f>交易记录!AB311</f>
        <v>0</v>
      </c>
      <c r="AM597" s="30">
        <f t="shared" si="273"/>
        <v>0</v>
      </c>
      <c r="AN597" s="124">
        <f>交易记录!AB344</f>
        <v>0</v>
      </c>
      <c r="AO597" s="124">
        <f>交易记录!AB375</f>
        <v>0</v>
      </c>
      <c r="AP597" s="30">
        <f t="shared" si="274"/>
        <v>0</v>
      </c>
      <c r="AQ597" s="121">
        <f>交易记录!AB408</f>
        <v>0</v>
      </c>
      <c r="AR597" s="121">
        <f>交易记录!AB439</f>
        <v>0</v>
      </c>
      <c r="AS597" s="30">
        <f t="shared" si="275"/>
        <v>0</v>
      </c>
      <c r="AT597" s="124">
        <f>交易记录!AB472</f>
        <v>0</v>
      </c>
      <c r="AU597" s="124">
        <f>交易记录!AB503</f>
        <v>0</v>
      </c>
      <c r="AV597" s="30">
        <f t="shared" si="282"/>
        <v>0</v>
      </c>
      <c r="AW597" s="121">
        <f>交易记录!AB536</f>
        <v>0</v>
      </c>
      <c r="AX597" s="121">
        <f>交易记录!AB567</f>
        <v>0</v>
      </c>
      <c r="AY597" s="30">
        <f t="shared" si="283"/>
        <v>0</v>
      </c>
      <c r="AZ597" s="124">
        <f>交易记录!AB600</f>
        <v>0</v>
      </c>
      <c r="BA597" s="124">
        <f>交易记录!AB631</f>
        <v>0</v>
      </c>
      <c r="BB597" s="30">
        <f t="shared" si="284"/>
        <v>0</v>
      </c>
      <c r="BC597" s="121">
        <f>交易记录!AB664</f>
        <v>0</v>
      </c>
      <c r="BD597" s="121">
        <f>交易记录!AB695</f>
        <v>0</v>
      </c>
      <c r="BE597" s="30">
        <f t="shared" si="285"/>
        <v>0</v>
      </c>
      <c r="BF597" s="124">
        <f>交易记录!AB728</f>
        <v>0</v>
      </c>
      <c r="BG597" s="124">
        <f>交易记录!AB759</f>
        <v>0</v>
      </c>
      <c r="BH597" s="30">
        <f t="shared" si="286"/>
        <v>0</v>
      </c>
      <c r="BI597" s="121">
        <f>交易记录!AB792</f>
        <v>0</v>
      </c>
      <c r="BJ597" s="121">
        <f>交易记录!AB823</f>
        <v>0</v>
      </c>
      <c r="BK597" s="30">
        <f t="shared" si="287"/>
        <v>0</v>
      </c>
      <c r="BL597" s="124">
        <f>交易记录!AB856</f>
        <v>0</v>
      </c>
      <c r="BM597" s="124">
        <f>交易记录!AB887</f>
        <v>0</v>
      </c>
      <c r="BN597" s="30">
        <f t="shared" si="288"/>
        <v>0</v>
      </c>
      <c r="BO597" s="121">
        <f>交易记录!AB920</f>
        <v>0</v>
      </c>
      <c r="BP597" s="121">
        <f>交易记录!AB951</f>
        <v>0</v>
      </c>
      <c r="BQ597" s="30">
        <f t="shared" si="289"/>
        <v>0</v>
      </c>
    </row>
    <row r="598" spans="1:69" ht="15">
      <c r="A598" s="125">
        <f>'维护-日期'!A$27</f>
        <v>46290</v>
      </c>
      <c r="B598" s="7" t="s">
        <v>26</v>
      </c>
      <c r="C598" s="144">
        <f t="shared" si="290"/>
        <v>24.047999999999998</v>
      </c>
      <c r="D598" s="144">
        <f>ROUND(INDEX(持仓数据!$C$3:$AG$26,MATCH('计算过程-数据汇总'!B598,持仓数据!$B$3:$B$26,0),MATCH('计算过程-数据汇总'!A598,'维护-日期'!$B$2:$AF$2,0)),3)</f>
        <v>24.047999999999998</v>
      </c>
      <c r="E598" s="98">
        <f t="shared" si="291"/>
        <v>24.047999999999998</v>
      </c>
      <c r="F598" s="22">
        <f>持仓数据!AA92</f>
        <v>1</v>
      </c>
      <c r="G598" s="97">
        <v>372</v>
      </c>
      <c r="H598" s="97">
        <v>372</v>
      </c>
      <c r="I598" s="64">
        <v>0</v>
      </c>
      <c r="J598" s="64">
        <v>0</v>
      </c>
      <c r="K598" s="21">
        <f>IF(持仓数据!AA125="",0,持仓数据!AA125)</f>
        <v>372</v>
      </c>
      <c r="L598" s="21">
        <f t="shared" si="292"/>
        <v>0</v>
      </c>
      <c r="M598" s="28">
        <f t="shared" si="276"/>
        <v>8945.8559999999998</v>
      </c>
      <c r="N598" s="28">
        <f t="shared" si="277"/>
        <v>0</v>
      </c>
      <c r="O598" s="28">
        <f t="shared" si="278"/>
        <v>0</v>
      </c>
      <c r="P598" s="28">
        <f t="shared" si="279"/>
        <v>0</v>
      </c>
      <c r="Q598" s="28">
        <f t="shared" si="293"/>
        <v>0</v>
      </c>
      <c r="R598" s="28">
        <f t="shared" si="280"/>
        <v>8945.8559999999998</v>
      </c>
      <c r="S598" s="28">
        <f t="shared" si="294"/>
        <v>0</v>
      </c>
      <c r="T598" s="28">
        <f t="shared" si="295"/>
        <v>0</v>
      </c>
      <c r="U598" s="28">
        <f t="shared" si="298"/>
        <v>0</v>
      </c>
      <c r="V598" s="28">
        <f t="shared" si="296"/>
        <v>0</v>
      </c>
      <c r="W598" s="118"/>
      <c r="X598" s="143">
        <f t="shared" si="297"/>
        <v>27.858000000000001</v>
      </c>
      <c r="Y598" s="121">
        <f>交易记录!AB25</f>
        <v>1</v>
      </c>
      <c r="Z598" s="121">
        <f>交易记录!AB56</f>
        <v>372</v>
      </c>
      <c r="AA598" s="30">
        <f t="shared" si="281"/>
        <v>0</v>
      </c>
      <c r="AB598" s="124">
        <f>交易记录!AB89</f>
        <v>0</v>
      </c>
      <c r="AC598" s="124">
        <f>交易记录!AB120</f>
        <v>0</v>
      </c>
      <c r="AD598" s="30">
        <f t="shared" si="270"/>
        <v>0</v>
      </c>
      <c r="AE598" s="121">
        <f>交易记录!AB153</f>
        <v>0</v>
      </c>
      <c r="AF598" s="121">
        <f>交易记录!AB184</f>
        <v>0</v>
      </c>
      <c r="AG598" s="30">
        <f t="shared" si="271"/>
        <v>0</v>
      </c>
      <c r="AH598" s="124">
        <f>交易记录!AB217</f>
        <v>0</v>
      </c>
      <c r="AI598" s="124">
        <f>交易记录!AB248</f>
        <v>0</v>
      </c>
      <c r="AJ598" s="30">
        <f t="shared" si="272"/>
        <v>0</v>
      </c>
      <c r="AK598" s="121">
        <f>交易记录!AB281</f>
        <v>0</v>
      </c>
      <c r="AL598" s="121">
        <f>交易记录!AB312</f>
        <v>0</v>
      </c>
      <c r="AM598" s="30">
        <f t="shared" si="273"/>
        <v>0</v>
      </c>
      <c r="AN598" s="124">
        <f>交易记录!AB345</f>
        <v>0</v>
      </c>
      <c r="AO598" s="124">
        <f>交易记录!AB376</f>
        <v>0</v>
      </c>
      <c r="AP598" s="30">
        <f t="shared" si="274"/>
        <v>0</v>
      </c>
      <c r="AQ598" s="121">
        <f>交易记录!AB409</f>
        <v>0</v>
      </c>
      <c r="AR598" s="121">
        <f>交易记录!AB440</f>
        <v>0</v>
      </c>
      <c r="AS598" s="30">
        <f t="shared" si="275"/>
        <v>0</v>
      </c>
      <c r="AT598" s="124">
        <f>交易记录!AB473</f>
        <v>0</v>
      </c>
      <c r="AU598" s="124">
        <f>交易记录!AB504</f>
        <v>0</v>
      </c>
      <c r="AV598" s="30">
        <f t="shared" si="282"/>
        <v>0</v>
      </c>
      <c r="AW598" s="121">
        <f>交易记录!AB537</f>
        <v>0</v>
      </c>
      <c r="AX598" s="121">
        <f>交易记录!AB568</f>
        <v>0</v>
      </c>
      <c r="AY598" s="30">
        <f t="shared" si="283"/>
        <v>0</v>
      </c>
      <c r="AZ598" s="124">
        <f>交易记录!AB601</f>
        <v>0</v>
      </c>
      <c r="BA598" s="124">
        <f>交易记录!AB632</f>
        <v>0</v>
      </c>
      <c r="BB598" s="30">
        <f t="shared" si="284"/>
        <v>0</v>
      </c>
      <c r="BC598" s="121">
        <f>交易记录!AB665</f>
        <v>0</v>
      </c>
      <c r="BD598" s="121">
        <f>交易记录!AB696</f>
        <v>0</v>
      </c>
      <c r="BE598" s="30">
        <f t="shared" si="285"/>
        <v>0</v>
      </c>
      <c r="BF598" s="124">
        <f>交易记录!AB729</f>
        <v>0</v>
      </c>
      <c r="BG598" s="124">
        <f>交易记录!AB760</f>
        <v>0</v>
      </c>
      <c r="BH598" s="30">
        <f t="shared" si="286"/>
        <v>0</v>
      </c>
      <c r="BI598" s="121">
        <f>交易记录!AB793</f>
        <v>0</v>
      </c>
      <c r="BJ598" s="121">
        <f>交易记录!AB824</f>
        <v>0</v>
      </c>
      <c r="BK598" s="30">
        <f t="shared" si="287"/>
        <v>0</v>
      </c>
      <c r="BL598" s="124">
        <f>交易记录!AB857</f>
        <v>0</v>
      </c>
      <c r="BM598" s="124">
        <f>交易记录!AB888</f>
        <v>0</v>
      </c>
      <c r="BN598" s="30">
        <f t="shared" si="288"/>
        <v>0</v>
      </c>
      <c r="BO598" s="121">
        <f>交易记录!AB921</f>
        <v>0</v>
      </c>
      <c r="BP598" s="121">
        <f>交易记录!AB952</f>
        <v>0</v>
      </c>
      <c r="BQ598" s="30">
        <f t="shared" si="289"/>
        <v>0</v>
      </c>
    </row>
    <row r="599" spans="1:69" ht="15">
      <c r="A599" s="125">
        <f>'维护-日期'!A$27</f>
        <v>46290</v>
      </c>
      <c r="B599" s="7" t="s">
        <v>27</v>
      </c>
      <c r="C599" s="144">
        <f t="shared" si="290"/>
        <v>22.594000000000001</v>
      </c>
      <c r="D599" s="144">
        <f>ROUND(INDEX(持仓数据!$C$3:$AG$26,MATCH('计算过程-数据汇总'!B599,持仓数据!$B$3:$B$26,0),MATCH('计算过程-数据汇总'!A599,'维护-日期'!$B$2:$AF$2,0)),3)</f>
        <v>22.594000000000001</v>
      </c>
      <c r="E599" s="98">
        <f t="shared" si="291"/>
        <v>22.594000000000001</v>
      </c>
      <c r="F599" s="22">
        <f>持仓数据!AA93</f>
        <v>0.95199999999999996</v>
      </c>
      <c r="G599" s="97">
        <v>372</v>
      </c>
      <c r="H599" s="97">
        <v>372</v>
      </c>
      <c r="I599" s="64">
        <v>0</v>
      </c>
      <c r="J599" s="64">
        <v>0</v>
      </c>
      <c r="K599" s="21">
        <f>IF(持仓数据!AA126="",0,持仓数据!AA126)</f>
        <v>372</v>
      </c>
      <c r="L599" s="21">
        <f t="shared" si="292"/>
        <v>0</v>
      </c>
      <c r="M599" s="28">
        <f t="shared" si="276"/>
        <v>8404.9680000000008</v>
      </c>
      <c r="N599" s="28">
        <f t="shared" si="277"/>
        <v>0</v>
      </c>
      <c r="O599" s="28">
        <f t="shared" si="278"/>
        <v>0</v>
      </c>
      <c r="P599" s="28">
        <f t="shared" si="279"/>
        <v>0</v>
      </c>
      <c r="Q599" s="28">
        <f t="shared" si="293"/>
        <v>0</v>
      </c>
      <c r="R599" s="28">
        <f t="shared" si="280"/>
        <v>8404.9680000000008</v>
      </c>
      <c r="S599" s="28">
        <f t="shared" si="294"/>
        <v>0</v>
      </c>
      <c r="T599" s="28">
        <f t="shared" si="295"/>
        <v>0</v>
      </c>
      <c r="U599" s="28">
        <f t="shared" si="298"/>
        <v>0</v>
      </c>
      <c r="V599" s="28">
        <f t="shared" si="296"/>
        <v>0</v>
      </c>
      <c r="W599" s="118"/>
      <c r="X599" s="143">
        <f t="shared" si="297"/>
        <v>26.161000000000001</v>
      </c>
      <c r="Y599" s="121">
        <f>交易记录!AB26</f>
        <v>0.95199999999999996</v>
      </c>
      <c r="Z599" s="121">
        <f>交易记录!AB57</f>
        <v>372</v>
      </c>
      <c r="AA599" s="30">
        <f t="shared" si="281"/>
        <v>0</v>
      </c>
      <c r="AB599" s="124">
        <f>交易记录!AB90</f>
        <v>0</v>
      </c>
      <c r="AC599" s="124">
        <f>交易记录!AB121</f>
        <v>0</v>
      </c>
      <c r="AD599" s="30">
        <f t="shared" si="270"/>
        <v>0</v>
      </c>
      <c r="AE599" s="121">
        <f>交易记录!AB154</f>
        <v>0</v>
      </c>
      <c r="AF599" s="121">
        <f>交易记录!AB185</f>
        <v>0</v>
      </c>
      <c r="AG599" s="30">
        <f t="shared" si="271"/>
        <v>0</v>
      </c>
      <c r="AH599" s="124">
        <f>交易记录!AB218</f>
        <v>0</v>
      </c>
      <c r="AI599" s="124">
        <f>交易记录!AB249</f>
        <v>0</v>
      </c>
      <c r="AJ599" s="30">
        <f t="shared" si="272"/>
        <v>0</v>
      </c>
      <c r="AK599" s="121">
        <f>交易记录!AB282</f>
        <v>0</v>
      </c>
      <c r="AL599" s="121">
        <f>交易记录!AB313</f>
        <v>0</v>
      </c>
      <c r="AM599" s="30">
        <f t="shared" si="273"/>
        <v>0</v>
      </c>
      <c r="AN599" s="124">
        <f>交易记录!AB346</f>
        <v>0</v>
      </c>
      <c r="AO599" s="124">
        <f>交易记录!AB377</f>
        <v>0</v>
      </c>
      <c r="AP599" s="30">
        <f t="shared" si="274"/>
        <v>0</v>
      </c>
      <c r="AQ599" s="121">
        <f>交易记录!AB410</f>
        <v>0</v>
      </c>
      <c r="AR599" s="121">
        <f>交易记录!AB441</f>
        <v>0</v>
      </c>
      <c r="AS599" s="30">
        <f t="shared" si="275"/>
        <v>0</v>
      </c>
      <c r="AT599" s="124">
        <f>交易记录!AB474</f>
        <v>0</v>
      </c>
      <c r="AU599" s="124">
        <f>交易记录!AB505</f>
        <v>0</v>
      </c>
      <c r="AV599" s="30">
        <f t="shared" si="282"/>
        <v>0</v>
      </c>
      <c r="AW599" s="121">
        <f>交易记录!AB538</f>
        <v>0</v>
      </c>
      <c r="AX599" s="121">
        <f>交易记录!AB569</f>
        <v>0</v>
      </c>
      <c r="AY599" s="30">
        <f t="shared" si="283"/>
        <v>0</v>
      </c>
      <c r="AZ599" s="124">
        <f>交易记录!AB602</f>
        <v>0</v>
      </c>
      <c r="BA599" s="124">
        <f>交易记录!AB633</f>
        <v>0</v>
      </c>
      <c r="BB599" s="30">
        <f t="shared" si="284"/>
        <v>0</v>
      </c>
      <c r="BC599" s="121">
        <f>交易记录!AB666</f>
        <v>0</v>
      </c>
      <c r="BD599" s="121">
        <f>交易记录!AB697</f>
        <v>0</v>
      </c>
      <c r="BE599" s="30">
        <f t="shared" si="285"/>
        <v>0</v>
      </c>
      <c r="BF599" s="124">
        <f>交易记录!AB730</f>
        <v>0</v>
      </c>
      <c r="BG599" s="124">
        <f>交易记录!AB761</f>
        <v>0</v>
      </c>
      <c r="BH599" s="30">
        <f t="shared" si="286"/>
        <v>0</v>
      </c>
      <c r="BI599" s="121">
        <f>交易记录!AB794</f>
        <v>0</v>
      </c>
      <c r="BJ599" s="121">
        <f>交易记录!AB825</f>
        <v>0</v>
      </c>
      <c r="BK599" s="30">
        <f t="shared" si="287"/>
        <v>0</v>
      </c>
      <c r="BL599" s="124">
        <f>交易记录!AB858</f>
        <v>0</v>
      </c>
      <c r="BM599" s="124">
        <f>交易记录!AB889</f>
        <v>0</v>
      </c>
      <c r="BN599" s="30">
        <f t="shared" si="288"/>
        <v>0</v>
      </c>
      <c r="BO599" s="121">
        <f>交易记录!AB922</f>
        <v>0</v>
      </c>
      <c r="BP599" s="121">
        <f>交易记录!AB953</f>
        <v>0</v>
      </c>
      <c r="BQ599" s="30">
        <f t="shared" si="289"/>
        <v>0</v>
      </c>
    </row>
    <row r="600" spans="1:69" ht="15">
      <c r="A600" s="125">
        <f>'维护-日期'!A$27</f>
        <v>46290</v>
      </c>
      <c r="B600" s="7" t="s">
        <v>28</v>
      </c>
      <c r="C600" s="144">
        <f t="shared" si="290"/>
        <v>19.387</v>
      </c>
      <c r="D600" s="144">
        <f>ROUND(INDEX(持仓数据!$C$3:$AG$26,MATCH('计算过程-数据汇总'!B600,持仓数据!$B$3:$B$26,0),MATCH('计算过程-数据汇总'!A600,'维护-日期'!$B$2:$AF$2,0)),3)</f>
        <v>19.387</v>
      </c>
      <c r="E600" s="98">
        <f t="shared" si="291"/>
        <v>19.387</v>
      </c>
      <c r="F600" s="22">
        <f>持仓数据!AA94</f>
        <v>0.84300000000000008</v>
      </c>
      <c r="G600" s="97">
        <v>372</v>
      </c>
      <c r="H600" s="97">
        <v>372</v>
      </c>
      <c r="I600" s="64">
        <v>0</v>
      </c>
      <c r="J600" s="64">
        <v>0</v>
      </c>
      <c r="K600" s="21">
        <f>IF(持仓数据!AA127="",0,持仓数据!AA127)</f>
        <v>371.99999999999994</v>
      </c>
      <c r="L600" s="21">
        <f t="shared" si="292"/>
        <v>0</v>
      </c>
      <c r="M600" s="28">
        <f t="shared" si="276"/>
        <v>7211.9639999999999</v>
      </c>
      <c r="N600" s="28">
        <f t="shared" si="277"/>
        <v>0</v>
      </c>
      <c r="O600" s="28">
        <f t="shared" si="278"/>
        <v>0</v>
      </c>
      <c r="P600" s="28">
        <f t="shared" si="279"/>
        <v>-4.7919002099661161E-14</v>
      </c>
      <c r="Q600" s="28">
        <f t="shared" si="293"/>
        <v>0</v>
      </c>
      <c r="R600" s="28">
        <f t="shared" si="280"/>
        <v>7211.963999999999</v>
      </c>
      <c r="S600" s="28">
        <f t="shared" si="294"/>
        <v>0</v>
      </c>
      <c r="T600" s="28">
        <f t="shared" si="295"/>
        <v>1.0541043593548239E-12</v>
      </c>
      <c r="U600" s="28">
        <f t="shared" si="298"/>
        <v>0</v>
      </c>
      <c r="V600" s="28">
        <f t="shared" si="296"/>
        <v>0</v>
      </c>
      <c r="W600" s="118"/>
      <c r="X600" s="143">
        <f t="shared" si="297"/>
        <v>22.420999999999999</v>
      </c>
      <c r="Y600" s="121">
        <f>交易记录!AB27</f>
        <v>0.84300000000000008</v>
      </c>
      <c r="Z600" s="121">
        <f>交易记录!AB58</f>
        <v>372</v>
      </c>
      <c r="AA600" s="30">
        <f t="shared" si="281"/>
        <v>0</v>
      </c>
      <c r="AB600" s="124">
        <f>交易记录!AB91</f>
        <v>0</v>
      </c>
      <c r="AC600" s="124">
        <f>交易记录!AB122</f>
        <v>0</v>
      </c>
      <c r="AD600" s="30">
        <f t="shared" si="270"/>
        <v>0</v>
      </c>
      <c r="AE600" s="121">
        <f>交易记录!AB155</f>
        <v>0</v>
      </c>
      <c r="AF600" s="121">
        <f>交易记录!AB186</f>
        <v>0</v>
      </c>
      <c r="AG600" s="30">
        <f t="shared" si="271"/>
        <v>0</v>
      </c>
      <c r="AH600" s="124">
        <f>交易记录!AB219</f>
        <v>0</v>
      </c>
      <c r="AI600" s="124">
        <f>交易记录!AB250</f>
        <v>0</v>
      </c>
      <c r="AJ600" s="30">
        <f t="shared" si="272"/>
        <v>0</v>
      </c>
      <c r="AK600" s="121">
        <f>交易记录!AB283</f>
        <v>0</v>
      </c>
      <c r="AL600" s="121">
        <f>交易记录!AB314</f>
        <v>0</v>
      </c>
      <c r="AM600" s="30">
        <f t="shared" si="273"/>
        <v>0</v>
      </c>
      <c r="AN600" s="124">
        <f>交易记录!AB347</f>
        <v>0</v>
      </c>
      <c r="AO600" s="124">
        <f>交易记录!AB378</f>
        <v>0</v>
      </c>
      <c r="AP600" s="30">
        <f t="shared" si="274"/>
        <v>0</v>
      </c>
      <c r="AQ600" s="121">
        <f>交易记录!AB411</f>
        <v>0</v>
      </c>
      <c r="AR600" s="121">
        <f>交易记录!AB442</f>
        <v>0</v>
      </c>
      <c r="AS600" s="30">
        <f t="shared" si="275"/>
        <v>0</v>
      </c>
      <c r="AT600" s="124">
        <f>交易记录!AB475</f>
        <v>0</v>
      </c>
      <c r="AU600" s="124">
        <f>交易记录!AB506</f>
        <v>0</v>
      </c>
      <c r="AV600" s="30">
        <f t="shared" si="282"/>
        <v>0</v>
      </c>
      <c r="AW600" s="121">
        <f>交易记录!AB539</f>
        <v>0</v>
      </c>
      <c r="AX600" s="121">
        <f>交易记录!AB570</f>
        <v>0</v>
      </c>
      <c r="AY600" s="30">
        <f t="shared" si="283"/>
        <v>0</v>
      </c>
      <c r="AZ600" s="124">
        <f>交易记录!AB603</f>
        <v>0</v>
      </c>
      <c r="BA600" s="124">
        <f>交易记录!AB634</f>
        <v>0</v>
      </c>
      <c r="BB600" s="30">
        <f t="shared" si="284"/>
        <v>0</v>
      </c>
      <c r="BC600" s="121">
        <f>交易记录!AB667</f>
        <v>0</v>
      </c>
      <c r="BD600" s="121">
        <f>交易记录!AB698</f>
        <v>0</v>
      </c>
      <c r="BE600" s="30">
        <f t="shared" si="285"/>
        <v>0</v>
      </c>
      <c r="BF600" s="124">
        <f>交易记录!AB731</f>
        <v>0</v>
      </c>
      <c r="BG600" s="124">
        <f>交易记录!AB762</f>
        <v>0</v>
      </c>
      <c r="BH600" s="30">
        <f t="shared" si="286"/>
        <v>0</v>
      </c>
      <c r="BI600" s="121">
        <f>交易记录!AB795</f>
        <v>0</v>
      </c>
      <c r="BJ600" s="121">
        <f>交易记录!AB826</f>
        <v>0</v>
      </c>
      <c r="BK600" s="30">
        <f t="shared" si="287"/>
        <v>0</v>
      </c>
      <c r="BL600" s="124">
        <f>交易记录!AB859</f>
        <v>0</v>
      </c>
      <c r="BM600" s="124">
        <f>交易记录!AB890</f>
        <v>0</v>
      </c>
      <c r="BN600" s="30">
        <f t="shared" si="288"/>
        <v>0</v>
      </c>
      <c r="BO600" s="121">
        <f>交易记录!AB923</f>
        <v>0</v>
      </c>
      <c r="BP600" s="121">
        <f>交易记录!AB954</f>
        <v>0</v>
      </c>
      <c r="BQ600" s="30">
        <f t="shared" si="289"/>
        <v>0</v>
      </c>
    </row>
    <row r="601" spans="1:69" ht="15">
      <c r="A601" s="125">
        <f>'维护-日期'!A$27</f>
        <v>46290</v>
      </c>
      <c r="B601" s="7" t="s">
        <v>29</v>
      </c>
      <c r="C601" s="144">
        <f t="shared" si="290"/>
        <v>16.963000000000001</v>
      </c>
      <c r="D601" s="144">
        <f>ROUND(INDEX(持仓数据!$C$3:$AG$26,MATCH('计算过程-数据汇总'!B601,持仓数据!$B$3:$B$26,0),MATCH('计算过程-数据汇总'!A601,'维护-日期'!$B$2:$AF$2,0)),3)</f>
        <v>16.963000000000001</v>
      </c>
      <c r="E601" s="98">
        <f t="shared" si="291"/>
        <v>16.963000000000001</v>
      </c>
      <c r="F601" s="22">
        <f>持仓数据!AA95</f>
        <v>0.33299999999999996</v>
      </c>
      <c r="G601" s="97">
        <v>372</v>
      </c>
      <c r="H601" s="97">
        <v>372</v>
      </c>
      <c r="I601" s="64">
        <v>0</v>
      </c>
      <c r="J601" s="64">
        <v>0</v>
      </c>
      <c r="K601" s="21">
        <f>IF(持仓数据!AA128="",0,持仓数据!AA128)</f>
        <v>372</v>
      </c>
      <c r="L601" s="21">
        <f t="shared" si="292"/>
        <v>0</v>
      </c>
      <c r="M601" s="28">
        <f t="shared" si="276"/>
        <v>6310.2360000000008</v>
      </c>
      <c r="N601" s="28">
        <f t="shared" si="277"/>
        <v>0</v>
      </c>
      <c r="O601" s="28">
        <f t="shared" si="278"/>
        <v>0</v>
      </c>
      <c r="P601" s="28">
        <f t="shared" si="279"/>
        <v>0</v>
      </c>
      <c r="Q601" s="28">
        <f t="shared" si="293"/>
        <v>0</v>
      </c>
      <c r="R601" s="28">
        <f t="shared" si="280"/>
        <v>6310.2360000000008</v>
      </c>
      <c r="S601" s="28">
        <f t="shared" si="294"/>
        <v>0</v>
      </c>
      <c r="T601" s="28">
        <f t="shared" si="295"/>
        <v>0</v>
      </c>
      <c r="U601" s="28">
        <f t="shared" si="298"/>
        <v>0</v>
      </c>
      <c r="V601" s="28">
        <f t="shared" si="296"/>
        <v>0</v>
      </c>
      <c r="W601" s="118"/>
      <c r="X601" s="143">
        <f t="shared" si="297"/>
        <v>20.023</v>
      </c>
      <c r="Y601" s="121">
        <f>交易记录!AB28</f>
        <v>0.33299999999999996</v>
      </c>
      <c r="Z601" s="121">
        <f>交易记录!AB59</f>
        <v>372</v>
      </c>
      <c r="AA601" s="30">
        <f t="shared" si="281"/>
        <v>0</v>
      </c>
      <c r="AB601" s="124">
        <f>交易记录!AB92</f>
        <v>0</v>
      </c>
      <c r="AC601" s="124">
        <f>交易记录!AB123</f>
        <v>0</v>
      </c>
      <c r="AD601" s="30">
        <f t="shared" si="270"/>
        <v>0</v>
      </c>
      <c r="AE601" s="121">
        <f>交易记录!AB156</f>
        <v>0</v>
      </c>
      <c r="AF601" s="121">
        <f>交易记录!AB187</f>
        <v>0</v>
      </c>
      <c r="AG601" s="30">
        <f t="shared" si="271"/>
        <v>0</v>
      </c>
      <c r="AH601" s="124">
        <f>交易记录!AB220</f>
        <v>0</v>
      </c>
      <c r="AI601" s="124">
        <f>交易记录!AB251</f>
        <v>0</v>
      </c>
      <c r="AJ601" s="30">
        <f t="shared" si="272"/>
        <v>0</v>
      </c>
      <c r="AK601" s="121">
        <f>交易记录!AB284</f>
        <v>0</v>
      </c>
      <c r="AL601" s="121">
        <f>交易记录!AB315</f>
        <v>0</v>
      </c>
      <c r="AM601" s="30">
        <f t="shared" si="273"/>
        <v>0</v>
      </c>
      <c r="AN601" s="124">
        <f>交易记录!AB348</f>
        <v>0</v>
      </c>
      <c r="AO601" s="124">
        <f>交易记录!AB379</f>
        <v>0</v>
      </c>
      <c r="AP601" s="30">
        <f t="shared" si="274"/>
        <v>0</v>
      </c>
      <c r="AQ601" s="121">
        <f>交易记录!AB412</f>
        <v>0</v>
      </c>
      <c r="AR601" s="121">
        <f>交易记录!AB443</f>
        <v>0</v>
      </c>
      <c r="AS601" s="30">
        <f t="shared" si="275"/>
        <v>0</v>
      </c>
      <c r="AT601" s="124">
        <f>交易记录!AB476</f>
        <v>0</v>
      </c>
      <c r="AU601" s="124">
        <f>交易记录!AB507</f>
        <v>0</v>
      </c>
      <c r="AV601" s="30">
        <f t="shared" si="282"/>
        <v>0</v>
      </c>
      <c r="AW601" s="121">
        <f>交易记录!AB540</f>
        <v>0</v>
      </c>
      <c r="AX601" s="121">
        <f>交易记录!AB571</f>
        <v>0</v>
      </c>
      <c r="AY601" s="30">
        <f t="shared" si="283"/>
        <v>0</v>
      </c>
      <c r="AZ601" s="124">
        <f>交易记录!AB604</f>
        <v>0</v>
      </c>
      <c r="BA601" s="124">
        <f>交易记录!AB635</f>
        <v>0</v>
      </c>
      <c r="BB601" s="30">
        <f t="shared" si="284"/>
        <v>0</v>
      </c>
      <c r="BC601" s="121">
        <f>交易记录!AB668</f>
        <v>0</v>
      </c>
      <c r="BD601" s="121">
        <f>交易记录!AB699</f>
        <v>0</v>
      </c>
      <c r="BE601" s="30">
        <f t="shared" si="285"/>
        <v>0</v>
      </c>
      <c r="BF601" s="124">
        <f>交易记录!AB732</f>
        <v>0</v>
      </c>
      <c r="BG601" s="124">
        <f>交易记录!AB763</f>
        <v>0</v>
      </c>
      <c r="BH601" s="30">
        <f t="shared" si="286"/>
        <v>0</v>
      </c>
      <c r="BI601" s="121">
        <f>交易记录!AB796</f>
        <v>0</v>
      </c>
      <c r="BJ601" s="121">
        <f>交易记录!AB827</f>
        <v>0</v>
      </c>
      <c r="BK601" s="30">
        <f t="shared" si="287"/>
        <v>0</v>
      </c>
      <c r="BL601" s="124">
        <f>交易记录!AB860</f>
        <v>0</v>
      </c>
      <c r="BM601" s="124">
        <f>交易记录!AB891</f>
        <v>0</v>
      </c>
      <c r="BN601" s="30">
        <f t="shared" si="288"/>
        <v>0</v>
      </c>
      <c r="BO601" s="121">
        <f>交易记录!AB924</f>
        <v>0</v>
      </c>
      <c r="BP601" s="121">
        <f>交易记录!AB955</f>
        <v>0</v>
      </c>
      <c r="BQ601" s="30">
        <f t="shared" si="289"/>
        <v>0</v>
      </c>
    </row>
    <row r="602" spans="1:69" ht="15">
      <c r="A602" s="125">
        <f>'维护-日期'!A$28</f>
        <v>46291</v>
      </c>
      <c r="B602" s="7" t="s">
        <v>6</v>
      </c>
      <c r="C602" s="144">
        <f t="shared" si="290"/>
        <v>16.655999999999999</v>
      </c>
      <c r="D602" s="144">
        <f>ROUND(INDEX(持仓数据!$C$3:$AG$26,MATCH('计算过程-数据汇总'!B602,持仓数据!$B$3:$B$26,0),MATCH('计算过程-数据汇总'!A602,'维护-日期'!$B$2:$AF$2,0)),3)</f>
        <v>16.655999999999999</v>
      </c>
      <c r="E602" s="98">
        <f t="shared" si="291"/>
        <v>16.655999999999999</v>
      </c>
      <c r="F602" s="22">
        <f>持仓数据!AB72</f>
        <v>0.1</v>
      </c>
      <c r="G602" s="97">
        <v>372</v>
      </c>
      <c r="H602" s="97">
        <v>372</v>
      </c>
      <c r="I602" s="64">
        <v>0</v>
      </c>
      <c r="J602" s="64">
        <v>0</v>
      </c>
      <c r="K602" s="21">
        <f>IF(持仓数据!AB105="",0,持仓数据!AB105)</f>
        <v>372</v>
      </c>
      <c r="L602" s="21">
        <f t="shared" si="292"/>
        <v>0</v>
      </c>
      <c r="M602" s="28">
        <f t="shared" si="276"/>
        <v>6196.0319999999992</v>
      </c>
      <c r="N602" s="28">
        <f t="shared" si="277"/>
        <v>0</v>
      </c>
      <c r="O602" s="28">
        <f t="shared" si="278"/>
        <v>0</v>
      </c>
      <c r="P602" s="28">
        <f t="shared" si="279"/>
        <v>0</v>
      </c>
      <c r="Q602" s="28">
        <f t="shared" si="293"/>
        <v>0</v>
      </c>
      <c r="R602" s="28">
        <f t="shared" si="280"/>
        <v>6196.0319999999992</v>
      </c>
      <c r="S602" s="28">
        <f t="shared" si="294"/>
        <v>0</v>
      </c>
      <c r="T602" s="28">
        <f t="shared" si="295"/>
        <v>0</v>
      </c>
      <c r="U602" s="28">
        <f t="shared" si="298"/>
        <v>0</v>
      </c>
      <c r="V602" s="28">
        <f t="shared" si="296"/>
        <v>0</v>
      </c>
      <c r="W602" s="118"/>
      <c r="X602" s="143">
        <f t="shared" si="297"/>
        <v>19.887</v>
      </c>
      <c r="Y602" s="121">
        <f>交易记录!AC5</f>
        <v>0.1</v>
      </c>
      <c r="Z602" s="121">
        <f>交易记录!AC36</f>
        <v>372</v>
      </c>
      <c r="AA602" s="30">
        <f t="shared" si="281"/>
        <v>0</v>
      </c>
      <c r="AB602" s="124">
        <f>交易记录!AC69</f>
        <v>0</v>
      </c>
      <c r="AC602" s="124">
        <f>交易记录!AC100</f>
        <v>0</v>
      </c>
      <c r="AD602" s="30">
        <f t="shared" si="270"/>
        <v>0</v>
      </c>
      <c r="AE602" s="121">
        <f>交易记录!AC133</f>
        <v>0</v>
      </c>
      <c r="AF602" s="121">
        <f>交易记录!AC164</f>
        <v>0</v>
      </c>
      <c r="AG602" s="30">
        <f t="shared" si="271"/>
        <v>0</v>
      </c>
      <c r="AH602" s="124">
        <f>交易记录!AC197</f>
        <v>0</v>
      </c>
      <c r="AI602" s="124">
        <f>交易记录!AC228</f>
        <v>0</v>
      </c>
      <c r="AJ602" s="30">
        <f t="shared" si="272"/>
        <v>0</v>
      </c>
      <c r="AK602" s="121">
        <f>交易记录!AC261</f>
        <v>0</v>
      </c>
      <c r="AL602" s="121">
        <f>交易记录!AC292</f>
        <v>0</v>
      </c>
      <c r="AM602" s="30">
        <f t="shared" si="273"/>
        <v>0</v>
      </c>
      <c r="AN602" s="124">
        <f>交易记录!AC325</f>
        <v>0</v>
      </c>
      <c r="AO602" s="124">
        <f>交易记录!AC356</f>
        <v>0</v>
      </c>
      <c r="AP602" s="30">
        <f t="shared" si="274"/>
        <v>0</v>
      </c>
      <c r="AQ602" s="121">
        <f>交易记录!AC389</f>
        <v>0</v>
      </c>
      <c r="AR602" s="121">
        <f>交易记录!AC420</f>
        <v>0</v>
      </c>
      <c r="AS602" s="30">
        <f t="shared" si="275"/>
        <v>0</v>
      </c>
      <c r="AT602" s="124">
        <f>交易记录!AC453</f>
        <v>0</v>
      </c>
      <c r="AU602" s="124">
        <f>交易记录!AC484</f>
        <v>0</v>
      </c>
      <c r="AV602" s="30">
        <f t="shared" si="282"/>
        <v>0</v>
      </c>
      <c r="AW602" s="121">
        <f>交易记录!AC517</f>
        <v>0</v>
      </c>
      <c r="AX602" s="121">
        <f>交易记录!AC548</f>
        <v>0</v>
      </c>
      <c r="AY602" s="30">
        <f t="shared" si="283"/>
        <v>0</v>
      </c>
      <c r="AZ602" s="124">
        <f>交易记录!AC581</f>
        <v>0</v>
      </c>
      <c r="BA602" s="124">
        <f>交易记录!AC612</f>
        <v>0</v>
      </c>
      <c r="BB602" s="30">
        <f t="shared" si="284"/>
        <v>0</v>
      </c>
      <c r="BC602" s="121">
        <f>交易记录!AC645</f>
        <v>0</v>
      </c>
      <c r="BD602" s="121">
        <f>交易记录!AC676</f>
        <v>0</v>
      </c>
      <c r="BE602" s="30">
        <f t="shared" si="285"/>
        <v>0</v>
      </c>
      <c r="BF602" s="124">
        <f>交易记录!AC709</f>
        <v>0</v>
      </c>
      <c r="BG602" s="124">
        <f>交易记录!AC740</f>
        <v>0</v>
      </c>
      <c r="BH602" s="30">
        <f t="shared" si="286"/>
        <v>0</v>
      </c>
      <c r="BI602" s="121">
        <f>交易记录!AC773</f>
        <v>0</v>
      </c>
      <c r="BJ602" s="121">
        <f>交易记录!AC804</f>
        <v>0</v>
      </c>
      <c r="BK602" s="30">
        <f t="shared" si="287"/>
        <v>0</v>
      </c>
      <c r="BL602" s="124">
        <f>交易记录!AC837</f>
        <v>0</v>
      </c>
      <c r="BM602" s="124">
        <f>交易记录!AC868</f>
        <v>0</v>
      </c>
      <c r="BN602" s="30">
        <f t="shared" si="288"/>
        <v>0</v>
      </c>
      <c r="BO602" s="121">
        <f>交易记录!AC901</f>
        <v>0</v>
      </c>
      <c r="BP602" s="121">
        <f>交易记录!AC932</f>
        <v>0</v>
      </c>
      <c r="BQ602" s="30">
        <f t="shared" si="289"/>
        <v>0</v>
      </c>
    </row>
    <row r="603" spans="1:69" ht="15">
      <c r="A603" s="125">
        <f>'维护-日期'!A$28</f>
        <v>46291</v>
      </c>
      <c r="B603" s="7" t="s">
        <v>7</v>
      </c>
      <c r="C603" s="144">
        <f t="shared" si="290"/>
        <v>15.792</v>
      </c>
      <c r="D603" s="144">
        <f>ROUND(INDEX(持仓数据!$C$3:$AG$26,MATCH('计算过程-数据汇总'!B603,持仓数据!$B$3:$B$26,0),MATCH('计算过程-数据汇总'!A603,'维护-日期'!$B$2:$AF$2,0)),3)</f>
        <v>15.792</v>
      </c>
      <c r="E603" s="98">
        <f t="shared" si="291"/>
        <v>15.792</v>
      </c>
      <c r="F603" s="22">
        <f>持仓数据!AB73</f>
        <v>9.5000000000000001E-2</v>
      </c>
      <c r="G603" s="97">
        <v>372</v>
      </c>
      <c r="H603" s="97">
        <v>372</v>
      </c>
      <c r="I603" s="64">
        <v>0</v>
      </c>
      <c r="J603" s="64">
        <v>0</v>
      </c>
      <c r="K603" s="21">
        <f>IF(持仓数据!AB106="",0,持仓数据!AB106)</f>
        <v>372.00000000000006</v>
      </c>
      <c r="L603" s="21">
        <f t="shared" si="292"/>
        <v>0</v>
      </c>
      <c r="M603" s="28">
        <f t="shared" si="276"/>
        <v>5874.6239999999998</v>
      </c>
      <c r="N603" s="28">
        <f t="shared" si="277"/>
        <v>0</v>
      </c>
      <c r="O603" s="28">
        <f t="shared" si="278"/>
        <v>0</v>
      </c>
      <c r="P603" s="28">
        <f t="shared" si="279"/>
        <v>5.4001247917767615E-15</v>
      </c>
      <c r="Q603" s="28">
        <f t="shared" si="293"/>
        <v>0</v>
      </c>
      <c r="R603" s="28">
        <f t="shared" si="280"/>
        <v>5874.6240000000007</v>
      </c>
      <c r="S603" s="28">
        <f t="shared" si="294"/>
        <v>0</v>
      </c>
      <c r="T603" s="28">
        <f t="shared" si="295"/>
        <v>-8.9227114585810336E-13</v>
      </c>
      <c r="U603" s="28">
        <f t="shared" si="298"/>
        <v>0</v>
      </c>
      <c r="V603" s="28">
        <f t="shared" si="296"/>
        <v>0</v>
      </c>
      <c r="W603" s="118"/>
      <c r="X603" s="143">
        <f t="shared" si="297"/>
        <v>18.855</v>
      </c>
      <c r="Y603" s="121">
        <f>交易记录!AC6</f>
        <v>9.5000000000000001E-2</v>
      </c>
      <c r="Z603" s="121">
        <f>交易记录!AC37</f>
        <v>372</v>
      </c>
      <c r="AA603" s="30">
        <f t="shared" si="281"/>
        <v>0</v>
      </c>
      <c r="AB603" s="124">
        <f>交易记录!AC70</f>
        <v>0</v>
      </c>
      <c r="AC603" s="124">
        <f>交易记录!AC101</f>
        <v>0</v>
      </c>
      <c r="AD603" s="30">
        <f t="shared" ref="AD603:AD666" si="299">IFERROR((AC603-$G603)*AB603,0)</f>
        <v>0</v>
      </c>
      <c r="AE603" s="121">
        <f>交易记录!AC134</f>
        <v>0</v>
      </c>
      <c r="AF603" s="121">
        <f>交易记录!AC165</f>
        <v>0</v>
      </c>
      <c r="AG603" s="30">
        <f t="shared" ref="AG603:AG666" si="300">IFERROR((AF603-$G603)*AE603,0)</f>
        <v>0</v>
      </c>
      <c r="AH603" s="124">
        <f>交易记录!AC198</f>
        <v>0</v>
      </c>
      <c r="AI603" s="124">
        <f>交易记录!AC229</f>
        <v>0</v>
      </c>
      <c r="AJ603" s="30">
        <f t="shared" ref="AJ603:AJ666" si="301">IFERROR((AI603-$G603)*AH603,0)</f>
        <v>0</v>
      </c>
      <c r="AK603" s="121">
        <f>交易记录!AC262</f>
        <v>0</v>
      </c>
      <c r="AL603" s="121">
        <f>交易记录!AC293</f>
        <v>0</v>
      </c>
      <c r="AM603" s="30">
        <f t="shared" ref="AM603:AM666" si="302">IFERROR((AL603-$G603)*AK603,0)</f>
        <v>0</v>
      </c>
      <c r="AN603" s="124">
        <f>交易记录!AC326</f>
        <v>0</v>
      </c>
      <c r="AO603" s="124">
        <f>交易记录!AC357</f>
        <v>0</v>
      </c>
      <c r="AP603" s="30">
        <f t="shared" ref="AP603:AP666" si="303">IFERROR((AO603-$G603)*AN603,0)</f>
        <v>0</v>
      </c>
      <c r="AQ603" s="121">
        <f>交易记录!AC390</f>
        <v>0</v>
      </c>
      <c r="AR603" s="121">
        <f>交易记录!AC421</f>
        <v>0</v>
      </c>
      <c r="AS603" s="30">
        <f t="shared" ref="AS603:AS666" si="304">IFERROR((AR603-$G603)*AQ603,0)</f>
        <v>0</v>
      </c>
      <c r="AT603" s="124">
        <f>交易记录!AC454</f>
        <v>0</v>
      </c>
      <c r="AU603" s="124">
        <f>交易记录!AC485</f>
        <v>0</v>
      </c>
      <c r="AV603" s="30">
        <f t="shared" si="282"/>
        <v>0</v>
      </c>
      <c r="AW603" s="121">
        <f>交易记录!AC518</f>
        <v>0</v>
      </c>
      <c r="AX603" s="121">
        <f>交易记录!AC549</f>
        <v>0</v>
      </c>
      <c r="AY603" s="30">
        <f t="shared" si="283"/>
        <v>0</v>
      </c>
      <c r="AZ603" s="124">
        <f>交易记录!AC582</f>
        <v>0</v>
      </c>
      <c r="BA603" s="124">
        <f>交易记录!AC613</f>
        <v>0</v>
      </c>
      <c r="BB603" s="30">
        <f t="shared" si="284"/>
        <v>0</v>
      </c>
      <c r="BC603" s="121">
        <f>交易记录!AC646</f>
        <v>0</v>
      </c>
      <c r="BD603" s="121">
        <f>交易记录!AC677</f>
        <v>0</v>
      </c>
      <c r="BE603" s="30">
        <f t="shared" si="285"/>
        <v>0</v>
      </c>
      <c r="BF603" s="124">
        <f>交易记录!AC710</f>
        <v>0</v>
      </c>
      <c r="BG603" s="124">
        <f>交易记录!AC741</f>
        <v>0</v>
      </c>
      <c r="BH603" s="30">
        <f t="shared" si="286"/>
        <v>0</v>
      </c>
      <c r="BI603" s="121">
        <f>交易记录!AC774</f>
        <v>0</v>
      </c>
      <c r="BJ603" s="121">
        <f>交易记录!AC805</f>
        <v>0</v>
      </c>
      <c r="BK603" s="30">
        <f t="shared" si="287"/>
        <v>0</v>
      </c>
      <c r="BL603" s="124">
        <f>交易记录!AC838</f>
        <v>0</v>
      </c>
      <c r="BM603" s="124">
        <f>交易记录!AC869</f>
        <v>0</v>
      </c>
      <c r="BN603" s="30">
        <f t="shared" si="288"/>
        <v>0</v>
      </c>
      <c r="BO603" s="121">
        <f>交易记录!AC902</f>
        <v>0</v>
      </c>
      <c r="BP603" s="121">
        <f>交易记录!AC933</f>
        <v>0</v>
      </c>
      <c r="BQ603" s="30">
        <f t="shared" si="289"/>
        <v>0</v>
      </c>
    </row>
    <row r="604" spans="1:69" ht="15">
      <c r="A604" s="125">
        <f>'维护-日期'!A$28</f>
        <v>46291</v>
      </c>
      <c r="B604" s="7" t="s">
        <v>8</v>
      </c>
      <c r="C604" s="144">
        <f t="shared" si="290"/>
        <v>14.821999999999999</v>
      </c>
      <c r="D604" s="144">
        <f>ROUND(INDEX(持仓数据!$C$3:$AG$26,MATCH('计算过程-数据汇总'!B604,持仓数据!$B$3:$B$26,0),MATCH('计算过程-数据汇总'!A604,'维护-日期'!$B$2:$AF$2,0)),3)</f>
        <v>14.821999999999999</v>
      </c>
      <c r="E604" s="98">
        <f t="shared" si="291"/>
        <v>14.821999999999999</v>
      </c>
      <c r="F604" s="22">
        <f>持仓数据!AB74</f>
        <v>8.5999999999999993E-2</v>
      </c>
      <c r="G604" s="97">
        <v>372</v>
      </c>
      <c r="H604" s="97">
        <v>372</v>
      </c>
      <c r="I604" s="64">
        <v>0</v>
      </c>
      <c r="J604" s="64">
        <v>0</v>
      </c>
      <c r="K604" s="21">
        <f>IF(持仓数据!AB107="",0,持仓数据!AB107)</f>
        <v>372</v>
      </c>
      <c r="L604" s="21">
        <f t="shared" si="292"/>
        <v>0</v>
      </c>
      <c r="M604" s="28">
        <f t="shared" si="276"/>
        <v>5513.7839999999997</v>
      </c>
      <c r="N604" s="28">
        <f t="shared" si="277"/>
        <v>0</v>
      </c>
      <c r="O604" s="28">
        <f t="shared" si="278"/>
        <v>0</v>
      </c>
      <c r="P604" s="28">
        <f t="shared" si="279"/>
        <v>0</v>
      </c>
      <c r="Q604" s="28">
        <f t="shared" si="293"/>
        <v>0</v>
      </c>
      <c r="R604" s="28">
        <f t="shared" si="280"/>
        <v>5513.7839999999997</v>
      </c>
      <c r="S604" s="28">
        <f t="shared" si="294"/>
        <v>0</v>
      </c>
      <c r="T604" s="28">
        <f t="shared" si="295"/>
        <v>0</v>
      </c>
      <c r="U604" s="28">
        <f t="shared" si="298"/>
        <v>0</v>
      </c>
      <c r="V604" s="28">
        <f t="shared" si="296"/>
        <v>0</v>
      </c>
      <c r="W604" s="118"/>
      <c r="X604" s="143">
        <f t="shared" si="297"/>
        <v>17.7</v>
      </c>
      <c r="Y604" s="121">
        <f>交易记录!AC7</f>
        <v>8.5999999999999993E-2</v>
      </c>
      <c r="Z604" s="121">
        <f>交易记录!AC38</f>
        <v>372</v>
      </c>
      <c r="AA604" s="30">
        <f t="shared" si="281"/>
        <v>0</v>
      </c>
      <c r="AB604" s="124">
        <f>交易记录!AC71</f>
        <v>0</v>
      </c>
      <c r="AC604" s="124">
        <f>交易记录!AC102</f>
        <v>0</v>
      </c>
      <c r="AD604" s="30">
        <f t="shared" si="299"/>
        <v>0</v>
      </c>
      <c r="AE604" s="121">
        <f>交易记录!AC135</f>
        <v>0</v>
      </c>
      <c r="AF604" s="121">
        <f>交易记录!AC166</f>
        <v>0</v>
      </c>
      <c r="AG604" s="30">
        <f t="shared" si="300"/>
        <v>0</v>
      </c>
      <c r="AH604" s="124">
        <f>交易记录!AC199</f>
        <v>0</v>
      </c>
      <c r="AI604" s="124">
        <f>交易记录!AC230</f>
        <v>0</v>
      </c>
      <c r="AJ604" s="30">
        <f t="shared" si="301"/>
        <v>0</v>
      </c>
      <c r="AK604" s="121">
        <f>交易记录!AC263</f>
        <v>0</v>
      </c>
      <c r="AL604" s="121">
        <f>交易记录!AC294</f>
        <v>0</v>
      </c>
      <c r="AM604" s="30">
        <f t="shared" si="302"/>
        <v>0</v>
      </c>
      <c r="AN604" s="124">
        <f>交易记录!AC327</f>
        <v>0</v>
      </c>
      <c r="AO604" s="124">
        <f>交易记录!AC358</f>
        <v>0</v>
      </c>
      <c r="AP604" s="30">
        <f t="shared" si="303"/>
        <v>0</v>
      </c>
      <c r="AQ604" s="121">
        <f>交易记录!AC391</f>
        <v>0</v>
      </c>
      <c r="AR604" s="121">
        <f>交易记录!AC422</f>
        <v>0</v>
      </c>
      <c r="AS604" s="30">
        <f t="shared" si="304"/>
        <v>0</v>
      </c>
      <c r="AT604" s="124">
        <f>交易记录!AC455</f>
        <v>0</v>
      </c>
      <c r="AU604" s="124">
        <f>交易记录!AC486</f>
        <v>0</v>
      </c>
      <c r="AV604" s="30">
        <f t="shared" si="282"/>
        <v>0</v>
      </c>
      <c r="AW604" s="121">
        <f>交易记录!AC519</f>
        <v>0</v>
      </c>
      <c r="AX604" s="121">
        <f>交易记录!AC550</f>
        <v>0</v>
      </c>
      <c r="AY604" s="30">
        <f t="shared" si="283"/>
        <v>0</v>
      </c>
      <c r="AZ604" s="124">
        <f>交易记录!AC583</f>
        <v>0</v>
      </c>
      <c r="BA604" s="124">
        <f>交易记录!AC614</f>
        <v>0</v>
      </c>
      <c r="BB604" s="30">
        <f t="shared" si="284"/>
        <v>0</v>
      </c>
      <c r="BC604" s="121">
        <f>交易记录!AC647</f>
        <v>0</v>
      </c>
      <c r="BD604" s="121">
        <f>交易记录!AC678</f>
        <v>0</v>
      </c>
      <c r="BE604" s="30">
        <f t="shared" si="285"/>
        <v>0</v>
      </c>
      <c r="BF604" s="124">
        <f>交易记录!AC711</f>
        <v>0</v>
      </c>
      <c r="BG604" s="124">
        <f>交易记录!AC742</f>
        <v>0</v>
      </c>
      <c r="BH604" s="30">
        <f t="shared" si="286"/>
        <v>0</v>
      </c>
      <c r="BI604" s="121">
        <f>交易记录!AC775</f>
        <v>0</v>
      </c>
      <c r="BJ604" s="121">
        <f>交易记录!AC806</f>
        <v>0</v>
      </c>
      <c r="BK604" s="30">
        <f t="shared" si="287"/>
        <v>0</v>
      </c>
      <c r="BL604" s="124">
        <f>交易记录!AC839</f>
        <v>0</v>
      </c>
      <c r="BM604" s="124">
        <f>交易记录!AC870</f>
        <v>0</v>
      </c>
      <c r="BN604" s="30">
        <f t="shared" si="288"/>
        <v>0</v>
      </c>
      <c r="BO604" s="121">
        <f>交易记录!AC903</f>
        <v>0</v>
      </c>
      <c r="BP604" s="121">
        <f>交易记录!AC934</f>
        <v>0</v>
      </c>
      <c r="BQ604" s="30">
        <f t="shared" si="289"/>
        <v>0</v>
      </c>
    </row>
    <row r="605" spans="1:69" ht="15">
      <c r="A605" s="125">
        <f>'维护-日期'!A$28</f>
        <v>46291</v>
      </c>
      <c r="B605" s="7" t="s">
        <v>9</v>
      </c>
      <c r="C605" s="144">
        <f t="shared" si="290"/>
        <v>13.817</v>
      </c>
      <c r="D605" s="144">
        <f>ROUND(INDEX(持仓数据!$C$3:$AG$26,MATCH('计算过程-数据汇总'!B605,持仓数据!$B$3:$B$26,0),MATCH('计算过程-数据汇总'!A605,'维护-日期'!$B$2:$AF$2,0)),3)</f>
        <v>13.817</v>
      </c>
      <c r="E605" s="98">
        <f t="shared" si="291"/>
        <v>13.817</v>
      </c>
      <c r="F605" s="22">
        <f>持仓数据!AB75</f>
        <v>7.7000000000000013E-2</v>
      </c>
      <c r="G605" s="97">
        <v>372</v>
      </c>
      <c r="H605" s="97">
        <v>372</v>
      </c>
      <c r="I605" s="64">
        <v>0</v>
      </c>
      <c r="J605" s="64">
        <v>0</v>
      </c>
      <c r="K605" s="21">
        <f>IF(持仓数据!AB108="",0,持仓数据!AB108)</f>
        <v>372</v>
      </c>
      <c r="L605" s="21">
        <f t="shared" si="292"/>
        <v>0</v>
      </c>
      <c r="M605" s="28">
        <f t="shared" si="276"/>
        <v>5139.924</v>
      </c>
      <c r="N605" s="28">
        <f t="shared" si="277"/>
        <v>0</v>
      </c>
      <c r="O605" s="28">
        <f t="shared" si="278"/>
        <v>0</v>
      </c>
      <c r="P605" s="28">
        <f t="shared" si="279"/>
        <v>0</v>
      </c>
      <c r="Q605" s="28">
        <f t="shared" si="293"/>
        <v>0</v>
      </c>
      <c r="R605" s="28">
        <f t="shared" si="280"/>
        <v>5139.924</v>
      </c>
      <c r="S605" s="28">
        <f t="shared" si="294"/>
        <v>0</v>
      </c>
      <c r="T605" s="28">
        <f t="shared" si="295"/>
        <v>0</v>
      </c>
      <c r="U605" s="28">
        <f t="shared" si="298"/>
        <v>0</v>
      </c>
      <c r="V605" s="28">
        <f t="shared" si="296"/>
        <v>0</v>
      </c>
      <c r="W605" s="118"/>
      <c r="X605" s="143">
        <f t="shared" si="297"/>
        <v>16.503</v>
      </c>
      <c r="Y605" s="121">
        <f>交易记录!AC8</f>
        <v>7.7000000000000013E-2</v>
      </c>
      <c r="Z605" s="121">
        <f>交易记录!AC39</f>
        <v>372</v>
      </c>
      <c r="AA605" s="30">
        <f t="shared" si="281"/>
        <v>0</v>
      </c>
      <c r="AB605" s="124">
        <f>交易记录!AC72</f>
        <v>0</v>
      </c>
      <c r="AC605" s="124">
        <f>交易记录!AC103</f>
        <v>0</v>
      </c>
      <c r="AD605" s="30">
        <f t="shared" si="299"/>
        <v>0</v>
      </c>
      <c r="AE605" s="121">
        <f>交易记录!AC136</f>
        <v>0</v>
      </c>
      <c r="AF605" s="121">
        <f>交易记录!AC167</f>
        <v>0</v>
      </c>
      <c r="AG605" s="30">
        <f t="shared" si="300"/>
        <v>0</v>
      </c>
      <c r="AH605" s="124">
        <f>交易记录!AC200</f>
        <v>0</v>
      </c>
      <c r="AI605" s="124">
        <f>交易记录!AC231</f>
        <v>0</v>
      </c>
      <c r="AJ605" s="30">
        <f t="shared" si="301"/>
        <v>0</v>
      </c>
      <c r="AK605" s="121">
        <f>交易记录!AC264</f>
        <v>0</v>
      </c>
      <c r="AL605" s="121">
        <f>交易记录!AC295</f>
        <v>0</v>
      </c>
      <c r="AM605" s="30">
        <f t="shared" si="302"/>
        <v>0</v>
      </c>
      <c r="AN605" s="124">
        <f>交易记录!AC328</f>
        <v>0</v>
      </c>
      <c r="AO605" s="124">
        <f>交易记录!AC359</f>
        <v>0</v>
      </c>
      <c r="AP605" s="30">
        <f t="shared" si="303"/>
        <v>0</v>
      </c>
      <c r="AQ605" s="121">
        <f>交易记录!AC392</f>
        <v>0</v>
      </c>
      <c r="AR605" s="121">
        <f>交易记录!AC423</f>
        <v>0</v>
      </c>
      <c r="AS605" s="30">
        <f t="shared" si="304"/>
        <v>0</v>
      </c>
      <c r="AT605" s="124">
        <f>交易记录!AC456</f>
        <v>0</v>
      </c>
      <c r="AU605" s="124">
        <f>交易记录!AC487</f>
        <v>0</v>
      </c>
      <c r="AV605" s="30">
        <f t="shared" si="282"/>
        <v>0</v>
      </c>
      <c r="AW605" s="121">
        <f>交易记录!AC520</f>
        <v>0</v>
      </c>
      <c r="AX605" s="121">
        <f>交易记录!AC551</f>
        <v>0</v>
      </c>
      <c r="AY605" s="30">
        <f t="shared" si="283"/>
        <v>0</v>
      </c>
      <c r="AZ605" s="124">
        <f>交易记录!AC584</f>
        <v>0</v>
      </c>
      <c r="BA605" s="124">
        <f>交易记录!AC615</f>
        <v>0</v>
      </c>
      <c r="BB605" s="30">
        <f t="shared" si="284"/>
        <v>0</v>
      </c>
      <c r="BC605" s="121">
        <f>交易记录!AC648</f>
        <v>0</v>
      </c>
      <c r="BD605" s="121">
        <f>交易记录!AC679</f>
        <v>0</v>
      </c>
      <c r="BE605" s="30">
        <f t="shared" si="285"/>
        <v>0</v>
      </c>
      <c r="BF605" s="124">
        <f>交易记录!AC712</f>
        <v>0</v>
      </c>
      <c r="BG605" s="124">
        <f>交易记录!AC743</f>
        <v>0</v>
      </c>
      <c r="BH605" s="30">
        <f t="shared" si="286"/>
        <v>0</v>
      </c>
      <c r="BI605" s="121">
        <f>交易记录!AC776</f>
        <v>0</v>
      </c>
      <c r="BJ605" s="121">
        <f>交易记录!AC807</f>
        <v>0</v>
      </c>
      <c r="BK605" s="30">
        <f t="shared" si="287"/>
        <v>0</v>
      </c>
      <c r="BL605" s="124">
        <f>交易记录!AC840</f>
        <v>0</v>
      </c>
      <c r="BM605" s="124">
        <f>交易记录!AC871</f>
        <v>0</v>
      </c>
      <c r="BN605" s="30">
        <f t="shared" si="288"/>
        <v>0</v>
      </c>
      <c r="BO605" s="121">
        <f>交易记录!AC904</f>
        <v>0</v>
      </c>
      <c r="BP605" s="121">
        <f>交易记录!AC935</f>
        <v>0</v>
      </c>
      <c r="BQ605" s="30">
        <f t="shared" si="289"/>
        <v>0</v>
      </c>
    </row>
    <row r="606" spans="1:69" ht="15">
      <c r="A606" s="125">
        <f>'维护-日期'!A$28</f>
        <v>46291</v>
      </c>
      <c r="B606" s="7" t="s">
        <v>10</v>
      </c>
      <c r="C606" s="144">
        <f t="shared" si="290"/>
        <v>13.388</v>
      </c>
      <c r="D606" s="144">
        <f>ROUND(INDEX(持仓数据!$C$3:$AG$26,MATCH('计算过程-数据汇总'!B606,持仓数据!$B$3:$B$26,0),MATCH('计算过程-数据汇总'!A606,'维护-日期'!$B$2:$AF$2,0)),3)</f>
        <v>13.388</v>
      </c>
      <c r="E606" s="98">
        <f t="shared" si="291"/>
        <v>13.388</v>
      </c>
      <c r="F606" s="22">
        <f>持仓数据!AB76</f>
        <v>7.5000000000000011E-2</v>
      </c>
      <c r="G606" s="97">
        <v>372</v>
      </c>
      <c r="H606" s="97">
        <v>372</v>
      </c>
      <c r="I606" s="64">
        <v>0</v>
      </c>
      <c r="J606" s="64">
        <v>0</v>
      </c>
      <c r="K606" s="21">
        <f>IF(持仓数据!AB109="",0,持仓数据!AB109)</f>
        <v>372</v>
      </c>
      <c r="L606" s="21">
        <f t="shared" si="292"/>
        <v>0</v>
      </c>
      <c r="M606" s="28">
        <f t="shared" si="276"/>
        <v>4980.3360000000002</v>
      </c>
      <c r="N606" s="28">
        <f t="shared" si="277"/>
        <v>0</v>
      </c>
      <c r="O606" s="28">
        <f t="shared" si="278"/>
        <v>0</v>
      </c>
      <c r="P606" s="28">
        <f t="shared" si="279"/>
        <v>0</v>
      </c>
      <c r="Q606" s="28">
        <f t="shared" si="293"/>
        <v>0</v>
      </c>
      <c r="R606" s="28">
        <f t="shared" si="280"/>
        <v>4980.3360000000002</v>
      </c>
      <c r="S606" s="28">
        <f t="shared" si="294"/>
        <v>0</v>
      </c>
      <c r="T606" s="28">
        <f t="shared" si="295"/>
        <v>0</v>
      </c>
      <c r="U606" s="28">
        <f t="shared" si="298"/>
        <v>0</v>
      </c>
      <c r="V606" s="28">
        <f t="shared" si="296"/>
        <v>0</v>
      </c>
      <c r="W606" s="118"/>
      <c r="X606" s="143">
        <f t="shared" si="297"/>
        <v>15.991</v>
      </c>
      <c r="Y606" s="121">
        <f>交易记录!AC9</f>
        <v>7.5000000000000011E-2</v>
      </c>
      <c r="Z606" s="121">
        <f>交易记录!AC40</f>
        <v>372</v>
      </c>
      <c r="AA606" s="30">
        <f t="shared" si="281"/>
        <v>0</v>
      </c>
      <c r="AB606" s="124">
        <f>交易记录!AC73</f>
        <v>0</v>
      </c>
      <c r="AC606" s="124">
        <f>交易记录!AC104</f>
        <v>0</v>
      </c>
      <c r="AD606" s="30">
        <f t="shared" si="299"/>
        <v>0</v>
      </c>
      <c r="AE606" s="121">
        <f>交易记录!AC137</f>
        <v>0</v>
      </c>
      <c r="AF606" s="121">
        <f>交易记录!AC168</f>
        <v>0</v>
      </c>
      <c r="AG606" s="30">
        <f t="shared" si="300"/>
        <v>0</v>
      </c>
      <c r="AH606" s="124">
        <f>交易记录!AC201</f>
        <v>0</v>
      </c>
      <c r="AI606" s="124">
        <f>交易记录!AC232</f>
        <v>0</v>
      </c>
      <c r="AJ606" s="30">
        <f t="shared" si="301"/>
        <v>0</v>
      </c>
      <c r="AK606" s="121">
        <f>交易记录!AC265</f>
        <v>0</v>
      </c>
      <c r="AL606" s="121">
        <f>交易记录!AC296</f>
        <v>0</v>
      </c>
      <c r="AM606" s="30">
        <f t="shared" si="302"/>
        <v>0</v>
      </c>
      <c r="AN606" s="124">
        <f>交易记录!AC329</f>
        <v>0</v>
      </c>
      <c r="AO606" s="124">
        <f>交易记录!AC360</f>
        <v>0</v>
      </c>
      <c r="AP606" s="30">
        <f t="shared" si="303"/>
        <v>0</v>
      </c>
      <c r="AQ606" s="121">
        <f>交易记录!AC393</f>
        <v>0</v>
      </c>
      <c r="AR606" s="121">
        <f>交易记录!AC424</f>
        <v>0</v>
      </c>
      <c r="AS606" s="30">
        <f t="shared" si="304"/>
        <v>0</v>
      </c>
      <c r="AT606" s="124">
        <f>交易记录!AC457</f>
        <v>0</v>
      </c>
      <c r="AU606" s="124">
        <f>交易记录!AC488</f>
        <v>0</v>
      </c>
      <c r="AV606" s="30">
        <f t="shared" si="282"/>
        <v>0</v>
      </c>
      <c r="AW606" s="121">
        <f>交易记录!AC521</f>
        <v>0</v>
      </c>
      <c r="AX606" s="121">
        <f>交易记录!AC552</f>
        <v>0</v>
      </c>
      <c r="AY606" s="30">
        <f t="shared" si="283"/>
        <v>0</v>
      </c>
      <c r="AZ606" s="124">
        <f>交易记录!AC585</f>
        <v>0</v>
      </c>
      <c r="BA606" s="124">
        <f>交易记录!AC616</f>
        <v>0</v>
      </c>
      <c r="BB606" s="30">
        <f t="shared" si="284"/>
        <v>0</v>
      </c>
      <c r="BC606" s="121">
        <f>交易记录!AC649</f>
        <v>0</v>
      </c>
      <c r="BD606" s="121">
        <f>交易记录!AC680</f>
        <v>0</v>
      </c>
      <c r="BE606" s="30">
        <f t="shared" si="285"/>
        <v>0</v>
      </c>
      <c r="BF606" s="124">
        <f>交易记录!AC713</f>
        <v>0</v>
      </c>
      <c r="BG606" s="124">
        <f>交易记录!AC744</f>
        <v>0</v>
      </c>
      <c r="BH606" s="30">
        <f t="shared" si="286"/>
        <v>0</v>
      </c>
      <c r="BI606" s="121">
        <f>交易记录!AC777</f>
        <v>0</v>
      </c>
      <c r="BJ606" s="121">
        <f>交易记录!AC808</f>
        <v>0</v>
      </c>
      <c r="BK606" s="30">
        <f t="shared" si="287"/>
        <v>0</v>
      </c>
      <c r="BL606" s="124">
        <f>交易记录!AC841</f>
        <v>0</v>
      </c>
      <c r="BM606" s="124">
        <f>交易记录!AC872</f>
        <v>0</v>
      </c>
      <c r="BN606" s="30">
        <f t="shared" si="288"/>
        <v>0</v>
      </c>
      <c r="BO606" s="121">
        <f>交易记录!AC905</f>
        <v>0</v>
      </c>
      <c r="BP606" s="121">
        <f>交易记录!AC936</f>
        <v>0</v>
      </c>
      <c r="BQ606" s="30">
        <f t="shared" si="289"/>
        <v>0</v>
      </c>
    </row>
    <row r="607" spans="1:69" ht="15">
      <c r="A607" s="125">
        <f>'维护-日期'!A$28</f>
        <v>46291</v>
      </c>
      <c r="B607" s="7" t="s">
        <v>11</v>
      </c>
      <c r="C607" s="144">
        <f t="shared" si="290"/>
        <v>13.087</v>
      </c>
      <c r="D607" s="144">
        <f>ROUND(INDEX(持仓数据!$C$3:$AG$26,MATCH('计算过程-数据汇总'!B607,持仓数据!$B$3:$B$26,0),MATCH('计算过程-数据汇总'!A607,'维护-日期'!$B$2:$AF$2,0)),3)</f>
        <v>13.087</v>
      </c>
      <c r="E607" s="98">
        <f t="shared" si="291"/>
        <v>13.087</v>
      </c>
      <c r="F607" s="22">
        <f>持仓数据!AB77</f>
        <v>7.5000000000000011E-2</v>
      </c>
      <c r="G607" s="97">
        <v>372</v>
      </c>
      <c r="H607" s="97">
        <v>372</v>
      </c>
      <c r="I607" s="64">
        <v>0</v>
      </c>
      <c r="J607" s="64">
        <v>0</v>
      </c>
      <c r="K607" s="21">
        <f>IF(持仓数据!AB110="",0,持仓数据!AB110)</f>
        <v>372</v>
      </c>
      <c r="L607" s="21">
        <f t="shared" si="292"/>
        <v>0</v>
      </c>
      <c r="M607" s="28">
        <f t="shared" si="276"/>
        <v>4868.3639999999996</v>
      </c>
      <c r="N607" s="28">
        <f t="shared" si="277"/>
        <v>0</v>
      </c>
      <c r="O607" s="28">
        <f t="shared" si="278"/>
        <v>0</v>
      </c>
      <c r="P607" s="28">
        <f t="shared" si="279"/>
        <v>0</v>
      </c>
      <c r="Q607" s="28">
        <f t="shared" si="293"/>
        <v>0</v>
      </c>
      <c r="R607" s="28">
        <f t="shared" si="280"/>
        <v>4868.3639999999996</v>
      </c>
      <c r="S607" s="28">
        <f t="shared" si="294"/>
        <v>0</v>
      </c>
      <c r="T607" s="28">
        <f t="shared" si="295"/>
        <v>0</v>
      </c>
      <c r="U607" s="28">
        <f t="shared" si="298"/>
        <v>0</v>
      </c>
      <c r="V607" s="28">
        <f t="shared" si="296"/>
        <v>0</v>
      </c>
      <c r="W607" s="118"/>
      <c r="X607" s="143">
        <f t="shared" si="297"/>
        <v>15.629</v>
      </c>
      <c r="Y607" s="121">
        <f>交易记录!AC10</f>
        <v>7.5000000000000011E-2</v>
      </c>
      <c r="Z607" s="121">
        <f>交易记录!AC41</f>
        <v>372</v>
      </c>
      <c r="AA607" s="30">
        <f t="shared" si="281"/>
        <v>0</v>
      </c>
      <c r="AB607" s="124">
        <f>交易记录!AC74</f>
        <v>0</v>
      </c>
      <c r="AC607" s="124">
        <f>交易记录!AC105</f>
        <v>0</v>
      </c>
      <c r="AD607" s="30">
        <f t="shared" si="299"/>
        <v>0</v>
      </c>
      <c r="AE607" s="121">
        <f>交易记录!AC138</f>
        <v>0</v>
      </c>
      <c r="AF607" s="121">
        <f>交易记录!AC169</f>
        <v>0</v>
      </c>
      <c r="AG607" s="30">
        <f t="shared" si="300"/>
        <v>0</v>
      </c>
      <c r="AH607" s="124">
        <f>交易记录!AC202</f>
        <v>0</v>
      </c>
      <c r="AI607" s="124">
        <f>交易记录!AC233</f>
        <v>0</v>
      </c>
      <c r="AJ607" s="30">
        <f t="shared" si="301"/>
        <v>0</v>
      </c>
      <c r="AK607" s="121">
        <f>交易记录!AC266</f>
        <v>0</v>
      </c>
      <c r="AL607" s="121">
        <f>交易记录!AC297</f>
        <v>0</v>
      </c>
      <c r="AM607" s="30">
        <f t="shared" si="302"/>
        <v>0</v>
      </c>
      <c r="AN607" s="124">
        <f>交易记录!AC330</f>
        <v>0</v>
      </c>
      <c r="AO607" s="124">
        <f>交易记录!AC361</f>
        <v>0</v>
      </c>
      <c r="AP607" s="30">
        <f t="shared" si="303"/>
        <v>0</v>
      </c>
      <c r="AQ607" s="121">
        <f>交易记录!AC394</f>
        <v>0</v>
      </c>
      <c r="AR607" s="121">
        <f>交易记录!AC425</f>
        <v>0</v>
      </c>
      <c r="AS607" s="30">
        <f t="shared" si="304"/>
        <v>0</v>
      </c>
      <c r="AT607" s="124">
        <f>交易记录!AC458</f>
        <v>0</v>
      </c>
      <c r="AU607" s="124">
        <f>交易记录!AC489</f>
        <v>0</v>
      </c>
      <c r="AV607" s="30">
        <f t="shared" si="282"/>
        <v>0</v>
      </c>
      <c r="AW607" s="121">
        <f>交易记录!AC522</f>
        <v>0</v>
      </c>
      <c r="AX607" s="121">
        <f>交易记录!AC553</f>
        <v>0</v>
      </c>
      <c r="AY607" s="30">
        <f t="shared" si="283"/>
        <v>0</v>
      </c>
      <c r="AZ607" s="124">
        <f>交易记录!AC586</f>
        <v>0</v>
      </c>
      <c r="BA607" s="124">
        <f>交易记录!AC617</f>
        <v>0</v>
      </c>
      <c r="BB607" s="30">
        <f t="shared" si="284"/>
        <v>0</v>
      </c>
      <c r="BC607" s="121">
        <f>交易记录!AC650</f>
        <v>0</v>
      </c>
      <c r="BD607" s="121">
        <f>交易记录!AC681</f>
        <v>0</v>
      </c>
      <c r="BE607" s="30">
        <f t="shared" si="285"/>
        <v>0</v>
      </c>
      <c r="BF607" s="124">
        <f>交易记录!AC714</f>
        <v>0</v>
      </c>
      <c r="BG607" s="124">
        <f>交易记录!AC745</f>
        <v>0</v>
      </c>
      <c r="BH607" s="30">
        <f t="shared" si="286"/>
        <v>0</v>
      </c>
      <c r="BI607" s="121">
        <f>交易记录!AC778</f>
        <v>0</v>
      </c>
      <c r="BJ607" s="121">
        <f>交易记录!AC809</f>
        <v>0</v>
      </c>
      <c r="BK607" s="30">
        <f t="shared" si="287"/>
        <v>0</v>
      </c>
      <c r="BL607" s="124">
        <f>交易记录!AC842</f>
        <v>0</v>
      </c>
      <c r="BM607" s="124">
        <f>交易记录!AC873</f>
        <v>0</v>
      </c>
      <c r="BN607" s="30">
        <f t="shared" si="288"/>
        <v>0</v>
      </c>
      <c r="BO607" s="121">
        <f>交易记录!AC906</f>
        <v>0</v>
      </c>
      <c r="BP607" s="121">
        <f>交易记录!AC937</f>
        <v>0</v>
      </c>
      <c r="BQ607" s="30">
        <f t="shared" si="289"/>
        <v>0</v>
      </c>
    </row>
    <row r="608" spans="1:69" ht="15">
      <c r="A608" s="125">
        <f>'维护-日期'!A$28</f>
        <v>46291</v>
      </c>
      <c r="B608" s="7" t="s">
        <v>12</v>
      </c>
      <c r="C608" s="144">
        <f t="shared" si="290"/>
        <v>12.95</v>
      </c>
      <c r="D608" s="144">
        <f>ROUND(INDEX(持仓数据!$C$3:$AG$26,MATCH('计算过程-数据汇总'!B608,持仓数据!$B$3:$B$26,0),MATCH('计算过程-数据汇总'!A608,'维护-日期'!$B$2:$AF$2,0)),3)</f>
        <v>12.95</v>
      </c>
      <c r="E608" s="98">
        <f t="shared" si="291"/>
        <v>12.95</v>
      </c>
      <c r="F608" s="22">
        <f>持仓数据!AB78</f>
        <v>0.106</v>
      </c>
      <c r="G608" s="97">
        <v>372</v>
      </c>
      <c r="H608" s="97">
        <v>372</v>
      </c>
      <c r="I608" s="64">
        <v>0</v>
      </c>
      <c r="J608" s="64">
        <v>0</v>
      </c>
      <c r="K608" s="21">
        <f>IF(持仓数据!AB111="",0,持仓数据!AB111)</f>
        <v>372.00000000000006</v>
      </c>
      <c r="L608" s="21">
        <f t="shared" si="292"/>
        <v>0</v>
      </c>
      <c r="M608" s="28">
        <f t="shared" si="276"/>
        <v>4817.3999999999996</v>
      </c>
      <c r="N608" s="28">
        <f t="shared" si="277"/>
        <v>0</v>
      </c>
      <c r="O608" s="28">
        <f t="shared" si="278"/>
        <v>0</v>
      </c>
      <c r="P608" s="28">
        <f t="shared" si="279"/>
        <v>6.0254023992456494E-15</v>
      </c>
      <c r="Q608" s="28">
        <f t="shared" si="293"/>
        <v>0</v>
      </c>
      <c r="R608" s="28">
        <f t="shared" si="280"/>
        <v>4817.4000000000005</v>
      </c>
      <c r="S608" s="28">
        <f t="shared" si="294"/>
        <v>0</v>
      </c>
      <c r="T608" s="28">
        <f t="shared" si="295"/>
        <v>-7.3009687184821811E-13</v>
      </c>
      <c r="U608" s="28">
        <f t="shared" si="298"/>
        <v>0</v>
      </c>
      <c r="V608" s="28">
        <f t="shared" si="296"/>
        <v>0</v>
      </c>
      <c r="W608" s="118"/>
      <c r="X608" s="143">
        <f t="shared" si="297"/>
        <v>15.433999999999999</v>
      </c>
      <c r="Y608" s="121">
        <f>交易记录!AC11</f>
        <v>0.106</v>
      </c>
      <c r="Z608" s="121">
        <f>交易记录!AC42</f>
        <v>372</v>
      </c>
      <c r="AA608" s="30">
        <f t="shared" si="281"/>
        <v>0</v>
      </c>
      <c r="AB608" s="124">
        <f>交易记录!AC75</f>
        <v>0</v>
      </c>
      <c r="AC608" s="124">
        <f>交易记录!AC106</f>
        <v>0</v>
      </c>
      <c r="AD608" s="30">
        <f t="shared" si="299"/>
        <v>0</v>
      </c>
      <c r="AE608" s="121">
        <f>交易记录!AC139</f>
        <v>0</v>
      </c>
      <c r="AF608" s="121">
        <f>交易记录!AC170</f>
        <v>0</v>
      </c>
      <c r="AG608" s="30">
        <f t="shared" si="300"/>
        <v>0</v>
      </c>
      <c r="AH608" s="124">
        <f>交易记录!AC203</f>
        <v>0</v>
      </c>
      <c r="AI608" s="124">
        <f>交易记录!AC234</f>
        <v>0</v>
      </c>
      <c r="AJ608" s="30">
        <f t="shared" si="301"/>
        <v>0</v>
      </c>
      <c r="AK608" s="121">
        <f>交易记录!AC267</f>
        <v>0</v>
      </c>
      <c r="AL608" s="121">
        <f>交易记录!AC298</f>
        <v>0</v>
      </c>
      <c r="AM608" s="30">
        <f t="shared" si="302"/>
        <v>0</v>
      </c>
      <c r="AN608" s="124">
        <f>交易记录!AC331</f>
        <v>0</v>
      </c>
      <c r="AO608" s="124">
        <f>交易记录!AC362</f>
        <v>0</v>
      </c>
      <c r="AP608" s="30">
        <f t="shared" si="303"/>
        <v>0</v>
      </c>
      <c r="AQ608" s="121">
        <f>交易记录!AC395</f>
        <v>0</v>
      </c>
      <c r="AR608" s="121">
        <f>交易记录!AC426</f>
        <v>0</v>
      </c>
      <c r="AS608" s="30">
        <f t="shared" si="304"/>
        <v>0</v>
      </c>
      <c r="AT608" s="124">
        <f>交易记录!AC459</f>
        <v>0</v>
      </c>
      <c r="AU608" s="124">
        <f>交易记录!AC490</f>
        <v>0</v>
      </c>
      <c r="AV608" s="30">
        <f t="shared" si="282"/>
        <v>0</v>
      </c>
      <c r="AW608" s="121">
        <f>交易记录!AC523</f>
        <v>0</v>
      </c>
      <c r="AX608" s="121">
        <f>交易记录!AC554</f>
        <v>0</v>
      </c>
      <c r="AY608" s="30">
        <f t="shared" si="283"/>
        <v>0</v>
      </c>
      <c r="AZ608" s="124">
        <f>交易记录!AC587</f>
        <v>0</v>
      </c>
      <c r="BA608" s="124">
        <f>交易记录!AC618</f>
        <v>0</v>
      </c>
      <c r="BB608" s="30">
        <f t="shared" si="284"/>
        <v>0</v>
      </c>
      <c r="BC608" s="121">
        <f>交易记录!AC651</f>
        <v>0</v>
      </c>
      <c r="BD608" s="121">
        <f>交易记录!AC682</f>
        <v>0</v>
      </c>
      <c r="BE608" s="30">
        <f t="shared" si="285"/>
        <v>0</v>
      </c>
      <c r="BF608" s="124">
        <f>交易记录!AC715</f>
        <v>0</v>
      </c>
      <c r="BG608" s="124">
        <f>交易记录!AC746</f>
        <v>0</v>
      </c>
      <c r="BH608" s="30">
        <f t="shared" si="286"/>
        <v>0</v>
      </c>
      <c r="BI608" s="121">
        <f>交易记录!AC779</f>
        <v>0</v>
      </c>
      <c r="BJ608" s="121">
        <f>交易记录!AC810</f>
        <v>0</v>
      </c>
      <c r="BK608" s="30">
        <f t="shared" si="287"/>
        <v>0</v>
      </c>
      <c r="BL608" s="124">
        <f>交易记录!AC843</f>
        <v>0</v>
      </c>
      <c r="BM608" s="124">
        <f>交易记录!AC874</f>
        <v>0</v>
      </c>
      <c r="BN608" s="30">
        <f t="shared" si="288"/>
        <v>0</v>
      </c>
      <c r="BO608" s="121">
        <f>交易记录!AC907</f>
        <v>0</v>
      </c>
      <c r="BP608" s="121">
        <f>交易记录!AC938</f>
        <v>0</v>
      </c>
      <c r="BQ608" s="30">
        <f t="shared" si="289"/>
        <v>0</v>
      </c>
    </row>
    <row r="609" spans="1:69" ht="15">
      <c r="A609" s="125">
        <f>'维护-日期'!A$28</f>
        <v>46291</v>
      </c>
      <c r="B609" s="7" t="s">
        <v>13</v>
      </c>
      <c r="C609" s="144">
        <f t="shared" si="290"/>
        <v>13.266999999999999</v>
      </c>
      <c r="D609" s="144">
        <f>ROUND(INDEX(持仓数据!$C$3:$AG$26,MATCH('计算过程-数据汇总'!B609,持仓数据!$B$3:$B$26,0),MATCH('计算过程-数据汇总'!A609,'维护-日期'!$B$2:$AF$2,0)),3)</f>
        <v>13.266999999999999</v>
      </c>
      <c r="E609" s="98">
        <f t="shared" si="291"/>
        <v>13.266999999999999</v>
      </c>
      <c r="F609" s="22">
        <f>持仓数据!AB79</f>
        <v>0.11600000000000001</v>
      </c>
      <c r="G609" s="97">
        <v>372</v>
      </c>
      <c r="H609" s="97">
        <v>372</v>
      </c>
      <c r="I609" s="64">
        <v>0</v>
      </c>
      <c r="J609" s="64">
        <v>0</v>
      </c>
      <c r="K609" s="21">
        <f>IF(持仓数据!AB112="",0,持仓数据!AB112)</f>
        <v>372</v>
      </c>
      <c r="L609" s="21">
        <f t="shared" si="292"/>
        <v>0</v>
      </c>
      <c r="M609" s="28">
        <f t="shared" si="276"/>
        <v>4935.3239999999996</v>
      </c>
      <c r="N609" s="28">
        <f t="shared" si="277"/>
        <v>0</v>
      </c>
      <c r="O609" s="28">
        <f t="shared" si="278"/>
        <v>0</v>
      </c>
      <c r="P609" s="28">
        <f t="shared" si="279"/>
        <v>0</v>
      </c>
      <c r="Q609" s="28">
        <f t="shared" si="293"/>
        <v>0</v>
      </c>
      <c r="R609" s="28">
        <f t="shared" si="280"/>
        <v>4935.3239999999996</v>
      </c>
      <c r="S609" s="28">
        <f t="shared" si="294"/>
        <v>0</v>
      </c>
      <c r="T609" s="28">
        <f t="shared" si="295"/>
        <v>0</v>
      </c>
      <c r="U609" s="28">
        <f t="shared" si="298"/>
        <v>0</v>
      </c>
      <c r="V609" s="28">
        <f t="shared" si="296"/>
        <v>0</v>
      </c>
      <c r="W609" s="118"/>
      <c r="X609" s="143">
        <f t="shared" si="297"/>
        <v>15.804</v>
      </c>
      <c r="Y609" s="121">
        <f>交易记录!AC12</f>
        <v>0.11600000000000001</v>
      </c>
      <c r="Z609" s="121">
        <f>交易记录!AC43</f>
        <v>372</v>
      </c>
      <c r="AA609" s="30">
        <f t="shared" si="281"/>
        <v>0</v>
      </c>
      <c r="AB609" s="124">
        <f>交易记录!AC76</f>
        <v>0</v>
      </c>
      <c r="AC609" s="124">
        <f>交易记录!AC107</f>
        <v>0</v>
      </c>
      <c r="AD609" s="30">
        <f t="shared" si="299"/>
        <v>0</v>
      </c>
      <c r="AE609" s="121">
        <f>交易记录!AC140</f>
        <v>0</v>
      </c>
      <c r="AF609" s="121">
        <f>交易记录!AC171</f>
        <v>0</v>
      </c>
      <c r="AG609" s="30">
        <f t="shared" si="300"/>
        <v>0</v>
      </c>
      <c r="AH609" s="124">
        <f>交易记录!AC204</f>
        <v>0</v>
      </c>
      <c r="AI609" s="124">
        <f>交易记录!AC235</f>
        <v>0</v>
      </c>
      <c r="AJ609" s="30">
        <f t="shared" si="301"/>
        <v>0</v>
      </c>
      <c r="AK609" s="121">
        <f>交易记录!AC268</f>
        <v>0</v>
      </c>
      <c r="AL609" s="121">
        <f>交易记录!AC299</f>
        <v>0</v>
      </c>
      <c r="AM609" s="30">
        <f t="shared" si="302"/>
        <v>0</v>
      </c>
      <c r="AN609" s="124">
        <f>交易记录!AC332</f>
        <v>0</v>
      </c>
      <c r="AO609" s="124">
        <f>交易记录!AC363</f>
        <v>0</v>
      </c>
      <c r="AP609" s="30">
        <f t="shared" si="303"/>
        <v>0</v>
      </c>
      <c r="AQ609" s="121">
        <f>交易记录!AC396</f>
        <v>0</v>
      </c>
      <c r="AR609" s="121">
        <f>交易记录!AC427</f>
        <v>0</v>
      </c>
      <c r="AS609" s="30">
        <f t="shared" si="304"/>
        <v>0</v>
      </c>
      <c r="AT609" s="124">
        <f>交易记录!AC460</f>
        <v>0</v>
      </c>
      <c r="AU609" s="124">
        <f>交易记录!AC491</f>
        <v>0</v>
      </c>
      <c r="AV609" s="30">
        <f t="shared" si="282"/>
        <v>0</v>
      </c>
      <c r="AW609" s="121">
        <f>交易记录!AC524</f>
        <v>0</v>
      </c>
      <c r="AX609" s="121">
        <f>交易记录!AC555</f>
        <v>0</v>
      </c>
      <c r="AY609" s="30">
        <f t="shared" si="283"/>
        <v>0</v>
      </c>
      <c r="AZ609" s="124">
        <f>交易记录!AC588</f>
        <v>0</v>
      </c>
      <c r="BA609" s="124">
        <f>交易记录!AC619</f>
        <v>0</v>
      </c>
      <c r="BB609" s="30">
        <f t="shared" si="284"/>
        <v>0</v>
      </c>
      <c r="BC609" s="121">
        <f>交易记录!AC652</f>
        <v>0</v>
      </c>
      <c r="BD609" s="121">
        <f>交易记录!AC683</f>
        <v>0</v>
      </c>
      <c r="BE609" s="30">
        <f t="shared" si="285"/>
        <v>0</v>
      </c>
      <c r="BF609" s="124">
        <f>交易记录!AC716</f>
        <v>0</v>
      </c>
      <c r="BG609" s="124">
        <f>交易记录!AC747</f>
        <v>0</v>
      </c>
      <c r="BH609" s="30">
        <f t="shared" si="286"/>
        <v>0</v>
      </c>
      <c r="BI609" s="121">
        <f>交易记录!AC780</f>
        <v>0</v>
      </c>
      <c r="BJ609" s="121">
        <f>交易记录!AC811</f>
        <v>0</v>
      </c>
      <c r="BK609" s="30">
        <f t="shared" si="287"/>
        <v>0</v>
      </c>
      <c r="BL609" s="124">
        <f>交易记录!AC844</f>
        <v>0</v>
      </c>
      <c r="BM609" s="124">
        <f>交易记录!AC875</f>
        <v>0</v>
      </c>
      <c r="BN609" s="30">
        <f t="shared" si="288"/>
        <v>0</v>
      </c>
      <c r="BO609" s="121">
        <f>交易记录!AC908</f>
        <v>0</v>
      </c>
      <c r="BP609" s="121">
        <f>交易记录!AC939</f>
        <v>0</v>
      </c>
      <c r="BQ609" s="30">
        <f t="shared" si="289"/>
        <v>0</v>
      </c>
    </row>
    <row r="610" spans="1:69" ht="15">
      <c r="A610" s="125">
        <f>'维护-日期'!A$28</f>
        <v>46291</v>
      </c>
      <c r="B610" s="7" t="s">
        <v>14</v>
      </c>
      <c r="C610" s="144">
        <f t="shared" si="290"/>
        <v>15.795999999999999</v>
      </c>
      <c r="D610" s="144">
        <f>ROUND(INDEX(持仓数据!$C$3:$AG$26,MATCH('计算过程-数据汇总'!B610,持仓数据!$B$3:$B$26,0),MATCH('计算过程-数据汇总'!A610,'维护-日期'!$B$2:$AF$2,0)),3)</f>
        <v>15.795999999999999</v>
      </c>
      <c r="E610" s="98">
        <f t="shared" si="291"/>
        <v>15.795999999999999</v>
      </c>
      <c r="F610" s="22">
        <f>持仓数据!AB80</f>
        <v>0.122</v>
      </c>
      <c r="G610" s="97">
        <v>372</v>
      </c>
      <c r="H610" s="97">
        <v>372</v>
      </c>
      <c r="I610" s="64">
        <v>0</v>
      </c>
      <c r="J610" s="64">
        <v>0</v>
      </c>
      <c r="K610" s="21">
        <f>IF(持仓数据!AB113="",0,持仓数据!AB113)</f>
        <v>372</v>
      </c>
      <c r="L610" s="21">
        <f t="shared" si="292"/>
        <v>0</v>
      </c>
      <c r="M610" s="28">
        <f t="shared" si="276"/>
        <v>5876.1120000000001</v>
      </c>
      <c r="N610" s="28">
        <f t="shared" si="277"/>
        <v>0</v>
      </c>
      <c r="O610" s="28">
        <f t="shared" si="278"/>
        <v>0</v>
      </c>
      <c r="P610" s="28">
        <f t="shared" si="279"/>
        <v>0</v>
      </c>
      <c r="Q610" s="28">
        <f t="shared" si="293"/>
        <v>0</v>
      </c>
      <c r="R610" s="28">
        <f t="shared" si="280"/>
        <v>5876.1120000000001</v>
      </c>
      <c r="S610" s="28">
        <f t="shared" si="294"/>
        <v>0</v>
      </c>
      <c r="T610" s="28">
        <f t="shared" si="295"/>
        <v>0</v>
      </c>
      <c r="U610" s="28">
        <f t="shared" si="298"/>
        <v>0</v>
      </c>
      <c r="V610" s="28">
        <f t="shared" si="296"/>
        <v>0</v>
      </c>
      <c r="W610" s="118"/>
      <c r="X610" s="143">
        <f t="shared" si="297"/>
        <v>18.832999999999998</v>
      </c>
      <c r="Y610" s="121">
        <f>交易记录!AC13</f>
        <v>0.122</v>
      </c>
      <c r="Z610" s="121">
        <f>交易记录!AC44</f>
        <v>372</v>
      </c>
      <c r="AA610" s="30">
        <f t="shared" si="281"/>
        <v>0</v>
      </c>
      <c r="AB610" s="124">
        <f>交易记录!AC77</f>
        <v>0</v>
      </c>
      <c r="AC610" s="124">
        <f>交易记录!AC108</f>
        <v>0</v>
      </c>
      <c r="AD610" s="30">
        <f t="shared" si="299"/>
        <v>0</v>
      </c>
      <c r="AE610" s="121">
        <f>交易记录!AC141</f>
        <v>0</v>
      </c>
      <c r="AF610" s="121">
        <f>交易记录!AC172</f>
        <v>0</v>
      </c>
      <c r="AG610" s="30">
        <f t="shared" si="300"/>
        <v>0</v>
      </c>
      <c r="AH610" s="124">
        <f>交易记录!AC205</f>
        <v>0</v>
      </c>
      <c r="AI610" s="124">
        <f>交易记录!AC236</f>
        <v>0</v>
      </c>
      <c r="AJ610" s="30">
        <f t="shared" si="301"/>
        <v>0</v>
      </c>
      <c r="AK610" s="121">
        <f>交易记录!AC269</f>
        <v>0</v>
      </c>
      <c r="AL610" s="121">
        <f>交易记录!AC300</f>
        <v>0</v>
      </c>
      <c r="AM610" s="30">
        <f t="shared" si="302"/>
        <v>0</v>
      </c>
      <c r="AN610" s="124">
        <f>交易记录!AC333</f>
        <v>0</v>
      </c>
      <c r="AO610" s="124">
        <f>交易记录!AC364</f>
        <v>0</v>
      </c>
      <c r="AP610" s="30">
        <f t="shared" si="303"/>
        <v>0</v>
      </c>
      <c r="AQ610" s="121">
        <f>交易记录!AC397</f>
        <v>0</v>
      </c>
      <c r="AR610" s="121">
        <f>交易记录!AC428</f>
        <v>0</v>
      </c>
      <c r="AS610" s="30">
        <f t="shared" si="304"/>
        <v>0</v>
      </c>
      <c r="AT610" s="124">
        <f>交易记录!AC461</f>
        <v>0</v>
      </c>
      <c r="AU610" s="124">
        <f>交易记录!AC492</f>
        <v>0</v>
      </c>
      <c r="AV610" s="30">
        <f t="shared" si="282"/>
        <v>0</v>
      </c>
      <c r="AW610" s="121">
        <f>交易记录!AC525</f>
        <v>0</v>
      </c>
      <c r="AX610" s="121">
        <f>交易记录!AC556</f>
        <v>0</v>
      </c>
      <c r="AY610" s="30">
        <f t="shared" si="283"/>
        <v>0</v>
      </c>
      <c r="AZ610" s="124">
        <f>交易记录!AC589</f>
        <v>0</v>
      </c>
      <c r="BA610" s="124">
        <f>交易记录!AC620</f>
        <v>0</v>
      </c>
      <c r="BB610" s="30">
        <f t="shared" si="284"/>
        <v>0</v>
      </c>
      <c r="BC610" s="121">
        <f>交易记录!AC653</f>
        <v>0</v>
      </c>
      <c r="BD610" s="121">
        <f>交易记录!AC684</f>
        <v>0</v>
      </c>
      <c r="BE610" s="30">
        <f t="shared" si="285"/>
        <v>0</v>
      </c>
      <c r="BF610" s="124">
        <f>交易记录!AC717</f>
        <v>0</v>
      </c>
      <c r="BG610" s="124">
        <f>交易记录!AC748</f>
        <v>0</v>
      </c>
      <c r="BH610" s="30">
        <f t="shared" si="286"/>
        <v>0</v>
      </c>
      <c r="BI610" s="121">
        <f>交易记录!AC781</f>
        <v>0</v>
      </c>
      <c r="BJ610" s="121">
        <f>交易记录!AC812</f>
        <v>0</v>
      </c>
      <c r="BK610" s="30">
        <f t="shared" si="287"/>
        <v>0</v>
      </c>
      <c r="BL610" s="124">
        <f>交易记录!AC845</f>
        <v>0</v>
      </c>
      <c r="BM610" s="124">
        <f>交易记录!AC876</f>
        <v>0</v>
      </c>
      <c r="BN610" s="30">
        <f t="shared" si="288"/>
        <v>0</v>
      </c>
      <c r="BO610" s="121">
        <f>交易记录!AC909</f>
        <v>0</v>
      </c>
      <c r="BP610" s="121">
        <f>交易记录!AC940</f>
        <v>0</v>
      </c>
      <c r="BQ610" s="30">
        <f t="shared" si="289"/>
        <v>0</v>
      </c>
    </row>
    <row r="611" spans="1:69" ht="15">
      <c r="A611" s="125">
        <f>'维护-日期'!A$28</f>
        <v>46291</v>
      </c>
      <c r="B611" s="7" t="s">
        <v>15</v>
      </c>
      <c r="C611" s="144">
        <f t="shared" si="290"/>
        <v>19.308</v>
      </c>
      <c r="D611" s="144">
        <f>ROUND(INDEX(持仓数据!$C$3:$AG$26,MATCH('计算过程-数据汇总'!B611,持仓数据!$B$3:$B$26,0),MATCH('计算过程-数据汇总'!A611,'维护-日期'!$B$2:$AF$2,0)),3)</f>
        <v>19.308</v>
      </c>
      <c r="E611" s="98">
        <f t="shared" si="291"/>
        <v>19.308</v>
      </c>
      <c r="F611" s="22">
        <f>持仓数据!AB81</f>
        <v>0.127</v>
      </c>
      <c r="G611" s="97">
        <v>372</v>
      </c>
      <c r="H611" s="97">
        <v>372</v>
      </c>
      <c r="I611" s="64">
        <v>0</v>
      </c>
      <c r="J611" s="64">
        <v>0</v>
      </c>
      <c r="K611" s="21">
        <f>IF(持仓数据!AB114="",0,持仓数据!AB114)</f>
        <v>372</v>
      </c>
      <c r="L611" s="21">
        <f t="shared" si="292"/>
        <v>0</v>
      </c>
      <c r="M611" s="28">
        <f t="shared" si="276"/>
        <v>7182.576</v>
      </c>
      <c r="N611" s="28">
        <f t="shared" si="277"/>
        <v>0</v>
      </c>
      <c r="O611" s="28">
        <f t="shared" si="278"/>
        <v>0</v>
      </c>
      <c r="P611" s="28">
        <f t="shared" si="279"/>
        <v>0</v>
      </c>
      <c r="Q611" s="28">
        <f t="shared" si="293"/>
        <v>0</v>
      </c>
      <c r="R611" s="28">
        <f t="shared" si="280"/>
        <v>7182.576</v>
      </c>
      <c r="S611" s="28">
        <f t="shared" si="294"/>
        <v>0</v>
      </c>
      <c r="T611" s="28">
        <f t="shared" si="295"/>
        <v>0</v>
      </c>
      <c r="U611" s="28">
        <f t="shared" si="298"/>
        <v>0</v>
      </c>
      <c r="V611" s="28">
        <f t="shared" si="296"/>
        <v>0</v>
      </c>
      <c r="W611" s="118"/>
      <c r="X611" s="143">
        <f t="shared" si="297"/>
        <v>23.042999999999999</v>
      </c>
      <c r="Y611" s="121">
        <f>交易记录!AC14</f>
        <v>0.127</v>
      </c>
      <c r="Z611" s="121">
        <f>交易记录!AC45</f>
        <v>372</v>
      </c>
      <c r="AA611" s="30">
        <f t="shared" si="281"/>
        <v>0</v>
      </c>
      <c r="AB611" s="124">
        <f>交易记录!AC78</f>
        <v>0</v>
      </c>
      <c r="AC611" s="124">
        <f>交易记录!AC109</f>
        <v>0</v>
      </c>
      <c r="AD611" s="30">
        <f t="shared" si="299"/>
        <v>0</v>
      </c>
      <c r="AE611" s="121">
        <f>交易记录!AC142</f>
        <v>0</v>
      </c>
      <c r="AF611" s="121">
        <f>交易记录!AC173</f>
        <v>0</v>
      </c>
      <c r="AG611" s="30">
        <f t="shared" si="300"/>
        <v>0</v>
      </c>
      <c r="AH611" s="124">
        <f>交易记录!AC206</f>
        <v>0</v>
      </c>
      <c r="AI611" s="124">
        <f>交易记录!AC237</f>
        <v>0</v>
      </c>
      <c r="AJ611" s="30">
        <f t="shared" si="301"/>
        <v>0</v>
      </c>
      <c r="AK611" s="121">
        <f>交易记录!AC270</f>
        <v>0</v>
      </c>
      <c r="AL611" s="121">
        <f>交易记录!AC301</f>
        <v>0</v>
      </c>
      <c r="AM611" s="30">
        <f t="shared" si="302"/>
        <v>0</v>
      </c>
      <c r="AN611" s="124">
        <f>交易记录!AC334</f>
        <v>0</v>
      </c>
      <c r="AO611" s="124">
        <f>交易记录!AC365</f>
        <v>0</v>
      </c>
      <c r="AP611" s="30">
        <f t="shared" si="303"/>
        <v>0</v>
      </c>
      <c r="AQ611" s="121">
        <f>交易记录!AC398</f>
        <v>0</v>
      </c>
      <c r="AR611" s="121">
        <f>交易记录!AC429</f>
        <v>0</v>
      </c>
      <c r="AS611" s="30">
        <f t="shared" si="304"/>
        <v>0</v>
      </c>
      <c r="AT611" s="124">
        <f>交易记录!AC462</f>
        <v>0</v>
      </c>
      <c r="AU611" s="124">
        <f>交易记录!AC493</f>
        <v>0</v>
      </c>
      <c r="AV611" s="30">
        <f t="shared" si="282"/>
        <v>0</v>
      </c>
      <c r="AW611" s="121">
        <f>交易记录!AC526</f>
        <v>0</v>
      </c>
      <c r="AX611" s="121">
        <f>交易记录!AC557</f>
        <v>0</v>
      </c>
      <c r="AY611" s="30">
        <f t="shared" si="283"/>
        <v>0</v>
      </c>
      <c r="AZ611" s="124">
        <f>交易记录!AC590</f>
        <v>0</v>
      </c>
      <c r="BA611" s="124">
        <f>交易记录!AC621</f>
        <v>0</v>
      </c>
      <c r="BB611" s="30">
        <f t="shared" si="284"/>
        <v>0</v>
      </c>
      <c r="BC611" s="121">
        <f>交易记录!AC654</f>
        <v>0</v>
      </c>
      <c r="BD611" s="121">
        <f>交易记录!AC685</f>
        <v>0</v>
      </c>
      <c r="BE611" s="30">
        <f t="shared" si="285"/>
        <v>0</v>
      </c>
      <c r="BF611" s="124">
        <f>交易记录!AC718</f>
        <v>0</v>
      </c>
      <c r="BG611" s="124">
        <f>交易记录!AC749</f>
        <v>0</v>
      </c>
      <c r="BH611" s="30">
        <f t="shared" si="286"/>
        <v>0</v>
      </c>
      <c r="BI611" s="121">
        <f>交易记录!AC782</f>
        <v>0</v>
      </c>
      <c r="BJ611" s="121">
        <f>交易记录!AC813</f>
        <v>0</v>
      </c>
      <c r="BK611" s="30">
        <f t="shared" si="287"/>
        <v>0</v>
      </c>
      <c r="BL611" s="124">
        <f>交易记录!AC846</f>
        <v>0</v>
      </c>
      <c r="BM611" s="124">
        <f>交易记录!AC877</f>
        <v>0</v>
      </c>
      <c r="BN611" s="30">
        <f t="shared" si="288"/>
        <v>0</v>
      </c>
      <c r="BO611" s="121">
        <f>交易记录!AC910</f>
        <v>0</v>
      </c>
      <c r="BP611" s="121">
        <f>交易记录!AC941</f>
        <v>0</v>
      </c>
      <c r="BQ611" s="30">
        <f t="shared" si="289"/>
        <v>0</v>
      </c>
    </row>
    <row r="612" spans="1:69" ht="15">
      <c r="A612" s="125">
        <f>'维护-日期'!A$28</f>
        <v>46291</v>
      </c>
      <c r="B612" s="7" t="s">
        <v>16</v>
      </c>
      <c r="C612" s="144">
        <f t="shared" si="290"/>
        <v>21.01</v>
      </c>
      <c r="D612" s="144">
        <f>ROUND(INDEX(持仓数据!$C$3:$AG$26,MATCH('计算过程-数据汇总'!B612,持仓数据!$B$3:$B$26,0),MATCH('计算过程-数据汇总'!A612,'维护-日期'!$B$2:$AF$2,0)),3)</f>
        <v>21.01</v>
      </c>
      <c r="E612" s="98">
        <f t="shared" si="291"/>
        <v>21.01</v>
      </c>
      <c r="F612" s="22">
        <f>持仓数据!AB82</f>
        <v>0.128</v>
      </c>
      <c r="G612" s="97">
        <v>372</v>
      </c>
      <c r="H612" s="97">
        <v>372</v>
      </c>
      <c r="I612" s="64">
        <v>0</v>
      </c>
      <c r="J612" s="64">
        <v>0</v>
      </c>
      <c r="K612" s="21">
        <f>IF(持仓数据!AB115="",0,持仓数据!AB115)</f>
        <v>372</v>
      </c>
      <c r="L612" s="21">
        <f t="shared" si="292"/>
        <v>0</v>
      </c>
      <c r="M612" s="28">
        <f t="shared" si="276"/>
        <v>7815.72</v>
      </c>
      <c r="N612" s="28">
        <f t="shared" si="277"/>
        <v>0</v>
      </c>
      <c r="O612" s="28">
        <f t="shared" si="278"/>
        <v>0</v>
      </c>
      <c r="P612" s="28">
        <f t="shared" si="279"/>
        <v>0</v>
      </c>
      <c r="Q612" s="28">
        <f t="shared" si="293"/>
        <v>0</v>
      </c>
      <c r="R612" s="28">
        <f t="shared" si="280"/>
        <v>7815.72</v>
      </c>
      <c r="S612" s="28">
        <f t="shared" si="294"/>
        <v>0</v>
      </c>
      <c r="T612" s="28">
        <f t="shared" si="295"/>
        <v>0</v>
      </c>
      <c r="U612" s="28">
        <f t="shared" si="298"/>
        <v>0</v>
      </c>
      <c r="V612" s="28">
        <f t="shared" si="296"/>
        <v>0</v>
      </c>
      <c r="W612" s="118"/>
      <c r="X612" s="143">
        <f t="shared" si="297"/>
        <v>25.084</v>
      </c>
      <c r="Y612" s="121">
        <f>交易记录!AC15</f>
        <v>0.128</v>
      </c>
      <c r="Z612" s="121">
        <f>交易记录!AC46</f>
        <v>372</v>
      </c>
      <c r="AA612" s="30">
        <f t="shared" si="281"/>
        <v>0</v>
      </c>
      <c r="AB612" s="124">
        <f>交易记录!AC79</f>
        <v>0</v>
      </c>
      <c r="AC612" s="124">
        <f>交易记录!AC110</f>
        <v>0</v>
      </c>
      <c r="AD612" s="30">
        <f t="shared" si="299"/>
        <v>0</v>
      </c>
      <c r="AE612" s="121">
        <f>交易记录!AC143</f>
        <v>0</v>
      </c>
      <c r="AF612" s="121">
        <f>交易记录!AC174</f>
        <v>0</v>
      </c>
      <c r="AG612" s="30">
        <f t="shared" si="300"/>
        <v>0</v>
      </c>
      <c r="AH612" s="124">
        <f>交易记录!AC207</f>
        <v>0</v>
      </c>
      <c r="AI612" s="124">
        <f>交易记录!AC238</f>
        <v>0</v>
      </c>
      <c r="AJ612" s="30">
        <f t="shared" si="301"/>
        <v>0</v>
      </c>
      <c r="AK612" s="121">
        <f>交易记录!AC271</f>
        <v>0</v>
      </c>
      <c r="AL612" s="121">
        <f>交易记录!AC302</f>
        <v>0</v>
      </c>
      <c r="AM612" s="30">
        <f t="shared" si="302"/>
        <v>0</v>
      </c>
      <c r="AN612" s="124">
        <f>交易记录!AC335</f>
        <v>0</v>
      </c>
      <c r="AO612" s="124">
        <f>交易记录!AC366</f>
        <v>0</v>
      </c>
      <c r="AP612" s="30">
        <f t="shared" si="303"/>
        <v>0</v>
      </c>
      <c r="AQ612" s="121">
        <f>交易记录!AC399</f>
        <v>0</v>
      </c>
      <c r="AR612" s="121">
        <f>交易记录!AC430</f>
        <v>0</v>
      </c>
      <c r="AS612" s="30">
        <f t="shared" si="304"/>
        <v>0</v>
      </c>
      <c r="AT612" s="124">
        <f>交易记录!AC463</f>
        <v>0</v>
      </c>
      <c r="AU612" s="124">
        <f>交易记录!AC494</f>
        <v>0</v>
      </c>
      <c r="AV612" s="30">
        <f t="shared" si="282"/>
        <v>0</v>
      </c>
      <c r="AW612" s="121">
        <f>交易记录!AC527</f>
        <v>0</v>
      </c>
      <c r="AX612" s="121">
        <f>交易记录!AC558</f>
        <v>0</v>
      </c>
      <c r="AY612" s="30">
        <f t="shared" si="283"/>
        <v>0</v>
      </c>
      <c r="AZ612" s="124">
        <f>交易记录!AC591</f>
        <v>0</v>
      </c>
      <c r="BA612" s="124">
        <f>交易记录!AC622</f>
        <v>0</v>
      </c>
      <c r="BB612" s="30">
        <f t="shared" si="284"/>
        <v>0</v>
      </c>
      <c r="BC612" s="121">
        <f>交易记录!AC655</f>
        <v>0</v>
      </c>
      <c r="BD612" s="121">
        <f>交易记录!AC686</f>
        <v>0</v>
      </c>
      <c r="BE612" s="30">
        <f t="shared" si="285"/>
        <v>0</v>
      </c>
      <c r="BF612" s="124">
        <f>交易记录!AC719</f>
        <v>0</v>
      </c>
      <c r="BG612" s="124">
        <f>交易记录!AC750</f>
        <v>0</v>
      </c>
      <c r="BH612" s="30">
        <f t="shared" si="286"/>
        <v>0</v>
      </c>
      <c r="BI612" s="121">
        <f>交易记录!AC783</f>
        <v>0</v>
      </c>
      <c r="BJ612" s="121">
        <f>交易记录!AC814</f>
        <v>0</v>
      </c>
      <c r="BK612" s="30">
        <f t="shared" si="287"/>
        <v>0</v>
      </c>
      <c r="BL612" s="124">
        <f>交易记录!AC847</f>
        <v>0</v>
      </c>
      <c r="BM612" s="124">
        <f>交易记录!AC878</f>
        <v>0</v>
      </c>
      <c r="BN612" s="30">
        <f t="shared" si="288"/>
        <v>0</v>
      </c>
      <c r="BO612" s="121">
        <f>交易记录!AC911</f>
        <v>0</v>
      </c>
      <c r="BP612" s="121">
        <f>交易记录!AC942</f>
        <v>0</v>
      </c>
      <c r="BQ612" s="30">
        <f t="shared" si="289"/>
        <v>0</v>
      </c>
    </row>
    <row r="613" spans="1:69" ht="15">
      <c r="A613" s="125">
        <f>'维护-日期'!A$28</f>
        <v>46291</v>
      </c>
      <c r="B613" s="7" t="s">
        <v>17</v>
      </c>
      <c r="C613" s="144">
        <f t="shared" si="290"/>
        <v>21.329000000000001</v>
      </c>
      <c r="D613" s="144">
        <f>ROUND(INDEX(持仓数据!$C$3:$AG$26,MATCH('计算过程-数据汇总'!B613,持仓数据!$B$3:$B$26,0),MATCH('计算过程-数据汇总'!A613,'维护-日期'!$B$2:$AF$2,0)),3)</f>
        <v>21.329000000000001</v>
      </c>
      <c r="E613" s="98">
        <f t="shared" si="291"/>
        <v>21.329000000000001</v>
      </c>
      <c r="F613" s="22">
        <f>持仓数据!AB83</f>
        <v>0.13</v>
      </c>
      <c r="G613" s="97">
        <v>372</v>
      </c>
      <c r="H613" s="97">
        <v>372</v>
      </c>
      <c r="I613" s="64">
        <v>0</v>
      </c>
      <c r="J613" s="64">
        <v>0</v>
      </c>
      <c r="K613" s="21">
        <f>IF(持仓数据!AB116="",0,持仓数据!AB116)</f>
        <v>372</v>
      </c>
      <c r="L613" s="21">
        <f t="shared" si="292"/>
        <v>0</v>
      </c>
      <c r="M613" s="28">
        <f t="shared" si="276"/>
        <v>7934.3879999999999</v>
      </c>
      <c r="N613" s="28">
        <f t="shared" si="277"/>
        <v>0</v>
      </c>
      <c r="O613" s="28">
        <f t="shared" si="278"/>
        <v>0</v>
      </c>
      <c r="P613" s="28">
        <f t="shared" si="279"/>
        <v>0</v>
      </c>
      <c r="Q613" s="28">
        <f t="shared" si="293"/>
        <v>0</v>
      </c>
      <c r="R613" s="28">
        <f t="shared" si="280"/>
        <v>7934.3879999999999</v>
      </c>
      <c r="S613" s="28">
        <f t="shared" si="294"/>
        <v>0</v>
      </c>
      <c r="T613" s="28">
        <f t="shared" si="295"/>
        <v>0</v>
      </c>
      <c r="U613" s="28">
        <f t="shared" si="298"/>
        <v>0</v>
      </c>
      <c r="V613" s="28">
        <f t="shared" si="296"/>
        <v>0</v>
      </c>
      <c r="W613" s="118"/>
      <c r="X613" s="143">
        <f t="shared" si="297"/>
        <v>25.465</v>
      </c>
      <c r="Y613" s="121">
        <f>交易记录!AC16</f>
        <v>0.13</v>
      </c>
      <c r="Z613" s="121">
        <f>交易记录!AC47</f>
        <v>372</v>
      </c>
      <c r="AA613" s="30">
        <f t="shared" si="281"/>
        <v>0</v>
      </c>
      <c r="AB613" s="124">
        <f>交易记录!AC80</f>
        <v>0</v>
      </c>
      <c r="AC613" s="124">
        <f>交易记录!AC111</f>
        <v>0</v>
      </c>
      <c r="AD613" s="30">
        <f t="shared" si="299"/>
        <v>0</v>
      </c>
      <c r="AE613" s="121">
        <f>交易记录!AC144</f>
        <v>0</v>
      </c>
      <c r="AF613" s="121">
        <f>交易记录!AC175</f>
        <v>0</v>
      </c>
      <c r="AG613" s="30">
        <f t="shared" si="300"/>
        <v>0</v>
      </c>
      <c r="AH613" s="124">
        <f>交易记录!AC208</f>
        <v>0</v>
      </c>
      <c r="AI613" s="124">
        <f>交易记录!AC239</f>
        <v>0</v>
      </c>
      <c r="AJ613" s="30">
        <f t="shared" si="301"/>
        <v>0</v>
      </c>
      <c r="AK613" s="121">
        <f>交易记录!AC272</f>
        <v>0</v>
      </c>
      <c r="AL613" s="121">
        <f>交易记录!AC303</f>
        <v>0</v>
      </c>
      <c r="AM613" s="30">
        <f t="shared" si="302"/>
        <v>0</v>
      </c>
      <c r="AN613" s="124">
        <f>交易记录!AC336</f>
        <v>0</v>
      </c>
      <c r="AO613" s="124">
        <f>交易记录!AC367</f>
        <v>0</v>
      </c>
      <c r="AP613" s="30">
        <f t="shared" si="303"/>
        <v>0</v>
      </c>
      <c r="AQ613" s="121">
        <f>交易记录!AC400</f>
        <v>0</v>
      </c>
      <c r="AR613" s="121">
        <f>交易记录!AC431</f>
        <v>0</v>
      </c>
      <c r="AS613" s="30">
        <f t="shared" si="304"/>
        <v>0</v>
      </c>
      <c r="AT613" s="124">
        <f>交易记录!AC464</f>
        <v>0</v>
      </c>
      <c r="AU613" s="124">
        <f>交易记录!AC495</f>
        <v>0</v>
      </c>
      <c r="AV613" s="30">
        <f t="shared" si="282"/>
        <v>0</v>
      </c>
      <c r="AW613" s="121">
        <f>交易记录!AC528</f>
        <v>0</v>
      </c>
      <c r="AX613" s="121">
        <f>交易记录!AC559</f>
        <v>0</v>
      </c>
      <c r="AY613" s="30">
        <f t="shared" si="283"/>
        <v>0</v>
      </c>
      <c r="AZ613" s="124">
        <f>交易记录!AC592</f>
        <v>0</v>
      </c>
      <c r="BA613" s="124">
        <f>交易记录!AC623</f>
        <v>0</v>
      </c>
      <c r="BB613" s="30">
        <f t="shared" si="284"/>
        <v>0</v>
      </c>
      <c r="BC613" s="121">
        <f>交易记录!AC656</f>
        <v>0</v>
      </c>
      <c r="BD613" s="121">
        <f>交易记录!AC687</f>
        <v>0</v>
      </c>
      <c r="BE613" s="30">
        <f t="shared" si="285"/>
        <v>0</v>
      </c>
      <c r="BF613" s="124">
        <f>交易记录!AC720</f>
        <v>0</v>
      </c>
      <c r="BG613" s="124">
        <f>交易记录!AC751</f>
        <v>0</v>
      </c>
      <c r="BH613" s="30">
        <f t="shared" si="286"/>
        <v>0</v>
      </c>
      <c r="BI613" s="121">
        <f>交易记录!AC784</f>
        <v>0</v>
      </c>
      <c r="BJ613" s="121">
        <f>交易记录!AC815</f>
        <v>0</v>
      </c>
      <c r="BK613" s="30">
        <f t="shared" si="287"/>
        <v>0</v>
      </c>
      <c r="BL613" s="124">
        <f>交易记录!AC848</f>
        <v>0</v>
      </c>
      <c r="BM613" s="124">
        <f>交易记录!AC879</f>
        <v>0</v>
      </c>
      <c r="BN613" s="30">
        <f t="shared" si="288"/>
        <v>0</v>
      </c>
      <c r="BO613" s="121">
        <f>交易记录!AC912</f>
        <v>0</v>
      </c>
      <c r="BP613" s="121">
        <f>交易记录!AC943</f>
        <v>0</v>
      </c>
      <c r="BQ613" s="30">
        <f t="shared" si="289"/>
        <v>0</v>
      </c>
    </row>
    <row r="614" spans="1:69" ht="15">
      <c r="A614" s="125">
        <f>'维护-日期'!A$28</f>
        <v>46291</v>
      </c>
      <c r="B614" s="7" t="s">
        <v>18</v>
      </c>
      <c r="C614" s="144">
        <f t="shared" si="290"/>
        <v>22.643999999999998</v>
      </c>
      <c r="D614" s="144">
        <f>ROUND(INDEX(持仓数据!$C$3:$AG$26,MATCH('计算过程-数据汇总'!B614,持仓数据!$B$3:$B$26,0),MATCH('计算过程-数据汇总'!A614,'维护-日期'!$B$2:$AF$2,0)),3)</f>
        <v>22.643999999999998</v>
      </c>
      <c r="E614" s="98">
        <f t="shared" si="291"/>
        <v>22.643999999999998</v>
      </c>
      <c r="F614" s="22">
        <f>持仓数据!AB84</f>
        <v>6.0999999999999999E-2</v>
      </c>
      <c r="G614" s="97">
        <v>372</v>
      </c>
      <c r="H614" s="97">
        <v>372</v>
      </c>
      <c r="I614" s="64">
        <v>0</v>
      </c>
      <c r="J614" s="64">
        <v>0</v>
      </c>
      <c r="K614" s="21">
        <f>IF(持仓数据!AB117="",0,持仓数据!AB117)</f>
        <v>372</v>
      </c>
      <c r="L614" s="21">
        <f t="shared" si="292"/>
        <v>0</v>
      </c>
      <c r="M614" s="28">
        <f t="shared" si="276"/>
        <v>8423.5679999999993</v>
      </c>
      <c r="N614" s="28">
        <f t="shared" si="277"/>
        <v>0</v>
      </c>
      <c r="O614" s="28">
        <f t="shared" si="278"/>
        <v>0</v>
      </c>
      <c r="P614" s="28">
        <f t="shared" si="279"/>
        <v>0</v>
      </c>
      <c r="Q614" s="28">
        <f t="shared" si="293"/>
        <v>0</v>
      </c>
      <c r="R614" s="28">
        <f t="shared" si="280"/>
        <v>8423.5679999999993</v>
      </c>
      <c r="S614" s="28">
        <f t="shared" si="294"/>
        <v>0</v>
      </c>
      <c r="T614" s="28">
        <f t="shared" si="295"/>
        <v>0</v>
      </c>
      <c r="U614" s="28">
        <f t="shared" si="298"/>
        <v>0</v>
      </c>
      <c r="V614" s="28">
        <f t="shared" si="296"/>
        <v>0</v>
      </c>
      <c r="W614" s="118"/>
      <c r="X614" s="143">
        <f t="shared" si="297"/>
        <v>27.111999999999998</v>
      </c>
      <c r="Y614" s="121">
        <f>交易记录!AC17</f>
        <v>6.0999999999999999E-2</v>
      </c>
      <c r="Z614" s="121">
        <f>交易记录!AC48</f>
        <v>372</v>
      </c>
      <c r="AA614" s="30">
        <f t="shared" si="281"/>
        <v>0</v>
      </c>
      <c r="AB614" s="124">
        <f>交易记录!AC81</f>
        <v>0</v>
      </c>
      <c r="AC614" s="124">
        <f>交易记录!AC112</f>
        <v>0</v>
      </c>
      <c r="AD614" s="30">
        <f t="shared" si="299"/>
        <v>0</v>
      </c>
      <c r="AE614" s="121">
        <f>交易记录!AC145</f>
        <v>0</v>
      </c>
      <c r="AF614" s="121">
        <f>交易记录!AC176</f>
        <v>0</v>
      </c>
      <c r="AG614" s="30">
        <f t="shared" si="300"/>
        <v>0</v>
      </c>
      <c r="AH614" s="124">
        <f>交易记录!AC209</f>
        <v>0</v>
      </c>
      <c r="AI614" s="124">
        <f>交易记录!AC240</f>
        <v>0</v>
      </c>
      <c r="AJ614" s="30">
        <f t="shared" si="301"/>
        <v>0</v>
      </c>
      <c r="AK614" s="121">
        <f>交易记录!AC273</f>
        <v>0</v>
      </c>
      <c r="AL614" s="121">
        <f>交易记录!AC304</f>
        <v>0</v>
      </c>
      <c r="AM614" s="30">
        <f t="shared" si="302"/>
        <v>0</v>
      </c>
      <c r="AN614" s="124">
        <f>交易记录!AC337</f>
        <v>0</v>
      </c>
      <c r="AO614" s="124">
        <f>交易记录!AC368</f>
        <v>0</v>
      </c>
      <c r="AP614" s="30">
        <f t="shared" si="303"/>
        <v>0</v>
      </c>
      <c r="AQ614" s="121">
        <f>交易记录!AC401</f>
        <v>0</v>
      </c>
      <c r="AR614" s="121">
        <f>交易记录!AC432</f>
        <v>0</v>
      </c>
      <c r="AS614" s="30">
        <f t="shared" si="304"/>
        <v>0</v>
      </c>
      <c r="AT614" s="124">
        <f>交易记录!AC465</f>
        <v>0</v>
      </c>
      <c r="AU614" s="124">
        <f>交易记录!AC496</f>
        <v>0</v>
      </c>
      <c r="AV614" s="30">
        <f t="shared" si="282"/>
        <v>0</v>
      </c>
      <c r="AW614" s="121">
        <f>交易记录!AC529</f>
        <v>0</v>
      </c>
      <c r="AX614" s="121">
        <f>交易记录!AC560</f>
        <v>0</v>
      </c>
      <c r="AY614" s="30">
        <f t="shared" si="283"/>
        <v>0</v>
      </c>
      <c r="AZ614" s="124">
        <f>交易记录!AC593</f>
        <v>0</v>
      </c>
      <c r="BA614" s="124">
        <f>交易记录!AC624</f>
        <v>0</v>
      </c>
      <c r="BB614" s="30">
        <f t="shared" si="284"/>
        <v>0</v>
      </c>
      <c r="BC614" s="121">
        <f>交易记录!AC657</f>
        <v>0</v>
      </c>
      <c r="BD614" s="121">
        <f>交易记录!AC688</f>
        <v>0</v>
      </c>
      <c r="BE614" s="30">
        <f t="shared" si="285"/>
        <v>0</v>
      </c>
      <c r="BF614" s="124">
        <f>交易记录!AC721</f>
        <v>0</v>
      </c>
      <c r="BG614" s="124">
        <f>交易记录!AC752</f>
        <v>0</v>
      </c>
      <c r="BH614" s="30">
        <f t="shared" si="286"/>
        <v>0</v>
      </c>
      <c r="BI614" s="121">
        <f>交易记录!AC785</f>
        <v>0</v>
      </c>
      <c r="BJ614" s="121">
        <f>交易记录!AC816</f>
        <v>0</v>
      </c>
      <c r="BK614" s="30">
        <f t="shared" si="287"/>
        <v>0</v>
      </c>
      <c r="BL614" s="124">
        <f>交易记录!AC849</f>
        <v>0</v>
      </c>
      <c r="BM614" s="124">
        <f>交易记录!AC880</f>
        <v>0</v>
      </c>
      <c r="BN614" s="30">
        <f t="shared" si="288"/>
        <v>0</v>
      </c>
      <c r="BO614" s="121">
        <f>交易记录!AC913</f>
        <v>0</v>
      </c>
      <c r="BP614" s="121">
        <f>交易记录!AC944</f>
        <v>0</v>
      </c>
      <c r="BQ614" s="30">
        <f t="shared" si="289"/>
        <v>0</v>
      </c>
    </row>
    <row r="615" spans="1:69" ht="15">
      <c r="A615" s="125">
        <f>'维护-日期'!A$28</f>
        <v>46291</v>
      </c>
      <c r="B615" s="7" t="s">
        <v>19</v>
      </c>
      <c r="C615" s="144">
        <f t="shared" si="290"/>
        <v>22.904</v>
      </c>
      <c r="D615" s="144">
        <f>ROUND(INDEX(持仓数据!$C$3:$AG$26,MATCH('计算过程-数据汇总'!B615,持仓数据!$B$3:$B$26,0),MATCH('计算过程-数据汇总'!A615,'维护-日期'!$B$2:$AF$2,0)),3)</f>
        <v>22.904</v>
      </c>
      <c r="E615" s="98">
        <f t="shared" si="291"/>
        <v>22.904</v>
      </c>
      <c r="F615" s="22">
        <f>持仓数据!AB85</f>
        <v>8.1000000000000003E-2</v>
      </c>
      <c r="G615" s="97">
        <v>372</v>
      </c>
      <c r="H615" s="97">
        <v>372</v>
      </c>
      <c r="I615" s="64">
        <v>0</v>
      </c>
      <c r="J615" s="64">
        <v>0</v>
      </c>
      <c r="K615" s="21">
        <f>IF(持仓数据!AB118="",0,持仓数据!AB118)</f>
        <v>372</v>
      </c>
      <c r="L615" s="21">
        <f t="shared" si="292"/>
        <v>0</v>
      </c>
      <c r="M615" s="28">
        <f t="shared" si="276"/>
        <v>8520.2880000000005</v>
      </c>
      <c r="N615" s="28">
        <f t="shared" si="277"/>
        <v>0</v>
      </c>
      <c r="O615" s="28">
        <f t="shared" si="278"/>
        <v>0</v>
      </c>
      <c r="P615" s="28">
        <f t="shared" si="279"/>
        <v>0</v>
      </c>
      <c r="Q615" s="28">
        <f t="shared" si="293"/>
        <v>0</v>
      </c>
      <c r="R615" s="28">
        <f t="shared" si="280"/>
        <v>8520.2880000000005</v>
      </c>
      <c r="S615" s="28">
        <f t="shared" si="294"/>
        <v>0</v>
      </c>
      <c r="T615" s="28">
        <f t="shared" si="295"/>
        <v>0</v>
      </c>
      <c r="U615" s="28">
        <f t="shared" si="298"/>
        <v>0</v>
      </c>
      <c r="V615" s="28">
        <f t="shared" si="296"/>
        <v>0</v>
      </c>
      <c r="W615" s="118"/>
      <c r="X615" s="143">
        <f t="shared" si="297"/>
        <v>27.404</v>
      </c>
      <c r="Y615" s="121">
        <f>交易记录!AC18</f>
        <v>8.1000000000000003E-2</v>
      </c>
      <c r="Z615" s="121">
        <f>交易记录!AC49</f>
        <v>372</v>
      </c>
      <c r="AA615" s="30">
        <f t="shared" si="281"/>
        <v>0</v>
      </c>
      <c r="AB615" s="124">
        <f>交易记录!AC82</f>
        <v>0</v>
      </c>
      <c r="AC615" s="124">
        <f>交易记录!AC113</f>
        <v>0</v>
      </c>
      <c r="AD615" s="30">
        <f t="shared" si="299"/>
        <v>0</v>
      </c>
      <c r="AE615" s="121">
        <f>交易记录!AC146</f>
        <v>0</v>
      </c>
      <c r="AF615" s="121">
        <f>交易记录!AC177</f>
        <v>0</v>
      </c>
      <c r="AG615" s="30">
        <f t="shared" si="300"/>
        <v>0</v>
      </c>
      <c r="AH615" s="124">
        <f>交易记录!AC210</f>
        <v>0</v>
      </c>
      <c r="AI615" s="124">
        <f>交易记录!AC241</f>
        <v>0</v>
      </c>
      <c r="AJ615" s="30">
        <f t="shared" si="301"/>
        <v>0</v>
      </c>
      <c r="AK615" s="121">
        <f>交易记录!AC274</f>
        <v>0</v>
      </c>
      <c r="AL615" s="121">
        <f>交易记录!AC305</f>
        <v>0</v>
      </c>
      <c r="AM615" s="30">
        <f t="shared" si="302"/>
        <v>0</v>
      </c>
      <c r="AN615" s="124">
        <f>交易记录!AC338</f>
        <v>0</v>
      </c>
      <c r="AO615" s="124">
        <f>交易记录!AC369</f>
        <v>0</v>
      </c>
      <c r="AP615" s="30">
        <f t="shared" si="303"/>
        <v>0</v>
      </c>
      <c r="AQ615" s="121">
        <f>交易记录!AC402</f>
        <v>0</v>
      </c>
      <c r="AR615" s="121">
        <f>交易记录!AC433</f>
        <v>0</v>
      </c>
      <c r="AS615" s="30">
        <f t="shared" si="304"/>
        <v>0</v>
      </c>
      <c r="AT615" s="124">
        <f>交易记录!AC466</f>
        <v>0</v>
      </c>
      <c r="AU615" s="124">
        <f>交易记录!AC497</f>
        <v>0</v>
      </c>
      <c r="AV615" s="30">
        <f t="shared" si="282"/>
        <v>0</v>
      </c>
      <c r="AW615" s="121">
        <f>交易记录!AC530</f>
        <v>0</v>
      </c>
      <c r="AX615" s="121">
        <f>交易记录!AC561</f>
        <v>0</v>
      </c>
      <c r="AY615" s="30">
        <f t="shared" si="283"/>
        <v>0</v>
      </c>
      <c r="AZ615" s="124">
        <f>交易记录!AC594</f>
        <v>0</v>
      </c>
      <c r="BA615" s="124">
        <f>交易记录!AC625</f>
        <v>0</v>
      </c>
      <c r="BB615" s="30">
        <f t="shared" si="284"/>
        <v>0</v>
      </c>
      <c r="BC615" s="121">
        <f>交易记录!AC658</f>
        <v>0</v>
      </c>
      <c r="BD615" s="121">
        <f>交易记录!AC689</f>
        <v>0</v>
      </c>
      <c r="BE615" s="30">
        <f t="shared" si="285"/>
        <v>0</v>
      </c>
      <c r="BF615" s="124">
        <f>交易记录!AC722</f>
        <v>0</v>
      </c>
      <c r="BG615" s="124">
        <f>交易记录!AC753</f>
        <v>0</v>
      </c>
      <c r="BH615" s="30">
        <f t="shared" si="286"/>
        <v>0</v>
      </c>
      <c r="BI615" s="121">
        <f>交易记录!AC786</f>
        <v>0</v>
      </c>
      <c r="BJ615" s="121">
        <f>交易记录!AC817</f>
        <v>0</v>
      </c>
      <c r="BK615" s="30">
        <f t="shared" si="287"/>
        <v>0</v>
      </c>
      <c r="BL615" s="124">
        <f>交易记录!AC850</f>
        <v>0</v>
      </c>
      <c r="BM615" s="124">
        <f>交易记录!AC881</f>
        <v>0</v>
      </c>
      <c r="BN615" s="30">
        <f t="shared" si="288"/>
        <v>0</v>
      </c>
      <c r="BO615" s="121">
        <f>交易记录!AC914</f>
        <v>0</v>
      </c>
      <c r="BP615" s="121">
        <f>交易记录!AC945</f>
        <v>0</v>
      </c>
      <c r="BQ615" s="30">
        <f t="shared" si="289"/>
        <v>0</v>
      </c>
    </row>
    <row r="616" spans="1:69" ht="15">
      <c r="A616" s="125">
        <f>'维护-日期'!A$28</f>
        <v>46291</v>
      </c>
      <c r="B616" s="7" t="s">
        <v>20</v>
      </c>
      <c r="C616" s="144">
        <f t="shared" si="290"/>
        <v>22.071000000000002</v>
      </c>
      <c r="D616" s="144">
        <f>ROUND(INDEX(持仓数据!$C$3:$AG$26,MATCH('计算过程-数据汇总'!B616,持仓数据!$B$3:$B$26,0),MATCH('计算过程-数据汇总'!A616,'维护-日期'!$B$2:$AF$2,0)),3)</f>
        <v>22.071000000000002</v>
      </c>
      <c r="E616" s="98">
        <f t="shared" si="291"/>
        <v>22.071000000000002</v>
      </c>
      <c r="F616" s="22">
        <f>持仓数据!AB86</f>
        <v>0.13</v>
      </c>
      <c r="G616" s="97">
        <v>372</v>
      </c>
      <c r="H616" s="97">
        <v>372</v>
      </c>
      <c r="I616" s="64">
        <v>0</v>
      </c>
      <c r="J616" s="64">
        <v>0</v>
      </c>
      <c r="K616" s="21">
        <f>IF(持仓数据!AB119="",0,持仓数据!AB119)</f>
        <v>372</v>
      </c>
      <c r="L616" s="21">
        <f t="shared" si="292"/>
        <v>0</v>
      </c>
      <c r="M616" s="28">
        <f t="shared" si="276"/>
        <v>8210.4120000000003</v>
      </c>
      <c r="N616" s="28">
        <f t="shared" si="277"/>
        <v>0</v>
      </c>
      <c r="O616" s="28">
        <f t="shared" si="278"/>
        <v>0</v>
      </c>
      <c r="P616" s="28">
        <f t="shared" si="279"/>
        <v>0</v>
      </c>
      <c r="Q616" s="28">
        <f t="shared" si="293"/>
        <v>0</v>
      </c>
      <c r="R616" s="28">
        <f t="shared" si="280"/>
        <v>8210.4120000000003</v>
      </c>
      <c r="S616" s="28">
        <f t="shared" si="294"/>
        <v>0</v>
      </c>
      <c r="T616" s="28">
        <f t="shared" si="295"/>
        <v>0</v>
      </c>
      <c r="U616" s="28">
        <f t="shared" si="298"/>
        <v>0</v>
      </c>
      <c r="V616" s="28">
        <f t="shared" si="296"/>
        <v>0</v>
      </c>
      <c r="W616" s="118"/>
      <c r="X616" s="143">
        <f t="shared" si="297"/>
        <v>26.355</v>
      </c>
      <c r="Y616" s="121">
        <f>交易记录!AC19</f>
        <v>0.13</v>
      </c>
      <c r="Z616" s="121">
        <f>交易记录!AC50</f>
        <v>372</v>
      </c>
      <c r="AA616" s="30">
        <f t="shared" si="281"/>
        <v>0</v>
      </c>
      <c r="AB616" s="124">
        <f>交易记录!AC83</f>
        <v>0</v>
      </c>
      <c r="AC616" s="124">
        <f>交易记录!AC114</f>
        <v>0</v>
      </c>
      <c r="AD616" s="30">
        <f t="shared" si="299"/>
        <v>0</v>
      </c>
      <c r="AE616" s="121">
        <f>交易记录!AC147</f>
        <v>0</v>
      </c>
      <c r="AF616" s="121">
        <f>交易记录!AC178</f>
        <v>0</v>
      </c>
      <c r="AG616" s="30">
        <f t="shared" si="300"/>
        <v>0</v>
      </c>
      <c r="AH616" s="124">
        <f>交易记录!AC211</f>
        <v>0</v>
      </c>
      <c r="AI616" s="124">
        <f>交易记录!AC242</f>
        <v>0</v>
      </c>
      <c r="AJ616" s="30">
        <f t="shared" si="301"/>
        <v>0</v>
      </c>
      <c r="AK616" s="121">
        <f>交易记录!AC275</f>
        <v>0</v>
      </c>
      <c r="AL616" s="121">
        <f>交易记录!AC306</f>
        <v>0</v>
      </c>
      <c r="AM616" s="30">
        <f t="shared" si="302"/>
        <v>0</v>
      </c>
      <c r="AN616" s="124">
        <f>交易记录!AC339</f>
        <v>0</v>
      </c>
      <c r="AO616" s="124">
        <f>交易记录!AC370</f>
        <v>0</v>
      </c>
      <c r="AP616" s="30">
        <f t="shared" si="303"/>
        <v>0</v>
      </c>
      <c r="AQ616" s="121">
        <f>交易记录!AC403</f>
        <v>0</v>
      </c>
      <c r="AR616" s="121">
        <f>交易记录!AC434</f>
        <v>0</v>
      </c>
      <c r="AS616" s="30">
        <f t="shared" si="304"/>
        <v>0</v>
      </c>
      <c r="AT616" s="124">
        <f>交易记录!AC467</f>
        <v>0</v>
      </c>
      <c r="AU616" s="124">
        <f>交易记录!AC498</f>
        <v>0</v>
      </c>
      <c r="AV616" s="30">
        <f t="shared" si="282"/>
        <v>0</v>
      </c>
      <c r="AW616" s="121">
        <f>交易记录!AC531</f>
        <v>0</v>
      </c>
      <c r="AX616" s="121">
        <f>交易记录!AC562</f>
        <v>0</v>
      </c>
      <c r="AY616" s="30">
        <f t="shared" si="283"/>
        <v>0</v>
      </c>
      <c r="AZ616" s="124">
        <f>交易记录!AC595</f>
        <v>0</v>
      </c>
      <c r="BA616" s="124">
        <f>交易记录!AC626</f>
        <v>0</v>
      </c>
      <c r="BB616" s="30">
        <f t="shared" si="284"/>
        <v>0</v>
      </c>
      <c r="BC616" s="121">
        <f>交易记录!AC659</f>
        <v>0</v>
      </c>
      <c r="BD616" s="121">
        <f>交易记录!AC690</f>
        <v>0</v>
      </c>
      <c r="BE616" s="30">
        <f t="shared" si="285"/>
        <v>0</v>
      </c>
      <c r="BF616" s="124">
        <f>交易记录!AC723</f>
        <v>0</v>
      </c>
      <c r="BG616" s="124">
        <f>交易记录!AC754</f>
        <v>0</v>
      </c>
      <c r="BH616" s="30">
        <f t="shared" si="286"/>
        <v>0</v>
      </c>
      <c r="BI616" s="121">
        <f>交易记录!AC787</f>
        <v>0</v>
      </c>
      <c r="BJ616" s="121">
        <f>交易记录!AC818</f>
        <v>0</v>
      </c>
      <c r="BK616" s="30">
        <f t="shared" si="287"/>
        <v>0</v>
      </c>
      <c r="BL616" s="124">
        <f>交易记录!AC851</f>
        <v>0</v>
      </c>
      <c r="BM616" s="124">
        <f>交易记录!AC882</f>
        <v>0</v>
      </c>
      <c r="BN616" s="30">
        <f t="shared" si="288"/>
        <v>0</v>
      </c>
      <c r="BO616" s="121">
        <f>交易记录!AC915</f>
        <v>0</v>
      </c>
      <c r="BP616" s="121">
        <f>交易记录!AC946</f>
        <v>0</v>
      </c>
      <c r="BQ616" s="30">
        <f t="shared" si="289"/>
        <v>0</v>
      </c>
    </row>
    <row r="617" spans="1:69" ht="15">
      <c r="A617" s="125">
        <f>'维护-日期'!A$28</f>
        <v>46291</v>
      </c>
      <c r="B617" s="7" t="s">
        <v>21</v>
      </c>
      <c r="C617" s="144">
        <f t="shared" si="290"/>
        <v>22.087</v>
      </c>
      <c r="D617" s="144">
        <f>ROUND(INDEX(持仓数据!$C$3:$AG$26,MATCH('计算过程-数据汇总'!B617,持仓数据!$B$3:$B$26,0),MATCH('计算过程-数据汇总'!A617,'维护-日期'!$B$2:$AF$2,0)),3)</f>
        <v>22.087</v>
      </c>
      <c r="E617" s="98">
        <f t="shared" si="291"/>
        <v>22.087</v>
      </c>
      <c r="F617" s="22">
        <f>持仓数据!AB87</f>
        <v>0.13</v>
      </c>
      <c r="G617" s="97">
        <v>372</v>
      </c>
      <c r="H617" s="97">
        <v>372</v>
      </c>
      <c r="I617" s="64">
        <v>0</v>
      </c>
      <c r="J617" s="64">
        <v>0</v>
      </c>
      <c r="K617" s="21">
        <f>IF(持仓数据!AB120="",0,持仓数据!AB120)</f>
        <v>372</v>
      </c>
      <c r="L617" s="21">
        <f t="shared" si="292"/>
        <v>0</v>
      </c>
      <c r="M617" s="28">
        <f t="shared" si="276"/>
        <v>8216.3639999999996</v>
      </c>
      <c r="N617" s="28">
        <f t="shared" si="277"/>
        <v>0</v>
      </c>
      <c r="O617" s="28">
        <f t="shared" si="278"/>
        <v>0</v>
      </c>
      <c r="P617" s="28">
        <f t="shared" si="279"/>
        <v>0</v>
      </c>
      <c r="Q617" s="28">
        <f t="shared" si="293"/>
        <v>0</v>
      </c>
      <c r="R617" s="28">
        <f t="shared" si="280"/>
        <v>8216.3639999999996</v>
      </c>
      <c r="S617" s="28">
        <f t="shared" si="294"/>
        <v>0</v>
      </c>
      <c r="T617" s="28">
        <f t="shared" si="295"/>
        <v>0</v>
      </c>
      <c r="U617" s="28">
        <f t="shared" si="298"/>
        <v>0</v>
      </c>
      <c r="V617" s="28">
        <f t="shared" si="296"/>
        <v>0</v>
      </c>
      <c r="W617" s="118"/>
      <c r="X617" s="143">
        <f t="shared" si="297"/>
        <v>26.373999999999999</v>
      </c>
      <c r="Y617" s="121">
        <f>交易记录!AC20</f>
        <v>0.13</v>
      </c>
      <c r="Z617" s="121">
        <f>交易记录!AC51</f>
        <v>372</v>
      </c>
      <c r="AA617" s="30">
        <f t="shared" si="281"/>
        <v>0</v>
      </c>
      <c r="AB617" s="124">
        <f>交易记录!AC84</f>
        <v>0</v>
      </c>
      <c r="AC617" s="124">
        <f>交易记录!AC115</f>
        <v>0</v>
      </c>
      <c r="AD617" s="30">
        <f t="shared" si="299"/>
        <v>0</v>
      </c>
      <c r="AE617" s="121">
        <f>交易记录!AC148</f>
        <v>0</v>
      </c>
      <c r="AF617" s="121">
        <f>交易记录!AC179</f>
        <v>0</v>
      </c>
      <c r="AG617" s="30">
        <f t="shared" si="300"/>
        <v>0</v>
      </c>
      <c r="AH617" s="124">
        <f>交易记录!AC212</f>
        <v>0</v>
      </c>
      <c r="AI617" s="124">
        <f>交易记录!AC243</f>
        <v>0</v>
      </c>
      <c r="AJ617" s="30">
        <f t="shared" si="301"/>
        <v>0</v>
      </c>
      <c r="AK617" s="121">
        <f>交易记录!AC276</f>
        <v>0</v>
      </c>
      <c r="AL617" s="121">
        <f>交易记录!AC307</f>
        <v>0</v>
      </c>
      <c r="AM617" s="30">
        <f t="shared" si="302"/>
        <v>0</v>
      </c>
      <c r="AN617" s="124">
        <f>交易记录!AC340</f>
        <v>0</v>
      </c>
      <c r="AO617" s="124">
        <f>交易记录!AC371</f>
        <v>0</v>
      </c>
      <c r="AP617" s="30">
        <f t="shared" si="303"/>
        <v>0</v>
      </c>
      <c r="AQ617" s="121">
        <f>交易记录!AC404</f>
        <v>0</v>
      </c>
      <c r="AR617" s="121">
        <f>交易记录!AC435</f>
        <v>0</v>
      </c>
      <c r="AS617" s="30">
        <f t="shared" si="304"/>
        <v>0</v>
      </c>
      <c r="AT617" s="124">
        <f>交易记录!AC468</f>
        <v>0</v>
      </c>
      <c r="AU617" s="124">
        <f>交易记录!AC499</f>
        <v>0</v>
      </c>
      <c r="AV617" s="30">
        <f t="shared" si="282"/>
        <v>0</v>
      </c>
      <c r="AW617" s="121">
        <f>交易记录!AC532</f>
        <v>0</v>
      </c>
      <c r="AX617" s="121">
        <f>交易记录!AC563</f>
        <v>0</v>
      </c>
      <c r="AY617" s="30">
        <f t="shared" si="283"/>
        <v>0</v>
      </c>
      <c r="AZ617" s="124">
        <f>交易记录!AC596</f>
        <v>0</v>
      </c>
      <c r="BA617" s="124">
        <f>交易记录!AC627</f>
        <v>0</v>
      </c>
      <c r="BB617" s="30">
        <f t="shared" si="284"/>
        <v>0</v>
      </c>
      <c r="BC617" s="121">
        <f>交易记录!AC660</f>
        <v>0</v>
      </c>
      <c r="BD617" s="121">
        <f>交易记录!AC691</f>
        <v>0</v>
      </c>
      <c r="BE617" s="30">
        <f t="shared" si="285"/>
        <v>0</v>
      </c>
      <c r="BF617" s="124">
        <f>交易记录!AC724</f>
        <v>0</v>
      </c>
      <c r="BG617" s="124">
        <f>交易记录!AC755</f>
        <v>0</v>
      </c>
      <c r="BH617" s="30">
        <f t="shared" si="286"/>
        <v>0</v>
      </c>
      <c r="BI617" s="121">
        <f>交易记录!AC788</f>
        <v>0</v>
      </c>
      <c r="BJ617" s="121">
        <f>交易记录!AC819</f>
        <v>0</v>
      </c>
      <c r="BK617" s="30">
        <f t="shared" si="287"/>
        <v>0</v>
      </c>
      <c r="BL617" s="124">
        <f>交易记录!AC852</f>
        <v>0</v>
      </c>
      <c r="BM617" s="124">
        <f>交易记录!AC883</f>
        <v>0</v>
      </c>
      <c r="BN617" s="30">
        <f t="shared" si="288"/>
        <v>0</v>
      </c>
      <c r="BO617" s="121">
        <f>交易记录!AC916</f>
        <v>0</v>
      </c>
      <c r="BP617" s="121">
        <f>交易记录!AC947</f>
        <v>0</v>
      </c>
      <c r="BQ617" s="30">
        <f t="shared" si="289"/>
        <v>0</v>
      </c>
    </row>
    <row r="618" spans="1:69" ht="15">
      <c r="A618" s="125">
        <f>'维护-日期'!A$28</f>
        <v>46291</v>
      </c>
      <c r="B618" s="7" t="s">
        <v>22</v>
      </c>
      <c r="C618" s="144">
        <f t="shared" si="290"/>
        <v>23.077999999999999</v>
      </c>
      <c r="D618" s="144">
        <f>ROUND(INDEX(持仓数据!$C$3:$AG$26,MATCH('计算过程-数据汇总'!B618,持仓数据!$B$3:$B$26,0),MATCH('计算过程-数据汇总'!A618,'维护-日期'!$B$2:$AF$2,0)),3)</f>
        <v>23.077999999999999</v>
      </c>
      <c r="E618" s="98">
        <f t="shared" si="291"/>
        <v>23.077999999999999</v>
      </c>
      <c r="F618" s="22">
        <f>持仓数据!AB88</f>
        <v>0.10200000000000001</v>
      </c>
      <c r="G618" s="97">
        <v>372</v>
      </c>
      <c r="H618" s="97">
        <v>372</v>
      </c>
      <c r="I618" s="64">
        <v>0</v>
      </c>
      <c r="J618" s="64">
        <v>0</v>
      </c>
      <c r="K618" s="21">
        <f>IF(持仓数据!AB121="",0,持仓数据!AB121)</f>
        <v>372</v>
      </c>
      <c r="L618" s="21">
        <f t="shared" si="292"/>
        <v>0</v>
      </c>
      <c r="M618" s="28">
        <f t="shared" si="276"/>
        <v>8585.0159999999996</v>
      </c>
      <c r="N618" s="28">
        <f t="shared" si="277"/>
        <v>0</v>
      </c>
      <c r="O618" s="28">
        <f t="shared" si="278"/>
        <v>0</v>
      </c>
      <c r="P618" s="28">
        <f t="shared" si="279"/>
        <v>0</v>
      </c>
      <c r="Q618" s="28">
        <f t="shared" si="293"/>
        <v>0</v>
      </c>
      <c r="R618" s="28">
        <f t="shared" si="280"/>
        <v>8585.0159999999996</v>
      </c>
      <c r="S618" s="28">
        <f t="shared" si="294"/>
        <v>0</v>
      </c>
      <c r="T618" s="28">
        <f t="shared" si="295"/>
        <v>0</v>
      </c>
      <c r="U618" s="28">
        <f t="shared" si="298"/>
        <v>0</v>
      </c>
      <c r="V618" s="28">
        <f t="shared" si="296"/>
        <v>0</v>
      </c>
      <c r="W618" s="118"/>
      <c r="X618" s="143">
        <f t="shared" si="297"/>
        <v>27.591999999999999</v>
      </c>
      <c r="Y618" s="121">
        <f>交易记录!AC21</f>
        <v>0.10200000000000001</v>
      </c>
      <c r="Z618" s="121">
        <f>交易记录!AC52</f>
        <v>372</v>
      </c>
      <c r="AA618" s="30">
        <f t="shared" si="281"/>
        <v>0</v>
      </c>
      <c r="AB618" s="124">
        <f>交易记录!AC85</f>
        <v>0</v>
      </c>
      <c r="AC618" s="124">
        <f>交易记录!AC116</f>
        <v>0</v>
      </c>
      <c r="AD618" s="30">
        <f t="shared" si="299"/>
        <v>0</v>
      </c>
      <c r="AE618" s="121">
        <f>交易记录!AC149</f>
        <v>0</v>
      </c>
      <c r="AF618" s="121">
        <f>交易记录!AC180</f>
        <v>0</v>
      </c>
      <c r="AG618" s="30">
        <f t="shared" si="300"/>
        <v>0</v>
      </c>
      <c r="AH618" s="124">
        <f>交易记录!AC213</f>
        <v>0</v>
      </c>
      <c r="AI618" s="124">
        <f>交易记录!AC244</f>
        <v>0</v>
      </c>
      <c r="AJ618" s="30">
        <f t="shared" si="301"/>
        <v>0</v>
      </c>
      <c r="AK618" s="121">
        <f>交易记录!AC277</f>
        <v>0</v>
      </c>
      <c r="AL618" s="121">
        <f>交易记录!AC308</f>
        <v>0</v>
      </c>
      <c r="AM618" s="30">
        <f t="shared" si="302"/>
        <v>0</v>
      </c>
      <c r="AN618" s="124">
        <f>交易记录!AC341</f>
        <v>0</v>
      </c>
      <c r="AO618" s="124">
        <f>交易记录!AC372</f>
        <v>0</v>
      </c>
      <c r="AP618" s="30">
        <f t="shared" si="303"/>
        <v>0</v>
      </c>
      <c r="AQ618" s="121">
        <f>交易记录!AC405</f>
        <v>0</v>
      </c>
      <c r="AR618" s="121">
        <f>交易记录!AC436</f>
        <v>0</v>
      </c>
      <c r="AS618" s="30">
        <f t="shared" si="304"/>
        <v>0</v>
      </c>
      <c r="AT618" s="124">
        <f>交易记录!AC469</f>
        <v>0</v>
      </c>
      <c r="AU618" s="124">
        <f>交易记录!AC500</f>
        <v>0</v>
      </c>
      <c r="AV618" s="30">
        <f t="shared" si="282"/>
        <v>0</v>
      </c>
      <c r="AW618" s="121">
        <f>交易记录!AC533</f>
        <v>0</v>
      </c>
      <c r="AX618" s="121">
        <f>交易记录!AC564</f>
        <v>0</v>
      </c>
      <c r="AY618" s="30">
        <f t="shared" si="283"/>
        <v>0</v>
      </c>
      <c r="AZ618" s="124">
        <f>交易记录!AC597</f>
        <v>0</v>
      </c>
      <c r="BA618" s="124">
        <f>交易记录!AC628</f>
        <v>0</v>
      </c>
      <c r="BB618" s="30">
        <f t="shared" si="284"/>
        <v>0</v>
      </c>
      <c r="BC618" s="121">
        <f>交易记录!AC661</f>
        <v>0</v>
      </c>
      <c r="BD618" s="121">
        <f>交易记录!AC692</f>
        <v>0</v>
      </c>
      <c r="BE618" s="30">
        <f t="shared" si="285"/>
        <v>0</v>
      </c>
      <c r="BF618" s="124">
        <f>交易记录!AC725</f>
        <v>0</v>
      </c>
      <c r="BG618" s="124">
        <f>交易记录!AC756</f>
        <v>0</v>
      </c>
      <c r="BH618" s="30">
        <f t="shared" si="286"/>
        <v>0</v>
      </c>
      <c r="BI618" s="121">
        <f>交易记录!AC789</f>
        <v>0</v>
      </c>
      <c r="BJ618" s="121">
        <f>交易记录!AC820</f>
        <v>0</v>
      </c>
      <c r="BK618" s="30">
        <f t="shared" si="287"/>
        <v>0</v>
      </c>
      <c r="BL618" s="124">
        <f>交易记录!AC853</f>
        <v>0</v>
      </c>
      <c r="BM618" s="124">
        <f>交易记录!AC884</f>
        <v>0</v>
      </c>
      <c r="BN618" s="30">
        <f t="shared" si="288"/>
        <v>0</v>
      </c>
      <c r="BO618" s="121">
        <f>交易记录!AC917</f>
        <v>0</v>
      </c>
      <c r="BP618" s="121">
        <f>交易记录!AC948</f>
        <v>0</v>
      </c>
      <c r="BQ618" s="30">
        <f t="shared" si="289"/>
        <v>0</v>
      </c>
    </row>
    <row r="619" spans="1:69" ht="15">
      <c r="A619" s="125">
        <f>'维护-日期'!A$28</f>
        <v>46291</v>
      </c>
      <c r="B619" s="7" t="s">
        <v>23</v>
      </c>
      <c r="C619" s="144">
        <f t="shared" si="290"/>
        <v>23.443000000000001</v>
      </c>
      <c r="D619" s="144">
        <f>ROUND(INDEX(持仓数据!$C$3:$AG$26,MATCH('计算过程-数据汇总'!B619,持仓数据!$B$3:$B$26,0),MATCH('计算过程-数据汇总'!A619,'维护-日期'!$B$2:$AF$2,0)),3)</f>
        <v>23.443000000000001</v>
      </c>
      <c r="E619" s="98">
        <f t="shared" si="291"/>
        <v>23.443000000000001</v>
      </c>
      <c r="F619" s="22">
        <f>持仓数据!AB89</f>
        <v>0.127</v>
      </c>
      <c r="G619" s="97">
        <v>372</v>
      </c>
      <c r="H619" s="97">
        <v>372</v>
      </c>
      <c r="I619" s="64">
        <v>0</v>
      </c>
      <c r="J619" s="64">
        <v>0</v>
      </c>
      <c r="K619" s="21">
        <f>IF(持仓数据!AB122="",0,持仓数据!AB122)</f>
        <v>372</v>
      </c>
      <c r="L619" s="21">
        <f t="shared" si="292"/>
        <v>0</v>
      </c>
      <c r="M619" s="28">
        <f t="shared" si="276"/>
        <v>8720.7960000000003</v>
      </c>
      <c r="N619" s="28">
        <f t="shared" si="277"/>
        <v>0</v>
      </c>
      <c r="O619" s="28">
        <f t="shared" si="278"/>
        <v>0</v>
      </c>
      <c r="P619" s="28">
        <f t="shared" si="279"/>
        <v>0</v>
      </c>
      <c r="Q619" s="28">
        <f t="shared" si="293"/>
        <v>0</v>
      </c>
      <c r="R619" s="28">
        <f t="shared" si="280"/>
        <v>8720.7960000000003</v>
      </c>
      <c r="S619" s="28">
        <f t="shared" si="294"/>
        <v>0</v>
      </c>
      <c r="T619" s="28">
        <f t="shared" si="295"/>
        <v>0</v>
      </c>
      <c r="U619" s="28">
        <f t="shared" si="298"/>
        <v>0</v>
      </c>
      <c r="V619" s="28">
        <f t="shared" si="296"/>
        <v>0</v>
      </c>
      <c r="W619" s="118"/>
      <c r="X619" s="143">
        <f t="shared" si="297"/>
        <v>28.004999999999999</v>
      </c>
      <c r="Y619" s="121">
        <f>交易记录!AC22</f>
        <v>0.127</v>
      </c>
      <c r="Z619" s="121">
        <f>交易记录!AC53</f>
        <v>372</v>
      </c>
      <c r="AA619" s="30">
        <f t="shared" si="281"/>
        <v>0</v>
      </c>
      <c r="AB619" s="124">
        <f>交易记录!AC86</f>
        <v>0</v>
      </c>
      <c r="AC619" s="124">
        <f>交易记录!AC117</f>
        <v>0</v>
      </c>
      <c r="AD619" s="30">
        <f t="shared" si="299"/>
        <v>0</v>
      </c>
      <c r="AE619" s="121">
        <f>交易记录!AC150</f>
        <v>0</v>
      </c>
      <c r="AF619" s="121">
        <f>交易记录!AC181</f>
        <v>0</v>
      </c>
      <c r="AG619" s="30">
        <f t="shared" si="300"/>
        <v>0</v>
      </c>
      <c r="AH619" s="124">
        <f>交易记录!AC214</f>
        <v>0</v>
      </c>
      <c r="AI619" s="124">
        <f>交易记录!AC245</f>
        <v>0</v>
      </c>
      <c r="AJ619" s="30">
        <f t="shared" si="301"/>
        <v>0</v>
      </c>
      <c r="AK619" s="121">
        <f>交易记录!AC278</f>
        <v>0</v>
      </c>
      <c r="AL619" s="121">
        <f>交易记录!AC309</f>
        <v>0</v>
      </c>
      <c r="AM619" s="30">
        <f t="shared" si="302"/>
        <v>0</v>
      </c>
      <c r="AN619" s="124">
        <f>交易记录!AC342</f>
        <v>0</v>
      </c>
      <c r="AO619" s="124">
        <f>交易记录!AC373</f>
        <v>0</v>
      </c>
      <c r="AP619" s="30">
        <f t="shared" si="303"/>
        <v>0</v>
      </c>
      <c r="AQ619" s="121">
        <f>交易记录!AC406</f>
        <v>0</v>
      </c>
      <c r="AR619" s="121">
        <f>交易记录!AC437</f>
        <v>0</v>
      </c>
      <c r="AS619" s="30">
        <f t="shared" si="304"/>
        <v>0</v>
      </c>
      <c r="AT619" s="124">
        <f>交易记录!AC470</f>
        <v>0</v>
      </c>
      <c r="AU619" s="124">
        <f>交易记录!AC501</f>
        <v>0</v>
      </c>
      <c r="AV619" s="30">
        <f t="shared" si="282"/>
        <v>0</v>
      </c>
      <c r="AW619" s="121">
        <f>交易记录!AC534</f>
        <v>0</v>
      </c>
      <c r="AX619" s="121">
        <f>交易记录!AC565</f>
        <v>0</v>
      </c>
      <c r="AY619" s="30">
        <f t="shared" si="283"/>
        <v>0</v>
      </c>
      <c r="AZ619" s="124">
        <f>交易记录!AC598</f>
        <v>0</v>
      </c>
      <c r="BA619" s="124">
        <f>交易记录!AC629</f>
        <v>0</v>
      </c>
      <c r="BB619" s="30">
        <f t="shared" si="284"/>
        <v>0</v>
      </c>
      <c r="BC619" s="121">
        <f>交易记录!AC662</f>
        <v>0</v>
      </c>
      <c r="BD619" s="121">
        <f>交易记录!AC693</f>
        <v>0</v>
      </c>
      <c r="BE619" s="30">
        <f t="shared" si="285"/>
        <v>0</v>
      </c>
      <c r="BF619" s="124">
        <f>交易记录!AC726</f>
        <v>0</v>
      </c>
      <c r="BG619" s="124">
        <f>交易记录!AC757</f>
        <v>0</v>
      </c>
      <c r="BH619" s="30">
        <f t="shared" si="286"/>
        <v>0</v>
      </c>
      <c r="BI619" s="121">
        <f>交易记录!AC790</f>
        <v>0</v>
      </c>
      <c r="BJ619" s="121">
        <f>交易记录!AC821</f>
        <v>0</v>
      </c>
      <c r="BK619" s="30">
        <f t="shared" si="287"/>
        <v>0</v>
      </c>
      <c r="BL619" s="124">
        <f>交易记录!AC854</f>
        <v>0</v>
      </c>
      <c r="BM619" s="124">
        <f>交易记录!AC885</f>
        <v>0</v>
      </c>
      <c r="BN619" s="30">
        <f t="shared" si="288"/>
        <v>0</v>
      </c>
      <c r="BO619" s="121">
        <f>交易记录!AC918</f>
        <v>0</v>
      </c>
      <c r="BP619" s="121">
        <f>交易记录!AC949</f>
        <v>0</v>
      </c>
      <c r="BQ619" s="30">
        <f t="shared" si="289"/>
        <v>0</v>
      </c>
    </row>
    <row r="620" spans="1:69" ht="15">
      <c r="A620" s="125">
        <f>'维护-日期'!A$28</f>
        <v>46291</v>
      </c>
      <c r="B620" s="7" t="s">
        <v>24</v>
      </c>
      <c r="C620" s="144">
        <f t="shared" si="290"/>
        <v>23.85</v>
      </c>
      <c r="D620" s="144">
        <f>ROUND(INDEX(持仓数据!$C$3:$AG$26,MATCH('计算过程-数据汇总'!B620,持仓数据!$B$3:$B$26,0),MATCH('计算过程-数据汇总'!A620,'维护-日期'!$B$2:$AF$2,0)),3)</f>
        <v>23.85</v>
      </c>
      <c r="E620" s="98">
        <f t="shared" si="291"/>
        <v>23.85</v>
      </c>
      <c r="F620" s="22">
        <f>持仓数据!AB90</f>
        <v>0.128</v>
      </c>
      <c r="G620" s="97">
        <v>372</v>
      </c>
      <c r="H620" s="97">
        <v>372</v>
      </c>
      <c r="I620" s="64">
        <v>0</v>
      </c>
      <c r="J620" s="64">
        <v>0</v>
      </c>
      <c r="K620" s="21">
        <f>IF(持仓数据!AB123="",0,持仓数据!AB123)</f>
        <v>372</v>
      </c>
      <c r="L620" s="21">
        <f t="shared" si="292"/>
        <v>0</v>
      </c>
      <c r="M620" s="28">
        <f t="shared" si="276"/>
        <v>8872.2000000000007</v>
      </c>
      <c r="N620" s="28">
        <f t="shared" si="277"/>
        <v>0</v>
      </c>
      <c r="O620" s="28">
        <f t="shared" si="278"/>
        <v>0</v>
      </c>
      <c r="P620" s="28">
        <f t="shared" si="279"/>
        <v>0</v>
      </c>
      <c r="Q620" s="28">
        <f t="shared" si="293"/>
        <v>0</v>
      </c>
      <c r="R620" s="28">
        <f t="shared" si="280"/>
        <v>8872.2000000000007</v>
      </c>
      <c r="S620" s="28">
        <f t="shared" si="294"/>
        <v>0</v>
      </c>
      <c r="T620" s="28">
        <f t="shared" si="295"/>
        <v>0</v>
      </c>
      <c r="U620" s="28">
        <f t="shared" si="298"/>
        <v>0</v>
      </c>
      <c r="V620" s="28">
        <f t="shared" si="296"/>
        <v>0</v>
      </c>
      <c r="W620" s="118"/>
      <c r="X620" s="143">
        <f t="shared" si="297"/>
        <v>28.492000000000001</v>
      </c>
      <c r="Y620" s="121">
        <f>交易记录!AC23</f>
        <v>0.128</v>
      </c>
      <c r="Z620" s="121">
        <f>交易记录!AC54</f>
        <v>372</v>
      </c>
      <c r="AA620" s="30">
        <f t="shared" si="281"/>
        <v>0</v>
      </c>
      <c r="AB620" s="124">
        <f>交易记录!AC87</f>
        <v>0</v>
      </c>
      <c r="AC620" s="124">
        <f>交易记录!AC118</f>
        <v>0</v>
      </c>
      <c r="AD620" s="30">
        <f t="shared" si="299"/>
        <v>0</v>
      </c>
      <c r="AE620" s="121">
        <f>交易记录!AC151</f>
        <v>0</v>
      </c>
      <c r="AF620" s="121">
        <f>交易记录!AC182</f>
        <v>0</v>
      </c>
      <c r="AG620" s="30">
        <f t="shared" si="300"/>
        <v>0</v>
      </c>
      <c r="AH620" s="124">
        <f>交易记录!AC215</f>
        <v>0</v>
      </c>
      <c r="AI620" s="124">
        <f>交易记录!AC246</f>
        <v>0</v>
      </c>
      <c r="AJ620" s="30">
        <f t="shared" si="301"/>
        <v>0</v>
      </c>
      <c r="AK620" s="121">
        <f>交易记录!AC279</f>
        <v>0</v>
      </c>
      <c r="AL620" s="121">
        <f>交易记录!AC310</f>
        <v>0</v>
      </c>
      <c r="AM620" s="30">
        <f t="shared" si="302"/>
        <v>0</v>
      </c>
      <c r="AN620" s="124">
        <f>交易记录!AC343</f>
        <v>0</v>
      </c>
      <c r="AO620" s="124">
        <f>交易记录!AC374</f>
        <v>0</v>
      </c>
      <c r="AP620" s="30">
        <f t="shared" si="303"/>
        <v>0</v>
      </c>
      <c r="AQ620" s="121">
        <f>交易记录!AC407</f>
        <v>0</v>
      </c>
      <c r="AR620" s="121">
        <f>交易记录!AC438</f>
        <v>0</v>
      </c>
      <c r="AS620" s="30">
        <f t="shared" si="304"/>
        <v>0</v>
      </c>
      <c r="AT620" s="124">
        <f>交易记录!AC471</f>
        <v>0</v>
      </c>
      <c r="AU620" s="124">
        <f>交易记录!AC502</f>
        <v>0</v>
      </c>
      <c r="AV620" s="30">
        <f t="shared" si="282"/>
        <v>0</v>
      </c>
      <c r="AW620" s="121">
        <f>交易记录!AC535</f>
        <v>0</v>
      </c>
      <c r="AX620" s="121">
        <f>交易记录!AC566</f>
        <v>0</v>
      </c>
      <c r="AY620" s="30">
        <f t="shared" si="283"/>
        <v>0</v>
      </c>
      <c r="AZ620" s="124">
        <f>交易记录!AC599</f>
        <v>0</v>
      </c>
      <c r="BA620" s="124">
        <f>交易记录!AC630</f>
        <v>0</v>
      </c>
      <c r="BB620" s="30">
        <f t="shared" si="284"/>
        <v>0</v>
      </c>
      <c r="BC620" s="121">
        <f>交易记录!AC663</f>
        <v>0</v>
      </c>
      <c r="BD620" s="121">
        <f>交易记录!AC694</f>
        <v>0</v>
      </c>
      <c r="BE620" s="30">
        <f t="shared" si="285"/>
        <v>0</v>
      </c>
      <c r="BF620" s="124">
        <f>交易记录!AC727</f>
        <v>0</v>
      </c>
      <c r="BG620" s="124">
        <f>交易记录!AC758</f>
        <v>0</v>
      </c>
      <c r="BH620" s="30">
        <f t="shared" si="286"/>
        <v>0</v>
      </c>
      <c r="BI620" s="121">
        <f>交易记录!AC791</f>
        <v>0</v>
      </c>
      <c r="BJ620" s="121">
        <f>交易记录!AC822</f>
        <v>0</v>
      </c>
      <c r="BK620" s="30">
        <f t="shared" si="287"/>
        <v>0</v>
      </c>
      <c r="BL620" s="124">
        <f>交易记录!AC855</f>
        <v>0</v>
      </c>
      <c r="BM620" s="124">
        <f>交易记录!AC886</f>
        <v>0</v>
      </c>
      <c r="BN620" s="30">
        <f t="shared" si="288"/>
        <v>0</v>
      </c>
      <c r="BO620" s="121">
        <f>交易记录!AC919</f>
        <v>0</v>
      </c>
      <c r="BP620" s="121">
        <f>交易记录!AC950</f>
        <v>0</v>
      </c>
      <c r="BQ620" s="30">
        <f t="shared" si="289"/>
        <v>0</v>
      </c>
    </row>
    <row r="621" spans="1:69" ht="15">
      <c r="A621" s="125">
        <f>'维护-日期'!A$28</f>
        <v>46291</v>
      </c>
      <c r="B621" s="7" t="s">
        <v>25</v>
      </c>
      <c r="C621" s="144">
        <f t="shared" si="290"/>
        <v>24.105</v>
      </c>
      <c r="D621" s="144">
        <f>ROUND(INDEX(持仓数据!$C$3:$AG$26,MATCH('计算过程-数据汇总'!B621,持仓数据!$B$3:$B$26,0),MATCH('计算过程-数据汇总'!A621,'维护-日期'!$B$2:$AF$2,0)),3)</f>
        <v>24.105</v>
      </c>
      <c r="E621" s="98">
        <f t="shared" si="291"/>
        <v>24.105</v>
      </c>
      <c r="F621" s="22">
        <f>持仓数据!AB91</f>
        <v>0.22399999999999998</v>
      </c>
      <c r="G621" s="97">
        <v>372</v>
      </c>
      <c r="H621" s="97">
        <v>372</v>
      </c>
      <c r="I621" s="64">
        <v>0</v>
      </c>
      <c r="J621" s="64">
        <v>0</v>
      </c>
      <c r="K621" s="21">
        <f>IF(持仓数据!AB124="",0,持仓数据!AB124)</f>
        <v>372</v>
      </c>
      <c r="L621" s="21">
        <f t="shared" si="292"/>
        <v>0</v>
      </c>
      <c r="M621" s="28">
        <f t="shared" si="276"/>
        <v>8967.06</v>
      </c>
      <c r="N621" s="28">
        <f t="shared" si="277"/>
        <v>0</v>
      </c>
      <c r="O621" s="28">
        <f t="shared" si="278"/>
        <v>0</v>
      </c>
      <c r="P621" s="28">
        <f t="shared" si="279"/>
        <v>0</v>
      </c>
      <c r="Q621" s="28">
        <f t="shared" si="293"/>
        <v>0</v>
      </c>
      <c r="R621" s="28">
        <f t="shared" si="280"/>
        <v>8967.06</v>
      </c>
      <c r="S621" s="28">
        <f t="shared" si="294"/>
        <v>0</v>
      </c>
      <c r="T621" s="28">
        <f t="shared" si="295"/>
        <v>0</v>
      </c>
      <c r="U621" s="28">
        <f t="shared" si="298"/>
        <v>0</v>
      </c>
      <c r="V621" s="28">
        <f t="shared" si="296"/>
        <v>0</v>
      </c>
      <c r="W621" s="118"/>
      <c r="X621" s="143">
        <f t="shared" si="297"/>
        <v>28.702000000000002</v>
      </c>
      <c r="Y621" s="121">
        <f>交易记录!AC24</f>
        <v>0.22399999999999998</v>
      </c>
      <c r="Z621" s="121">
        <f>交易记录!AC55</f>
        <v>372</v>
      </c>
      <c r="AA621" s="30">
        <f t="shared" si="281"/>
        <v>0</v>
      </c>
      <c r="AB621" s="124">
        <f>交易记录!AC88</f>
        <v>0</v>
      </c>
      <c r="AC621" s="124">
        <f>交易记录!AC119</f>
        <v>0</v>
      </c>
      <c r="AD621" s="30">
        <f t="shared" si="299"/>
        <v>0</v>
      </c>
      <c r="AE621" s="121">
        <f>交易记录!AC152</f>
        <v>0</v>
      </c>
      <c r="AF621" s="121">
        <f>交易记录!AC183</f>
        <v>0</v>
      </c>
      <c r="AG621" s="30">
        <f t="shared" si="300"/>
        <v>0</v>
      </c>
      <c r="AH621" s="124">
        <f>交易记录!AC216</f>
        <v>0</v>
      </c>
      <c r="AI621" s="124">
        <f>交易记录!AC247</f>
        <v>0</v>
      </c>
      <c r="AJ621" s="30">
        <f t="shared" si="301"/>
        <v>0</v>
      </c>
      <c r="AK621" s="121">
        <f>交易记录!AC280</f>
        <v>0</v>
      </c>
      <c r="AL621" s="121">
        <f>交易记录!AC311</f>
        <v>0</v>
      </c>
      <c r="AM621" s="30">
        <f t="shared" si="302"/>
        <v>0</v>
      </c>
      <c r="AN621" s="124">
        <f>交易记录!AC344</f>
        <v>0</v>
      </c>
      <c r="AO621" s="124">
        <f>交易记录!AC375</f>
        <v>0</v>
      </c>
      <c r="AP621" s="30">
        <f t="shared" si="303"/>
        <v>0</v>
      </c>
      <c r="AQ621" s="121">
        <f>交易记录!AC408</f>
        <v>0</v>
      </c>
      <c r="AR621" s="121">
        <f>交易记录!AC439</f>
        <v>0</v>
      </c>
      <c r="AS621" s="30">
        <f t="shared" si="304"/>
        <v>0</v>
      </c>
      <c r="AT621" s="124">
        <f>交易记录!AC472</f>
        <v>0</v>
      </c>
      <c r="AU621" s="124">
        <f>交易记录!AC503</f>
        <v>0</v>
      </c>
      <c r="AV621" s="30">
        <f t="shared" si="282"/>
        <v>0</v>
      </c>
      <c r="AW621" s="121">
        <f>交易记录!AC536</f>
        <v>0</v>
      </c>
      <c r="AX621" s="121">
        <f>交易记录!AC567</f>
        <v>0</v>
      </c>
      <c r="AY621" s="30">
        <f t="shared" si="283"/>
        <v>0</v>
      </c>
      <c r="AZ621" s="124">
        <f>交易记录!AC600</f>
        <v>0</v>
      </c>
      <c r="BA621" s="124">
        <f>交易记录!AC631</f>
        <v>0</v>
      </c>
      <c r="BB621" s="30">
        <f t="shared" si="284"/>
        <v>0</v>
      </c>
      <c r="BC621" s="121">
        <f>交易记录!AC664</f>
        <v>0</v>
      </c>
      <c r="BD621" s="121">
        <f>交易记录!AC695</f>
        <v>0</v>
      </c>
      <c r="BE621" s="30">
        <f t="shared" si="285"/>
        <v>0</v>
      </c>
      <c r="BF621" s="124">
        <f>交易记录!AC728</f>
        <v>0</v>
      </c>
      <c r="BG621" s="124">
        <f>交易记录!AC759</f>
        <v>0</v>
      </c>
      <c r="BH621" s="30">
        <f t="shared" si="286"/>
        <v>0</v>
      </c>
      <c r="BI621" s="121">
        <f>交易记录!AC792</f>
        <v>0</v>
      </c>
      <c r="BJ621" s="121">
        <f>交易记录!AC823</f>
        <v>0</v>
      </c>
      <c r="BK621" s="30">
        <f t="shared" si="287"/>
        <v>0</v>
      </c>
      <c r="BL621" s="124">
        <f>交易记录!AC856</f>
        <v>0</v>
      </c>
      <c r="BM621" s="124">
        <f>交易记录!AC887</f>
        <v>0</v>
      </c>
      <c r="BN621" s="30">
        <f t="shared" si="288"/>
        <v>0</v>
      </c>
      <c r="BO621" s="121">
        <f>交易记录!AC920</f>
        <v>0</v>
      </c>
      <c r="BP621" s="121">
        <f>交易记录!AC951</f>
        <v>0</v>
      </c>
      <c r="BQ621" s="30">
        <f t="shared" si="289"/>
        <v>0</v>
      </c>
    </row>
    <row r="622" spans="1:69" ht="15">
      <c r="A622" s="125">
        <f>'维护-日期'!A$28</f>
        <v>46291</v>
      </c>
      <c r="B622" s="7" t="s">
        <v>26</v>
      </c>
      <c r="C622" s="144">
        <f t="shared" si="290"/>
        <v>24.047999999999998</v>
      </c>
      <c r="D622" s="144">
        <f>ROUND(INDEX(持仓数据!$C$3:$AG$26,MATCH('计算过程-数据汇总'!B622,持仓数据!$B$3:$B$26,0),MATCH('计算过程-数据汇总'!A622,'维护-日期'!$B$2:$AF$2,0)),3)</f>
        <v>24.047999999999998</v>
      </c>
      <c r="E622" s="98">
        <f t="shared" si="291"/>
        <v>24.047999999999998</v>
      </c>
      <c r="F622" s="22">
        <f>持仓数据!AB92</f>
        <v>0.16399999999999998</v>
      </c>
      <c r="G622" s="97">
        <v>372</v>
      </c>
      <c r="H622" s="97">
        <v>372</v>
      </c>
      <c r="I622" s="64">
        <v>0</v>
      </c>
      <c r="J622" s="64">
        <v>0</v>
      </c>
      <c r="K622" s="21">
        <f>IF(持仓数据!AB125="",0,持仓数据!AB125)</f>
        <v>372</v>
      </c>
      <c r="L622" s="21">
        <f t="shared" si="292"/>
        <v>0</v>
      </c>
      <c r="M622" s="28">
        <f t="shared" si="276"/>
        <v>8945.8559999999998</v>
      </c>
      <c r="N622" s="28">
        <f t="shared" si="277"/>
        <v>0</v>
      </c>
      <c r="O622" s="28">
        <f t="shared" si="278"/>
        <v>0</v>
      </c>
      <c r="P622" s="28">
        <f t="shared" si="279"/>
        <v>0</v>
      </c>
      <c r="Q622" s="28">
        <f t="shared" si="293"/>
        <v>0</v>
      </c>
      <c r="R622" s="28">
        <f t="shared" si="280"/>
        <v>8945.8559999999998</v>
      </c>
      <c r="S622" s="28">
        <f t="shared" si="294"/>
        <v>0</v>
      </c>
      <c r="T622" s="28">
        <f t="shared" si="295"/>
        <v>0</v>
      </c>
      <c r="U622" s="28">
        <f t="shared" si="298"/>
        <v>0</v>
      </c>
      <c r="V622" s="28">
        <f t="shared" si="296"/>
        <v>0</v>
      </c>
      <c r="W622" s="118"/>
      <c r="X622" s="143">
        <f t="shared" si="297"/>
        <v>28.693999999999999</v>
      </c>
      <c r="Y622" s="121">
        <f>交易记录!AC25</f>
        <v>0.16399999999999998</v>
      </c>
      <c r="Z622" s="121">
        <f>交易记录!AC56</f>
        <v>372</v>
      </c>
      <c r="AA622" s="30">
        <f t="shared" si="281"/>
        <v>0</v>
      </c>
      <c r="AB622" s="124">
        <f>交易记录!AC89</f>
        <v>0</v>
      </c>
      <c r="AC622" s="124">
        <f>交易记录!AC120</f>
        <v>0</v>
      </c>
      <c r="AD622" s="30">
        <f t="shared" si="299"/>
        <v>0</v>
      </c>
      <c r="AE622" s="121">
        <f>交易记录!AC153</f>
        <v>0</v>
      </c>
      <c r="AF622" s="121">
        <f>交易记录!AC184</f>
        <v>0</v>
      </c>
      <c r="AG622" s="30">
        <f t="shared" si="300"/>
        <v>0</v>
      </c>
      <c r="AH622" s="124">
        <f>交易记录!AC217</f>
        <v>0</v>
      </c>
      <c r="AI622" s="124">
        <f>交易记录!AC248</f>
        <v>0</v>
      </c>
      <c r="AJ622" s="30">
        <f t="shared" si="301"/>
        <v>0</v>
      </c>
      <c r="AK622" s="121">
        <f>交易记录!AC281</f>
        <v>0</v>
      </c>
      <c r="AL622" s="121">
        <f>交易记录!AC312</f>
        <v>0</v>
      </c>
      <c r="AM622" s="30">
        <f t="shared" si="302"/>
        <v>0</v>
      </c>
      <c r="AN622" s="124">
        <f>交易记录!AC345</f>
        <v>0</v>
      </c>
      <c r="AO622" s="124">
        <f>交易记录!AC376</f>
        <v>0</v>
      </c>
      <c r="AP622" s="30">
        <f t="shared" si="303"/>
        <v>0</v>
      </c>
      <c r="AQ622" s="121">
        <f>交易记录!AC409</f>
        <v>0</v>
      </c>
      <c r="AR622" s="121">
        <f>交易记录!AC440</f>
        <v>0</v>
      </c>
      <c r="AS622" s="30">
        <f t="shared" si="304"/>
        <v>0</v>
      </c>
      <c r="AT622" s="124">
        <f>交易记录!AC473</f>
        <v>0</v>
      </c>
      <c r="AU622" s="124">
        <f>交易记录!AC504</f>
        <v>0</v>
      </c>
      <c r="AV622" s="30">
        <f t="shared" si="282"/>
        <v>0</v>
      </c>
      <c r="AW622" s="121">
        <f>交易记录!AC537</f>
        <v>0</v>
      </c>
      <c r="AX622" s="121">
        <f>交易记录!AC568</f>
        <v>0</v>
      </c>
      <c r="AY622" s="30">
        <f t="shared" si="283"/>
        <v>0</v>
      </c>
      <c r="AZ622" s="124">
        <f>交易记录!AC601</f>
        <v>0</v>
      </c>
      <c r="BA622" s="124">
        <f>交易记录!AC632</f>
        <v>0</v>
      </c>
      <c r="BB622" s="30">
        <f t="shared" si="284"/>
        <v>0</v>
      </c>
      <c r="BC622" s="121">
        <f>交易记录!AC665</f>
        <v>0</v>
      </c>
      <c r="BD622" s="121">
        <f>交易记录!AC696</f>
        <v>0</v>
      </c>
      <c r="BE622" s="30">
        <f t="shared" si="285"/>
        <v>0</v>
      </c>
      <c r="BF622" s="124">
        <f>交易记录!AC729</f>
        <v>0</v>
      </c>
      <c r="BG622" s="124">
        <f>交易记录!AC760</f>
        <v>0</v>
      </c>
      <c r="BH622" s="30">
        <f t="shared" si="286"/>
        <v>0</v>
      </c>
      <c r="BI622" s="121">
        <f>交易记录!AC793</f>
        <v>0</v>
      </c>
      <c r="BJ622" s="121">
        <f>交易记录!AC824</f>
        <v>0</v>
      </c>
      <c r="BK622" s="30">
        <f t="shared" si="287"/>
        <v>0</v>
      </c>
      <c r="BL622" s="124">
        <f>交易记录!AC857</f>
        <v>0</v>
      </c>
      <c r="BM622" s="124">
        <f>交易记录!AC888</f>
        <v>0</v>
      </c>
      <c r="BN622" s="30">
        <f t="shared" si="288"/>
        <v>0</v>
      </c>
      <c r="BO622" s="121">
        <f>交易记录!AC921</f>
        <v>0</v>
      </c>
      <c r="BP622" s="121">
        <f>交易记录!AC952</f>
        <v>0</v>
      </c>
      <c r="BQ622" s="30">
        <f t="shared" si="289"/>
        <v>0</v>
      </c>
    </row>
    <row r="623" spans="1:69" ht="15">
      <c r="A623" s="125">
        <f>'维护-日期'!A$28</f>
        <v>46291</v>
      </c>
      <c r="B623" s="7" t="s">
        <v>27</v>
      </c>
      <c r="C623" s="144">
        <f t="shared" si="290"/>
        <v>22.594000000000001</v>
      </c>
      <c r="D623" s="144">
        <f>ROUND(INDEX(持仓数据!$C$3:$AG$26,MATCH('计算过程-数据汇总'!B623,持仓数据!$B$3:$B$26,0),MATCH('计算过程-数据汇总'!A623,'维护-日期'!$B$2:$AF$2,0)),3)</f>
        <v>22.594000000000001</v>
      </c>
      <c r="E623" s="98">
        <f t="shared" si="291"/>
        <v>22.594000000000001</v>
      </c>
      <c r="F623" s="22">
        <f>持仓数据!AB93</f>
        <v>0.15200000000000002</v>
      </c>
      <c r="G623" s="97">
        <v>372</v>
      </c>
      <c r="H623" s="97">
        <v>372</v>
      </c>
      <c r="I623" s="64">
        <v>0</v>
      </c>
      <c r="J623" s="64">
        <v>0</v>
      </c>
      <c r="K623" s="21">
        <f>IF(持仓数据!AB126="",0,持仓数据!AB126)</f>
        <v>372</v>
      </c>
      <c r="L623" s="21">
        <f t="shared" si="292"/>
        <v>0</v>
      </c>
      <c r="M623" s="28">
        <f t="shared" si="276"/>
        <v>8404.9680000000008</v>
      </c>
      <c r="N623" s="28">
        <f t="shared" si="277"/>
        <v>0</v>
      </c>
      <c r="O623" s="28">
        <f t="shared" si="278"/>
        <v>0</v>
      </c>
      <c r="P623" s="28">
        <f t="shared" si="279"/>
        <v>0</v>
      </c>
      <c r="Q623" s="28">
        <f t="shared" si="293"/>
        <v>0</v>
      </c>
      <c r="R623" s="28">
        <f t="shared" si="280"/>
        <v>8404.9680000000008</v>
      </c>
      <c r="S623" s="28">
        <f t="shared" si="294"/>
        <v>0</v>
      </c>
      <c r="T623" s="28">
        <f t="shared" si="295"/>
        <v>0</v>
      </c>
      <c r="U623" s="28">
        <f t="shared" si="298"/>
        <v>0</v>
      </c>
      <c r="V623" s="28">
        <f t="shared" si="296"/>
        <v>0</v>
      </c>
      <c r="W623" s="118"/>
      <c r="X623" s="143">
        <f t="shared" si="297"/>
        <v>26.960999999999999</v>
      </c>
      <c r="Y623" s="121">
        <f>交易记录!AC26</f>
        <v>0.15200000000000002</v>
      </c>
      <c r="Z623" s="121">
        <f>交易记录!AC57</f>
        <v>372</v>
      </c>
      <c r="AA623" s="30">
        <f t="shared" si="281"/>
        <v>0</v>
      </c>
      <c r="AB623" s="124">
        <f>交易记录!AC90</f>
        <v>0</v>
      </c>
      <c r="AC623" s="124">
        <f>交易记录!AC121</f>
        <v>0</v>
      </c>
      <c r="AD623" s="30">
        <f t="shared" si="299"/>
        <v>0</v>
      </c>
      <c r="AE623" s="121">
        <f>交易记录!AC154</f>
        <v>0</v>
      </c>
      <c r="AF623" s="121">
        <f>交易记录!AC185</f>
        <v>0</v>
      </c>
      <c r="AG623" s="30">
        <f t="shared" si="300"/>
        <v>0</v>
      </c>
      <c r="AH623" s="124">
        <f>交易记录!AC218</f>
        <v>0</v>
      </c>
      <c r="AI623" s="124">
        <f>交易记录!AC249</f>
        <v>0</v>
      </c>
      <c r="AJ623" s="30">
        <f t="shared" si="301"/>
        <v>0</v>
      </c>
      <c r="AK623" s="121">
        <f>交易记录!AC282</f>
        <v>0</v>
      </c>
      <c r="AL623" s="121">
        <f>交易记录!AC313</f>
        <v>0</v>
      </c>
      <c r="AM623" s="30">
        <f t="shared" si="302"/>
        <v>0</v>
      </c>
      <c r="AN623" s="124">
        <f>交易记录!AC346</f>
        <v>0</v>
      </c>
      <c r="AO623" s="124">
        <f>交易记录!AC377</f>
        <v>0</v>
      </c>
      <c r="AP623" s="30">
        <f t="shared" si="303"/>
        <v>0</v>
      </c>
      <c r="AQ623" s="121">
        <f>交易记录!AC410</f>
        <v>0</v>
      </c>
      <c r="AR623" s="121">
        <f>交易记录!AC441</f>
        <v>0</v>
      </c>
      <c r="AS623" s="30">
        <f t="shared" si="304"/>
        <v>0</v>
      </c>
      <c r="AT623" s="124">
        <f>交易记录!AC474</f>
        <v>0</v>
      </c>
      <c r="AU623" s="124">
        <f>交易记录!AC505</f>
        <v>0</v>
      </c>
      <c r="AV623" s="30">
        <f t="shared" si="282"/>
        <v>0</v>
      </c>
      <c r="AW623" s="121">
        <f>交易记录!AC538</f>
        <v>0</v>
      </c>
      <c r="AX623" s="121">
        <f>交易记录!AC569</f>
        <v>0</v>
      </c>
      <c r="AY623" s="30">
        <f t="shared" si="283"/>
        <v>0</v>
      </c>
      <c r="AZ623" s="124">
        <f>交易记录!AC602</f>
        <v>0</v>
      </c>
      <c r="BA623" s="124">
        <f>交易记录!AC633</f>
        <v>0</v>
      </c>
      <c r="BB623" s="30">
        <f t="shared" si="284"/>
        <v>0</v>
      </c>
      <c r="BC623" s="121">
        <f>交易记录!AC666</f>
        <v>0</v>
      </c>
      <c r="BD623" s="121">
        <f>交易记录!AC697</f>
        <v>0</v>
      </c>
      <c r="BE623" s="30">
        <f t="shared" si="285"/>
        <v>0</v>
      </c>
      <c r="BF623" s="124">
        <f>交易记录!AC730</f>
        <v>0</v>
      </c>
      <c r="BG623" s="124">
        <f>交易记录!AC761</f>
        <v>0</v>
      </c>
      <c r="BH623" s="30">
        <f t="shared" si="286"/>
        <v>0</v>
      </c>
      <c r="BI623" s="121">
        <f>交易记录!AC794</f>
        <v>0</v>
      </c>
      <c r="BJ623" s="121">
        <f>交易记录!AC825</f>
        <v>0</v>
      </c>
      <c r="BK623" s="30">
        <f t="shared" si="287"/>
        <v>0</v>
      </c>
      <c r="BL623" s="124">
        <f>交易记录!AC858</f>
        <v>0</v>
      </c>
      <c r="BM623" s="124">
        <f>交易记录!AC889</f>
        <v>0</v>
      </c>
      <c r="BN623" s="30">
        <f t="shared" si="288"/>
        <v>0</v>
      </c>
      <c r="BO623" s="121">
        <f>交易记录!AC922</f>
        <v>0</v>
      </c>
      <c r="BP623" s="121">
        <f>交易记录!AC953</f>
        <v>0</v>
      </c>
      <c r="BQ623" s="30">
        <f t="shared" si="289"/>
        <v>0</v>
      </c>
    </row>
    <row r="624" spans="1:69" ht="15">
      <c r="A624" s="125">
        <f>'维护-日期'!A$28</f>
        <v>46291</v>
      </c>
      <c r="B624" s="7" t="s">
        <v>28</v>
      </c>
      <c r="C624" s="144">
        <f t="shared" si="290"/>
        <v>19.387</v>
      </c>
      <c r="D624" s="144">
        <f>ROUND(INDEX(持仓数据!$C$3:$AG$26,MATCH('计算过程-数据汇总'!B624,持仓数据!$B$3:$B$26,0),MATCH('计算过程-数据汇总'!A624,'维护-日期'!$B$2:$AF$2,0)),3)</f>
        <v>19.387</v>
      </c>
      <c r="E624" s="98">
        <f t="shared" si="291"/>
        <v>19.387</v>
      </c>
      <c r="F624" s="22">
        <f>持仓数据!AB94</f>
        <v>0.111</v>
      </c>
      <c r="G624" s="97">
        <v>372</v>
      </c>
      <c r="H624" s="97">
        <v>372</v>
      </c>
      <c r="I624" s="64">
        <v>0</v>
      </c>
      <c r="J624" s="64">
        <v>0</v>
      </c>
      <c r="K624" s="21">
        <f>IF(持仓数据!AB127="",0,持仓数据!AB127)</f>
        <v>372</v>
      </c>
      <c r="L624" s="21">
        <f t="shared" si="292"/>
        <v>0</v>
      </c>
      <c r="M624" s="28">
        <f t="shared" si="276"/>
        <v>7211.9639999999999</v>
      </c>
      <c r="N624" s="28">
        <f t="shared" si="277"/>
        <v>0</v>
      </c>
      <c r="O624" s="28">
        <f t="shared" si="278"/>
        <v>0</v>
      </c>
      <c r="P624" s="28">
        <f t="shared" si="279"/>
        <v>0</v>
      </c>
      <c r="Q624" s="28">
        <f t="shared" si="293"/>
        <v>0</v>
      </c>
      <c r="R624" s="28">
        <f t="shared" si="280"/>
        <v>7211.9639999999999</v>
      </c>
      <c r="S624" s="28">
        <f t="shared" si="294"/>
        <v>0</v>
      </c>
      <c r="T624" s="28">
        <f t="shared" si="295"/>
        <v>0</v>
      </c>
      <c r="U624" s="28">
        <f t="shared" si="298"/>
        <v>0</v>
      </c>
      <c r="V624" s="28">
        <f t="shared" si="296"/>
        <v>0</v>
      </c>
      <c r="W624" s="118"/>
      <c r="X624" s="143">
        <f t="shared" si="297"/>
        <v>23.152999999999999</v>
      </c>
      <c r="Y624" s="121">
        <f>交易记录!AC27</f>
        <v>0.111</v>
      </c>
      <c r="Z624" s="121">
        <f>交易记录!AC58</f>
        <v>372</v>
      </c>
      <c r="AA624" s="30">
        <f t="shared" si="281"/>
        <v>0</v>
      </c>
      <c r="AB624" s="124">
        <f>交易记录!AC91</f>
        <v>0</v>
      </c>
      <c r="AC624" s="124">
        <f>交易记录!AC122</f>
        <v>0</v>
      </c>
      <c r="AD624" s="30">
        <f t="shared" si="299"/>
        <v>0</v>
      </c>
      <c r="AE624" s="121">
        <f>交易记录!AC155</f>
        <v>0</v>
      </c>
      <c r="AF624" s="121">
        <f>交易记录!AC186</f>
        <v>0</v>
      </c>
      <c r="AG624" s="30">
        <f t="shared" si="300"/>
        <v>0</v>
      </c>
      <c r="AH624" s="124">
        <f>交易记录!AC219</f>
        <v>0</v>
      </c>
      <c r="AI624" s="124">
        <f>交易记录!AC250</f>
        <v>0</v>
      </c>
      <c r="AJ624" s="30">
        <f t="shared" si="301"/>
        <v>0</v>
      </c>
      <c r="AK624" s="121">
        <f>交易记录!AC283</f>
        <v>0</v>
      </c>
      <c r="AL624" s="121">
        <f>交易记录!AC314</f>
        <v>0</v>
      </c>
      <c r="AM624" s="30">
        <f t="shared" si="302"/>
        <v>0</v>
      </c>
      <c r="AN624" s="124">
        <f>交易记录!AC347</f>
        <v>0</v>
      </c>
      <c r="AO624" s="124">
        <f>交易记录!AC378</f>
        <v>0</v>
      </c>
      <c r="AP624" s="30">
        <f t="shared" si="303"/>
        <v>0</v>
      </c>
      <c r="AQ624" s="121">
        <f>交易记录!AC411</f>
        <v>0</v>
      </c>
      <c r="AR624" s="121">
        <f>交易记录!AC442</f>
        <v>0</v>
      </c>
      <c r="AS624" s="30">
        <f t="shared" si="304"/>
        <v>0</v>
      </c>
      <c r="AT624" s="124">
        <f>交易记录!AC475</f>
        <v>0</v>
      </c>
      <c r="AU624" s="124">
        <f>交易记录!AC506</f>
        <v>0</v>
      </c>
      <c r="AV624" s="30">
        <f t="shared" si="282"/>
        <v>0</v>
      </c>
      <c r="AW624" s="121">
        <f>交易记录!AC539</f>
        <v>0</v>
      </c>
      <c r="AX624" s="121">
        <f>交易记录!AC570</f>
        <v>0</v>
      </c>
      <c r="AY624" s="30">
        <f t="shared" si="283"/>
        <v>0</v>
      </c>
      <c r="AZ624" s="124">
        <f>交易记录!AC603</f>
        <v>0</v>
      </c>
      <c r="BA624" s="124">
        <f>交易记录!AC634</f>
        <v>0</v>
      </c>
      <c r="BB624" s="30">
        <f t="shared" si="284"/>
        <v>0</v>
      </c>
      <c r="BC624" s="121">
        <f>交易记录!AC667</f>
        <v>0</v>
      </c>
      <c r="BD624" s="121">
        <f>交易记录!AC698</f>
        <v>0</v>
      </c>
      <c r="BE624" s="30">
        <f t="shared" si="285"/>
        <v>0</v>
      </c>
      <c r="BF624" s="124">
        <f>交易记录!AC731</f>
        <v>0</v>
      </c>
      <c r="BG624" s="124">
        <f>交易记录!AC762</f>
        <v>0</v>
      </c>
      <c r="BH624" s="30">
        <f t="shared" si="286"/>
        <v>0</v>
      </c>
      <c r="BI624" s="121">
        <f>交易记录!AC795</f>
        <v>0</v>
      </c>
      <c r="BJ624" s="121">
        <f>交易记录!AC826</f>
        <v>0</v>
      </c>
      <c r="BK624" s="30">
        <f t="shared" si="287"/>
        <v>0</v>
      </c>
      <c r="BL624" s="124">
        <f>交易记录!AC859</f>
        <v>0</v>
      </c>
      <c r="BM624" s="124">
        <f>交易记录!AC890</f>
        <v>0</v>
      </c>
      <c r="BN624" s="30">
        <f t="shared" si="288"/>
        <v>0</v>
      </c>
      <c r="BO624" s="121">
        <f>交易记录!AC923</f>
        <v>0</v>
      </c>
      <c r="BP624" s="121">
        <f>交易记录!AC954</f>
        <v>0</v>
      </c>
      <c r="BQ624" s="30">
        <f t="shared" si="289"/>
        <v>0</v>
      </c>
    </row>
    <row r="625" spans="1:69" ht="15">
      <c r="A625" s="125">
        <f>'维护-日期'!A$28</f>
        <v>46291</v>
      </c>
      <c r="B625" s="7" t="s">
        <v>29</v>
      </c>
      <c r="C625" s="144">
        <f t="shared" si="290"/>
        <v>16.963000000000001</v>
      </c>
      <c r="D625" s="144">
        <f>ROUND(INDEX(持仓数据!$C$3:$AG$26,MATCH('计算过程-数据汇总'!B625,持仓数据!$B$3:$B$26,0),MATCH('计算过程-数据汇总'!A625,'维护-日期'!$B$2:$AF$2,0)),3)</f>
        <v>16.963000000000001</v>
      </c>
      <c r="E625" s="98">
        <f t="shared" si="291"/>
        <v>16.963000000000001</v>
      </c>
      <c r="F625" s="22">
        <f>持仓数据!AB95</f>
        <v>9.2999999999999999E-2</v>
      </c>
      <c r="G625" s="97">
        <v>372</v>
      </c>
      <c r="H625" s="97">
        <v>372</v>
      </c>
      <c r="I625" s="64">
        <v>0</v>
      </c>
      <c r="J625" s="64">
        <v>0</v>
      </c>
      <c r="K625" s="21">
        <f>IF(持仓数据!AB128="",0,持仓数据!AB128)</f>
        <v>371.99999999999994</v>
      </c>
      <c r="L625" s="21">
        <f t="shared" si="292"/>
        <v>0</v>
      </c>
      <c r="M625" s="28">
        <f t="shared" si="276"/>
        <v>6310.2360000000008</v>
      </c>
      <c r="N625" s="28">
        <f t="shared" si="277"/>
        <v>0</v>
      </c>
      <c r="O625" s="28">
        <f t="shared" si="278"/>
        <v>0</v>
      </c>
      <c r="P625" s="28">
        <f t="shared" si="279"/>
        <v>-5.2864379540551453E-15</v>
      </c>
      <c r="Q625" s="28">
        <f t="shared" si="293"/>
        <v>0</v>
      </c>
      <c r="R625" s="28">
        <f t="shared" si="280"/>
        <v>6310.235999999999</v>
      </c>
      <c r="S625" s="28">
        <f t="shared" si="294"/>
        <v>0</v>
      </c>
      <c r="T625" s="28">
        <f t="shared" si="295"/>
        <v>9.5894847618183127E-13</v>
      </c>
      <c r="U625" s="28">
        <f t="shared" si="298"/>
        <v>0</v>
      </c>
      <c r="V625" s="28">
        <f t="shared" si="296"/>
        <v>0</v>
      </c>
      <c r="W625" s="118"/>
      <c r="X625" s="143">
        <f t="shared" si="297"/>
        <v>20.263000000000002</v>
      </c>
      <c r="Y625" s="121">
        <f>交易记录!AC28</f>
        <v>9.2999999999999999E-2</v>
      </c>
      <c r="Z625" s="121">
        <f>交易记录!AC59</f>
        <v>372</v>
      </c>
      <c r="AA625" s="30">
        <f t="shared" si="281"/>
        <v>0</v>
      </c>
      <c r="AB625" s="124">
        <f>交易记录!AC92</f>
        <v>0</v>
      </c>
      <c r="AC625" s="124">
        <f>交易记录!AC123</f>
        <v>0</v>
      </c>
      <c r="AD625" s="30">
        <f t="shared" si="299"/>
        <v>0</v>
      </c>
      <c r="AE625" s="121">
        <f>交易记录!AC156</f>
        <v>0</v>
      </c>
      <c r="AF625" s="121">
        <f>交易记录!AC187</f>
        <v>0</v>
      </c>
      <c r="AG625" s="30">
        <f t="shared" si="300"/>
        <v>0</v>
      </c>
      <c r="AH625" s="124">
        <f>交易记录!AC220</f>
        <v>0</v>
      </c>
      <c r="AI625" s="124">
        <f>交易记录!AC251</f>
        <v>0</v>
      </c>
      <c r="AJ625" s="30">
        <f t="shared" si="301"/>
        <v>0</v>
      </c>
      <c r="AK625" s="121">
        <f>交易记录!AC284</f>
        <v>0</v>
      </c>
      <c r="AL625" s="121">
        <f>交易记录!AC315</f>
        <v>0</v>
      </c>
      <c r="AM625" s="30">
        <f t="shared" si="302"/>
        <v>0</v>
      </c>
      <c r="AN625" s="124">
        <f>交易记录!AC348</f>
        <v>0</v>
      </c>
      <c r="AO625" s="124">
        <f>交易记录!AC379</f>
        <v>0</v>
      </c>
      <c r="AP625" s="30">
        <f t="shared" si="303"/>
        <v>0</v>
      </c>
      <c r="AQ625" s="121">
        <f>交易记录!AC412</f>
        <v>0</v>
      </c>
      <c r="AR625" s="121">
        <f>交易记录!AC443</f>
        <v>0</v>
      </c>
      <c r="AS625" s="30">
        <f t="shared" si="304"/>
        <v>0</v>
      </c>
      <c r="AT625" s="124">
        <f>交易记录!AC476</f>
        <v>0</v>
      </c>
      <c r="AU625" s="124">
        <f>交易记录!AC507</f>
        <v>0</v>
      </c>
      <c r="AV625" s="30">
        <f t="shared" si="282"/>
        <v>0</v>
      </c>
      <c r="AW625" s="121">
        <f>交易记录!AC540</f>
        <v>0</v>
      </c>
      <c r="AX625" s="121">
        <f>交易记录!AC571</f>
        <v>0</v>
      </c>
      <c r="AY625" s="30">
        <f t="shared" si="283"/>
        <v>0</v>
      </c>
      <c r="AZ625" s="124">
        <f>交易记录!AC604</f>
        <v>0</v>
      </c>
      <c r="BA625" s="124">
        <f>交易记录!AC635</f>
        <v>0</v>
      </c>
      <c r="BB625" s="30">
        <f t="shared" si="284"/>
        <v>0</v>
      </c>
      <c r="BC625" s="121">
        <f>交易记录!AC668</f>
        <v>0</v>
      </c>
      <c r="BD625" s="121">
        <f>交易记录!AC699</f>
        <v>0</v>
      </c>
      <c r="BE625" s="30">
        <f t="shared" si="285"/>
        <v>0</v>
      </c>
      <c r="BF625" s="124">
        <f>交易记录!AC732</f>
        <v>0</v>
      </c>
      <c r="BG625" s="124">
        <f>交易记录!AC763</f>
        <v>0</v>
      </c>
      <c r="BH625" s="30">
        <f t="shared" si="286"/>
        <v>0</v>
      </c>
      <c r="BI625" s="121">
        <f>交易记录!AC796</f>
        <v>0</v>
      </c>
      <c r="BJ625" s="121">
        <f>交易记录!AC827</f>
        <v>0</v>
      </c>
      <c r="BK625" s="30">
        <f t="shared" si="287"/>
        <v>0</v>
      </c>
      <c r="BL625" s="124">
        <f>交易记录!AC860</f>
        <v>0</v>
      </c>
      <c r="BM625" s="124">
        <f>交易记录!AC891</f>
        <v>0</v>
      </c>
      <c r="BN625" s="30">
        <f t="shared" si="288"/>
        <v>0</v>
      </c>
      <c r="BO625" s="121">
        <f>交易记录!AC924</f>
        <v>0</v>
      </c>
      <c r="BP625" s="121">
        <f>交易记录!AC955</f>
        <v>0</v>
      </c>
      <c r="BQ625" s="30">
        <f t="shared" si="289"/>
        <v>0</v>
      </c>
    </row>
    <row r="626" spans="1:69" ht="15">
      <c r="A626" s="125">
        <f>'维护-日期'!A$29</f>
        <v>46292</v>
      </c>
      <c r="B626" s="7" t="s">
        <v>6</v>
      </c>
      <c r="C626" s="144">
        <f t="shared" si="290"/>
        <v>16.931000000000001</v>
      </c>
      <c r="D626" s="144">
        <f>ROUND(INDEX(持仓数据!$C$3:$AG$26,MATCH('计算过程-数据汇总'!B626,持仓数据!$B$3:$B$26,0),MATCH('计算过程-数据汇总'!A626,'维护-日期'!$B$2:$AF$2,0)),3)</f>
        <v>16.931000000000001</v>
      </c>
      <c r="E626" s="98">
        <f t="shared" si="291"/>
        <v>16.931000000000001</v>
      </c>
      <c r="F626" s="22">
        <f>持仓数据!AC72</f>
        <v>0.1</v>
      </c>
      <c r="G626" s="97">
        <v>372</v>
      </c>
      <c r="H626" s="97">
        <v>372</v>
      </c>
      <c r="I626" s="64">
        <v>0</v>
      </c>
      <c r="J626" s="64">
        <v>0</v>
      </c>
      <c r="K626" s="21">
        <f>IF(持仓数据!AC105="",0,持仓数据!AC105)</f>
        <v>372</v>
      </c>
      <c r="L626" s="21">
        <f t="shared" si="292"/>
        <v>0</v>
      </c>
      <c r="M626" s="28">
        <f t="shared" si="276"/>
        <v>6298.3320000000003</v>
      </c>
      <c r="N626" s="28">
        <f t="shared" si="277"/>
        <v>0</v>
      </c>
      <c r="O626" s="28">
        <f t="shared" si="278"/>
        <v>0</v>
      </c>
      <c r="P626" s="28">
        <f t="shared" si="279"/>
        <v>0</v>
      </c>
      <c r="Q626" s="28">
        <f t="shared" si="293"/>
        <v>0</v>
      </c>
      <c r="R626" s="28">
        <f t="shared" si="280"/>
        <v>6298.3320000000003</v>
      </c>
      <c r="S626" s="28">
        <f t="shared" si="294"/>
        <v>0</v>
      </c>
      <c r="T626" s="28">
        <f t="shared" si="295"/>
        <v>0</v>
      </c>
      <c r="U626" s="28">
        <f t="shared" si="298"/>
        <v>0</v>
      </c>
      <c r="V626" s="28">
        <f t="shared" si="296"/>
        <v>0</v>
      </c>
      <c r="W626" s="118"/>
      <c r="X626" s="143">
        <f t="shared" si="297"/>
        <v>20.216999999999999</v>
      </c>
      <c r="Y626" s="121">
        <f>交易记录!AD5</f>
        <v>0.1</v>
      </c>
      <c r="Z626" s="121">
        <f>交易记录!AD36</f>
        <v>372</v>
      </c>
      <c r="AA626" s="30">
        <f t="shared" si="281"/>
        <v>0</v>
      </c>
      <c r="AB626" s="124">
        <f>交易记录!AD69</f>
        <v>0</v>
      </c>
      <c r="AC626" s="124">
        <f>交易记录!AD100</f>
        <v>0</v>
      </c>
      <c r="AD626" s="30">
        <f t="shared" si="299"/>
        <v>0</v>
      </c>
      <c r="AE626" s="121">
        <f>交易记录!AD133</f>
        <v>0</v>
      </c>
      <c r="AF626" s="121">
        <f>交易记录!AD164</f>
        <v>0</v>
      </c>
      <c r="AG626" s="30">
        <f t="shared" si="300"/>
        <v>0</v>
      </c>
      <c r="AH626" s="124">
        <f>交易记录!AD197</f>
        <v>0</v>
      </c>
      <c r="AI626" s="124">
        <f>交易记录!AD228</f>
        <v>0</v>
      </c>
      <c r="AJ626" s="30">
        <f t="shared" si="301"/>
        <v>0</v>
      </c>
      <c r="AK626" s="121">
        <f>交易记录!AD261</f>
        <v>0</v>
      </c>
      <c r="AL626" s="121">
        <f>交易记录!AD292</f>
        <v>0</v>
      </c>
      <c r="AM626" s="30">
        <f t="shared" si="302"/>
        <v>0</v>
      </c>
      <c r="AN626" s="124">
        <f>交易记录!AD325</f>
        <v>0</v>
      </c>
      <c r="AO626" s="124">
        <f>交易记录!AD356</f>
        <v>0</v>
      </c>
      <c r="AP626" s="30">
        <f t="shared" si="303"/>
        <v>0</v>
      </c>
      <c r="AQ626" s="121">
        <f>交易记录!AD389</f>
        <v>0</v>
      </c>
      <c r="AR626" s="121">
        <f>交易记录!AD420</f>
        <v>0</v>
      </c>
      <c r="AS626" s="30">
        <f t="shared" si="304"/>
        <v>0</v>
      </c>
      <c r="AT626" s="124">
        <f>交易记录!AD453</f>
        <v>0</v>
      </c>
      <c r="AU626" s="124">
        <f>交易记录!AD484</f>
        <v>0</v>
      </c>
      <c r="AV626" s="30">
        <f t="shared" si="282"/>
        <v>0</v>
      </c>
      <c r="AW626" s="121">
        <f>交易记录!AD517</f>
        <v>0</v>
      </c>
      <c r="AX626" s="121">
        <f>交易记录!AD548</f>
        <v>0</v>
      </c>
      <c r="AY626" s="30">
        <f t="shared" si="283"/>
        <v>0</v>
      </c>
      <c r="AZ626" s="124">
        <f>交易记录!AD581</f>
        <v>0</v>
      </c>
      <c r="BA626" s="124">
        <f>交易记录!AD612</f>
        <v>0</v>
      </c>
      <c r="BB626" s="30">
        <f t="shared" si="284"/>
        <v>0</v>
      </c>
      <c r="BC626" s="121">
        <f>交易记录!AD645</f>
        <v>0</v>
      </c>
      <c r="BD626" s="121">
        <f>交易记录!AD676</f>
        <v>0</v>
      </c>
      <c r="BE626" s="30">
        <f t="shared" si="285"/>
        <v>0</v>
      </c>
      <c r="BF626" s="124">
        <f>交易记录!AD709</f>
        <v>0</v>
      </c>
      <c r="BG626" s="124">
        <f>交易记录!AD740</f>
        <v>0</v>
      </c>
      <c r="BH626" s="30">
        <f t="shared" si="286"/>
        <v>0</v>
      </c>
      <c r="BI626" s="121">
        <f>交易记录!AD773</f>
        <v>0</v>
      </c>
      <c r="BJ626" s="121">
        <f>交易记录!AD804</f>
        <v>0</v>
      </c>
      <c r="BK626" s="30">
        <f t="shared" si="287"/>
        <v>0</v>
      </c>
      <c r="BL626" s="124">
        <f>交易记录!AD837</f>
        <v>0</v>
      </c>
      <c r="BM626" s="124">
        <f>交易记录!AD868</f>
        <v>0</v>
      </c>
      <c r="BN626" s="30">
        <f t="shared" si="288"/>
        <v>0</v>
      </c>
      <c r="BO626" s="121">
        <f>交易记录!AD901</f>
        <v>0</v>
      </c>
      <c r="BP626" s="121">
        <f>交易记录!AD932</f>
        <v>0</v>
      </c>
      <c r="BQ626" s="30">
        <f t="shared" si="289"/>
        <v>0</v>
      </c>
    </row>
    <row r="627" spans="1:69" ht="15">
      <c r="A627" s="125">
        <f>'维护-日期'!A$29</f>
        <v>46292</v>
      </c>
      <c r="B627" s="7" t="s">
        <v>7</v>
      </c>
      <c r="C627" s="144">
        <f t="shared" si="290"/>
        <v>15.778</v>
      </c>
      <c r="D627" s="144">
        <f>ROUND(INDEX(持仓数据!$C$3:$AG$26,MATCH('计算过程-数据汇总'!B627,持仓数据!$B$3:$B$26,0),MATCH('计算过程-数据汇总'!A627,'维护-日期'!$B$2:$AF$2,0)),3)</f>
        <v>15.778</v>
      </c>
      <c r="E627" s="98">
        <f t="shared" si="291"/>
        <v>15.778</v>
      </c>
      <c r="F627" s="22">
        <f>持仓数据!AC73</f>
        <v>9.5000000000000001E-2</v>
      </c>
      <c r="G627" s="97">
        <v>372</v>
      </c>
      <c r="H627" s="97">
        <v>372</v>
      </c>
      <c r="I627" s="64">
        <v>0</v>
      </c>
      <c r="J627" s="64">
        <v>0</v>
      </c>
      <c r="K627" s="21">
        <f>IF(持仓数据!AC106="",0,持仓数据!AC106)</f>
        <v>372.00000000000006</v>
      </c>
      <c r="L627" s="21">
        <f t="shared" si="292"/>
        <v>0</v>
      </c>
      <c r="M627" s="28">
        <f t="shared" si="276"/>
        <v>5869.4160000000002</v>
      </c>
      <c r="N627" s="28">
        <f t="shared" si="277"/>
        <v>0</v>
      </c>
      <c r="O627" s="28">
        <f t="shared" si="278"/>
        <v>0</v>
      </c>
      <c r="P627" s="28">
        <f t="shared" si="279"/>
        <v>5.4001247917767615E-15</v>
      </c>
      <c r="Q627" s="28">
        <f t="shared" si="293"/>
        <v>0</v>
      </c>
      <c r="R627" s="28">
        <f t="shared" si="280"/>
        <v>5869.4160000000011</v>
      </c>
      <c r="S627" s="28">
        <f t="shared" si="294"/>
        <v>0</v>
      </c>
      <c r="T627" s="28">
        <f t="shared" si="295"/>
        <v>-8.9147533799405209E-13</v>
      </c>
      <c r="U627" s="28">
        <f t="shared" si="298"/>
        <v>0</v>
      </c>
      <c r="V627" s="28">
        <f t="shared" si="296"/>
        <v>0</v>
      </c>
      <c r="W627" s="118"/>
      <c r="X627" s="143">
        <f t="shared" si="297"/>
        <v>18.838999999999999</v>
      </c>
      <c r="Y627" s="121">
        <f>交易记录!AD6</f>
        <v>9.5000000000000001E-2</v>
      </c>
      <c r="Z627" s="121">
        <f>交易记录!AD37</f>
        <v>372</v>
      </c>
      <c r="AA627" s="30">
        <f t="shared" si="281"/>
        <v>0</v>
      </c>
      <c r="AB627" s="124">
        <f>交易记录!AD70</f>
        <v>0</v>
      </c>
      <c r="AC627" s="124">
        <f>交易记录!AD101</f>
        <v>0</v>
      </c>
      <c r="AD627" s="30">
        <f t="shared" si="299"/>
        <v>0</v>
      </c>
      <c r="AE627" s="121">
        <f>交易记录!AD134</f>
        <v>0</v>
      </c>
      <c r="AF627" s="121">
        <f>交易记录!AD165</f>
        <v>0</v>
      </c>
      <c r="AG627" s="30">
        <f t="shared" si="300"/>
        <v>0</v>
      </c>
      <c r="AH627" s="124">
        <f>交易记录!AD198</f>
        <v>0</v>
      </c>
      <c r="AI627" s="124">
        <f>交易记录!AD229</f>
        <v>0</v>
      </c>
      <c r="AJ627" s="30">
        <f t="shared" si="301"/>
        <v>0</v>
      </c>
      <c r="AK627" s="121">
        <f>交易记录!AD262</f>
        <v>0</v>
      </c>
      <c r="AL627" s="121">
        <f>交易记录!AD293</f>
        <v>0</v>
      </c>
      <c r="AM627" s="30">
        <f t="shared" si="302"/>
        <v>0</v>
      </c>
      <c r="AN627" s="124">
        <f>交易记录!AD326</f>
        <v>0</v>
      </c>
      <c r="AO627" s="124">
        <f>交易记录!AD357</f>
        <v>0</v>
      </c>
      <c r="AP627" s="30">
        <f t="shared" si="303"/>
        <v>0</v>
      </c>
      <c r="AQ627" s="121">
        <f>交易记录!AD390</f>
        <v>0</v>
      </c>
      <c r="AR627" s="121">
        <f>交易记录!AD421</f>
        <v>0</v>
      </c>
      <c r="AS627" s="30">
        <f t="shared" si="304"/>
        <v>0</v>
      </c>
      <c r="AT627" s="124">
        <f>交易记录!AD454</f>
        <v>0</v>
      </c>
      <c r="AU627" s="124">
        <f>交易记录!AD485</f>
        <v>0</v>
      </c>
      <c r="AV627" s="30">
        <f t="shared" si="282"/>
        <v>0</v>
      </c>
      <c r="AW627" s="121">
        <f>交易记录!AD518</f>
        <v>0</v>
      </c>
      <c r="AX627" s="121">
        <f>交易记录!AD549</f>
        <v>0</v>
      </c>
      <c r="AY627" s="30">
        <f t="shared" si="283"/>
        <v>0</v>
      </c>
      <c r="AZ627" s="124">
        <f>交易记录!AD582</f>
        <v>0</v>
      </c>
      <c r="BA627" s="124">
        <f>交易记录!AD613</f>
        <v>0</v>
      </c>
      <c r="BB627" s="30">
        <f t="shared" si="284"/>
        <v>0</v>
      </c>
      <c r="BC627" s="121">
        <f>交易记录!AD646</f>
        <v>0</v>
      </c>
      <c r="BD627" s="121">
        <f>交易记录!AD677</f>
        <v>0</v>
      </c>
      <c r="BE627" s="30">
        <f t="shared" si="285"/>
        <v>0</v>
      </c>
      <c r="BF627" s="124">
        <f>交易记录!AD710</f>
        <v>0</v>
      </c>
      <c r="BG627" s="124">
        <f>交易记录!AD741</f>
        <v>0</v>
      </c>
      <c r="BH627" s="30">
        <f t="shared" si="286"/>
        <v>0</v>
      </c>
      <c r="BI627" s="121">
        <f>交易记录!AD774</f>
        <v>0</v>
      </c>
      <c r="BJ627" s="121">
        <f>交易记录!AD805</f>
        <v>0</v>
      </c>
      <c r="BK627" s="30">
        <f t="shared" si="287"/>
        <v>0</v>
      </c>
      <c r="BL627" s="124">
        <f>交易记录!AD838</f>
        <v>0</v>
      </c>
      <c r="BM627" s="124">
        <f>交易记录!AD869</f>
        <v>0</v>
      </c>
      <c r="BN627" s="30">
        <f t="shared" si="288"/>
        <v>0</v>
      </c>
      <c r="BO627" s="121">
        <f>交易记录!AD902</f>
        <v>0</v>
      </c>
      <c r="BP627" s="121">
        <f>交易记录!AD933</f>
        <v>0</v>
      </c>
      <c r="BQ627" s="30">
        <f t="shared" si="289"/>
        <v>0</v>
      </c>
    </row>
    <row r="628" spans="1:69" ht="15">
      <c r="A628" s="125">
        <f>'维护-日期'!A$29</f>
        <v>46292</v>
      </c>
      <c r="B628" s="7" t="s">
        <v>8</v>
      </c>
      <c r="C628" s="144">
        <f t="shared" si="290"/>
        <v>14.811999999999999</v>
      </c>
      <c r="D628" s="144">
        <f>ROUND(INDEX(持仓数据!$C$3:$AG$26,MATCH('计算过程-数据汇总'!B628,持仓数据!$B$3:$B$26,0),MATCH('计算过程-数据汇总'!A628,'维护-日期'!$B$2:$AF$2,0)),3)</f>
        <v>14.811999999999999</v>
      </c>
      <c r="E628" s="98">
        <f t="shared" si="291"/>
        <v>14.811999999999999</v>
      </c>
      <c r="F628" s="22">
        <f>持仓数据!AC74</f>
        <v>8.5999999999999993E-2</v>
      </c>
      <c r="G628" s="97">
        <v>372</v>
      </c>
      <c r="H628" s="97">
        <v>372</v>
      </c>
      <c r="I628" s="64">
        <v>0</v>
      </c>
      <c r="J628" s="64">
        <v>0</v>
      </c>
      <c r="K628" s="21">
        <f>IF(持仓数据!AC107="",0,持仓数据!AC107)</f>
        <v>372</v>
      </c>
      <c r="L628" s="21">
        <f t="shared" si="292"/>
        <v>0</v>
      </c>
      <c r="M628" s="28">
        <f t="shared" si="276"/>
        <v>5510.0639999999994</v>
      </c>
      <c r="N628" s="28">
        <f t="shared" si="277"/>
        <v>0</v>
      </c>
      <c r="O628" s="28">
        <f t="shared" si="278"/>
        <v>0</v>
      </c>
      <c r="P628" s="28">
        <f t="shared" si="279"/>
        <v>0</v>
      </c>
      <c r="Q628" s="28">
        <f t="shared" si="293"/>
        <v>0</v>
      </c>
      <c r="R628" s="28">
        <f t="shared" si="280"/>
        <v>5510.0639999999994</v>
      </c>
      <c r="S628" s="28">
        <f t="shared" si="294"/>
        <v>0</v>
      </c>
      <c r="T628" s="28">
        <f t="shared" si="295"/>
        <v>0</v>
      </c>
      <c r="U628" s="28">
        <f t="shared" si="298"/>
        <v>0</v>
      </c>
      <c r="V628" s="28">
        <f t="shared" si="296"/>
        <v>0</v>
      </c>
      <c r="W628" s="118"/>
      <c r="X628" s="143">
        <f t="shared" si="297"/>
        <v>17.687999999999999</v>
      </c>
      <c r="Y628" s="121">
        <f>交易记录!AD7</f>
        <v>8.5999999999999993E-2</v>
      </c>
      <c r="Z628" s="121">
        <f>交易记录!AD38</f>
        <v>372</v>
      </c>
      <c r="AA628" s="30">
        <f t="shared" si="281"/>
        <v>0</v>
      </c>
      <c r="AB628" s="124">
        <f>交易记录!AD71</f>
        <v>0</v>
      </c>
      <c r="AC628" s="124">
        <f>交易记录!AD102</f>
        <v>0</v>
      </c>
      <c r="AD628" s="30">
        <f t="shared" si="299"/>
        <v>0</v>
      </c>
      <c r="AE628" s="121">
        <f>交易记录!AD135</f>
        <v>0</v>
      </c>
      <c r="AF628" s="121">
        <f>交易记录!AD166</f>
        <v>0</v>
      </c>
      <c r="AG628" s="30">
        <f t="shared" si="300"/>
        <v>0</v>
      </c>
      <c r="AH628" s="124">
        <f>交易记录!AD199</f>
        <v>0</v>
      </c>
      <c r="AI628" s="124">
        <f>交易记录!AD230</f>
        <v>0</v>
      </c>
      <c r="AJ628" s="30">
        <f t="shared" si="301"/>
        <v>0</v>
      </c>
      <c r="AK628" s="121">
        <f>交易记录!AD263</f>
        <v>0</v>
      </c>
      <c r="AL628" s="121">
        <f>交易记录!AD294</f>
        <v>0</v>
      </c>
      <c r="AM628" s="30">
        <f t="shared" si="302"/>
        <v>0</v>
      </c>
      <c r="AN628" s="124">
        <f>交易记录!AD327</f>
        <v>0</v>
      </c>
      <c r="AO628" s="124">
        <f>交易记录!AD358</f>
        <v>0</v>
      </c>
      <c r="AP628" s="30">
        <f t="shared" si="303"/>
        <v>0</v>
      </c>
      <c r="AQ628" s="121">
        <f>交易记录!AD391</f>
        <v>0</v>
      </c>
      <c r="AR628" s="121">
        <f>交易记录!AD422</f>
        <v>0</v>
      </c>
      <c r="AS628" s="30">
        <f t="shared" si="304"/>
        <v>0</v>
      </c>
      <c r="AT628" s="124">
        <f>交易记录!AD455</f>
        <v>0</v>
      </c>
      <c r="AU628" s="124">
        <f>交易记录!AD486</f>
        <v>0</v>
      </c>
      <c r="AV628" s="30">
        <f t="shared" si="282"/>
        <v>0</v>
      </c>
      <c r="AW628" s="121">
        <f>交易记录!AD519</f>
        <v>0</v>
      </c>
      <c r="AX628" s="121">
        <f>交易记录!AD550</f>
        <v>0</v>
      </c>
      <c r="AY628" s="30">
        <f t="shared" si="283"/>
        <v>0</v>
      </c>
      <c r="AZ628" s="124">
        <f>交易记录!AD583</f>
        <v>0</v>
      </c>
      <c r="BA628" s="124">
        <f>交易记录!AD614</f>
        <v>0</v>
      </c>
      <c r="BB628" s="30">
        <f t="shared" si="284"/>
        <v>0</v>
      </c>
      <c r="BC628" s="121">
        <f>交易记录!AD647</f>
        <v>0</v>
      </c>
      <c r="BD628" s="121">
        <f>交易记录!AD678</f>
        <v>0</v>
      </c>
      <c r="BE628" s="30">
        <f t="shared" si="285"/>
        <v>0</v>
      </c>
      <c r="BF628" s="124">
        <f>交易记录!AD711</f>
        <v>0</v>
      </c>
      <c r="BG628" s="124">
        <f>交易记录!AD742</f>
        <v>0</v>
      </c>
      <c r="BH628" s="30">
        <f t="shared" si="286"/>
        <v>0</v>
      </c>
      <c r="BI628" s="121">
        <f>交易记录!AD775</f>
        <v>0</v>
      </c>
      <c r="BJ628" s="121">
        <f>交易记录!AD806</f>
        <v>0</v>
      </c>
      <c r="BK628" s="30">
        <f t="shared" si="287"/>
        <v>0</v>
      </c>
      <c r="BL628" s="124">
        <f>交易记录!AD839</f>
        <v>0</v>
      </c>
      <c r="BM628" s="124">
        <f>交易记录!AD870</f>
        <v>0</v>
      </c>
      <c r="BN628" s="30">
        <f t="shared" si="288"/>
        <v>0</v>
      </c>
      <c r="BO628" s="121">
        <f>交易记录!AD903</f>
        <v>0</v>
      </c>
      <c r="BP628" s="121">
        <f>交易记录!AD934</f>
        <v>0</v>
      </c>
      <c r="BQ628" s="30">
        <f t="shared" si="289"/>
        <v>0</v>
      </c>
    </row>
    <row r="629" spans="1:69" ht="15">
      <c r="A629" s="125">
        <f>'维护-日期'!A$29</f>
        <v>46292</v>
      </c>
      <c r="B629" s="7" t="s">
        <v>9</v>
      </c>
      <c r="C629" s="144">
        <f t="shared" si="290"/>
        <v>13.836</v>
      </c>
      <c r="D629" s="144">
        <f>ROUND(INDEX(持仓数据!$C$3:$AG$26,MATCH('计算过程-数据汇总'!B629,持仓数据!$B$3:$B$26,0),MATCH('计算过程-数据汇总'!A629,'维护-日期'!$B$2:$AF$2,0)),3)</f>
        <v>13.836</v>
      </c>
      <c r="E629" s="98">
        <f t="shared" si="291"/>
        <v>13.836</v>
      </c>
      <c r="F629" s="22">
        <f>持仓数据!AC75</f>
        <v>7.7000000000000013E-2</v>
      </c>
      <c r="G629" s="97">
        <v>372</v>
      </c>
      <c r="H629" s="97">
        <v>372</v>
      </c>
      <c r="I629" s="64">
        <v>0</v>
      </c>
      <c r="J629" s="64">
        <v>0</v>
      </c>
      <c r="K629" s="21">
        <f>IF(持仓数据!AC108="",0,持仓数据!AC108)</f>
        <v>372</v>
      </c>
      <c r="L629" s="21">
        <f t="shared" si="292"/>
        <v>0</v>
      </c>
      <c r="M629" s="28">
        <f t="shared" si="276"/>
        <v>5146.9920000000002</v>
      </c>
      <c r="N629" s="28">
        <f t="shared" si="277"/>
        <v>0</v>
      </c>
      <c r="O629" s="28">
        <f t="shared" si="278"/>
        <v>0</v>
      </c>
      <c r="P629" s="28">
        <f t="shared" si="279"/>
        <v>0</v>
      </c>
      <c r="Q629" s="28">
        <f t="shared" si="293"/>
        <v>0</v>
      </c>
      <c r="R629" s="28">
        <f t="shared" si="280"/>
        <v>5146.9920000000002</v>
      </c>
      <c r="S629" s="28">
        <f t="shared" si="294"/>
        <v>0</v>
      </c>
      <c r="T629" s="28">
        <f t="shared" si="295"/>
        <v>0</v>
      </c>
      <c r="U629" s="28">
        <f t="shared" si="298"/>
        <v>0</v>
      </c>
      <c r="V629" s="28">
        <f t="shared" si="296"/>
        <v>0</v>
      </c>
      <c r="W629" s="118"/>
      <c r="X629" s="143">
        <f t="shared" si="297"/>
        <v>16.526</v>
      </c>
      <c r="Y629" s="121">
        <f>交易记录!AD8</f>
        <v>7.7000000000000013E-2</v>
      </c>
      <c r="Z629" s="121">
        <f>交易记录!AD39</f>
        <v>372</v>
      </c>
      <c r="AA629" s="30">
        <f t="shared" si="281"/>
        <v>0</v>
      </c>
      <c r="AB629" s="124">
        <f>交易记录!AD72</f>
        <v>0</v>
      </c>
      <c r="AC629" s="124">
        <f>交易记录!AD103</f>
        <v>0</v>
      </c>
      <c r="AD629" s="30">
        <f t="shared" si="299"/>
        <v>0</v>
      </c>
      <c r="AE629" s="121">
        <f>交易记录!AD136</f>
        <v>0</v>
      </c>
      <c r="AF629" s="121">
        <f>交易记录!AD167</f>
        <v>0</v>
      </c>
      <c r="AG629" s="30">
        <f t="shared" si="300"/>
        <v>0</v>
      </c>
      <c r="AH629" s="124">
        <f>交易记录!AD200</f>
        <v>0</v>
      </c>
      <c r="AI629" s="124">
        <f>交易记录!AD231</f>
        <v>0</v>
      </c>
      <c r="AJ629" s="30">
        <f t="shared" si="301"/>
        <v>0</v>
      </c>
      <c r="AK629" s="121">
        <f>交易记录!AD264</f>
        <v>0</v>
      </c>
      <c r="AL629" s="121">
        <f>交易记录!AD295</f>
        <v>0</v>
      </c>
      <c r="AM629" s="30">
        <f t="shared" si="302"/>
        <v>0</v>
      </c>
      <c r="AN629" s="124">
        <f>交易记录!AD328</f>
        <v>0</v>
      </c>
      <c r="AO629" s="124">
        <f>交易记录!AD359</f>
        <v>0</v>
      </c>
      <c r="AP629" s="30">
        <f t="shared" si="303"/>
        <v>0</v>
      </c>
      <c r="AQ629" s="121">
        <f>交易记录!AD392</f>
        <v>0</v>
      </c>
      <c r="AR629" s="121">
        <f>交易记录!AD423</f>
        <v>0</v>
      </c>
      <c r="AS629" s="30">
        <f t="shared" si="304"/>
        <v>0</v>
      </c>
      <c r="AT629" s="124">
        <f>交易记录!AD456</f>
        <v>0</v>
      </c>
      <c r="AU629" s="124">
        <f>交易记录!AD487</f>
        <v>0</v>
      </c>
      <c r="AV629" s="30">
        <f t="shared" si="282"/>
        <v>0</v>
      </c>
      <c r="AW629" s="121">
        <f>交易记录!AD520</f>
        <v>0</v>
      </c>
      <c r="AX629" s="121">
        <f>交易记录!AD551</f>
        <v>0</v>
      </c>
      <c r="AY629" s="30">
        <f t="shared" si="283"/>
        <v>0</v>
      </c>
      <c r="AZ629" s="124">
        <f>交易记录!AD584</f>
        <v>0</v>
      </c>
      <c r="BA629" s="124">
        <f>交易记录!AD615</f>
        <v>0</v>
      </c>
      <c r="BB629" s="30">
        <f t="shared" si="284"/>
        <v>0</v>
      </c>
      <c r="BC629" s="121">
        <f>交易记录!AD648</f>
        <v>0</v>
      </c>
      <c r="BD629" s="121">
        <f>交易记录!AD679</f>
        <v>0</v>
      </c>
      <c r="BE629" s="30">
        <f t="shared" si="285"/>
        <v>0</v>
      </c>
      <c r="BF629" s="124">
        <f>交易记录!AD712</f>
        <v>0</v>
      </c>
      <c r="BG629" s="124">
        <f>交易记录!AD743</f>
        <v>0</v>
      </c>
      <c r="BH629" s="30">
        <f t="shared" si="286"/>
        <v>0</v>
      </c>
      <c r="BI629" s="121">
        <f>交易记录!AD776</f>
        <v>0</v>
      </c>
      <c r="BJ629" s="121">
        <f>交易记录!AD807</f>
        <v>0</v>
      </c>
      <c r="BK629" s="30">
        <f t="shared" si="287"/>
        <v>0</v>
      </c>
      <c r="BL629" s="124">
        <f>交易记录!AD840</f>
        <v>0</v>
      </c>
      <c r="BM629" s="124">
        <f>交易记录!AD871</f>
        <v>0</v>
      </c>
      <c r="BN629" s="30">
        <f t="shared" si="288"/>
        <v>0</v>
      </c>
      <c r="BO629" s="121">
        <f>交易记录!AD904</f>
        <v>0</v>
      </c>
      <c r="BP629" s="121">
        <f>交易记录!AD935</f>
        <v>0</v>
      </c>
      <c r="BQ629" s="30">
        <f t="shared" si="289"/>
        <v>0</v>
      </c>
    </row>
    <row r="630" spans="1:69" ht="15">
      <c r="A630" s="125">
        <f>'维护-日期'!A$29</f>
        <v>46292</v>
      </c>
      <c r="B630" s="7" t="s">
        <v>10</v>
      </c>
      <c r="C630" s="144">
        <f t="shared" si="290"/>
        <v>13.28</v>
      </c>
      <c r="D630" s="144">
        <f>ROUND(INDEX(持仓数据!$C$3:$AG$26,MATCH('计算过程-数据汇总'!B630,持仓数据!$B$3:$B$26,0),MATCH('计算过程-数据汇总'!A630,'维护-日期'!$B$2:$AF$2,0)),3)</f>
        <v>13.28</v>
      </c>
      <c r="E630" s="98">
        <f t="shared" si="291"/>
        <v>13.28</v>
      </c>
      <c r="F630" s="22">
        <f>持仓数据!AC76</f>
        <v>7.5000000000000011E-2</v>
      </c>
      <c r="G630" s="97">
        <v>372</v>
      </c>
      <c r="H630" s="97">
        <v>372</v>
      </c>
      <c r="I630" s="64">
        <v>0</v>
      </c>
      <c r="J630" s="64">
        <v>0</v>
      </c>
      <c r="K630" s="21">
        <f>IF(持仓数据!AC109="",0,持仓数据!AC109)</f>
        <v>372</v>
      </c>
      <c r="L630" s="21">
        <f t="shared" si="292"/>
        <v>0</v>
      </c>
      <c r="M630" s="28">
        <f t="shared" si="276"/>
        <v>4940.16</v>
      </c>
      <c r="N630" s="28">
        <f t="shared" si="277"/>
        <v>0</v>
      </c>
      <c r="O630" s="28">
        <f t="shared" si="278"/>
        <v>0</v>
      </c>
      <c r="P630" s="28">
        <f t="shared" si="279"/>
        <v>0</v>
      </c>
      <c r="Q630" s="28">
        <f t="shared" si="293"/>
        <v>0</v>
      </c>
      <c r="R630" s="28">
        <f t="shared" si="280"/>
        <v>4940.16</v>
      </c>
      <c r="S630" s="28">
        <f t="shared" si="294"/>
        <v>0</v>
      </c>
      <c r="T630" s="28">
        <f t="shared" si="295"/>
        <v>0</v>
      </c>
      <c r="U630" s="28">
        <f t="shared" si="298"/>
        <v>0</v>
      </c>
      <c r="V630" s="28">
        <f t="shared" si="296"/>
        <v>0</v>
      </c>
      <c r="W630" s="118"/>
      <c r="X630" s="143">
        <f t="shared" si="297"/>
        <v>15.861000000000001</v>
      </c>
      <c r="Y630" s="121">
        <f>交易记录!AD9</f>
        <v>7.5000000000000011E-2</v>
      </c>
      <c r="Z630" s="121">
        <f>交易记录!AD40</f>
        <v>372</v>
      </c>
      <c r="AA630" s="30">
        <f t="shared" si="281"/>
        <v>0</v>
      </c>
      <c r="AB630" s="124">
        <f>交易记录!AD73</f>
        <v>0</v>
      </c>
      <c r="AC630" s="124">
        <f>交易记录!AD104</f>
        <v>0</v>
      </c>
      <c r="AD630" s="30">
        <f t="shared" si="299"/>
        <v>0</v>
      </c>
      <c r="AE630" s="121">
        <f>交易记录!AD137</f>
        <v>0</v>
      </c>
      <c r="AF630" s="121">
        <f>交易记录!AD168</f>
        <v>0</v>
      </c>
      <c r="AG630" s="30">
        <f t="shared" si="300"/>
        <v>0</v>
      </c>
      <c r="AH630" s="124">
        <f>交易记录!AD201</f>
        <v>0</v>
      </c>
      <c r="AI630" s="124">
        <f>交易记录!AD232</f>
        <v>0</v>
      </c>
      <c r="AJ630" s="30">
        <f t="shared" si="301"/>
        <v>0</v>
      </c>
      <c r="AK630" s="121">
        <f>交易记录!AD265</f>
        <v>0</v>
      </c>
      <c r="AL630" s="121">
        <f>交易记录!AD296</f>
        <v>0</v>
      </c>
      <c r="AM630" s="30">
        <f t="shared" si="302"/>
        <v>0</v>
      </c>
      <c r="AN630" s="124">
        <f>交易记录!AD329</f>
        <v>0</v>
      </c>
      <c r="AO630" s="124">
        <f>交易记录!AD360</f>
        <v>0</v>
      </c>
      <c r="AP630" s="30">
        <f t="shared" si="303"/>
        <v>0</v>
      </c>
      <c r="AQ630" s="121">
        <f>交易记录!AD393</f>
        <v>0</v>
      </c>
      <c r="AR630" s="121">
        <f>交易记录!AD424</f>
        <v>0</v>
      </c>
      <c r="AS630" s="30">
        <f t="shared" si="304"/>
        <v>0</v>
      </c>
      <c r="AT630" s="124">
        <f>交易记录!AD457</f>
        <v>0</v>
      </c>
      <c r="AU630" s="124">
        <f>交易记录!AD488</f>
        <v>0</v>
      </c>
      <c r="AV630" s="30">
        <f t="shared" si="282"/>
        <v>0</v>
      </c>
      <c r="AW630" s="121">
        <f>交易记录!AD521</f>
        <v>0</v>
      </c>
      <c r="AX630" s="121">
        <f>交易记录!AD552</f>
        <v>0</v>
      </c>
      <c r="AY630" s="30">
        <f t="shared" si="283"/>
        <v>0</v>
      </c>
      <c r="AZ630" s="124">
        <f>交易记录!AD585</f>
        <v>0</v>
      </c>
      <c r="BA630" s="124">
        <f>交易记录!AD616</f>
        <v>0</v>
      </c>
      <c r="BB630" s="30">
        <f t="shared" si="284"/>
        <v>0</v>
      </c>
      <c r="BC630" s="121">
        <f>交易记录!AD649</f>
        <v>0</v>
      </c>
      <c r="BD630" s="121">
        <f>交易记录!AD680</f>
        <v>0</v>
      </c>
      <c r="BE630" s="30">
        <f t="shared" si="285"/>
        <v>0</v>
      </c>
      <c r="BF630" s="124">
        <f>交易记录!AD713</f>
        <v>0</v>
      </c>
      <c r="BG630" s="124">
        <f>交易记录!AD744</f>
        <v>0</v>
      </c>
      <c r="BH630" s="30">
        <f t="shared" si="286"/>
        <v>0</v>
      </c>
      <c r="BI630" s="121">
        <f>交易记录!AD777</f>
        <v>0</v>
      </c>
      <c r="BJ630" s="121">
        <f>交易记录!AD808</f>
        <v>0</v>
      </c>
      <c r="BK630" s="30">
        <f t="shared" si="287"/>
        <v>0</v>
      </c>
      <c r="BL630" s="124">
        <f>交易记录!AD841</f>
        <v>0</v>
      </c>
      <c r="BM630" s="124">
        <f>交易记录!AD872</f>
        <v>0</v>
      </c>
      <c r="BN630" s="30">
        <f t="shared" si="288"/>
        <v>0</v>
      </c>
      <c r="BO630" s="121">
        <f>交易记录!AD905</f>
        <v>0</v>
      </c>
      <c r="BP630" s="121">
        <f>交易记录!AD936</f>
        <v>0</v>
      </c>
      <c r="BQ630" s="30">
        <f t="shared" si="289"/>
        <v>0</v>
      </c>
    </row>
    <row r="631" spans="1:69" ht="15">
      <c r="A631" s="125">
        <f>'维护-日期'!A$29</f>
        <v>46292</v>
      </c>
      <c r="B631" s="7" t="s">
        <v>11</v>
      </c>
      <c r="C631" s="144">
        <f t="shared" si="290"/>
        <v>12.787000000000001</v>
      </c>
      <c r="D631" s="144">
        <f>ROUND(INDEX(持仓数据!$C$3:$AG$26,MATCH('计算过程-数据汇总'!B631,持仓数据!$B$3:$B$26,0),MATCH('计算过程-数据汇总'!A631,'维护-日期'!$B$2:$AF$2,0)),3)</f>
        <v>12.787000000000001</v>
      </c>
      <c r="E631" s="98">
        <f t="shared" si="291"/>
        <v>12.787000000000001</v>
      </c>
      <c r="F631" s="22">
        <f>持仓数据!AC77</f>
        <v>7.5000000000000011E-2</v>
      </c>
      <c r="G631" s="97">
        <v>372</v>
      </c>
      <c r="H631" s="97">
        <v>372</v>
      </c>
      <c r="I631" s="64">
        <v>0</v>
      </c>
      <c r="J631" s="64">
        <v>0</v>
      </c>
      <c r="K631" s="21">
        <f>IF(持仓数据!AC110="",0,持仓数据!AC110)</f>
        <v>372</v>
      </c>
      <c r="L631" s="21">
        <f t="shared" si="292"/>
        <v>0</v>
      </c>
      <c r="M631" s="28">
        <f t="shared" si="276"/>
        <v>4756.7640000000001</v>
      </c>
      <c r="N631" s="28">
        <f t="shared" si="277"/>
        <v>0</v>
      </c>
      <c r="O631" s="28">
        <f t="shared" si="278"/>
        <v>0</v>
      </c>
      <c r="P631" s="28">
        <f t="shared" si="279"/>
        <v>0</v>
      </c>
      <c r="Q631" s="28">
        <f t="shared" si="293"/>
        <v>0</v>
      </c>
      <c r="R631" s="28">
        <f t="shared" si="280"/>
        <v>4756.7640000000001</v>
      </c>
      <c r="S631" s="28">
        <f t="shared" si="294"/>
        <v>0</v>
      </c>
      <c r="T631" s="28">
        <f t="shared" si="295"/>
        <v>0</v>
      </c>
      <c r="U631" s="28">
        <f t="shared" si="298"/>
        <v>0</v>
      </c>
      <c r="V631" s="28">
        <f t="shared" si="296"/>
        <v>0</v>
      </c>
      <c r="W631" s="118"/>
      <c r="X631" s="143">
        <f t="shared" si="297"/>
        <v>15.269</v>
      </c>
      <c r="Y631" s="121">
        <f>交易记录!AD10</f>
        <v>7.5000000000000011E-2</v>
      </c>
      <c r="Z631" s="121">
        <f>交易记录!AD41</f>
        <v>372</v>
      </c>
      <c r="AA631" s="30">
        <f t="shared" si="281"/>
        <v>0</v>
      </c>
      <c r="AB631" s="124">
        <f>交易记录!AD74</f>
        <v>0</v>
      </c>
      <c r="AC631" s="124">
        <f>交易记录!AD105</f>
        <v>0</v>
      </c>
      <c r="AD631" s="30">
        <f t="shared" si="299"/>
        <v>0</v>
      </c>
      <c r="AE631" s="121">
        <f>交易记录!AD138</f>
        <v>0</v>
      </c>
      <c r="AF631" s="121">
        <f>交易记录!AD169</f>
        <v>0</v>
      </c>
      <c r="AG631" s="30">
        <f t="shared" si="300"/>
        <v>0</v>
      </c>
      <c r="AH631" s="124">
        <f>交易记录!AD202</f>
        <v>0</v>
      </c>
      <c r="AI631" s="124">
        <f>交易记录!AD233</f>
        <v>0</v>
      </c>
      <c r="AJ631" s="30">
        <f t="shared" si="301"/>
        <v>0</v>
      </c>
      <c r="AK631" s="121">
        <f>交易记录!AD266</f>
        <v>0</v>
      </c>
      <c r="AL631" s="121">
        <f>交易记录!AD297</f>
        <v>0</v>
      </c>
      <c r="AM631" s="30">
        <f t="shared" si="302"/>
        <v>0</v>
      </c>
      <c r="AN631" s="124">
        <f>交易记录!AD330</f>
        <v>0</v>
      </c>
      <c r="AO631" s="124">
        <f>交易记录!AD361</f>
        <v>0</v>
      </c>
      <c r="AP631" s="30">
        <f t="shared" si="303"/>
        <v>0</v>
      </c>
      <c r="AQ631" s="121">
        <f>交易记录!AD394</f>
        <v>0</v>
      </c>
      <c r="AR631" s="121">
        <f>交易记录!AD425</f>
        <v>0</v>
      </c>
      <c r="AS631" s="30">
        <f t="shared" si="304"/>
        <v>0</v>
      </c>
      <c r="AT631" s="124">
        <f>交易记录!AD458</f>
        <v>0</v>
      </c>
      <c r="AU631" s="124">
        <f>交易记录!AD489</f>
        <v>0</v>
      </c>
      <c r="AV631" s="30">
        <f t="shared" si="282"/>
        <v>0</v>
      </c>
      <c r="AW631" s="121">
        <f>交易记录!AD522</f>
        <v>0</v>
      </c>
      <c r="AX631" s="121">
        <f>交易记录!AD553</f>
        <v>0</v>
      </c>
      <c r="AY631" s="30">
        <f t="shared" si="283"/>
        <v>0</v>
      </c>
      <c r="AZ631" s="124">
        <f>交易记录!AD586</f>
        <v>0</v>
      </c>
      <c r="BA631" s="124">
        <f>交易记录!AD617</f>
        <v>0</v>
      </c>
      <c r="BB631" s="30">
        <f t="shared" si="284"/>
        <v>0</v>
      </c>
      <c r="BC631" s="121">
        <f>交易记录!AD650</f>
        <v>0</v>
      </c>
      <c r="BD631" s="121">
        <f>交易记录!AD681</f>
        <v>0</v>
      </c>
      <c r="BE631" s="30">
        <f t="shared" si="285"/>
        <v>0</v>
      </c>
      <c r="BF631" s="124">
        <f>交易记录!AD714</f>
        <v>0</v>
      </c>
      <c r="BG631" s="124">
        <f>交易记录!AD745</f>
        <v>0</v>
      </c>
      <c r="BH631" s="30">
        <f t="shared" si="286"/>
        <v>0</v>
      </c>
      <c r="BI631" s="121">
        <f>交易记录!AD778</f>
        <v>0</v>
      </c>
      <c r="BJ631" s="121">
        <f>交易记录!AD809</f>
        <v>0</v>
      </c>
      <c r="BK631" s="30">
        <f t="shared" si="287"/>
        <v>0</v>
      </c>
      <c r="BL631" s="124">
        <f>交易记录!AD842</f>
        <v>0</v>
      </c>
      <c r="BM631" s="124">
        <f>交易记录!AD873</f>
        <v>0</v>
      </c>
      <c r="BN631" s="30">
        <f t="shared" si="288"/>
        <v>0</v>
      </c>
      <c r="BO631" s="121">
        <f>交易记录!AD906</f>
        <v>0</v>
      </c>
      <c r="BP631" s="121">
        <f>交易记录!AD937</f>
        <v>0</v>
      </c>
      <c r="BQ631" s="30">
        <f t="shared" si="289"/>
        <v>0</v>
      </c>
    </row>
    <row r="632" spans="1:69" ht="15">
      <c r="A632" s="125">
        <f>'维护-日期'!A$29</f>
        <v>46292</v>
      </c>
      <c r="B632" s="7" t="s">
        <v>12</v>
      </c>
      <c r="C632" s="144">
        <f t="shared" si="290"/>
        <v>12.55</v>
      </c>
      <c r="D632" s="144">
        <f>ROUND(INDEX(持仓数据!$C$3:$AG$26,MATCH('计算过程-数据汇总'!B632,持仓数据!$B$3:$B$26,0),MATCH('计算过程-数据汇总'!A632,'维护-日期'!$B$2:$AF$2,0)),3)</f>
        <v>12.55</v>
      </c>
      <c r="E632" s="98">
        <f t="shared" si="291"/>
        <v>12.55</v>
      </c>
      <c r="F632" s="22">
        <f>持仓数据!AC78</f>
        <v>0.106</v>
      </c>
      <c r="G632" s="97">
        <v>372</v>
      </c>
      <c r="H632" s="97">
        <v>372</v>
      </c>
      <c r="I632" s="64">
        <v>0</v>
      </c>
      <c r="J632" s="64">
        <v>0</v>
      </c>
      <c r="K632" s="21">
        <f>IF(持仓数据!AC111="",0,持仓数据!AC111)</f>
        <v>372.00000000000006</v>
      </c>
      <c r="L632" s="21">
        <f t="shared" si="292"/>
        <v>0</v>
      </c>
      <c r="M632" s="28">
        <f t="shared" si="276"/>
        <v>4668.6000000000004</v>
      </c>
      <c r="N632" s="28">
        <f t="shared" si="277"/>
        <v>0</v>
      </c>
      <c r="O632" s="28">
        <f t="shared" si="278"/>
        <v>0</v>
      </c>
      <c r="P632" s="28">
        <f t="shared" si="279"/>
        <v>6.0254023992456494E-15</v>
      </c>
      <c r="Q632" s="28">
        <f t="shared" si="293"/>
        <v>0</v>
      </c>
      <c r="R632" s="28">
        <f t="shared" si="280"/>
        <v>4668.6000000000013</v>
      </c>
      <c r="S632" s="28">
        <f t="shared" si="294"/>
        <v>0</v>
      </c>
      <c r="T632" s="28">
        <f t="shared" si="295"/>
        <v>-7.0735950430389498E-13</v>
      </c>
      <c r="U632" s="28">
        <f t="shared" si="298"/>
        <v>0</v>
      </c>
      <c r="V632" s="28">
        <f t="shared" si="296"/>
        <v>0</v>
      </c>
      <c r="W632" s="118"/>
      <c r="X632" s="143">
        <f t="shared" si="297"/>
        <v>14.954000000000001</v>
      </c>
      <c r="Y632" s="121">
        <f>交易记录!AD11</f>
        <v>0.106</v>
      </c>
      <c r="Z632" s="121">
        <f>交易记录!AD42</f>
        <v>372</v>
      </c>
      <c r="AA632" s="30">
        <f t="shared" si="281"/>
        <v>0</v>
      </c>
      <c r="AB632" s="124">
        <f>交易记录!AD75</f>
        <v>0</v>
      </c>
      <c r="AC632" s="124">
        <f>交易记录!AD106</f>
        <v>0</v>
      </c>
      <c r="AD632" s="30">
        <f t="shared" si="299"/>
        <v>0</v>
      </c>
      <c r="AE632" s="121">
        <f>交易记录!AD139</f>
        <v>0</v>
      </c>
      <c r="AF632" s="121">
        <f>交易记录!AD170</f>
        <v>0</v>
      </c>
      <c r="AG632" s="30">
        <f t="shared" si="300"/>
        <v>0</v>
      </c>
      <c r="AH632" s="124">
        <f>交易记录!AD203</f>
        <v>0</v>
      </c>
      <c r="AI632" s="124">
        <f>交易记录!AD234</f>
        <v>0</v>
      </c>
      <c r="AJ632" s="30">
        <f t="shared" si="301"/>
        <v>0</v>
      </c>
      <c r="AK632" s="121">
        <f>交易记录!AD267</f>
        <v>0</v>
      </c>
      <c r="AL632" s="121">
        <f>交易记录!AD298</f>
        <v>0</v>
      </c>
      <c r="AM632" s="30">
        <f t="shared" si="302"/>
        <v>0</v>
      </c>
      <c r="AN632" s="124">
        <f>交易记录!AD331</f>
        <v>0</v>
      </c>
      <c r="AO632" s="124">
        <f>交易记录!AD362</f>
        <v>0</v>
      </c>
      <c r="AP632" s="30">
        <f t="shared" si="303"/>
        <v>0</v>
      </c>
      <c r="AQ632" s="121">
        <f>交易记录!AD395</f>
        <v>0</v>
      </c>
      <c r="AR632" s="121">
        <f>交易记录!AD426</f>
        <v>0</v>
      </c>
      <c r="AS632" s="30">
        <f t="shared" si="304"/>
        <v>0</v>
      </c>
      <c r="AT632" s="124">
        <f>交易记录!AD459</f>
        <v>0</v>
      </c>
      <c r="AU632" s="124">
        <f>交易记录!AD490</f>
        <v>0</v>
      </c>
      <c r="AV632" s="30">
        <f t="shared" si="282"/>
        <v>0</v>
      </c>
      <c r="AW632" s="121">
        <f>交易记录!AD523</f>
        <v>0</v>
      </c>
      <c r="AX632" s="121">
        <f>交易记录!AD554</f>
        <v>0</v>
      </c>
      <c r="AY632" s="30">
        <f t="shared" si="283"/>
        <v>0</v>
      </c>
      <c r="AZ632" s="124">
        <f>交易记录!AD587</f>
        <v>0</v>
      </c>
      <c r="BA632" s="124">
        <f>交易记录!AD618</f>
        <v>0</v>
      </c>
      <c r="BB632" s="30">
        <f t="shared" si="284"/>
        <v>0</v>
      </c>
      <c r="BC632" s="121">
        <f>交易记录!AD651</f>
        <v>0</v>
      </c>
      <c r="BD632" s="121">
        <f>交易记录!AD682</f>
        <v>0</v>
      </c>
      <c r="BE632" s="30">
        <f t="shared" si="285"/>
        <v>0</v>
      </c>
      <c r="BF632" s="124">
        <f>交易记录!AD715</f>
        <v>0</v>
      </c>
      <c r="BG632" s="124">
        <f>交易记录!AD746</f>
        <v>0</v>
      </c>
      <c r="BH632" s="30">
        <f t="shared" si="286"/>
        <v>0</v>
      </c>
      <c r="BI632" s="121">
        <f>交易记录!AD779</f>
        <v>0</v>
      </c>
      <c r="BJ632" s="121">
        <f>交易记录!AD810</f>
        <v>0</v>
      </c>
      <c r="BK632" s="30">
        <f t="shared" si="287"/>
        <v>0</v>
      </c>
      <c r="BL632" s="124">
        <f>交易记录!AD843</f>
        <v>0</v>
      </c>
      <c r="BM632" s="124">
        <f>交易记录!AD874</f>
        <v>0</v>
      </c>
      <c r="BN632" s="30">
        <f t="shared" si="288"/>
        <v>0</v>
      </c>
      <c r="BO632" s="121">
        <f>交易记录!AD907</f>
        <v>0</v>
      </c>
      <c r="BP632" s="121">
        <f>交易记录!AD938</f>
        <v>0</v>
      </c>
      <c r="BQ632" s="30">
        <f t="shared" si="289"/>
        <v>0</v>
      </c>
    </row>
    <row r="633" spans="1:69" ht="15">
      <c r="A633" s="125">
        <f>'维护-日期'!A$29</f>
        <v>46292</v>
      </c>
      <c r="B633" s="7" t="s">
        <v>13</v>
      </c>
      <c r="C633" s="144">
        <f t="shared" si="290"/>
        <v>12.419</v>
      </c>
      <c r="D633" s="144">
        <f>ROUND(INDEX(持仓数据!$C$3:$AG$26,MATCH('计算过程-数据汇总'!B633,持仓数据!$B$3:$B$26,0),MATCH('计算过程-数据汇总'!A633,'维护-日期'!$B$2:$AF$2,0)),3)</f>
        <v>12.419</v>
      </c>
      <c r="E633" s="98">
        <f t="shared" si="291"/>
        <v>12.419</v>
      </c>
      <c r="F633" s="22">
        <f>持仓数据!AC79</f>
        <v>0.11600000000000001</v>
      </c>
      <c r="G633" s="97">
        <v>372</v>
      </c>
      <c r="H633" s="97">
        <v>372</v>
      </c>
      <c r="I633" s="64">
        <v>0</v>
      </c>
      <c r="J633" s="64">
        <v>0</v>
      </c>
      <c r="K633" s="21">
        <f>IF(持仓数据!AC112="",0,持仓数据!AC112)</f>
        <v>372</v>
      </c>
      <c r="L633" s="21">
        <f t="shared" si="292"/>
        <v>0</v>
      </c>
      <c r="M633" s="28">
        <f t="shared" si="276"/>
        <v>4619.8680000000004</v>
      </c>
      <c r="N633" s="28">
        <f t="shared" si="277"/>
        <v>0</v>
      </c>
      <c r="O633" s="28">
        <f t="shared" si="278"/>
        <v>0</v>
      </c>
      <c r="P633" s="28">
        <f t="shared" si="279"/>
        <v>0</v>
      </c>
      <c r="Q633" s="28">
        <f t="shared" si="293"/>
        <v>0</v>
      </c>
      <c r="R633" s="28">
        <f t="shared" si="280"/>
        <v>4619.8680000000004</v>
      </c>
      <c r="S633" s="28">
        <f t="shared" si="294"/>
        <v>0</v>
      </c>
      <c r="T633" s="28">
        <f t="shared" si="295"/>
        <v>0</v>
      </c>
      <c r="U633" s="28">
        <f t="shared" si="298"/>
        <v>0</v>
      </c>
      <c r="V633" s="28">
        <f t="shared" si="296"/>
        <v>0</v>
      </c>
      <c r="W633" s="118"/>
      <c r="X633" s="143">
        <f t="shared" si="297"/>
        <v>14.787000000000001</v>
      </c>
      <c r="Y633" s="121">
        <f>交易记录!AD12</f>
        <v>0.11600000000000001</v>
      </c>
      <c r="Z633" s="121">
        <f>交易记录!AD43</f>
        <v>372</v>
      </c>
      <c r="AA633" s="30">
        <f t="shared" si="281"/>
        <v>0</v>
      </c>
      <c r="AB633" s="124">
        <f>交易记录!AD76</f>
        <v>0</v>
      </c>
      <c r="AC633" s="124">
        <f>交易记录!AD107</f>
        <v>0</v>
      </c>
      <c r="AD633" s="30">
        <f t="shared" si="299"/>
        <v>0</v>
      </c>
      <c r="AE633" s="121">
        <f>交易记录!AD140</f>
        <v>0</v>
      </c>
      <c r="AF633" s="121">
        <f>交易记录!AD171</f>
        <v>0</v>
      </c>
      <c r="AG633" s="30">
        <f t="shared" si="300"/>
        <v>0</v>
      </c>
      <c r="AH633" s="124">
        <f>交易记录!AD204</f>
        <v>0</v>
      </c>
      <c r="AI633" s="124">
        <f>交易记录!AD235</f>
        <v>0</v>
      </c>
      <c r="AJ633" s="30">
        <f t="shared" si="301"/>
        <v>0</v>
      </c>
      <c r="AK633" s="121">
        <f>交易记录!AD268</f>
        <v>0</v>
      </c>
      <c r="AL633" s="121">
        <f>交易记录!AD299</f>
        <v>0</v>
      </c>
      <c r="AM633" s="30">
        <f t="shared" si="302"/>
        <v>0</v>
      </c>
      <c r="AN633" s="124">
        <f>交易记录!AD332</f>
        <v>0</v>
      </c>
      <c r="AO633" s="124">
        <f>交易记录!AD363</f>
        <v>0</v>
      </c>
      <c r="AP633" s="30">
        <f t="shared" si="303"/>
        <v>0</v>
      </c>
      <c r="AQ633" s="121">
        <f>交易记录!AD396</f>
        <v>0</v>
      </c>
      <c r="AR633" s="121">
        <f>交易记录!AD427</f>
        <v>0</v>
      </c>
      <c r="AS633" s="30">
        <f t="shared" si="304"/>
        <v>0</v>
      </c>
      <c r="AT633" s="124">
        <f>交易记录!AD460</f>
        <v>0</v>
      </c>
      <c r="AU633" s="124">
        <f>交易记录!AD491</f>
        <v>0</v>
      </c>
      <c r="AV633" s="30">
        <f t="shared" si="282"/>
        <v>0</v>
      </c>
      <c r="AW633" s="121">
        <f>交易记录!AD524</f>
        <v>0</v>
      </c>
      <c r="AX633" s="121">
        <f>交易记录!AD555</f>
        <v>0</v>
      </c>
      <c r="AY633" s="30">
        <f t="shared" si="283"/>
        <v>0</v>
      </c>
      <c r="AZ633" s="124">
        <f>交易记录!AD588</f>
        <v>0</v>
      </c>
      <c r="BA633" s="124">
        <f>交易记录!AD619</f>
        <v>0</v>
      </c>
      <c r="BB633" s="30">
        <f t="shared" si="284"/>
        <v>0</v>
      </c>
      <c r="BC633" s="121">
        <f>交易记录!AD652</f>
        <v>0</v>
      </c>
      <c r="BD633" s="121">
        <f>交易记录!AD683</f>
        <v>0</v>
      </c>
      <c r="BE633" s="30">
        <f t="shared" si="285"/>
        <v>0</v>
      </c>
      <c r="BF633" s="124">
        <f>交易记录!AD716</f>
        <v>0</v>
      </c>
      <c r="BG633" s="124">
        <f>交易记录!AD747</f>
        <v>0</v>
      </c>
      <c r="BH633" s="30">
        <f t="shared" si="286"/>
        <v>0</v>
      </c>
      <c r="BI633" s="121">
        <f>交易记录!AD780</f>
        <v>0</v>
      </c>
      <c r="BJ633" s="121">
        <f>交易记录!AD811</f>
        <v>0</v>
      </c>
      <c r="BK633" s="30">
        <f t="shared" si="287"/>
        <v>0</v>
      </c>
      <c r="BL633" s="124">
        <f>交易记录!AD844</f>
        <v>0</v>
      </c>
      <c r="BM633" s="124">
        <f>交易记录!AD875</f>
        <v>0</v>
      </c>
      <c r="BN633" s="30">
        <f t="shared" si="288"/>
        <v>0</v>
      </c>
      <c r="BO633" s="121">
        <f>交易记录!AD908</f>
        <v>0</v>
      </c>
      <c r="BP633" s="121">
        <f>交易记录!AD939</f>
        <v>0</v>
      </c>
      <c r="BQ633" s="30">
        <f t="shared" si="289"/>
        <v>0</v>
      </c>
    </row>
    <row r="634" spans="1:69" ht="15">
      <c r="A634" s="125">
        <f>'维护-日期'!A$29</f>
        <v>46292</v>
      </c>
      <c r="B634" s="7" t="s">
        <v>14</v>
      </c>
      <c r="C634" s="144">
        <f t="shared" si="290"/>
        <v>13.66</v>
      </c>
      <c r="D634" s="144">
        <f>ROUND(INDEX(持仓数据!$C$3:$AG$26,MATCH('计算过程-数据汇总'!B634,持仓数据!$B$3:$B$26,0),MATCH('计算过程-数据汇总'!A634,'维护-日期'!$B$2:$AF$2,0)),3)</f>
        <v>13.66</v>
      </c>
      <c r="E634" s="98">
        <f t="shared" si="291"/>
        <v>13.66</v>
      </c>
      <c r="F634" s="22">
        <f>持仓数据!AC80</f>
        <v>0.122</v>
      </c>
      <c r="G634" s="97">
        <v>372</v>
      </c>
      <c r="H634" s="97">
        <v>372</v>
      </c>
      <c r="I634" s="64">
        <v>0</v>
      </c>
      <c r="J634" s="64">
        <v>0</v>
      </c>
      <c r="K634" s="21">
        <f>IF(持仓数据!AC113="",0,持仓数据!AC113)</f>
        <v>372</v>
      </c>
      <c r="L634" s="21">
        <f t="shared" si="292"/>
        <v>0</v>
      </c>
      <c r="M634" s="28">
        <f t="shared" si="276"/>
        <v>5081.5200000000004</v>
      </c>
      <c r="N634" s="28">
        <f t="shared" si="277"/>
        <v>0</v>
      </c>
      <c r="O634" s="28">
        <f t="shared" si="278"/>
        <v>0</v>
      </c>
      <c r="P634" s="28">
        <f t="shared" si="279"/>
        <v>0</v>
      </c>
      <c r="Q634" s="28">
        <f t="shared" si="293"/>
        <v>0</v>
      </c>
      <c r="R634" s="28">
        <f t="shared" si="280"/>
        <v>5081.5200000000004</v>
      </c>
      <c r="S634" s="28">
        <f t="shared" si="294"/>
        <v>0</v>
      </c>
      <c r="T634" s="28">
        <f t="shared" si="295"/>
        <v>0</v>
      </c>
      <c r="U634" s="28">
        <f t="shared" si="298"/>
        <v>0</v>
      </c>
      <c r="V634" s="28">
        <f t="shared" si="296"/>
        <v>0</v>
      </c>
      <c r="W634" s="118"/>
      <c r="X634" s="143">
        <f t="shared" si="297"/>
        <v>16.27</v>
      </c>
      <c r="Y634" s="121">
        <f>交易记录!AD13</f>
        <v>0.122</v>
      </c>
      <c r="Z634" s="121">
        <f>交易记录!AD44</f>
        <v>372</v>
      </c>
      <c r="AA634" s="30">
        <f t="shared" si="281"/>
        <v>0</v>
      </c>
      <c r="AB634" s="124">
        <f>交易记录!AD77</f>
        <v>0</v>
      </c>
      <c r="AC634" s="124">
        <f>交易记录!AD108</f>
        <v>0</v>
      </c>
      <c r="AD634" s="30">
        <f t="shared" si="299"/>
        <v>0</v>
      </c>
      <c r="AE634" s="121">
        <f>交易记录!AD141</f>
        <v>0</v>
      </c>
      <c r="AF634" s="121">
        <f>交易记录!AD172</f>
        <v>0</v>
      </c>
      <c r="AG634" s="30">
        <f t="shared" si="300"/>
        <v>0</v>
      </c>
      <c r="AH634" s="124">
        <f>交易记录!AD205</f>
        <v>0</v>
      </c>
      <c r="AI634" s="124">
        <f>交易记录!AD236</f>
        <v>0</v>
      </c>
      <c r="AJ634" s="30">
        <f t="shared" si="301"/>
        <v>0</v>
      </c>
      <c r="AK634" s="121">
        <f>交易记录!AD269</f>
        <v>0</v>
      </c>
      <c r="AL634" s="121">
        <f>交易记录!AD300</f>
        <v>0</v>
      </c>
      <c r="AM634" s="30">
        <f t="shared" si="302"/>
        <v>0</v>
      </c>
      <c r="AN634" s="124">
        <f>交易记录!AD333</f>
        <v>0</v>
      </c>
      <c r="AO634" s="124">
        <f>交易记录!AD364</f>
        <v>0</v>
      </c>
      <c r="AP634" s="30">
        <f t="shared" si="303"/>
        <v>0</v>
      </c>
      <c r="AQ634" s="121">
        <f>交易记录!AD397</f>
        <v>0</v>
      </c>
      <c r="AR634" s="121">
        <f>交易记录!AD428</f>
        <v>0</v>
      </c>
      <c r="AS634" s="30">
        <f t="shared" si="304"/>
        <v>0</v>
      </c>
      <c r="AT634" s="124">
        <f>交易记录!AD461</f>
        <v>0</v>
      </c>
      <c r="AU634" s="124">
        <f>交易记录!AD492</f>
        <v>0</v>
      </c>
      <c r="AV634" s="30">
        <f t="shared" si="282"/>
        <v>0</v>
      </c>
      <c r="AW634" s="121">
        <f>交易记录!AD525</f>
        <v>0</v>
      </c>
      <c r="AX634" s="121">
        <f>交易记录!AD556</f>
        <v>0</v>
      </c>
      <c r="AY634" s="30">
        <f t="shared" si="283"/>
        <v>0</v>
      </c>
      <c r="AZ634" s="124">
        <f>交易记录!AD589</f>
        <v>0</v>
      </c>
      <c r="BA634" s="124">
        <f>交易记录!AD620</f>
        <v>0</v>
      </c>
      <c r="BB634" s="30">
        <f t="shared" si="284"/>
        <v>0</v>
      </c>
      <c r="BC634" s="121">
        <f>交易记录!AD653</f>
        <v>0</v>
      </c>
      <c r="BD634" s="121">
        <f>交易记录!AD684</f>
        <v>0</v>
      </c>
      <c r="BE634" s="30">
        <f t="shared" si="285"/>
        <v>0</v>
      </c>
      <c r="BF634" s="124">
        <f>交易记录!AD717</f>
        <v>0</v>
      </c>
      <c r="BG634" s="124">
        <f>交易记录!AD748</f>
        <v>0</v>
      </c>
      <c r="BH634" s="30">
        <f t="shared" si="286"/>
        <v>0</v>
      </c>
      <c r="BI634" s="121">
        <f>交易记录!AD781</f>
        <v>0</v>
      </c>
      <c r="BJ634" s="121">
        <f>交易记录!AD812</f>
        <v>0</v>
      </c>
      <c r="BK634" s="30">
        <f t="shared" si="287"/>
        <v>0</v>
      </c>
      <c r="BL634" s="124">
        <f>交易记录!AD845</f>
        <v>0</v>
      </c>
      <c r="BM634" s="124">
        <f>交易记录!AD876</f>
        <v>0</v>
      </c>
      <c r="BN634" s="30">
        <f t="shared" si="288"/>
        <v>0</v>
      </c>
      <c r="BO634" s="121">
        <f>交易记录!AD909</f>
        <v>0</v>
      </c>
      <c r="BP634" s="121">
        <f>交易记录!AD940</f>
        <v>0</v>
      </c>
      <c r="BQ634" s="30">
        <f t="shared" si="289"/>
        <v>0</v>
      </c>
    </row>
    <row r="635" spans="1:69" ht="15">
      <c r="A635" s="125">
        <f>'维护-日期'!A$29</f>
        <v>46292</v>
      </c>
      <c r="B635" s="7" t="s">
        <v>15</v>
      </c>
      <c r="C635" s="144">
        <f t="shared" si="290"/>
        <v>16.832999999999998</v>
      </c>
      <c r="D635" s="144">
        <f>ROUND(INDEX(持仓数据!$C$3:$AG$26,MATCH('计算过程-数据汇总'!B635,持仓数据!$B$3:$B$26,0),MATCH('计算过程-数据汇总'!A635,'维护-日期'!$B$2:$AF$2,0)),3)</f>
        <v>16.832999999999998</v>
      </c>
      <c r="E635" s="98">
        <f t="shared" si="291"/>
        <v>16.832999999999998</v>
      </c>
      <c r="F635" s="22">
        <f>持仓数据!AC81</f>
        <v>0.127</v>
      </c>
      <c r="G635" s="97">
        <v>372</v>
      </c>
      <c r="H635" s="97">
        <v>372</v>
      </c>
      <c r="I635" s="64">
        <v>0</v>
      </c>
      <c r="J635" s="64">
        <v>0</v>
      </c>
      <c r="K635" s="21">
        <f>IF(持仓数据!AC114="",0,持仓数据!AC114)</f>
        <v>372</v>
      </c>
      <c r="L635" s="21">
        <f t="shared" si="292"/>
        <v>0</v>
      </c>
      <c r="M635" s="28">
        <f t="shared" si="276"/>
        <v>6261.8759999999993</v>
      </c>
      <c r="N635" s="28">
        <f t="shared" si="277"/>
        <v>0</v>
      </c>
      <c r="O635" s="28">
        <f t="shared" si="278"/>
        <v>0</v>
      </c>
      <c r="P635" s="28">
        <f t="shared" si="279"/>
        <v>0</v>
      </c>
      <c r="Q635" s="28">
        <f t="shared" si="293"/>
        <v>0</v>
      </c>
      <c r="R635" s="28">
        <f t="shared" si="280"/>
        <v>6261.8759999999993</v>
      </c>
      <c r="S635" s="28">
        <f t="shared" si="294"/>
        <v>0</v>
      </c>
      <c r="T635" s="28">
        <f t="shared" si="295"/>
        <v>0</v>
      </c>
      <c r="U635" s="28">
        <f t="shared" si="298"/>
        <v>0</v>
      </c>
      <c r="V635" s="28">
        <f t="shared" si="296"/>
        <v>0</v>
      </c>
      <c r="W635" s="118"/>
      <c r="X635" s="143">
        <f t="shared" si="297"/>
        <v>20.073</v>
      </c>
      <c r="Y635" s="121">
        <f>交易记录!AD14</f>
        <v>0.127</v>
      </c>
      <c r="Z635" s="121">
        <f>交易记录!AD45</f>
        <v>372</v>
      </c>
      <c r="AA635" s="30">
        <f t="shared" si="281"/>
        <v>0</v>
      </c>
      <c r="AB635" s="124">
        <f>交易记录!AD78</f>
        <v>0</v>
      </c>
      <c r="AC635" s="124">
        <f>交易记录!AD109</f>
        <v>0</v>
      </c>
      <c r="AD635" s="30">
        <f t="shared" si="299"/>
        <v>0</v>
      </c>
      <c r="AE635" s="121">
        <f>交易记录!AD142</f>
        <v>0</v>
      </c>
      <c r="AF635" s="121">
        <f>交易记录!AD173</f>
        <v>0</v>
      </c>
      <c r="AG635" s="30">
        <f t="shared" si="300"/>
        <v>0</v>
      </c>
      <c r="AH635" s="124">
        <f>交易记录!AD206</f>
        <v>0</v>
      </c>
      <c r="AI635" s="124">
        <f>交易记录!AD237</f>
        <v>0</v>
      </c>
      <c r="AJ635" s="30">
        <f t="shared" si="301"/>
        <v>0</v>
      </c>
      <c r="AK635" s="121">
        <f>交易记录!AD270</f>
        <v>0</v>
      </c>
      <c r="AL635" s="121">
        <f>交易记录!AD301</f>
        <v>0</v>
      </c>
      <c r="AM635" s="30">
        <f t="shared" si="302"/>
        <v>0</v>
      </c>
      <c r="AN635" s="124">
        <f>交易记录!AD334</f>
        <v>0</v>
      </c>
      <c r="AO635" s="124">
        <f>交易记录!AD365</f>
        <v>0</v>
      </c>
      <c r="AP635" s="30">
        <f t="shared" si="303"/>
        <v>0</v>
      </c>
      <c r="AQ635" s="121">
        <f>交易记录!AD398</f>
        <v>0</v>
      </c>
      <c r="AR635" s="121">
        <f>交易记录!AD429</f>
        <v>0</v>
      </c>
      <c r="AS635" s="30">
        <f t="shared" si="304"/>
        <v>0</v>
      </c>
      <c r="AT635" s="124">
        <f>交易记录!AD462</f>
        <v>0</v>
      </c>
      <c r="AU635" s="124">
        <f>交易记录!AD493</f>
        <v>0</v>
      </c>
      <c r="AV635" s="30">
        <f t="shared" si="282"/>
        <v>0</v>
      </c>
      <c r="AW635" s="121">
        <f>交易记录!AD526</f>
        <v>0</v>
      </c>
      <c r="AX635" s="121">
        <f>交易记录!AD557</f>
        <v>0</v>
      </c>
      <c r="AY635" s="30">
        <f t="shared" si="283"/>
        <v>0</v>
      </c>
      <c r="AZ635" s="124">
        <f>交易记录!AD590</f>
        <v>0</v>
      </c>
      <c r="BA635" s="124">
        <f>交易记录!AD621</f>
        <v>0</v>
      </c>
      <c r="BB635" s="30">
        <f t="shared" si="284"/>
        <v>0</v>
      </c>
      <c r="BC635" s="121">
        <f>交易记录!AD654</f>
        <v>0</v>
      </c>
      <c r="BD635" s="121">
        <f>交易记录!AD685</f>
        <v>0</v>
      </c>
      <c r="BE635" s="30">
        <f t="shared" si="285"/>
        <v>0</v>
      </c>
      <c r="BF635" s="124">
        <f>交易记录!AD718</f>
        <v>0</v>
      </c>
      <c r="BG635" s="124">
        <f>交易记录!AD749</f>
        <v>0</v>
      </c>
      <c r="BH635" s="30">
        <f t="shared" si="286"/>
        <v>0</v>
      </c>
      <c r="BI635" s="121">
        <f>交易记录!AD782</f>
        <v>0</v>
      </c>
      <c r="BJ635" s="121">
        <f>交易记录!AD813</f>
        <v>0</v>
      </c>
      <c r="BK635" s="30">
        <f t="shared" si="287"/>
        <v>0</v>
      </c>
      <c r="BL635" s="124">
        <f>交易记录!AD846</f>
        <v>0</v>
      </c>
      <c r="BM635" s="124">
        <f>交易记录!AD877</f>
        <v>0</v>
      </c>
      <c r="BN635" s="30">
        <f t="shared" si="288"/>
        <v>0</v>
      </c>
      <c r="BO635" s="121">
        <f>交易记录!AD910</f>
        <v>0</v>
      </c>
      <c r="BP635" s="121">
        <f>交易记录!AD941</f>
        <v>0</v>
      </c>
      <c r="BQ635" s="30">
        <f t="shared" si="289"/>
        <v>0</v>
      </c>
    </row>
    <row r="636" spans="1:69" ht="15">
      <c r="A636" s="125">
        <f>'维护-日期'!A$29</f>
        <v>46292</v>
      </c>
      <c r="B636" s="7" t="s">
        <v>16</v>
      </c>
      <c r="C636" s="144">
        <f t="shared" si="290"/>
        <v>18.838999999999999</v>
      </c>
      <c r="D636" s="144">
        <f>ROUND(INDEX(持仓数据!$C$3:$AG$26,MATCH('计算过程-数据汇总'!B636,持仓数据!$B$3:$B$26,0),MATCH('计算过程-数据汇总'!A636,'维护-日期'!$B$2:$AF$2,0)),3)</f>
        <v>18.838999999999999</v>
      </c>
      <c r="E636" s="98">
        <f t="shared" si="291"/>
        <v>18.838999999999999</v>
      </c>
      <c r="F636" s="22">
        <f>持仓数据!AC82</f>
        <v>0.128</v>
      </c>
      <c r="G636" s="97">
        <v>372</v>
      </c>
      <c r="H636" s="97">
        <v>372</v>
      </c>
      <c r="I636" s="64">
        <v>0</v>
      </c>
      <c r="J636" s="64">
        <v>0</v>
      </c>
      <c r="K636" s="21">
        <f>IF(持仓数据!AC115="",0,持仓数据!AC115)</f>
        <v>372</v>
      </c>
      <c r="L636" s="21">
        <f t="shared" si="292"/>
        <v>0</v>
      </c>
      <c r="M636" s="28">
        <f t="shared" si="276"/>
        <v>7008.1079999999993</v>
      </c>
      <c r="N636" s="28">
        <f t="shared" si="277"/>
        <v>0</v>
      </c>
      <c r="O636" s="28">
        <f t="shared" si="278"/>
        <v>0</v>
      </c>
      <c r="P636" s="28">
        <f t="shared" si="279"/>
        <v>0</v>
      </c>
      <c r="Q636" s="28">
        <f t="shared" si="293"/>
        <v>0</v>
      </c>
      <c r="R636" s="28">
        <f t="shared" si="280"/>
        <v>7008.1079999999993</v>
      </c>
      <c r="S636" s="28">
        <f t="shared" si="294"/>
        <v>0</v>
      </c>
      <c r="T636" s="28">
        <f t="shared" si="295"/>
        <v>0</v>
      </c>
      <c r="U636" s="28">
        <f t="shared" si="298"/>
        <v>0</v>
      </c>
      <c r="V636" s="28">
        <f t="shared" si="296"/>
        <v>0</v>
      </c>
      <c r="W636" s="118"/>
      <c r="X636" s="143">
        <f t="shared" si="297"/>
        <v>22.478999999999999</v>
      </c>
      <c r="Y636" s="121">
        <f>交易记录!AD15</f>
        <v>0.128</v>
      </c>
      <c r="Z636" s="121">
        <f>交易记录!AD46</f>
        <v>372</v>
      </c>
      <c r="AA636" s="30">
        <f t="shared" si="281"/>
        <v>0</v>
      </c>
      <c r="AB636" s="124">
        <f>交易记录!AD79</f>
        <v>0</v>
      </c>
      <c r="AC636" s="124">
        <f>交易记录!AD110</f>
        <v>0</v>
      </c>
      <c r="AD636" s="30">
        <f t="shared" si="299"/>
        <v>0</v>
      </c>
      <c r="AE636" s="121">
        <f>交易记录!AD143</f>
        <v>0</v>
      </c>
      <c r="AF636" s="121">
        <f>交易记录!AD174</f>
        <v>0</v>
      </c>
      <c r="AG636" s="30">
        <f t="shared" si="300"/>
        <v>0</v>
      </c>
      <c r="AH636" s="124">
        <f>交易记录!AD207</f>
        <v>0</v>
      </c>
      <c r="AI636" s="124">
        <f>交易记录!AD238</f>
        <v>0</v>
      </c>
      <c r="AJ636" s="30">
        <f t="shared" si="301"/>
        <v>0</v>
      </c>
      <c r="AK636" s="121">
        <f>交易记录!AD271</f>
        <v>0</v>
      </c>
      <c r="AL636" s="121">
        <f>交易记录!AD302</f>
        <v>0</v>
      </c>
      <c r="AM636" s="30">
        <f t="shared" si="302"/>
        <v>0</v>
      </c>
      <c r="AN636" s="124">
        <f>交易记录!AD335</f>
        <v>0</v>
      </c>
      <c r="AO636" s="124">
        <f>交易记录!AD366</f>
        <v>0</v>
      </c>
      <c r="AP636" s="30">
        <f t="shared" si="303"/>
        <v>0</v>
      </c>
      <c r="AQ636" s="121">
        <f>交易记录!AD399</f>
        <v>0</v>
      </c>
      <c r="AR636" s="121">
        <f>交易记录!AD430</f>
        <v>0</v>
      </c>
      <c r="AS636" s="30">
        <f t="shared" si="304"/>
        <v>0</v>
      </c>
      <c r="AT636" s="124">
        <f>交易记录!AD463</f>
        <v>0</v>
      </c>
      <c r="AU636" s="124">
        <f>交易记录!AD494</f>
        <v>0</v>
      </c>
      <c r="AV636" s="30">
        <f t="shared" si="282"/>
        <v>0</v>
      </c>
      <c r="AW636" s="121">
        <f>交易记录!AD527</f>
        <v>0</v>
      </c>
      <c r="AX636" s="121">
        <f>交易记录!AD558</f>
        <v>0</v>
      </c>
      <c r="AY636" s="30">
        <f t="shared" si="283"/>
        <v>0</v>
      </c>
      <c r="AZ636" s="124">
        <f>交易记录!AD591</f>
        <v>0</v>
      </c>
      <c r="BA636" s="124">
        <f>交易记录!AD622</f>
        <v>0</v>
      </c>
      <c r="BB636" s="30">
        <f t="shared" si="284"/>
        <v>0</v>
      </c>
      <c r="BC636" s="121">
        <f>交易记录!AD655</f>
        <v>0</v>
      </c>
      <c r="BD636" s="121">
        <f>交易记录!AD686</f>
        <v>0</v>
      </c>
      <c r="BE636" s="30">
        <f t="shared" si="285"/>
        <v>0</v>
      </c>
      <c r="BF636" s="124">
        <f>交易记录!AD719</f>
        <v>0</v>
      </c>
      <c r="BG636" s="124">
        <f>交易记录!AD750</f>
        <v>0</v>
      </c>
      <c r="BH636" s="30">
        <f t="shared" si="286"/>
        <v>0</v>
      </c>
      <c r="BI636" s="121">
        <f>交易记录!AD783</f>
        <v>0</v>
      </c>
      <c r="BJ636" s="121">
        <f>交易记录!AD814</f>
        <v>0</v>
      </c>
      <c r="BK636" s="30">
        <f t="shared" si="287"/>
        <v>0</v>
      </c>
      <c r="BL636" s="124">
        <f>交易记录!AD847</f>
        <v>0</v>
      </c>
      <c r="BM636" s="124">
        <f>交易记录!AD878</f>
        <v>0</v>
      </c>
      <c r="BN636" s="30">
        <f t="shared" si="288"/>
        <v>0</v>
      </c>
      <c r="BO636" s="121">
        <f>交易记录!AD911</f>
        <v>0</v>
      </c>
      <c r="BP636" s="121">
        <f>交易记录!AD942</f>
        <v>0</v>
      </c>
      <c r="BQ636" s="30">
        <f t="shared" si="289"/>
        <v>0</v>
      </c>
    </row>
    <row r="637" spans="1:69" ht="15">
      <c r="A637" s="125">
        <f>'维护-日期'!A$29</f>
        <v>46292</v>
      </c>
      <c r="B637" s="7" t="s">
        <v>17</v>
      </c>
      <c r="C637" s="144">
        <f t="shared" si="290"/>
        <v>19.346</v>
      </c>
      <c r="D637" s="144">
        <f>ROUND(INDEX(持仓数据!$C$3:$AG$26,MATCH('计算过程-数据汇总'!B637,持仓数据!$B$3:$B$26,0),MATCH('计算过程-数据汇总'!A637,'维护-日期'!$B$2:$AF$2,0)),3)</f>
        <v>19.346</v>
      </c>
      <c r="E637" s="98">
        <f t="shared" si="291"/>
        <v>19.346</v>
      </c>
      <c r="F637" s="22">
        <f>持仓数据!AC83</f>
        <v>0.13</v>
      </c>
      <c r="G637" s="97">
        <v>372</v>
      </c>
      <c r="H637" s="97">
        <v>372</v>
      </c>
      <c r="I637" s="64">
        <v>0</v>
      </c>
      <c r="J637" s="64">
        <v>0</v>
      </c>
      <c r="K637" s="21">
        <f>IF(持仓数据!AC116="",0,持仓数据!AC116)</f>
        <v>372</v>
      </c>
      <c r="L637" s="21">
        <f t="shared" si="292"/>
        <v>0</v>
      </c>
      <c r="M637" s="28">
        <f t="shared" si="276"/>
        <v>7196.7120000000004</v>
      </c>
      <c r="N637" s="28">
        <f t="shared" si="277"/>
        <v>0</v>
      </c>
      <c r="O637" s="28">
        <f t="shared" si="278"/>
        <v>0</v>
      </c>
      <c r="P637" s="28">
        <f t="shared" si="279"/>
        <v>0</v>
      </c>
      <c r="Q637" s="28">
        <f t="shared" si="293"/>
        <v>0</v>
      </c>
      <c r="R637" s="28">
        <f t="shared" si="280"/>
        <v>7196.7120000000004</v>
      </c>
      <c r="S637" s="28">
        <f t="shared" si="294"/>
        <v>0</v>
      </c>
      <c r="T637" s="28">
        <f t="shared" si="295"/>
        <v>0</v>
      </c>
      <c r="U637" s="28">
        <f t="shared" si="298"/>
        <v>0</v>
      </c>
      <c r="V637" s="28">
        <f t="shared" si="296"/>
        <v>0</v>
      </c>
      <c r="W637" s="118"/>
      <c r="X637" s="143">
        <f t="shared" si="297"/>
        <v>23.085000000000001</v>
      </c>
      <c r="Y637" s="121">
        <f>交易记录!AD16</f>
        <v>0.13</v>
      </c>
      <c r="Z637" s="121">
        <f>交易记录!AD47</f>
        <v>372</v>
      </c>
      <c r="AA637" s="30">
        <f t="shared" si="281"/>
        <v>0</v>
      </c>
      <c r="AB637" s="124">
        <f>交易记录!AD80</f>
        <v>0</v>
      </c>
      <c r="AC637" s="124">
        <f>交易记录!AD111</f>
        <v>0</v>
      </c>
      <c r="AD637" s="30">
        <f t="shared" si="299"/>
        <v>0</v>
      </c>
      <c r="AE637" s="121">
        <f>交易记录!AD144</f>
        <v>0</v>
      </c>
      <c r="AF637" s="121">
        <f>交易记录!AD175</f>
        <v>0</v>
      </c>
      <c r="AG637" s="30">
        <f t="shared" si="300"/>
        <v>0</v>
      </c>
      <c r="AH637" s="124">
        <f>交易记录!AD208</f>
        <v>0</v>
      </c>
      <c r="AI637" s="124">
        <f>交易记录!AD239</f>
        <v>0</v>
      </c>
      <c r="AJ637" s="30">
        <f t="shared" si="301"/>
        <v>0</v>
      </c>
      <c r="AK637" s="121">
        <f>交易记录!AD272</f>
        <v>0</v>
      </c>
      <c r="AL637" s="121">
        <f>交易记录!AD303</f>
        <v>0</v>
      </c>
      <c r="AM637" s="30">
        <f t="shared" si="302"/>
        <v>0</v>
      </c>
      <c r="AN637" s="124">
        <f>交易记录!AD336</f>
        <v>0</v>
      </c>
      <c r="AO637" s="124">
        <f>交易记录!AD367</f>
        <v>0</v>
      </c>
      <c r="AP637" s="30">
        <f t="shared" si="303"/>
        <v>0</v>
      </c>
      <c r="AQ637" s="121">
        <f>交易记录!AD400</f>
        <v>0</v>
      </c>
      <c r="AR637" s="121">
        <f>交易记录!AD431</f>
        <v>0</v>
      </c>
      <c r="AS637" s="30">
        <f t="shared" si="304"/>
        <v>0</v>
      </c>
      <c r="AT637" s="124">
        <f>交易记录!AD464</f>
        <v>0</v>
      </c>
      <c r="AU637" s="124">
        <f>交易记录!AD495</f>
        <v>0</v>
      </c>
      <c r="AV637" s="30">
        <f t="shared" si="282"/>
        <v>0</v>
      </c>
      <c r="AW637" s="121">
        <f>交易记录!AD528</f>
        <v>0</v>
      </c>
      <c r="AX637" s="121">
        <f>交易记录!AD559</f>
        <v>0</v>
      </c>
      <c r="AY637" s="30">
        <f t="shared" si="283"/>
        <v>0</v>
      </c>
      <c r="AZ637" s="124">
        <f>交易记录!AD592</f>
        <v>0</v>
      </c>
      <c r="BA637" s="124">
        <f>交易记录!AD623</f>
        <v>0</v>
      </c>
      <c r="BB637" s="30">
        <f t="shared" si="284"/>
        <v>0</v>
      </c>
      <c r="BC637" s="121">
        <f>交易记录!AD656</f>
        <v>0</v>
      </c>
      <c r="BD637" s="121">
        <f>交易记录!AD687</f>
        <v>0</v>
      </c>
      <c r="BE637" s="30">
        <f t="shared" si="285"/>
        <v>0</v>
      </c>
      <c r="BF637" s="124">
        <f>交易记录!AD720</f>
        <v>0</v>
      </c>
      <c r="BG637" s="124">
        <f>交易记录!AD751</f>
        <v>0</v>
      </c>
      <c r="BH637" s="30">
        <f t="shared" si="286"/>
        <v>0</v>
      </c>
      <c r="BI637" s="121">
        <f>交易记录!AD784</f>
        <v>0</v>
      </c>
      <c r="BJ637" s="121">
        <f>交易记录!AD815</f>
        <v>0</v>
      </c>
      <c r="BK637" s="30">
        <f t="shared" si="287"/>
        <v>0</v>
      </c>
      <c r="BL637" s="124">
        <f>交易记录!AD848</f>
        <v>0</v>
      </c>
      <c r="BM637" s="124">
        <f>交易记录!AD879</f>
        <v>0</v>
      </c>
      <c r="BN637" s="30">
        <f t="shared" si="288"/>
        <v>0</v>
      </c>
      <c r="BO637" s="121">
        <f>交易记录!AD912</f>
        <v>0</v>
      </c>
      <c r="BP637" s="121">
        <f>交易记录!AD943</f>
        <v>0</v>
      </c>
      <c r="BQ637" s="30">
        <f t="shared" si="289"/>
        <v>0</v>
      </c>
    </row>
    <row r="638" spans="1:69" ht="15">
      <c r="A638" s="125">
        <f>'维护-日期'!A$29</f>
        <v>46292</v>
      </c>
      <c r="B638" s="7" t="s">
        <v>18</v>
      </c>
      <c r="C638" s="144">
        <f t="shared" si="290"/>
        <v>20.166</v>
      </c>
      <c r="D638" s="144">
        <f>ROUND(INDEX(持仓数据!$C$3:$AG$26,MATCH('计算过程-数据汇总'!B638,持仓数据!$B$3:$B$26,0),MATCH('计算过程-数据汇总'!A638,'维护-日期'!$B$2:$AF$2,0)),3)</f>
        <v>20.166</v>
      </c>
      <c r="E638" s="98">
        <f t="shared" si="291"/>
        <v>20.166</v>
      </c>
      <c r="F638" s="22">
        <f>持仓数据!AC84</f>
        <v>6.0999999999999999E-2</v>
      </c>
      <c r="G638" s="97">
        <v>372</v>
      </c>
      <c r="H638" s="97">
        <v>372</v>
      </c>
      <c r="I638" s="64">
        <v>0</v>
      </c>
      <c r="J638" s="64">
        <v>0</v>
      </c>
      <c r="K638" s="21">
        <f>IF(持仓数据!AC117="",0,持仓数据!AC117)</f>
        <v>372</v>
      </c>
      <c r="L638" s="21">
        <f t="shared" si="292"/>
        <v>0</v>
      </c>
      <c r="M638" s="28">
        <f t="shared" si="276"/>
        <v>7501.7520000000004</v>
      </c>
      <c r="N638" s="28">
        <f t="shared" si="277"/>
        <v>0</v>
      </c>
      <c r="O638" s="28">
        <f t="shared" si="278"/>
        <v>0</v>
      </c>
      <c r="P638" s="28">
        <f t="shared" si="279"/>
        <v>0</v>
      </c>
      <c r="Q638" s="28">
        <f t="shared" si="293"/>
        <v>0</v>
      </c>
      <c r="R638" s="28">
        <f t="shared" si="280"/>
        <v>7501.7520000000004</v>
      </c>
      <c r="S638" s="28">
        <f t="shared" si="294"/>
        <v>0</v>
      </c>
      <c r="T638" s="28">
        <f t="shared" si="295"/>
        <v>0</v>
      </c>
      <c r="U638" s="28">
        <f t="shared" si="298"/>
        <v>0</v>
      </c>
      <c r="V638" s="28">
        <f t="shared" si="296"/>
        <v>0</v>
      </c>
      <c r="W638" s="118"/>
      <c r="X638" s="143">
        <f t="shared" si="297"/>
        <v>24.138000000000002</v>
      </c>
      <c r="Y638" s="121">
        <f>交易记录!AD17</f>
        <v>6.0999999999999999E-2</v>
      </c>
      <c r="Z638" s="121">
        <f>交易记录!AD48</f>
        <v>372</v>
      </c>
      <c r="AA638" s="30">
        <f t="shared" si="281"/>
        <v>0</v>
      </c>
      <c r="AB638" s="124">
        <f>交易记录!AD81</f>
        <v>0</v>
      </c>
      <c r="AC638" s="124">
        <f>交易记录!AD112</f>
        <v>0</v>
      </c>
      <c r="AD638" s="30">
        <f t="shared" si="299"/>
        <v>0</v>
      </c>
      <c r="AE638" s="121">
        <f>交易记录!AD145</f>
        <v>0</v>
      </c>
      <c r="AF638" s="121">
        <f>交易记录!AD176</f>
        <v>0</v>
      </c>
      <c r="AG638" s="30">
        <f t="shared" si="300"/>
        <v>0</v>
      </c>
      <c r="AH638" s="124">
        <f>交易记录!AD209</f>
        <v>0</v>
      </c>
      <c r="AI638" s="124">
        <f>交易记录!AD240</f>
        <v>0</v>
      </c>
      <c r="AJ638" s="30">
        <f t="shared" si="301"/>
        <v>0</v>
      </c>
      <c r="AK638" s="121">
        <f>交易记录!AD273</f>
        <v>0</v>
      </c>
      <c r="AL638" s="121">
        <f>交易记录!AD304</f>
        <v>0</v>
      </c>
      <c r="AM638" s="30">
        <f t="shared" si="302"/>
        <v>0</v>
      </c>
      <c r="AN638" s="124">
        <f>交易记录!AD337</f>
        <v>0</v>
      </c>
      <c r="AO638" s="124">
        <f>交易记录!AD368</f>
        <v>0</v>
      </c>
      <c r="AP638" s="30">
        <f t="shared" si="303"/>
        <v>0</v>
      </c>
      <c r="AQ638" s="121">
        <f>交易记录!AD401</f>
        <v>0</v>
      </c>
      <c r="AR638" s="121">
        <f>交易记录!AD432</f>
        <v>0</v>
      </c>
      <c r="AS638" s="30">
        <f t="shared" si="304"/>
        <v>0</v>
      </c>
      <c r="AT638" s="124">
        <f>交易记录!AD465</f>
        <v>0</v>
      </c>
      <c r="AU638" s="124">
        <f>交易记录!AD496</f>
        <v>0</v>
      </c>
      <c r="AV638" s="30">
        <f t="shared" si="282"/>
        <v>0</v>
      </c>
      <c r="AW638" s="121">
        <f>交易记录!AD529</f>
        <v>0</v>
      </c>
      <c r="AX638" s="121">
        <f>交易记录!AD560</f>
        <v>0</v>
      </c>
      <c r="AY638" s="30">
        <f t="shared" si="283"/>
        <v>0</v>
      </c>
      <c r="AZ638" s="124">
        <f>交易记录!AD593</f>
        <v>0</v>
      </c>
      <c r="BA638" s="124">
        <f>交易记录!AD624</f>
        <v>0</v>
      </c>
      <c r="BB638" s="30">
        <f t="shared" si="284"/>
        <v>0</v>
      </c>
      <c r="BC638" s="121">
        <f>交易记录!AD657</f>
        <v>0</v>
      </c>
      <c r="BD638" s="121">
        <f>交易记录!AD688</f>
        <v>0</v>
      </c>
      <c r="BE638" s="30">
        <f t="shared" si="285"/>
        <v>0</v>
      </c>
      <c r="BF638" s="124">
        <f>交易记录!AD721</f>
        <v>0</v>
      </c>
      <c r="BG638" s="124">
        <f>交易记录!AD752</f>
        <v>0</v>
      </c>
      <c r="BH638" s="30">
        <f t="shared" si="286"/>
        <v>0</v>
      </c>
      <c r="BI638" s="121">
        <f>交易记录!AD785</f>
        <v>0</v>
      </c>
      <c r="BJ638" s="121">
        <f>交易记录!AD816</f>
        <v>0</v>
      </c>
      <c r="BK638" s="30">
        <f t="shared" si="287"/>
        <v>0</v>
      </c>
      <c r="BL638" s="124">
        <f>交易记录!AD849</f>
        <v>0</v>
      </c>
      <c r="BM638" s="124">
        <f>交易记录!AD880</f>
        <v>0</v>
      </c>
      <c r="BN638" s="30">
        <f t="shared" si="288"/>
        <v>0</v>
      </c>
      <c r="BO638" s="121">
        <f>交易记录!AD913</f>
        <v>0</v>
      </c>
      <c r="BP638" s="121">
        <f>交易记录!AD944</f>
        <v>0</v>
      </c>
      <c r="BQ638" s="30">
        <f t="shared" si="289"/>
        <v>0</v>
      </c>
    </row>
    <row r="639" spans="1:69" ht="15">
      <c r="A639" s="125">
        <f>'维护-日期'!A$29</f>
        <v>46292</v>
      </c>
      <c r="B639" s="7" t="s">
        <v>19</v>
      </c>
      <c r="C639" s="144">
        <f t="shared" si="290"/>
        <v>21.004999999999999</v>
      </c>
      <c r="D639" s="144">
        <f>ROUND(INDEX(持仓数据!$C$3:$AG$26,MATCH('计算过程-数据汇总'!B639,持仓数据!$B$3:$B$26,0),MATCH('计算过程-数据汇总'!A639,'维护-日期'!$B$2:$AF$2,0)),3)</f>
        <v>21.004999999999999</v>
      </c>
      <c r="E639" s="98">
        <f t="shared" si="291"/>
        <v>21.004999999999999</v>
      </c>
      <c r="F639" s="22">
        <f>持仓数据!AC85</f>
        <v>8.1000000000000003E-2</v>
      </c>
      <c r="G639" s="97">
        <v>372</v>
      </c>
      <c r="H639" s="97">
        <v>372</v>
      </c>
      <c r="I639" s="64">
        <v>0</v>
      </c>
      <c r="J639" s="64">
        <v>0</v>
      </c>
      <c r="K639" s="21">
        <f>IF(持仓数据!AC118="",0,持仓数据!AC118)</f>
        <v>372</v>
      </c>
      <c r="L639" s="21">
        <f t="shared" si="292"/>
        <v>0</v>
      </c>
      <c r="M639" s="28">
        <f t="shared" si="276"/>
        <v>7813.86</v>
      </c>
      <c r="N639" s="28">
        <f t="shared" si="277"/>
        <v>0</v>
      </c>
      <c r="O639" s="28">
        <f t="shared" si="278"/>
        <v>0</v>
      </c>
      <c r="P639" s="28">
        <f t="shared" si="279"/>
        <v>0</v>
      </c>
      <c r="Q639" s="28">
        <f t="shared" si="293"/>
        <v>0</v>
      </c>
      <c r="R639" s="28">
        <f t="shared" si="280"/>
        <v>7813.86</v>
      </c>
      <c r="S639" s="28">
        <f t="shared" si="294"/>
        <v>0</v>
      </c>
      <c r="T639" s="28">
        <f t="shared" si="295"/>
        <v>0</v>
      </c>
      <c r="U639" s="28">
        <f t="shared" si="298"/>
        <v>0</v>
      </c>
      <c r="V639" s="28">
        <f t="shared" si="296"/>
        <v>0</v>
      </c>
      <c r="W639" s="118"/>
      <c r="X639" s="143">
        <f t="shared" si="297"/>
        <v>25.125</v>
      </c>
      <c r="Y639" s="121">
        <f>交易记录!AD18</f>
        <v>8.1000000000000003E-2</v>
      </c>
      <c r="Z639" s="121">
        <f>交易记录!AD49</f>
        <v>372</v>
      </c>
      <c r="AA639" s="30">
        <f t="shared" si="281"/>
        <v>0</v>
      </c>
      <c r="AB639" s="124">
        <f>交易记录!AD82</f>
        <v>0</v>
      </c>
      <c r="AC639" s="124">
        <f>交易记录!AD113</f>
        <v>0</v>
      </c>
      <c r="AD639" s="30">
        <f t="shared" si="299"/>
        <v>0</v>
      </c>
      <c r="AE639" s="121">
        <f>交易记录!AD146</f>
        <v>0</v>
      </c>
      <c r="AF639" s="121">
        <f>交易记录!AD177</f>
        <v>0</v>
      </c>
      <c r="AG639" s="30">
        <f t="shared" si="300"/>
        <v>0</v>
      </c>
      <c r="AH639" s="124">
        <f>交易记录!AD210</f>
        <v>0</v>
      </c>
      <c r="AI639" s="124">
        <f>交易记录!AD241</f>
        <v>0</v>
      </c>
      <c r="AJ639" s="30">
        <f t="shared" si="301"/>
        <v>0</v>
      </c>
      <c r="AK639" s="121">
        <f>交易记录!AD274</f>
        <v>0</v>
      </c>
      <c r="AL639" s="121">
        <f>交易记录!AD305</f>
        <v>0</v>
      </c>
      <c r="AM639" s="30">
        <f t="shared" si="302"/>
        <v>0</v>
      </c>
      <c r="AN639" s="124">
        <f>交易记录!AD338</f>
        <v>0</v>
      </c>
      <c r="AO639" s="124">
        <f>交易记录!AD369</f>
        <v>0</v>
      </c>
      <c r="AP639" s="30">
        <f t="shared" si="303"/>
        <v>0</v>
      </c>
      <c r="AQ639" s="121">
        <f>交易记录!AD402</f>
        <v>0</v>
      </c>
      <c r="AR639" s="121">
        <f>交易记录!AD433</f>
        <v>0</v>
      </c>
      <c r="AS639" s="30">
        <f t="shared" si="304"/>
        <v>0</v>
      </c>
      <c r="AT639" s="124">
        <f>交易记录!AD466</f>
        <v>0</v>
      </c>
      <c r="AU639" s="124">
        <f>交易记录!AD497</f>
        <v>0</v>
      </c>
      <c r="AV639" s="30">
        <f t="shared" si="282"/>
        <v>0</v>
      </c>
      <c r="AW639" s="121">
        <f>交易记录!AD530</f>
        <v>0</v>
      </c>
      <c r="AX639" s="121">
        <f>交易记录!AD561</f>
        <v>0</v>
      </c>
      <c r="AY639" s="30">
        <f t="shared" si="283"/>
        <v>0</v>
      </c>
      <c r="AZ639" s="124">
        <f>交易记录!AD594</f>
        <v>0</v>
      </c>
      <c r="BA639" s="124">
        <f>交易记录!AD625</f>
        <v>0</v>
      </c>
      <c r="BB639" s="30">
        <f t="shared" si="284"/>
        <v>0</v>
      </c>
      <c r="BC639" s="121">
        <f>交易记录!AD658</f>
        <v>0</v>
      </c>
      <c r="BD639" s="121">
        <f>交易记录!AD689</f>
        <v>0</v>
      </c>
      <c r="BE639" s="30">
        <f t="shared" si="285"/>
        <v>0</v>
      </c>
      <c r="BF639" s="124">
        <f>交易记录!AD722</f>
        <v>0</v>
      </c>
      <c r="BG639" s="124">
        <f>交易记录!AD753</f>
        <v>0</v>
      </c>
      <c r="BH639" s="30">
        <f t="shared" si="286"/>
        <v>0</v>
      </c>
      <c r="BI639" s="121">
        <f>交易记录!AD786</f>
        <v>0</v>
      </c>
      <c r="BJ639" s="121">
        <f>交易记录!AD817</f>
        <v>0</v>
      </c>
      <c r="BK639" s="30">
        <f t="shared" si="287"/>
        <v>0</v>
      </c>
      <c r="BL639" s="124">
        <f>交易记录!AD850</f>
        <v>0</v>
      </c>
      <c r="BM639" s="124">
        <f>交易记录!AD881</f>
        <v>0</v>
      </c>
      <c r="BN639" s="30">
        <f t="shared" si="288"/>
        <v>0</v>
      </c>
      <c r="BO639" s="121">
        <f>交易记录!AD914</f>
        <v>0</v>
      </c>
      <c r="BP639" s="121">
        <f>交易记录!AD945</f>
        <v>0</v>
      </c>
      <c r="BQ639" s="30">
        <f t="shared" si="289"/>
        <v>0</v>
      </c>
    </row>
    <row r="640" spans="1:69" ht="15">
      <c r="A640" s="125">
        <f>'维护-日期'!A$29</f>
        <v>46292</v>
      </c>
      <c r="B640" s="7" t="s">
        <v>20</v>
      </c>
      <c r="C640" s="144">
        <f t="shared" si="290"/>
        <v>20.777000000000001</v>
      </c>
      <c r="D640" s="144">
        <f>ROUND(INDEX(持仓数据!$C$3:$AG$26,MATCH('计算过程-数据汇总'!B640,持仓数据!$B$3:$B$26,0),MATCH('计算过程-数据汇总'!A640,'维护-日期'!$B$2:$AF$2,0)),3)</f>
        <v>20.777000000000001</v>
      </c>
      <c r="E640" s="98">
        <f t="shared" si="291"/>
        <v>20.777000000000001</v>
      </c>
      <c r="F640" s="22">
        <f>持仓数据!AC86</f>
        <v>0.13</v>
      </c>
      <c r="G640" s="97">
        <v>372</v>
      </c>
      <c r="H640" s="97">
        <v>372</v>
      </c>
      <c r="I640" s="64">
        <v>0</v>
      </c>
      <c r="J640" s="64">
        <v>0</v>
      </c>
      <c r="K640" s="21">
        <f>IF(持仓数据!AC119="",0,持仓数据!AC119)</f>
        <v>372</v>
      </c>
      <c r="L640" s="21">
        <f t="shared" si="292"/>
        <v>0</v>
      </c>
      <c r="M640" s="28">
        <f t="shared" si="276"/>
        <v>7729.0440000000008</v>
      </c>
      <c r="N640" s="28">
        <f t="shared" si="277"/>
        <v>0</v>
      </c>
      <c r="O640" s="28">
        <f t="shared" si="278"/>
        <v>0</v>
      </c>
      <c r="P640" s="28">
        <f t="shared" si="279"/>
        <v>0</v>
      </c>
      <c r="Q640" s="28">
        <f t="shared" si="293"/>
        <v>0</v>
      </c>
      <c r="R640" s="28">
        <f t="shared" si="280"/>
        <v>7729.0440000000008</v>
      </c>
      <c r="S640" s="28">
        <f t="shared" si="294"/>
        <v>0</v>
      </c>
      <c r="T640" s="28">
        <f t="shared" si="295"/>
        <v>0</v>
      </c>
      <c r="U640" s="28">
        <f t="shared" si="298"/>
        <v>0</v>
      </c>
      <c r="V640" s="28">
        <f t="shared" si="296"/>
        <v>0</v>
      </c>
      <c r="W640" s="118"/>
      <c r="X640" s="143">
        <f t="shared" si="297"/>
        <v>24.802</v>
      </c>
      <c r="Y640" s="121">
        <f>交易记录!AD19</f>
        <v>0.13</v>
      </c>
      <c r="Z640" s="121">
        <f>交易记录!AD50</f>
        <v>372</v>
      </c>
      <c r="AA640" s="30">
        <f t="shared" si="281"/>
        <v>0</v>
      </c>
      <c r="AB640" s="124">
        <f>交易记录!AD83</f>
        <v>0</v>
      </c>
      <c r="AC640" s="124">
        <f>交易记录!AD114</f>
        <v>0</v>
      </c>
      <c r="AD640" s="30">
        <f t="shared" si="299"/>
        <v>0</v>
      </c>
      <c r="AE640" s="121">
        <f>交易记录!AD147</f>
        <v>0</v>
      </c>
      <c r="AF640" s="121">
        <f>交易记录!AD178</f>
        <v>0</v>
      </c>
      <c r="AG640" s="30">
        <f t="shared" si="300"/>
        <v>0</v>
      </c>
      <c r="AH640" s="124">
        <f>交易记录!AD211</f>
        <v>0</v>
      </c>
      <c r="AI640" s="124">
        <f>交易记录!AD242</f>
        <v>0</v>
      </c>
      <c r="AJ640" s="30">
        <f t="shared" si="301"/>
        <v>0</v>
      </c>
      <c r="AK640" s="121">
        <f>交易记录!AD275</f>
        <v>0</v>
      </c>
      <c r="AL640" s="121">
        <f>交易记录!AD306</f>
        <v>0</v>
      </c>
      <c r="AM640" s="30">
        <f t="shared" si="302"/>
        <v>0</v>
      </c>
      <c r="AN640" s="124">
        <f>交易记录!AD339</f>
        <v>0</v>
      </c>
      <c r="AO640" s="124">
        <f>交易记录!AD370</f>
        <v>0</v>
      </c>
      <c r="AP640" s="30">
        <f t="shared" si="303"/>
        <v>0</v>
      </c>
      <c r="AQ640" s="121">
        <f>交易记录!AD403</f>
        <v>0</v>
      </c>
      <c r="AR640" s="121">
        <f>交易记录!AD434</f>
        <v>0</v>
      </c>
      <c r="AS640" s="30">
        <f t="shared" si="304"/>
        <v>0</v>
      </c>
      <c r="AT640" s="124">
        <f>交易记录!AD467</f>
        <v>0</v>
      </c>
      <c r="AU640" s="124">
        <f>交易记录!AD498</f>
        <v>0</v>
      </c>
      <c r="AV640" s="30">
        <f t="shared" si="282"/>
        <v>0</v>
      </c>
      <c r="AW640" s="121">
        <f>交易记录!AD531</f>
        <v>0</v>
      </c>
      <c r="AX640" s="121">
        <f>交易记录!AD562</f>
        <v>0</v>
      </c>
      <c r="AY640" s="30">
        <f t="shared" si="283"/>
        <v>0</v>
      </c>
      <c r="AZ640" s="124">
        <f>交易记录!AD595</f>
        <v>0</v>
      </c>
      <c r="BA640" s="124">
        <f>交易记录!AD626</f>
        <v>0</v>
      </c>
      <c r="BB640" s="30">
        <f t="shared" si="284"/>
        <v>0</v>
      </c>
      <c r="BC640" s="121">
        <f>交易记录!AD659</f>
        <v>0</v>
      </c>
      <c r="BD640" s="121">
        <f>交易记录!AD690</f>
        <v>0</v>
      </c>
      <c r="BE640" s="30">
        <f t="shared" si="285"/>
        <v>0</v>
      </c>
      <c r="BF640" s="124">
        <f>交易记录!AD723</f>
        <v>0</v>
      </c>
      <c r="BG640" s="124">
        <f>交易记录!AD754</f>
        <v>0</v>
      </c>
      <c r="BH640" s="30">
        <f t="shared" si="286"/>
        <v>0</v>
      </c>
      <c r="BI640" s="121">
        <f>交易记录!AD787</f>
        <v>0</v>
      </c>
      <c r="BJ640" s="121">
        <f>交易记录!AD818</f>
        <v>0</v>
      </c>
      <c r="BK640" s="30">
        <f t="shared" si="287"/>
        <v>0</v>
      </c>
      <c r="BL640" s="124">
        <f>交易记录!AD851</f>
        <v>0</v>
      </c>
      <c r="BM640" s="124">
        <f>交易记录!AD882</f>
        <v>0</v>
      </c>
      <c r="BN640" s="30">
        <f t="shared" si="288"/>
        <v>0</v>
      </c>
      <c r="BO640" s="121">
        <f>交易记录!AD915</f>
        <v>0</v>
      </c>
      <c r="BP640" s="121">
        <f>交易记录!AD946</f>
        <v>0</v>
      </c>
      <c r="BQ640" s="30">
        <f t="shared" si="289"/>
        <v>0</v>
      </c>
    </row>
    <row r="641" spans="1:69" ht="15">
      <c r="A641" s="125">
        <f>'维护-日期'!A$29</f>
        <v>46292</v>
      </c>
      <c r="B641" s="7" t="s">
        <v>21</v>
      </c>
      <c r="C641" s="144">
        <f t="shared" si="290"/>
        <v>20.858000000000001</v>
      </c>
      <c r="D641" s="144">
        <f>ROUND(INDEX(持仓数据!$C$3:$AG$26,MATCH('计算过程-数据汇总'!B641,持仓数据!$B$3:$B$26,0),MATCH('计算过程-数据汇总'!A641,'维护-日期'!$B$2:$AF$2,0)),3)</f>
        <v>20.858000000000001</v>
      </c>
      <c r="E641" s="98">
        <f t="shared" si="291"/>
        <v>20.858000000000001</v>
      </c>
      <c r="F641" s="22">
        <f>持仓数据!AC87</f>
        <v>0.13</v>
      </c>
      <c r="G641" s="97">
        <v>372</v>
      </c>
      <c r="H641" s="97">
        <v>372</v>
      </c>
      <c r="I641" s="64">
        <v>0</v>
      </c>
      <c r="J641" s="64">
        <v>0</v>
      </c>
      <c r="K641" s="21">
        <f>IF(持仓数据!AC120="",0,持仓数据!AC120)</f>
        <v>372</v>
      </c>
      <c r="L641" s="21">
        <f t="shared" si="292"/>
        <v>0</v>
      </c>
      <c r="M641" s="28">
        <f t="shared" si="276"/>
        <v>7759.1760000000004</v>
      </c>
      <c r="N641" s="28">
        <f t="shared" si="277"/>
        <v>0</v>
      </c>
      <c r="O641" s="28">
        <f t="shared" si="278"/>
        <v>0</v>
      </c>
      <c r="P641" s="28">
        <f t="shared" si="279"/>
        <v>0</v>
      </c>
      <c r="Q641" s="28">
        <f t="shared" si="293"/>
        <v>0</v>
      </c>
      <c r="R641" s="28">
        <f t="shared" si="280"/>
        <v>7759.1760000000004</v>
      </c>
      <c r="S641" s="28">
        <f t="shared" si="294"/>
        <v>0</v>
      </c>
      <c r="T641" s="28">
        <f t="shared" si="295"/>
        <v>0</v>
      </c>
      <c r="U641" s="28">
        <f t="shared" si="298"/>
        <v>0</v>
      </c>
      <c r="V641" s="28">
        <f t="shared" si="296"/>
        <v>0</v>
      </c>
      <c r="W641" s="118"/>
      <c r="X641" s="143">
        <f t="shared" si="297"/>
        <v>24.9</v>
      </c>
      <c r="Y641" s="121">
        <f>交易记录!AD20</f>
        <v>0.13</v>
      </c>
      <c r="Z641" s="121">
        <f>交易记录!AD51</f>
        <v>372</v>
      </c>
      <c r="AA641" s="30">
        <f t="shared" si="281"/>
        <v>0</v>
      </c>
      <c r="AB641" s="124">
        <f>交易记录!AD84</f>
        <v>0</v>
      </c>
      <c r="AC641" s="124">
        <f>交易记录!AD115</f>
        <v>0</v>
      </c>
      <c r="AD641" s="30">
        <f t="shared" si="299"/>
        <v>0</v>
      </c>
      <c r="AE641" s="121">
        <f>交易记录!AD148</f>
        <v>0</v>
      </c>
      <c r="AF641" s="121">
        <f>交易记录!AD179</f>
        <v>0</v>
      </c>
      <c r="AG641" s="30">
        <f t="shared" si="300"/>
        <v>0</v>
      </c>
      <c r="AH641" s="124">
        <f>交易记录!AD212</f>
        <v>0</v>
      </c>
      <c r="AI641" s="124">
        <f>交易记录!AD243</f>
        <v>0</v>
      </c>
      <c r="AJ641" s="30">
        <f t="shared" si="301"/>
        <v>0</v>
      </c>
      <c r="AK641" s="121">
        <f>交易记录!AD276</f>
        <v>0</v>
      </c>
      <c r="AL641" s="121">
        <f>交易记录!AD307</f>
        <v>0</v>
      </c>
      <c r="AM641" s="30">
        <f t="shared" si="302"/>
        <v>0</v>
      </c>
      <c r="AN641" s="124">
        <f>交易记录!AD340</f>
        <v>0</v>
      </c>
      <c r="AO641" s="124">
        <f>交易记录!AD371</f>
        <v>0</v>
      </c>
      <c r="AP641" s="30">
        <f t="shared" si="303"/>
        <v>0</v>
      </c>
      <c r="AQ641" s="121">
        <f>交易记录!AD404</f>
        <v>0</v>
      </c>
      <c r="AR641" s="121">
        <f>交易记录!AD435</f>
        <v>0</v>
      </c>
      <c r="AS641" s="30">
        <f t="shared" si="304"/>
        <v>0</v>
      </c>
      <c r="AT641" s="124">
        <f>交易记录!AD468</f>
        <v>0</v>
      </c>
      <c r="AU641" s="124">
        <f>交易记录!AD499</f>
        <v>0</v>
      </c>
      <c r="AV641" s="30">
        <f t="shared" si="282"/>
        <v>0</v>
      </c>
      <c r="AW641" s="121">
        <f>交易记录!AD532</f>
        <v>0</v>
      </c>
      <c r="AX641" s="121">
        <f>交易记录!AD563</f>
        <v>0</v>
      </c>
      <c r="AY641" s="30">
        <f t="shared" si="283"/>
        <v>0</v>
      </c>
      <c r="AZ641" s="124">
        <f>交易记录!AD596</f>
        <v>0</v>
      </c>
      <c r="BA641" s="124">
        <f>交易记录!AD627</f>
        <v>0</v>
      </c>
      <c r="BB641" s="30">
        <f t="shared" si="284"/>
        <v>0</v>
      </c>
      <c r="BC641" s="121">
        <f>交易记录!AD660</f>
        <v>0</v>
      </c>
      <c r="BD641" s="121">
        <f>交易记录!AD691</f>
        <v>0</v>
      </c>
      <c r="BE641" s="30">
        <f t="shared" si="285"/>
        <v>0</v>
      </c>
      <c r="BF641" s="124">
        <f>交易记录!AD724</f>
        <v>0</v>
      </c>
      <c r="BG641" s="124">
        <f>交易记录!AD755</f>
        <v>0</v>
      </c>
      <c r="BH641" s="30">
        <f t="shared" si="286"/>
        <v>0</v>
      </c>
      <c r="BI641" s="121">
        <f>交易记录!AD788</f>
        <v>0</v>
      </c>
      <c r="BJ641" s="121">
        <f>交易记录!AD819</f>
        <v>0</v>
      </c>
      <c r="BK641" s="30">
        <f t="shared" si="287"/>
        <v>0</v>
      </c>
      <c r="BL641" s="124">
        <f>交易记录!AD852</f>
        <v>0</v>
      </c>
      <c r="BM641" s="124">
        <f>交易记录!AD883</f>
        <v>0</v>
      </c>
      <c r="BN641" s="30">
        <f t="shared" si="288"/>
        <v>0</v>
      </c>
      <c r="BO641" s="121">
        <f>交易记录!AD916</f>
        <v>0</v>
      </c>
      <c r="BP641" s="121">
        <f>交易记录!AD947</f>
        <v>0</v>
      </c>
      <c r="BQ641" s="30">
        <f t="shared" si="289"/>
        <v>0</v>
      </c>
    </row>
    <row r="642" spans="1:69" ht="15">
      <c r="A642" s="125">
        <f>'维护-日期'!A$29</f>
        <v>46292</v>
      </c>
      <c r="B642" s="7" t="s">
        <v>22</v>
      </c>
      <c r="C642" s="144">
        <f t="shared" si="290"/>
        <v>21.905999999999999</v>
      </c>
      <c r="D642" s="144">
        <f>ROUND(INDEX(持仓数据!$C$3:$AG$26,MATCH('计算过程-数据汇总'!B642,持仓数据!$B$3:$B$26,0),MATCH('计算过程-数据汇总'!A642,'维护-日期'!$B$2:$AF$2,0)),3)</f>
        <v>21.905999999999999</v>
      </c>
      <c r="E642" s="98">
        <f t="shared" si="291"/>
        <v>21.905999999999999</v>
      </c>
      <c r="F642" s="22">
        <f>持仓数据!AC88</f>
        <v>0.10200000000000001</v>
      </c>
      <c r="G642" s="97">
        <v>372</v>
      </c>
      <c r="H642" s="97">
        <v>372</v>
      </c>
      <c r="I642" s="64">
        <v>0</v>
      </c>
      <c r="J642" s="64">
        <v>0</v>
      </c>
      <c r="K642" s="21">
        <f>IF(持仓数据!AC121="",0,持仓数据!AC121)</f>
        <v>372</v>
      </c>
      <c r="L642" s="21">
        <f t="shared" si="292"/>
        <v>0</v>
      </c>
      <c r="M642" s="28">
        <f t="shared" ref="M642:M705" si="305">IFERROR(C642*G642,0)</f>
        <v>8149.0319999999992</v>
      </c>
      <c r="N642" s="28">
        <f t="shared" ref="N642:N705" si="306">IFERROR((D642-C642)*(G642-H642),0)</f>
        <v>0</v>
      </c>
      <c r="O642" s="28">
        <f t="shared" ref="O642:O705" si="307">IFERROR((E642-D642)*(G642-H642),0)</f>
        <v>0</v>
      </c>
      <c r="P642" s="28">
        <f t="shared" ref="P642:P705" si="308">IFERROR(F642*(K642-G642),0)</f>
        <v>0</v>
      </c>
      <c r="Q642" s="28">
        <f t="shared" si="293"/>
        <v>0</v>
      </c>
      <c r="R642" s="28">
        <f t="shared" ref="R642:R705" si="309">IFERROR(K642*C642,0)</f>
        <v>8149.0319999999992</v>
      </c>
      <c r="S642" s="28">
        <f t="shared" si="294"/>
        <v>0</v>
      </c>
      <c r="T642" s="28">
        <f t="shared" si="295"/>
        <v>0</v>
      </c>
      <c r="U642" s="28">
        <f t="shared" si="298"/>
        <v>0</v>
      </c>
      <c r="V642" s="28">
        <f t="shared" si="296"/>
        <v>0</v>
      </c>
      <c r="W642" s="118"/>
      <c r="X642" s="143">
        <f t="shared" si="297"/>
        <v>26.184999999999999</v>
      </c>
      <c r="Y642" s="121">
        <f>交易记录!AD21</f>
        <v>0.10200000000000001</v>
      </c>
      <c r="Z642" s="121">
        <f>交易记录!AD52</f>
        <v>372</v>
      </c>
      <c r="AA642" s="30">
        <f t="shared" ref="AA642:AA705" si="310">IFERROR((Z642-G642)*Y642,0)</f>
        <v>0</v>
      </c>
      <c r="AB642" s="124">
        <f>交易记录!AD85</f>
        <v>0</v>
      </c>
      <c r="AC642" s="124">
        <f>交易记录!AD116</f>
        <v>0</v>
      </c>
      <c r="AD642" s="30">
        <f t="shared" si="299"/>
        <v>0</v>
      </c>
      <c r="AE642" s="121">
        <f>交易记录!AD149</f>
        <v>0</v>
      </c>
      <c r="AF642" s="121">
        <f>交易记录!AD180</f>
        <v>0</v>
      </c>
      <c r="AG642" s="30">
        <f t="shared" si="300"/>
        <v>0</v>
      </c>
      <c r="AH642" s="124">
        <f>交易记录!AD213</f>
        <v>0</v>
      </c>
      <c r="AI642" s="124">
        <f>交易记录!AD244</f>
        <v>0</v>
      </c>
      <c r="AJ642" s="30">
        <f t="shared" si="301"/>
        <v>0</v>
      </c>
      <c r="AK642" s="121">
        <f>交易记录!AD277</f>
        <v>0</v>
      </c>
      <c r="AL642" s="121">
        <f>交易记录!AD308</f>
        <v>0</v>
      </c>
      <c r="AM642" s="30">
        <f t="shared" si="302"/>
        <v>0</v>
      </c>
      <c r="AN642" s="124">
        <f>交易记录!AD341</f>
        <v>0</v>
      </c>
      <c r="AO642" s="124">
        <f>交易记录!AD372</f>
        <v>0</v>
      </c>
      <c r="AP642" s="30">
        <f t="shared" si="303"/>
        <v>0</v>
      </c>
      <c r="AQ642" s="121">
        <f>交易记录!AD405</f>
        <v>0</v>
      </c>
      <c r="AR642" s="121">
        <f>交易记录!AD436</f>
        <v>0</v>
      </c>
      <c r="AS642" s="30">
        <f t="shared" si="304"/>
        <v>0</v>
      </c>
      <c r="AT642" s="124">
        <f>交易记录!AD469</f>
        <v>0</v>
      </c>
      <c r="AU642" s="124">
        <f>交易记录!AD500</f>
        <v>0</v>
      </c>
      <c r="AV642" s="30">
        <f t="shared" ref="AV642:AV705" si="311">IFERROR((AU642-$G642)*AT642,0)</f>
        <v>0</v>
      </c>
      <c r="AW642" s="121">
        <f>交易记录!AD533</f>
        <v>0</v>
      </c>
      <c r="AX642" s="121">
        <f>交易记录!AD564</f>
        <v>0</v>
      </c>
      <c r="AY642" s="30">
        <f t="shared" ref="AY642:AY705" si="312">IFERROR((AX642-$G642)*AW642,0)</f>
        <v>0</v>
      </c>
      <c r="AZ642" s="124">
        <f>交易记录!AD597</f>
        <v>0</v>
      </c>
      <c r="BA642" s="124">
        <f>交易记录!AD628</f>
        <v>0</v>
      </c>
      <c r="BB642" s="30">
        <f t="shared" ref="BB642:BB705" si="313">IFERROR((BA642-$G642)*AZ642,0)</f>
        <v>0</v>
      </c>
      <c r="BC642" s="121">
        <f>交易记录!AD661</f>
        <v>0</v>
      </c>
      <c r="BD642" s="121">
        <f>交易记录!AD692</f>
        <v>0</v>
      </c>
      <c r="BE642" s="30">
        <f t="shared" ref="BE642:BE705" si="314">IFERROR((BD642-$G642)*BC642,0)</f>
        <v>0</v>
      </c>
      <c r="BF642" s="124">
        <f>交易记录!AD725</f>
        <v>0</v>
      </c>
      <c r="BG642" s="124">
        <f>交易记录!AD756</f>
        <v>0</v>
      </c>
      <c r="BH642" s="30">
        <f t="shared" ref="BH642:BH705" si="315">IFERROR((BG642-$G642)*BF642,0)</f>
        <v>0</v>
      </c>
      <c r="BI642" s="121">
        <f>交易记录!AD789</f>
        <v>0</v>
      </c>
      <c r="BJ642" s="121">
        <f>交易记录!AD820</f>
        <v>0</v>
      </c>
      <c r="BK642" s="30">
        <f t="shared" ref="BK642:BK705" si="316">IFERROR((BJ642-$G642)*BI642,0)</f>
        <v>0</v>
      </c>
      <c r="BL642" s="124">
        <f>交易记录!AD853</f>
        <v>0</v>
      </c>
      <c r="BM642" s="124">
        <f>交易记录!AD884</f>
        <v>0</v>
      </c>
      <c r="BN642" s="30">
        <f t="shared" ref="BN642:BN705" si="317">IFERROR((BM642-$G642)*BL642,0)</f>
        <v>0</v>
      </c>
      <c r="BO642" s="121">
        <f>交易记录!AD917</f>
        <v>0</v>
      </c>
      <c r="BP642" s="121">
        <f>交易记录!AD948</f>
        <v>0</v>
      </c>
      <c r="BQ642" s="30">
        <f t="shared" ref="BQ642:BQ705" si="318">IFERROR((BP642-$G642)*BO642,0)</f>
        <v>0</v>
      </c>
    </row>
    <row r="643" spans="1:69" ht="15">
      <c r="A643" s="125">
        <f>'维护-日期'!A$29</f>
        <v>46292</v>
      </c>
      <c r="B643" s="7" t="s">
        <v>23</v>
      </c>
      <c r="C643" s="144">
        <f t="shared" ref="C643:C706" si="319">D643</f>
        <v>22.69</v>
      </c>
      <c r="D643" s="144">
        <f>ROUND(INDEX(持仓数据!$C$3:$AG$26,MATCH('计算过程-数据汇总'!B643,持仓数据!$B$3:$B$26,0),MATCH('计算过程-数据汇总'!A643,'维护-日期'!$B$2:$AF$2,0)),3)</f>
        <v>22.69</v>
      </c>
      <c r="E643" s="98">
        <f t="shared" ref="E643:E706" si="320">D643*1</f>
        <v>22.69</v>
      </c>
      <c r="F643" s="22">
        <f>持仓数据!AC89</f>
        <v>0.127</v>
      </c>
      <c r="G643" s="97">
        <v>372</v>
      </c>
      <c r="H643" s="97">
        <v>372</v>
      </c>
      <c r="I643" s="64">
        <v>0</v>
      </c>
      <c r="J643" s="64">
        <v>0</v>
      </c>
      <c r="K643" s="21">
        <f>IF(持仓数据!AC122="",0,持仓数据!AC122)</f>
        <v>372</v>
      </c>
      <c r="L643" s="21">
        <f t="shared" ref="L643:L706" si="321">I643*J643</f>
        <v>0</v>
      </c>
      <c r="M643" s="28">
        <f t="shared" si="305"/>
        <v>8440.68</v>
      </c>
      <c r="N643" s="28">
        <f t="shared" si="306"/>
        <v>0</v>
      </c>
      <c r="O643" s="28">
        <f t="shared" si="307"/>
        <v>0</v>
      </c>
      <c r="P643" s="28">
        <f t="shared" si="308"/>
        <v>0</v>
      </c>
      <c r="Q643" s="28">
        <f t="shared" ref="Q643:Q706" si="322">IFERROR(IF(ABS((E643-C643)/C643)&gt;0.2,IF(SUM(N643:O643)&lt;0,ABS(G643-H643)*(ABS(C643-E643)-C643*0.2),0),0),IF(SUM(N643:O643)&lt;0,ABS(G643-H643)*(ABS(C643-E643)-C643*0.2),0))</f>
        <v>0</v>
      </c>
      <c r="R643" s="28">
        <f t="shared" si="309"/>
        <v>8440.68</v>
      </c>
      <c r="S643" s="28">
        <f t="shared" ref="S643:S706" si="323">IFERROR((D643-E643)*(K643-G643),0)</f>
        <v>0</v>
      </c>
      <c r="T643" s="28">
        <f t="shared" ref="T643:T706" si="324">IFERROR((F643-D643)*(K643-G643),0)</f>
        <v>0</v>
      </c>
      <c r="U643" s="28">
        <f t="shared" si="298"/>
        <v>0</v>
      </c>
      <c r="V643" s="28">
        <f t="shared" ref="V643:V706" si="325">IFERROR((E643-D643)*(K643-H643),0)</f>
        <v>0</v>
      </c>
      <c r="W643" s="118"/>
      <c r="X643" s="143">
        <f t="shared" ref="X643:X706" si="326">ROUND(D643*1.2-SUM(Y643,AB643,AE643,AH643,AK643,AN643,AQ643,AT643,AW643,AZ643,BC643,BF643,BI643,BL643,BO643),3)</f>
        <v>27.100999999999999</v>
      </c>
      <c r="Y643" s="121">
        <f>交易记录!AD22</f>
        <v>0.127</v>
      </c>
      <c r="Z643" s="121">
        <f>交易记录!AD53</f>
        <v>372</v>
      </c>
      <c r="AA643" s="30">
        <f t="shared" si="310"/>
        <v>0</v>
      </c>
      <c r="AB643" s="124">
        <f>交易记录!AD86</f>
        <v>0</v>
      </c>
      <c r="AC643" s="124">
        <f>交易记录!AD117</f>
        <v>0</v>
      </c>
      <c r="AD643" s="30">
        <f t="shared" si="299"/>
        <v>0</v>
      </c>
      <c r="AE643" s="121">
        <f>交易记录!AD150</f>
        <v>0</v>
      </c>
      <c r="AF643" s="121">
        <f>交易记录!AD181</f>
        <v>0</v>
      </c>
      <c r="AG643" s="30">
        <f t="shared" si="300"/>
        <v>0</v>
      </c>
      <c r="AH643" s="124">
        <f>交易记录!AD214</f>
        <v>0</v>
      </c>
      <c r="AI643" s="124">
        <f>交易记录!AD245</f>
        <v>0</v>
      </c>
      <c r="AJ643" s="30">
        <f t="shared" si="301"/>
        <v>0</v>
      </c>
      <c r="AK643" s="121">
        <f>交易记录!AD278</f>
        <v>0</v>
      </c>
      <c r="AL643" s="121">
        <f>交易记录!AD309</f>
        <v>0</v>
      </c>
      <c r="AM643" s="30">
        <f t="shared" si="302"/>
        <v>0</v>
      </c>
      <c r="AN643" s="124">
        <f>交易记录!AD342</f>
        <v>0</v>
      </c>
      <c r="AO643" s="124">
        <f>交易记录!AD373</f>
        <v>0</v>
      </c>
      <c r="AP643" s="30">
        <f t="shared" si="303"/>
        <v>0</v>
      </c>
      <c r="AQ643" s="121">
        <f>交易记录!AD406</f>
        <v>0</v>
      </c>
      <c r="AR643" s="121">
        <f>交易记录!AD437</f>
        <v>0</v>
      </c>
      <c r="AS643" s="30">
        <f t="shared" si="304"/>
        <v>0</v>
      </c>
      <c r="AT643" s="124">
        <f>交易记录!AD470</f>
        <v>0</v>
      </c>
      <c r="AU643" s="124">
        <f>交易记录!AD501</f>
        <v>0</v>
      </c>
      <c r="AV643" s="30">
        <f t="shared" si="311"/>
        <v>0</v>
      </c>
      <c r="AW643" s="121">
        <f>交易记录!AD534</f>
        <v>0</v>
      </c>
      <c r="AX643" s="121">
        <f>交易记录!AD565</f>
        <v>0</v>
      </c>
      <c r="AY643" s="30">
        <f t="shared" si="312"/>
        <v>0</v>
      </c>
      <c r="AZ643" s="124">
        <f>交易记录!AD598</f>
        <v>0</v>
      </c>
      <c r="BA643" s="124">
        <f>交易记录!AD629</f>
        <v>0</v>
      </c>
      <c r="BB643" s="30">
        <f t="shared" si="313"/>
        <v>0</v>
      </c>
      <c r="BC643" s="121">
        <f>交易记录!AD662</f>
        <v>0</v>
      </c>
      <c r="BD643" s="121">
        <f>交易记录!AD693</f>
        <v>0</v>
      </c>
      <c r="BE643" s="30">
        <f t="shared" si="314"/>
        <v>0</v>
      </c>
      <c r="BF643" s="124">
        <f>交易记录!AD726</f>
        <v>0</v>
      </c>
      <c r="BG643" s="124">
        <f>交易记录!AD757</f>
        <v>0</v>
      </c>
      <c r="BH643" s="30">
        <f t="shared" si="315"/>
        <v>0</v>
      </c>
      <c r="BI643" s="121">
        <f>交易记录!AD790</f>
        <v>0</v>
      </c>
      <c r="BJ643" s="121">
        <f>交易记录!AD821</f>
        <v>0</v>
      </c>
      <c r="BK643" s="30">
        <f t="shared" si="316"/>
        <v>0</v>
      </c>
      <c r="BL643" s="124">
        <f>交易记录!AD854</f>
        <v>0</v>
      </c>
      <c r="BM643" s="124">
        <f>交易记录!AD885</f>
        <v>0</v>
      </c>
      <c r="BN643" s="30">
        <f t="shared" si="317"/>
        <v>0</v>
      </c>
      <c r="BO643" s="121">
        <f>交易记录!AD918</f>
        <v>0</v>
      </c>
      <c r="BP643" s="121">
        <f>交易记录!AD949</f>
        <v>0</v>
      </c>
      <c r="BQ643" s="30">
        <f t="shared" si="318"/>
        <v>0</v>
      </c>
    </row>
    <row r="644" spans="1:69" ht="15">
      <c r="A644" s="125">
        <f>'维护-日期'!A$29</f>
        <v>46292</v>
      </c>
      <c r="B644" s="7" t="s">
        <v>24</v>
      </c>
      <c r="C644" s="144">
        <f t="shared" si="319"/>
        <v>23.346</v>
      </c>
      <c r="D644" s="144">
        <f>ROUND(INDEX(持仓数据!$C$3:$AG$26,MATCH('计算过程-数据汇总'!B644,持仓数据!$B$3:$B$26,0),MATCH('计算过程-数据汇总'!A644,'维护-日期'!$B$2:$AF$2,0)),3)</f>
        <v>23.346</v>
      </c>
      <c r="E644" s="98">
        <f t="shared" si="320"/>
        <v>23.346</v>
      </c>
      <c r="F644" s="22">
        <f>持仓数据!AC90</f>
        <v>0.128</v>
      </c>
      <c r="G644" s="97">
        <v>372</v>
      </c>
      <c r="H644" s="97">
        <v>372</v>
      </c>
      <c r="I644" s="64">
        <v>0</v>
      </c>
      <c r="J644" s="64">
        <v>0</v>
      </c>
      <c r="K644" s="21">
        <f>IF(持仓数据!AC123="",0,持仓数据!AC123)</f>
        <v>372</v>
      </c>
      <c r="L644" s="21">
        <f t="shared" si="321"/>
        <v>0</v>
      </c>
      <c r="M644" s="28">
        <f t="shared" si="305"/>
        <v>8684.7119999999995</v>
      </c>
      <c r="N644" s="28">
        <f t="shared" si="306"/>
        <v>0</v>
      </c>
      <c r="O644" s="28">
        <f t="shared" si="307"/>
        <v>0</v>
      </c>
      <c r="P644" s="28">
        <f t="shared" si="308"/>
        <v>0</v>
      </c>
      <c r="Q644" s="28">
        <f t="shared" si="322"/>
        <v>0</v>
      </c>
      <c r="R644" s="28">
        <f t="shared" si="309"/>
        <v>8684.7119999999995</v>
      </c>
      <c r="S644" s="28">
        <f t="shared" si="323"/>
        <v>0</v>
      </c>
      <c r="T644" s="28">
        <f t="shared" si="324"/>
        <v>0</v>
      </c>
      <c r="U644" s="28">
        <f t="shared" ref="U644:U707" si="327">IFERROR((D644-C644)*(K644-H644),0)</f>
        <v>0</v>
      </c>
      <c r="V644" s="28">
        <f t="shared" si="325"/>
        <v>0</v>
      </c>
      <c r="W644" s="118"/>
      <c r="X644" s="143">
        <f t="shared" si="326"/>
        <v>27.887</v>
      </c>
      <c r="Y644" s="121">
        <f>交易记录!AD23</f>
        <v>0.128</v>
      </c>
      <c r="Z644" s="121">
        <f>交易记录!AD54</f>
        <v>372</v>
      </c>
      <c r="AA644" s="30">
        <f t="shared" si="310"/>
        <v>0</v>
      </c>
      <c r="AB644" s="124">
        <f>交易记录!AD87</f>
        <v>0</v>
      </c>
      <c r="AC644" s="124">
        <f>交易记录!AD118</f>
        <v>0</v>
      </c>
      <c r="AD644" s="30">
        <f t="shared" si="299"/>
        <v>0</v>
      </c>
      <c r="AE644" s="121">
        <f>交易记录!AD151</f>
        <v>0</v>
      </c>
      <c r="AF644" s="121">
        <f>交易记录!AD182</f>
        <v>0</v>
      </c>
      <c r="AG644" s="30">
        <f t="shared" si="300"/>
        <v>0</v>
      </c>
      <c r="AH644" s="124">
        <f>交易记录!AD215</f>
        <v>0</v>
      </c>
      <c r="AI644" s="124">
        <f>交易记录!AD246</f>
        <v>0</v>
      </c>
      <c r="AJ644" s="30">
        <f t="shared" si="301"/>
        <v>0</v>
      </c>
      <c r="AK644" s="121">
        <f>交易记录!AD279</f>
        <v>0</v>
      </c>
      <c r="AL644" s="121">
        <f>交易记录!AD310</f>
        <v>0</v>
      </c>
      <c r="AM644" s="30">
        <f t="shared" si="302"/>
        <v>0</v>
      </c>
      <c r="AN644" s="124">
        <f>交易记录!AD343</f>
        <v>0</v>
      </c>
      <c r="AO644" s="124">
        <f>交易记录!AD374</f>
        <v>0</v>
      </c>
      <c r="AP644" s="30">
        <f t="shared" si="303"/>
        <v>0</v>
      </c>
      <c r="AQ644" s="121">
        <f>交易记录!AD407</f>
        <v>0</v>
      </c>
      <c r="AR644" s="121">
        <f>交易记录!AD438</f>
        <v>0</v>
      </c>
      <c r="AS644" s="30">
        <f t="shared" si="304"/>
        <v>0</v>
      </c>
      <c r="AT644" s="124">
        <f>交易记录!AD471</f>
        <v>0</v>
      </c>
      <c r="AU644" s="124">
        <f>交易记录!AD502</f>
        <v>0</v>
      </c>
      <c r="AV644" s="30">
        <f t="shared" si="311"/>
        <v>0</v>
      </c>
      <c r="AW644" s="121">
        <f>交易记录!AD535</f>
        <v>0</v>
      </c>
      <c r="AX644" s="121">
        <f>交易记录!AD566</f>
        <v>0</v>
      </c>
      <c r="AY644" s="30">
        <f t="shared" si="312"/>
        <v>0</v>
      </c>
      <c r="AZ644" s="124">
        <f>交易记录!AD599</f>
        <v>0</v>
      </c>
      <c r="BA644" s="124">
        <f>交易记录!AD630</f>
        <v>0</v>
      </c>
      <c r="BB644" s="30">
        <f t="shared" si="313"/>
        <v>0</v>
      </c>
      <c r="BC644" s="121">
        <f>交易记录!AD663</f>
        <v>0</v>
      </c>
      <c r="BD644" s="121">
        <f>交易记录!AD694</f>
        <v>0</v>
      </c>
      <c r="BE644" s="30">
        <f t="shared" si="314"/>
        <v>0</v>
      </c>
      <c r="BF644" s="124">
        <f>交易记录!AD727</f>
        <v>0</v>
      </c>
      <c r="BG644" s="124">
        <f>交易记录!AD758</f>
        <v>0</v>
      </c>
      <c r="BH644" s="30">
        <f t="shared" si="315"/>
        <v>0</v>
      </c>
      <c r="BI644" s="121">
        <f>交易记录!AD791</f>
        <v>0</v>
      </c>
      <c r="BJ644" s="121">
        <f>交易记录!AD822</f>
        <v>0</v>
      </c>
      <c r="BK644" s="30">
        <f t="shared" si="316"/>
        <v>0</v>
      </c>
      <c r="BL644" s="124">
        <f>交易记录!AD855</f>
        <v>0</v>
      </c>
      <c r="BM644" s="124">
        <f>交易记录!AD886</f>
        <v>0</v>
      </c>
      <c r="BN644" s="30">
        <f t="shared" si="317"/>
        <v>0</v>
      </c>
      <c r="BO644" s="121">
        <f>交易记录!AD919</f>
        <v>0</v>
      </c>
      <c r="BP644" s="121">
        <f>交易记录!AD950</f>
        <v>0</v>
      </c>
      <c r="BQ644" s="30">
        <f t="shared" si="318"/>
        <v>0</v>
      </c>
    </row>
    <row r="645" spans="1:69" ht="15">
      <c r="A645" s="125">
        <f>'维护-日期'!A$29</f>
        <v>46292</v>
      </c>
      <c r="B645" s="7" t="s">
        <v>25</v>
      </c>
      <c r="C645" s="144">
        <f t="shared" si="319"/>
        <v>23.771999999999998</v>
      </c>
      <c r="D645" s="144">
        <f>ROUND(INDEX(持仓数据!$C$3:$AG$26,MATCH('计算过程-数据汇总'!B645,持仓数据!$B$3:$B$26,0),MATCH('计算过程-数据汇总'!A645,'维护-日期'!$B$2:$AF$2,0)),3)</f>
        <v>23.771999999999998</v>
      </c>
      <c r="E645" s="98">
        <f t="shared" si="320"/>
        <v>23.771999999999998</v>
      </c>
      <c r="F645" s="22">
        <f>持仓数据!AC91</f>
        <v>0.22399999999999998</v>
      </c>
      <c r="G645" s="97">
        <v>372</v>
      </c>
      <c r="H645" s="97">
        <v>372</v>
      </c>
      <c r="I645" s="64">
        <v>0</v>
      </c>
      <c r="J645" s="64">
        <v>0</v>
      </c>
      <c r="K645" s="21">
        <f>IF(持仓数据!AC124="",0,持仓数据!AC124)</f>
        <v>372</v>
      </c>
      <c r="L645" s="21">
        <f t="shared" si="321"/>
        <v>0</v>
      </c>
      <c r="M645" s="28">
        <f t="shared" si="305"/>
        <v>8843.1839999999993</v>
      </c>
      <c r="N645" s="28">
        <f t="shared" si="306"/>
        <v>0</v>
      </c>
      <c r="O645" s="28">
        <f t="shared" si="307"/>
        <v>0</v>
      </c>
      <c r="P645" s="28">
        <f t="shared" si="308"/>
        <v>0</v>
      </c>
      <c r="Q645" s="28">
        <f t="shared" si="322"/>
        <v>0</v>
      </c>
      <c r="R645" s="28">
        <f t="shared" si="309"/>
        <v>8843.1839999999993</v>
      </c>
      <c r="S645" s="28">
        <f t="shared" si="323"/>
        <v>0</v>
      </c>
      <c r="T645" s="28">
        <f t="shared" si="324"/>
        <v>0</v>
      </c>
      <c r="U645" s="28">
        <f t="shared" si="327"/>
        <v>0</v>
      </c>
      <c r="V645" s="28">
        <f t="shared" si="325"/>
        <v>0</v>
      </c>
      <c r="W645" s="118"/>
      <c r="X645" s="143">
        <f t="shared" si="326"/>
        <v>28.302</v>
      </c>
      <c r="Y645" s="121">
        <f>交易记录!AD24</f>
        <v>0.22399999999999998</v>
      </c>
      <c r="Z645" s="121">
        <f>交易记录!AD55</f>
        <v>372</v>
      </c>
      <c r="AA645" s="30">
        <f t="shared" si="310"/>
        <v>0</v>
      </c>
      <c r="AB645" s="124">
        <f>交易记录!AD88</f>
        <v>0</v>
      </c>
      <c r="AC645" s="124">
        <f>交易记录!AD119</f>
        <v>0</v>
      </c>
      <c r="AD645" s="30">
        <f t="shared" si="299"/>
        <v>0</v>
      </c>
      <c r="AE645" s="121">
        <f>交易记录!AD152</f>
        <v>0</v>
      </c>
      <c r="AF645" s="121">
        <f>交易记录!AD183</f>
        <v>0</v>
      </c>
      <c r="AG645" s="30">
        <f t="shared" si="300"/>
        <v>0</v>
      </c>
      <c r="AH645" s="124">
        <f>交易记录!AD216</f>
        <v>0</v>
      </c>
      <c r="AI645" s="124">
        <f>交易记录!AD247</f>
        <v>0</v>
      </c>
      <c r="AJ645" s="30">
        <f t="shared" si="301"/>
        <v>0</v>
      </c>
      <c r="AK645" s="121">
        <f>交易记录!AD280</f>
        <v>0</v>
      </c>
      <c r="AL645" s="121">
        <f>交易记录!AD311</f>
        <v>0</v>
      </c>
      <c r="AM645" s="30">
        <f t="shared" si="302"/>
        <v>0</v>
      </c>
      <c r="AN645" s="124">
        <f>交易记录!AD344</f>
        <v>0</v>
      </c>
      <c r="AO645" s="124">
        <f>交易记录!AD375</f>
        <v>0</v>
      </c>
      <c r="AP645" s="30">
        <f t="shared" si="303"/>
        <v>0</v>
      </c>
      <c r="AQ645" s="121">
        <f>交易记录!AD408</f>
        <v>0</v>
      </c>
      <c r="AR645" s="121">
        <f>交易记录!AD439</f>
        <v>0</v>
      </c>
      <c r="AS645" s="30">
        <f t="shared" si="304"/>
        <v>0</v>
      </c>
      <c r="AT645" s="124">
        <f>交易记录!AD472</f>
        <v>0</v>
      </c>
      <c r="AU645" s="124">
        <f>交易记录!AD503</f>
        <v>0</v>
      </c>
      <c r="AV645" s="30">
        <f t="shared" si="311"/>
        <v>0</v>
      </c>
      <c r="AW645" s="121">
        <f>交易记录!AD536</f>
        <v>0</v>
      </c>
      <c r="AX645" s="121">
        <f>交易记录!AD567</f>
        <v>0</v>
      </c>
      <c r="AY645" s="30">
        <f t="shared" si="312"/>
        <v>0</v>
      </c>
      <c r="AZ645" s="124">
        <f>交易记录!AD600</f>
        <v>0</v>
      </c>
      <c r="BA645" s="124">
        <f>交易记录!AD631</f>
        <v>0</v>
      </c>
      <c r="BB645" s="30">
        <f t="shared" si="313"/>
        <v>0</v>
      </c>
      <c r="BC645" s="121">
        <f>交易记录!AD664</f>
        <v>0</v>
      </c>
      <c r="BD645" s="121">
        <f>交易记录!AD695</f>
        <v>0</v>
      </c>
      <c r="BE645" s="30">
        <f t="shared" si="314"/>
        <v>0</v>
      </c>
      <c r="BF645" s="124">
        <f>交易记录!AD728</f>
        <v>0</v>
      </c>
      <c r="BG645" s="124">
        <f>交易记录!AD759</f>
        <v>0</v>
      </c>
      <c r="BH645" s="30">
        <f t="shared" si="315"/>
        <v>0</v>
      </c>
      <c r="BI645" s="121">
        <f>交易记录!AD792</f>
        <v>0</v>
      </c>
      <c r="BJ645" s="121">
        <f>交易记录!AD823</f>
        <v>0</v>
      </c>
      <c r="BK645" s="30">
        <f t="shared" si="316"/>
        <v>0</v>
      </c>
      <c r="BL645" s="124">
        <f>交易记录!AD856</f>
        <v>0</v>
      </c>
      <c r="BM645" s="124">
        <f>交易记录!AD887</f>
        <v>0</v>
      </c>
      <c r="BN645" s="30">
        <f t="shared" si="317"/>
        <v>0</v>
      </c>
      <c r="BO645" s="121">
        <f>交易记录!AD920</f>
        <v>0</v>
      </c>
      <c r="BP645" s="121">
        <f>交易记录!AD951</f>
        <v>0</v>
      </c>
      <c r="BQ645" s="30">
        <f t="shared" si="318"/>
        <v>0</v>
      </c>
    </row>
    <row r="646" spans="1:69" ht="15">
      <c r="A646" s="125">
        <f>'维护-日期'!A$29</f>
        <v>46292</v>
      </c>
      <c r="B646" s="7" t="s">
        <v>26</v>
      </c>
      <c r="C646" s="144">
        <f t="shared" si="319"/>
        <v>23.515000000000001</v>
      </c>
      <c r="D646" s="144">
        <f>ROUND(INDEX(持仓数据!$C$3:$AG$26,MATCH('计算过程-数据汇总'!B646,持仓数据!$B$3:$B$26,0),MATCH('计算过程-数据汇总'!A646,'维护-日期'!$B$2:$AF$2,0)),3)</f>
        <v>23.515000000000001</v>
      </c>
      <c r="E646" s="98">
        <f t="shared" si="320"/>
        <v>23.515000000000001</v>
      </c>
      <c r="F646" s="22">
        <f>持仓数据!AC92</f>
        <v>0.16399999999999998</v>
      </c>
      <c r="G646" s="97">
        <v>372</v>
      </c>
      <c r="H646" s="97">
        <v>372</v>
      </c>
      <c r="I646" s="64">
        <v>0</v>
      </c>
      <c r="J646" s="64">
        <v>0</v>
      </c>
      <c r="K646" s="21">
        <f>IF(持仓数据!AC125="",0,持仓数据!AC125)</f>
        <v>372</v>
      </c>
      <c r="L646" s="21">
        <f t="shared" si="321"/>
        <v>0</v>
      </c>
      <c r="M646" s="28">
        <f t="shared" si="305"/>
        <v>8747.58</v>
      </c>
      <c r="N646" s="28">
        <f t="shared" si="306"/>
        <v>0</v>
      </c>
      <c r="O646" s="28">
        <f t="shared" si="307"/>
        <v>0</v>
      </c>
      <c r="P646" s="28">
        <f t="shared" si="308"/>
        <v>0</v>
      </c>
      <c r="Q646" s="28">
        <f t="shared" si="322"/>
        <v>0</v>
      </c>
      <c r="R646" s="28">
        <f t="shared" si="309"/>
        <v>8747.58</v>
      </c>
      <c r="S646" s="28">
        <f t="shared" si="323"/>
        <v>0</v>
      </c>
      <c r="T646" s="28">
        <f t="shared" si="324"/>
        <v>0</v>
      </c>
      <c r="U646" s="28">
        <f t="shared" si="327"/>
        <v>0</v>
      </c>
      <c r="V646" s="28">
        <f t="shared" si="325"/>
        <v>0</v>
      </c>
      <c r="W646" s="118"/>
      <c r="X646" s="143">
        <f t="shared" si="326"/>
        <v>28.053999999999998</v>
      </c>
      <c r="Y646" s="121">
        <f>交易记录!AD25</f>
        <v>0.16399999999999998</v>
      </c>
      <c r="Z646" s="121">
        <f>交易记录!AD56</f>
        <v>372</v>
      </c>
      <c r="AA646" s="30">
        <f t="shared" si="310"/>
        <v>0</v>
      </c>
      <c r="AB646" s="124">
        <f>交易记录!AD89</f>
        <v>0</v>
      </c>
      <c r="AC646" s="124">
        <f>交易记录!AD120</f>
        <v>0</v>
      </c>
      <c r="AD646" s="30">
        <f t="shared" si="299"/>
        <v>0</v>
      </c>
      <c r="AE646" s="121">
        <f>交易记录!AD153</f>
        <v>0</v>
      </c>
      <c r="AF646" s="121">
        <f>交易记录!AD184</f>
        <v>0</v>
      </c>
      <c r="AG646" s="30">
        <f t="shared" si="300"/>
        <v>0</v>
      </c>
      <c r="AH646" s="124">
        <f>交易记录!AD217</f>
        <v>0</v>
      </c>
      <c r="AI646" s="124">
        <f>交易记录!AD248</f>
        <v>0</v>
      </c>
      <c r="AJ646" s="30">
        <f t="shared" si="301"/>
        <v>0</v>
      </c>
      <c r="AK646" s="121">
        <f>交易记录!AD281</f>
        <v>0</v>
      </c>
      <c r="AL646" s="121">
        <f>交易记录!AD312</f>
        <v>0</v>
      </c>
      <c r="AM646" s="30">
        <f t="shared" si="302"/>
        <v>0</v>
      </c>
      <c r="AN646" s="124">
        <f>交易记录!AD345</f>
        <v>0</v>
      </c>
      <c r="AO646" s="124">
        <f>交易记录!AD376</f>
        <v>0</v>
      </c>
      <c r="AP646" s="30">
        <f t="shared" si="303"/>
        <v>0</v>
      </c>
      <c r="AQ646" s="121">
        <f>交易记录!AD409</f>
        <v>0</v>
      </c>
      <c r="AR646" s="121">
        <f>交易记录!AD440</f>
        <v>0</v>
      </c>
      <c r="AS646" s="30">
        <f t="shared" si="304"/>
        <v>0</v>
      </c>
      <c r="AT646" s="124">
        <f>交易记录!AD473</f>
        <v>0</v>
      </c>
      <c r="AU646" s="124">
        <f>交易记录!AD504</f>
        <v>0</v>
      </c>
      <c r="AV646" s="30">
        <f t="shared" si="311"/>
        <v>0</v>
      </c>
      <c r="AW646" s="121">
        <f>交易记录!AD537</f>
        <v>0</v>
      </c>
      <c r="AX646" s="121">
        <f>交易记录!AD568</f>
        <v>0</v>
      </c>
      <c r="AY646" s="30">
        <f t="shared" si="312"/>
        <v>0</v>
      </c>
      <c r="AZ646" s="124">
        <f>交易记录!AD601</f>
        <v>0</v>
      </c>
      <c r="BA646" s="124">
        <f>交易记录!AD632</f>
        <v>0</v>
      </c>
      <c r="BB646" s="30">
        <f t="shared" si="313"/>
        <v>0</v>
      </c>
      <c r="BC646" s="121">
        <f>交易记录!AD665</f>
        <v>0</v>
      </c>
      <c r="BD646" s="121">
        <f>交易记录!AD696</f>
        <v>0</v>
      </c>
      <c r="BE646" s="30">
        <f t="shared" si="314"/>
        <v>0</v>
      </c>
      <c r="BF646" s="124">
        <f>交易记录!AD729</f>
        <v>0</v>
      </c>
      <c r="BG646" s="124">
        <f>交易记录!AD760</f>
        <v>0</v>
      </c>
      <c r="BH646" s="30">
        <f t="shared" si="315"/>
        <v>0</v>
      </c>
      <c r="BI646" s="121">
        <f>交易记录!AD793</f>
        <v>0</v>
      </c>
      <c r="BJ646" s="121">
        <f>交易记录!AD824</f>
        <v>0</v>
      </c>
      <c r="BK646" s="30">
        <f t="shared" si="316"/>
        <v>0</v>
      </c>
      <c r="BL646" s="124">
        <f>交易记录!AD857</f>
        <v>0</v>
      </c>
      <c r="BM646" s="124">
        <f>交易记录!AD888</f>
        <v>0</v>
      </c>
      <c r="BN646" s="30">
        <f t="shared" si="317"/>
        <v>0</v>
      </c>
      <c r="BO646" s="121">
        <f>交易记录!AD921</f>
        <v>0</v>
      </c>
      <c r="BP646" s="121">
        <f>交易记录!AD952</f>
        <v>0</v>
      </c>
      <c r="BQ646" s="30">
        <f t="shared" si="318"/>
        <v>0</v>
      </c>
    </row>
    <row r="647" spans="1:69" ht="15">
      <c r="A647" s="125">
        <f>'维护-日期'!A$29</f>
        <v>46292</v>
      </c>
      <c r="B647" s="7" t="s">
        <v>27</v>
      </c>
      <c r="C647" s="144">
        <f t="shared" si="319"/>
        <v>22.122</v>
      </c>
      <c r="D647" s="144">
        <f>ROUND(INDEX(持仓数据!$C$3:$AG$26,MATCH('计算过程-数据汇总'!B647,持仓数据!$B$3:$B$26,0),MATCH('计算过程-数据汇总'!A647,'维护-日期'!$B$2:$AF$2,0)),3)</f>
        <v>22.122</v>
      </c>
      <c r="E647" s="98">
        <f t="shared" si="320"/>
        <v>22.122</v>
      </c>
      <c r="F647" s="22">
        <f>持仓数据!AC93</f>
        <v>0.15200000000000002</v>
      </c>
      <c r="G647" s="97">
        <v>372</v>
      </c>
      <c r="H647" s="97">
        <v>372</v>
      </c>
      <c r="I647" s="64">
        <v>0</v>
      </c>
      <c r="J647" s="64">
        <v>0</v>
      </c>
      <c r="K647" s="21">
        <f>IF(持仓数据!AC126="",0,持仓数据!AC126)</f>
        <v>372</v>
      </c>
      <c r="L647" s="21">
        <f t="shared" si="321"/>
        <v>0</v>
      </c>
      <c r="M647" s="28">
        <f t="shared" si="305"/>
        <v>8229.384</v>
      </c>
      <c r="N647" s="28">
        <f t="shared" si="306"/>
        <v>0</v>
      </c>
      <c r="O647" s="28">
        <f t="shared" si="307"/>
        <v>0</v>
      </c>
      <c r="P647" s="28">
        <f t="shared" si="308"/>
        <v>0</v>
      </c>
      <c r="Q647" s="28">
        <f t="shared" si="322"/>
        <v>0</v>
      </c>
      <c r="R647" s="28">
        <f t="shared" si="309"/>
        <v>8229.384</v>
      </c>
      <c r="S647" s="28">
        <f t="shared" si="323"/>
        <v>0</v>
      </c>
      <c r="T647" s="28">
        <f t="shared" si="324"/>
        <v>0</v>
      </c>
      <c r="U647" s="28">
        <f t="shared" si="327"/>
        <v>0</v>
      </c>
      <c r="V647" s="28">
        <f t="shared" si="325"/>
        <v>0</v>
      </c>
      <c r="W647" s="118"/>
      <c r="X647" s="143">
        <f t="shared" si="326"/>
        <v>26.393999999999998</v>
      </c>
      <c r="Y647" s="121">
        <f>交易记录!AD26</f>
        <v>0.15200000000000002</v>
      </c>
      <c r="Z647" s="121">
        <f>交易记录!AD57</f>
        <v>372</v>
      </c>
      <c r="AA647" s="30">
        <f t="shared" si="310"/>
        <v>0</v>
      </c>
      <c r="AB647" s="124">
        <f>交易记录!AD90</f>
        <v>0</v>
      </c>
      <c r="AC647" s="124">
        <f>交易记录!AD121</f>
        <v>0</v>
      </c>
      <c r="AD647" s="30">
        <f t="shared" si="299"/>
        <v>0</v>
      </c>
      <c r="AE647" s="121">
        <f>交易记录!AD154</f>
        <v>0</v>
      </c>
      <c r="AF647" s="121">
        <f>交易记录!AD185</f>
        <v>0</v>
      </c>
      <c r="AG647" s="30">
        <f t="shared" si="300"/>
        <v>0</v>
      </c>
      <c r="AH647" s="124">
        <f>交易记录!AD218</f>
        <v>0</v>
      </c>
      <c r="AI647" s="124">
        <f>交易记录!AD249</f>
        <v>0</v>
      </c>
      <c r="AJ647" s="30">
        <f t="shared" si="301"/>
        <v>0</v>
      </c>
      <c r="AK647" s="121">
        <f>交易记录!AD282</f>
        <v>0</v>
      </c>
      <c r="AL647" s="121">
        <f>交易记录!AD313</f>
        <v>0</v>
      </c>
      <c r="AM647" s="30">
        <f t="shared" si="302"/>
        <v>0</v>
      </c>
      <c r="AN647" s="124">
        <f>交易记录!AD346</f>
        <v>0</v>
      </c>
      <c r="AO647" s="124">
        <f>交易记录!AD377</f>
        <v>0</v>
      </c>
      <c r="AP647" s="30">
        <f t="shared" si="303"/>
        <v>0</v>
      </c>
      <c r="AQ647" s="121">
        <f>交易记录!AD410</f>
        <v>0</v>
      </c>
      <c r="AR647" s="121">
        <f>交易记录!AD441</f>
        <v>0</v>
      </c>
      <c r="AS647" s="30">
        <f t="shared" si="304"/>
        <v>0</v>
      </c>
      <c r="AT647" s="124">
        <f>交易记录!AD474</f>
        <v>0</v>
      </c>
      <c r="AU647" s="124">
        <f>交易记录!AD505</f>
        <v>0</v>
      </c>
      <c r="AV647" s="30">
        <f t="shared" si="311"/>
        <v>0</v>
      </c>
      <c r="AW647" s="121">
        <f>交易记录!AD538</f>
        <v>0</v>
      </c>
      <c r="AX647" s="121">
        <f>交易记录!AD569</f>
        <v>0</v>
      </c>
      <c r="AY647" s="30">
        <f t="shared" si="312"/>
        <v>0</v>
      </c>
      <c r="AZ647" s="124">
        <f>交易记录!AD602</f>
        <v>0</v>
      </c>
      <c r="BA647" s="124">
        <f>交易记录!AD633</f>
        <v>0</v>
      </c>
      <c r="BB647" s="30">
        <f t="shared" si="313"/>
        <v>0</v>
      </c>
      <c r="BC647" s="121">
        <f>交易记录!AD666</f>
        <v>0</v>
      </c>
      <c r="BD647" s="121">
        <f>交易记录!AD697</f>
        <v>0</v>
      </c>
      <c r="BE647" s="30">
        <f t="shared" si="314"/>
        <v>0</v>
      </c>
      <c r="BF647" s="124">
        <f>交易记录!AD730</f>
        <v>0</v>
      </c>
      <c r="BG647" s="124">
        <f>交易记录!AD761</f>
        <v>0</v>
      </c>
      <c r="BH647" s="30">
        <f t="shared" si="315"/>
        <v>0</v>
      </c>
      <c r="BI647" s="121">
        <f>交易记录!AD794</f>
        <v>0</v>
      </c>
      <c r="BJ647" s="121">
        <f>交易记录!AD825</f>
        <v>0</v>
      </c>
      <c r="BK647" s="30">
        <f t="shared" si="316"/>
        <v>0</v>
      </c>
      <c r="BL647" s="124">
        <f>交易记录!AD858</f>
        <v>0</v>
      </c>
      <c r="BM647" s="124">
        <f>交易记录!AD889</f>
        <v>0</v>
      </c>
      <c r="BN647" s="30">
        <f t="shared" si="317"/>
        <v>0</v>
      </c>
      <c r="BO647" s="121">
        <f>交易记录!AD922</f>
        <v>0</v>
      </c>
      <c r="BP647" s="121">
        <f>交易记录!AD953</f>
        <v>0</v>
      </c>
      <c r="BQ647" s="30">
        <f t="shared" si="318"/>
        <v>0</v>
      </c>
    </row>
    <row r="648" spans="1:69" ht="15">
      <c r="A648" s="125">
        <f>'维护-日期'!A$29</f>
        <v>46292</v>
      </c>
      <c r="B648" s="7" t="s">
        <v>28</v>
      </c>
      <c r="C648" s="144">
        <f t="shared" si="319"/>
        <v>19.263000000000002</v>
      </c>
      <c r="D648" s="144">
        <f>ROUND(INDEX(持仓数据!$C$3:$AG$26,MATCH('计算过程-数据汇总'!B648,持仓数据!$B$3:$B$26,0),MATCH('计算过程-数据汇总'!A648,'维护-日期'!$B$2:$AF$2,0)),3)</f>
        <v>19.263000000000002</v>
      </c>
      <c r="E648" s="98">
        <f t="shared" si="320"/>
        <v>19.263000000000002</v>
      </c>
      <c r="F648" s="22">
        <f>持仓数据!AC94</f>
        <v>0.111</v>
      </c>
      <c r="G648" s="97">
        <v>372</v>
      </c>
      <c r="H648" s="97">
        <v>372</v>
      </c>
      <c r="I648" s="64">
        <v>0</v>
      </c>
      <c r="J648" s="64">
        <v>0</v>
      </c>
      <c r="K648" s="21">
        <f>IF(持仓数据!AC127="",0,持仓数据!AC127)</f>
        <v>372</v>
      </c>
      <c r="L648" s="21">
        <f t="shared" si="321"/>
        <v>0</v>
      </c>
      <c r="M648" s="28">
        <f t="shared" si="305"/>
        <v>7165.8360000000002</v>
      </c>
      <c r="N648" s="28">
        <f t="shared" si="306"/>
        <v>0</v>
      </c>
      <c r="O648" s="28">
        <f t="shared" si="307"/>
        <v>0</v>
      </c>
      <c r="P648" s="28">
        <f t="shared" si="308"/>
        <v>0</v>
      </c>
      <c r="Q648" s="28">
        <f t="shared" si="322"/>
        <v>0</v>
      </c>
      <c r="R648" s="28">
        <f t="shared" si="309"/>
        <v>7165.8360000000002</v>
      </c>
      <c r="S648" s="28">
        <f t="shared" si="323"/>
        <v>0</v>
      </c>
      <c r="T648" s="28">
        <f t="shared" si="324"/>
        <v>0</v>
      </c>
      <c r="U648" s="28">
        <f t="shared" si="327"/>
        <v>0</v>
      </c>
      <c r="V648" s="28">
        <f t="shared" si="325"/>
        <v>0</v>
      </c>
      <c r="W648" s="118"/>
      <c r="X648" s="143">
        <f t="shared" si="326"/>
        <v>23.004999999999999</v>
      </c>
      <c r="Y648" s="121">
        <f>交易记录!AD27</f>
        <v>0.111</v>
      </c>
      <c r="Z648" s="121">
        <f>交易记录!AD58</f>
        <v>372</v>
      </c>
      <c r="AA648" s="30">
        <f t="shared" si="310"/>
        <v>0</v>
      </c>
      <c r="AB648" s="124">
        <f>交易记录!AD91</f>
        <v>0</v>
      </c>
      <c r="AC648" s="124">
        <f>交易记录!AD122</f>
        <v>0</v>
      </c>
      <c r="AD648" s="30">
        <f t="shared" si="299"/>
        <v>0</v>
      </c>
      <c r="AE648" s="121">
        <f>交易记录!AD155</f>
        <v>0</v>
      </c>
      <c r="AF648" s="121">
        <f>交易记录!AD186</f>
        <v>0</v>
      </c>
      <c r="AG648" s="30">
        <f t="shared" si="300"/>
        <v>0</v>
      </c>
      <c r="AH648" s="124">
        <f>交易记录!AD219</f>
        <v>0</v>
      </c>
      <c r="AI648" s="124">
        <f>交易记录!AD250</f>
        <v>0</v>
      </c>
      <c r="AJ648" s="30">
        <f t="shared" si="301"/>
        <v>0</v>
      </c>
      <c r="AK648" s="121">
        <f>交易记录!AD283</f>
        <v>0</v>
      </c>
      <c r="AL648" s="121">
        <f>交易记录!AD314</f>
        <v>0</v>
      </c>
      <c r="AM648" s="30">
        <f t="shared" si="302"/>
        <v>0</v>
      </c>
      <c r="AN648" s="124">
        <f>交易记录!AD347</f>
        <v>0</v>
      </c>
      <c r="AO648" s="124">
        <f>交易记录!AD378</f>
        <v>0</v>
      </c>
      <c r="AP648" s="30">
        <f t="shared" si="303"/>
        <v>0</v>
      </c>
      <c r="AQ648" s="121">
        <f>交易记录!AD411</f>
        <v>0</v>
      </c>
      <c r="AR648" s="121">
        <f>交易记录!AD442</f>
        <v>0</v>
      </c>
      <c r="AS648" s="30">
        <f t="shared" si="304"/>
        <v>0</v>
      </c>
      <c r="AT648" s="124">
        <f>交易记录!AD475</f>
        <v>0</v>
      </c>
      <c r="AU648" s="124">
        <f>交易记录!AD506</f>
        <v>0</v>
      </c>
      <c r="AV648" s="30">
        <f t="shared" si="311"/>
        <v>0</v>
      </c>
      <c r="AW648" s="121">
        <f>交易记录!AD539</f>
        <v>0</v>
      </c>
      <c r="AX648" s="121">
        <f>交易记录!AD570</f>
        <v>0</v>
      </c>
      <c r="AY648" s="30">
        <f t="shared" si="312"/>
        <v>0</v>
      </c>
      <c r="AZ648" s="124">
        <f>交易记录!AD603</f>
        <v>0</v>
      </c>
      <c r="BA648" s="124">
        <f>交易记录!AD634</f>
        <v>0</v>
      </c>
      <c r="BB648" s="30">
        <f t="shared" si="313"/>
        <v>0</v>
      </c>
      <c r="BC648" s="121">
        <f>交易记录!AD667</f>
        <v>0</v>
      </c>
      <c r="BD648" s="121">
        <f>交易记录!AD698</f>
        <v>0</v>
      </c>
      <c r="BE648" s="30">
        <f t="shared" si="314"/>
        <v>0</v>
      </c>
      <c r="BF648" s="124">
        <f>交易记录!AD731</f>
        <v>0</v>
      </c>
      <c r="BG648" s="124">
        <f>交易记录!AD762</f>
        <v>0</v>
      </c>
      <c r="BH648" s="30">
        <f t="shared" si="315"/>
        <v>0</v>
      </c>
      <c r="BI648" s="121">
        <f>交易记录!AD795</f>
        <v>0</v>
      </c>
      <c r="BJ648" s="121">
        <f>交易记录!AD826</f>
        <v>0</v>
      </c>
      <c r="BK648" s="30">
        <f t="shared" si="316"/>
        <v>0</v>
      </c>
      <c r="BL648" s="124">
        <f>交易记录!AD859</f>
        <v>0</v>
      </c>
      <c r="BM648" s="124">
        <f>交易记录!AD890</f>
        <v>0</v>
      </c>
      <c r="BN648" s="30">
        <f t="shared" si="317"/>
        <v>0</v>
      </c>
      <c r="BO648" s="121">
        <f>交易记录!AD923</f>
        <v>0</v>
      </c>
      <c r="BP648" s="121">
        <f>交易记录!AD954</f>
        <v>0</v>
      </c>
      <c r="BQ648" s="30">
        <f t="shared" si="318"/>
        <v>0</v>
      </c>
    </row>
    <row r="649" spans="1:69" ht="15">
      <c r="A649" s="125">
        <f>'维护-日期'!A$29</f>
        <v>46292</v>
      </c>
      <c r="B649" s="7" t="s">
        <v>29</v>
      </c>
      <c r="C649" s="144">
        <f t="shared" si="319"/>
        <v>16.701000000000001</v>
      </c>
      <c r="D649" s="144">
        <f>ROUND(INDEX(持仓数据!$C$3:$AG$26,MATCH('计算过程-数据汇总'!B649,持仓数据!$B$3:$B$26,0),MATCH('计算过程-数据汇总'!A649,'维护-日期'!$B$2:$AF$2,0)),3)</f>
        <v>16.701000000000001</v>
      </c>
      <c r="E649" s="98">
        <f t="shared" si="320"/>
        <v>16.701000000000001</v>
      </c>
      <c r="F649" s="22">
        <f>持仓数据!AC95</f>
        <v>9.2999999999999999E-2</v>
      </c>
      <c r="G649" s="97">
        <v>372</v>
      </c>
      <c r="H649" s="97">
        <v>372</v>
      </c>
      <c r="I649" s="64">
        <v>0</v>
      </c>
      <c r="J649" s="64">
        <v>0</v>
      </c>
      <c r="K649" s="21">
        <f>IF(持仓数据!AC128="",0,持仓数据!AC128)</f>
        <v>371.99999999999994</v>
      </c>
      <c r="L649" s="21">
        <f t="shared" si="321"/>
        <v>0</v>
      </c>
      <c r="M649" s="28">
        <f t="shared" si="305"/>
        <v>6212.7719999999999</v>
      </c>
      <c r="N649" s="28">
        <f t="shared" si="306"/>
        <v>0</v>
      </c>
      <c r="O649" s="28">
        <f t="shared" si="307"/>
        <v>0</v>
      </c>
      <c r="P649" s="28">
        <f t="shared" si="308"/>
        <v>-5.2864379540551453E-15</v>
      </c>
      <c r="Q649" s="28">
        <f t="shared" si="322"/>
        <v>0</v>
      </c>
      <c r="R649" s="28">
        <f t="shared" si="309"/>
        <v>6212.771999999999</v>
      </c>
      <c r="S649" s="28">
        <f t="shared" si="323"/>
        <v>0</v>
      </c>
      <c r="T649" s="28">
        <f t="shared" si="324"/>
        <v>9.4405550044029954E-13</v>
      </c>
      <c r="U649" s="28">
        <f t="shared" si="327"/>
        <v>0</v>
      </c>
      <c r="V649" s="28">
        <f t="shared" si="325"/>
        <v>0</v>
      </c>
      <c r="W649" s="118"/>
      <c r="X649" s="143">
        <f t="shared" si="326"/>
        <v>19.948</v>
      </c>
      <c r="Y649" s="121">
        <f>交易记录!AD28</f>
        <v>9.2999999999999999E-2</v>
      </c>
      <c r="Z649" s="121">
        <f>交易记录!AD59</f>
        <v>372</v>
      </c>
      <c r="AA649" s="30">
        <f t="shared" si="310"/>
        <v>0</v>
      </c>
      <c r="AB649" s="124">
        <f>交易记录!AD92</f>
        <v>0</v>
      </c>
      <c r="AC649" s="124">
        <f>交易记录!AD123</f>
        <v>0</v>
      </c>
      <c r="AD649" s="30">
        <f t="shared" si="299"/>
        <v>0</v>
      </c>
      <c r="AE649" s="121">
        <f>交易记录!AD156</f>
        <v>0</v>
      </c>
      <c r="AF649" s="121">
        <f>交易记录!AD187</f>
        <v>0</v>
      </c>
      <c r="AG649" s="30">
        <f t="shared" si="300"/>
        <v>0</v>
      </c>
      <c r="AH649" s="124">
        <f>交易记录!AD220</f>
        <v>0</v>
      </c>
      <c r="AI649" s="124">
        <f>交易记录!AD251</f>
        <v>0</v>
      </c>
      <c r="AJ649" s="30">
        <f t="shared" si="301"/>
        <v>0</v>
      </c>
      <c r="AK649" s="121">
        <f>交易记录!AD284</f>
        <v>0</v>
      </c>
      <c r="AL649" s="121">
        <f>交易记录!AD315</f>
        <v>0</v>
      </c>
      <c r="AM649" s="30">
        <f t="shared" si="302"/>
        <v>0</v>
      </c>
      <c r="AN649" s="124">
        <f>交易记录!AD348</f>
        <v>0</v>
      </c>
      <c r="AO649" s="124">
        <f>交易记录!AD379</f>
        <v>0</v>
      </c>
      <c r="AP649" s="30">
        <f t="shared" si="303"/>
        <v>0</v>
      </c>
      <c r="AQ649" s="121">
        <f>交易记录!AD412</f>
        <v>0</v>
      </c>
      <c r="AR649" s="121">
        <f>交易记录!AD443</f>
        <v>0</v>
      </c>
      <c r="AS649" s="30">
        <f t="shared" si="304"/>
        <v>0</v>
      </c>
      <c r="AT649" s="124">
        <f>交易记录!AD476</f>
        <v>0</v>
      </c>
      <c r="AU649" s="124">
        <f>交易记录!AD507</f>
        <v>0</v>
      </c>
      <c r="AV649" s="30">
        <f t="shared" si="311"/>
        <v>0</v>
      </c>
      <c r="AW649" s="121">
        <f>交易记录!AD540</f>
        <v>0</v>
      </c>
      <c r="AX649" s="121">
        <f>交易记录!AD571</f>
        <v>0</v>
      </c>
      <c r="AY649" s="30">
        <f t="shared" si="312"/>
        <v>0</v>
      </c>
      <c r="AZ649" s="124">
        <f>交易记录!AD604</f>
        <v>0</v>
      </c>
      <c r="BA649" s="124">
        <f>交易记录!AD635</f>
        <v>0</v>
      </c>
      <c r="BB649" s="30">
        <f t="shared" si="313"/>
        <v>0</v>
      </c>
      <c r="BC649" s="121">
        <f>交易记录!AD668</f>
        <v>0</v>
      </c>
      <c r="BD649" s="121">
        <f>交易记录!AD699</f>
        <v>0</v>
      </c>
      <c r="BE649" s="30">
        <f t="shared" si="314"/>
        <v>0</v>
      </c>
      <c r="BF649" s="124">
        <f>交易记录!AD732</f>
        <v>0</v>
      </c>
      <c r="BG649" s="124">
        <f>交易记录!AD763</f>
        <v>0</v>
      </c>
      <c r="BH649" s="30">
        <f t="shared" si="315"/>
        <v>0</v>
      </c>
      <c r="BI649" s="121">
        <f>交易记录!AD796</f>
        <v>0</v>
      </c>
      <c r="BJ649" s="121">
        <f>交易记录!AD827</f>
        <v>0</v>
      </c>
      <c r="BK649" s="30">
        <f t="shared" si="316"/>
        <v>0</v>
      </c>
      <c r="BL649" s="124">
        <f>交易记录!AD860</f>
        <v>0</v>
      </c>
      <c r="BM649" s="124">
        <f>交易记录!AD891</f>
        <v>0</v>
      </c>
      <c r="BN649" s="30">
        <f t="shared" si="317"/>
        <v>0</v>
      </c>
      <c r="BO649" s="121">
        <f>交易记录!AD924</f>
        <v>0</v>
      </c>
      <c r="BP649" s="121">
        <f>交易记录!AD955</f>
        <v>0</v>
      </c>
      <c r="BQ649" s="30">
        <f t="shared" si="318"/>
        <v>0</v>
      </c>
    </row>
    <row r="650" spans="1:69" ht="15">
      <c r="A650" s="125">
        <f>'维护-日期'!A$30</f>
        <v>46293</v>
      </c>
      <c r="B650" s="7" t="s">
        <v>6</v>
      </c>
      <c r="C650" s="144">
        <f t="shared" si="319"/>
        <v>16.931000000000001</v>
      </c>
      <c r="D650" s="144">
        <f>ROUND(INDEX(持仓数据!$C$3:$AG$26,MATCH('计算过程-数据汇总'!B650,持仓数据!$B$3:$B$26,0),MATCH('计算过程-数据汇总'!A650,'维护-日期'!$B$2:$AF$2,0)),3)</f>
        <v>16.931000000000001</v>
      </c>
      <c r="E650" s="98">
        <f t="shared" si="320"/>
        <v>16.931000000000001</v>
      </c>
      <c r="F650" s="22">
        <f>持仓数据!AD72</f>
        <v>0.39700000000000002</v>
      </c>
      <c r="G650" s="97">
        <v>372</v>
      </c>
      <c r="H650" s="97">
        <v>372</v>
      </c>
      <c r="I650" s="64">
        <v>0</v>
      </c>
      <c r="J650" s="64">
        <v>0</v>
      </c>
      <c r="K650" s="21">
        <f>IF(持仓数据!AD105="",0,持仓数据!AD105)</f>
        <v>372</v>
      </c>
      <c r="L650" s="21">
        <f t="shared" si="321"/>
        <v>0</v>
      </c>
      <c r="M650" s="28">
        <f t="shared" si="305"/>
        <v>6298.3320000000003</v>
      </c>
      <c r="N650" s="28">
        <f t="shared" si="306"/>
        <v>0</v>
      </c>
      <c r="O650" s="28">
        <f t="shared" si="307"/>
        <v>0</v>
      </c>
      <c r="P650" s="28">
        <f t="shared" si="308"/>
        <v>0</v>
      </c>
      <c r="Q650" s="28">
        <f t="shared" si="322"/>
        <v>0</v>
      </c>
      <c r="R650" s="28">
        <f t="shared" si="309"/>
        <v>6298.3320000000003</v>
      </c>
      <c r="S650" s="28">
        <f t="shared" si="323"/>
        <v>0</v>
      </c>
      <c r="T650" s="28">
        <f t="shared" si="324"/>
        <v>0</v>
      </c>
      <c r="U650" s="28">
        <f t="shared" si="327"/>
        <v>0</v>
      </c>
      <c r="V650" s="28">
        <f t="shared" si="325"/>
        <v>0</v>
      </c>
      <c r="W650" s="118"/>
      <c r="X650" s="143">
        <f t="shared" si="326"/>
        <v>19.920000000000002</v>
      </c>
      <c r="Y650" s="121">
        <f>交易记录!AE5</f>
        <v>0.39700000000000002</v>
      </c>
      <c r="Z650" s="121">
        <f>交易记录!AE36</f>
        <v>372</v>
      </c>
      <c r="AA650" s="30">
        <f t="shared" si="310"/>
        <v>0</v>
      </c>
      <c r="AB650" s="124">
        <f>交易记录!AE69</f>
        <v>0</v>
      </c>
      <c r="AC650" s="124">
        <f>交易记录!AE100</f>
        <v>0</v>
      </c>
      <c r="AD650" s="30">
        <f t="shared" si="299"/>
        <v>0</v>
      </c>
      <c r="AE650" s="121">
        <f>交易记录!AE133</f>
        <v>0</v>
      </c>
      <c r="AF650" s="121">
        <f>交易记录!AE164</f>
        <v>0</v>
      </c>
      <c r="AG650" s="30">
        <f t="shared" si="300"/>
        <v>0</v>
      </c>
      <c r="AH650" s="124">
        <f>交易记录!AE197</f>
        <v>0</v>
      </c>
      <c r="AI650" s="124">
        <f>交易记录!AE228</f>
        <v>0</v>
      </c>
      <c r="AJ650" s="30">
        <f t="shared" si="301"/>
        <v>0</v>
      </c>
      <c r="AK650" s="121">
        <f>交易记录!AE261</f>
        <v>0</v>
      </c>
      <c r="AL650" s="121">
        <f>交易记录!AE292</f>
        <v>0</v>
      </c>
      <c r="AM650" s="30">
        <f t="shared" si="302"/>
        <v>0</v>
      </c>
      <c r="AN650" s="124">
        <f>交易记录!AE325</f>
        <v>0</v>
      </c>
      <c r="AO650" s="124">
        <f>交易记录!AE356</f>
        <v>0</v>
      </c>
      <c r="AP650" s="30">
        <f t="shared" si="303"/>
        <v>0</v>
      </c>
      <c r="AQ650" s="121">
        <f>交易记录!AE389</f>
        <v>0</v>
      </c>
      <c r="AR650" s="121">
        <f>交易记录!AE420</f>
        <v>0</v>
      </c>
      <c r="AS650" s="30">
        <f t="shared" si="304"/>
        <v>0</v>
      </c>
      <c r="AT650" s="124">
        <f>交易记录!AE453</f>
        <v>0</v>
      </c>
      <c r="AU650" s="124">
        <f>交易记录!AE484</f>
        <v>0</v>
      </c>
      <c r="AV650" s="30">
        <f t="shared" si="311"/>
        <v>0</v>
      </c>
      <c r="AW650" s="121">
        <f>交易记录!AE517</f>
        <v>0</v>
      </c>
      <c r="AX650" s="121">
        <f>交易记录!AE548</f>
        <v>0</v>
      </c>
      <c r="AY650" s="30">
        <f t="shared" si="312"/>
        <v>0</v>
      </c>
      <c r="AZ650" s="124">
        <f>交易记录!AE581</f>
        <v>0</v>
      </c>
      <c r="BA650" s="124">
        <f>交易记录!AE612</f>
        <v>0</v>
      </c>
      <c r="BB650" s="30">
        <f t="shared" si="313"/>
        <v>0</v>
      </c>
      <c r="BC650" s="121">
        <f>交易记录!AE645</f>
        <v>0</v>
      </c>
      <c r="BD650" s="121">
        <f>交易记录!AE676</f>
        <v>0</v>
      </c>
      <c r="BE650" s="30">
        <f t="shared" si="314"/>
        <v>0</v>
      </c>
      <c r="BF650" s="124">
        <f>交易记录!AE709</f>
        <v>0</v>
      </c>
      <c r="BG650" s="124">
        <f>交易记录!AE740</f>
        <v>0</v>
      </c>
      <c r="BH650" s="30">
        <f t="shared" si="315"/>
        <v>0</v>
      </c>
      <c r="BI650" s="121">
        <f>交易记录!AE773</f>
        <v>0</v>
      </c>
      <c r="BJ650" s="121">
        <f>交易记录!AE804</f>
        <v>0</v>
      </c>
      <c r="BK650" s="30">
        <f t="shared" si="316"/>
        <v>0</v>
      </c>
      <c r="BL650" s="124">
        <f>交易记录!AE837</f>
        <v>0</v>
      </c>
      <c r="BM650" s="124">
        <f>交易记录!AE868</f>
        <v>0</v>
      </c>
      <c r="BN650" s="30">
        <f t="shared" si="317"/>
        <v>0</v>
      </c>
      <c r="BO650" s="121">
        <f>交易记录!AE901</f>
        <v>0</v>
      </c>
      <c r="BP650" s="121">
        <f>交易记录!AE932</f>
        <v>0</v>
      </c>
      <c r="BQ650" s="30">
        <f t="shared" si="318"/>
        <v>0</v>
      </c>
    </row>
    <row r="651" spans="1:69" ht="15">
      <c r="A651" s="125">
        <f>'维护-日期'!A$30</f>
        <v>46293</v>
      </c>
      <c r="B651" s="7" t="s">
        <v>7</v>
      </c>
      <c r="C651" s="144">
        <f t="shared" si="319"/>
        <v>15.778</v>
      </c>
      <c r="D651" s="144">
        <f>ROUND(INDEX(持仓数据!$C$3:$AG$26,MATCH('计算过程-数据汇总'!B651,持仓数据!$B$3:$B$26,0),MATCH('计算过程-数据汇总'!A651,'维护-日期'!$B$2:$AF$2,0)),3)</f>
        <v>15.778</v>
      </c>
      <c r="E651" s="98">
        <f t="shared" si="320"/>
        <v>15.778</v>
      </c>
      <c r="F651" s="22">
        <f>持仓数据!AD73</f>
        <v>0.26500000000000001</v>
      </c>
      <c r="G651" s="97">
        <v>372</v>
      </c>
      <c r="H651" s="97">
        <v>372</v>
      </c>
      <c r="I651" s="64">
        <v>0</v>
      </c>
      <c r="J651" s="64">
        <v>0</v>
      </c>
      <c r="K651" s="21">
        <f>IF(持仓数据!AD106="",0,持仓数据!AD106)</f>
        <v>372</v>
      </c>
      <c r="L651" s="21">
        <f t="shared" si="321"/>
        <v>0</v>
      </c>
      <c r="M651" s="28">
        <f t="shared" si="305"/>
        <v>5869.4160000000002</v>
      </c>
      <c r="N651" s="28">
        <f t="shared" si="306"/>
        <v>0</v>
      </c>
      <c r="O651" s="28">
        <f t="shared" si="307"/>
        <v>0</v>
      </c>
      <c r="P651" s="28">
        <f t="shared" si="308"/>
        <v>0</v>
      </c>
      <c r="Q651" s="28">
        <f t="shared" si="322"/>
        <v>0</v>
      </c>
      <c r="R651" s="28">
        <f t="shared" si="309"/>
        <v>5869.4160000000002</v>
      </c>
      <c r="S651" s="28">
        <f t="shared" si="323"/>
        <v>0</v>
      </c>
      <c r="T651" s="28">
        <f t="shared" si="324"/>
        <v>0</v>
      </c>
      <c r="U651" s="28">
        <f t="shared" si="327"/>
        <v>0</v>
      </c>
      <c r="V651" s="28">
        <f t="shared" si="325"/>
        <v>0</v>
      </c>
      <c r="W651" s="118"/>
      <c r="X651" s="143">
        <f t="shared" si="326"/>
        <v>18.669</v>
      </c>
      <c r="Y651" s="121">
        <f>交易记录!AE6</f>
        <v>0.26500000000000001</v>
      </c>
      <c r="Z651" s="121">
        <f>交易记录!AE37</f>
        <v>372</v>
      </c>
      <c r="AA651" s="30">
        <f t="shared" si="310"/>
        <v>0</v>
      </c>
      <c r="AB651" s="124">
        <f>交易记录!AE70</f>
        <v>0</v>
      </c>
      <c r="AC651" s="124">
        <f>交易记录!AE101</f>
        <v>0</v>
      </c>
      <c r="AD651" s="30">
        <f t="shared" si="299"/>
        <v>0</v>
      </c>
      <c r="AE651" s="121">
        <f>交易记录!AE134</f>
        <v>0</v>
      </c>
      <c r="AF651" s="121">
        <f>交易记录!AE165</f>
        <v>0</v>
      </c>
      <c r="AG651" s="30">
        <f t="shared" si="300"/>
        <v>0</v>
      </c>
      <c r="AH651" s="124">
        <f>交易记录!AE198</f>
        <v>0</v>
      </c>
      <c r="AI651" s="124">
        <f>交易记录!AE229</f>
        <v>0</v>
      </c>
      <c r="AJ651" s="30">
        <f t="shared" si="301"/>
        <v>0</v>
      </c>
      <c r="AK651" s="121">
        <f>交易记录!AE262</f>
        <v>0</v>
      </c>
      <c r="AL651" s="121">
        <f>交易记录!AE293</f>
        <v>0</v>
      </c>
      <c r="AM651" s="30">
        <f t="shared" si="302"/>
        <v>0</v>
      </c>
      <c r="AN651" s="124">
        <f>交易记录!AE326</f>
        <v>0</v>
      </c>
      <c r="AO651" s="124">
        <f>交易记录!AE357</f>
        <v>0</v>
      </c>
      <c r="AP651" s="30">
        <f t="shared" si="303"/>
        <v>0</v>
      </c>
      <c r="AQ651" s="121">
        <f>交易记录!AE390</f>
        <v>0</v>
      </c>
      <c r="AR651" s="121">
        <f>交易记录!AE421</f>
        <v>0</v>
      </c>
      <c r="AS651" s="30">
        <f t="shared" si="304"/>
        <v>0</v>
      </c>
      <c r="AT651" s="124">
        <f>交易记录!AE454</f>
        <v>0</v>
      </c>
      <c r="AU651" s="124">
        <f>交易记录!AE485</f>
        <v>0</v>
      </c>
      <c r="AV651" s="30">
        <f t="shared" si="311"/>
        <v>0</v>
      </c>
      <c r="AW651" s="121">
        <f>交易记录!AE518</f>
        <v>0</v>
      </c>
      <c r="AX651" s="121">
        <f>交易记录!AE549</f>
        <v>0</v>
      </c>
      <c r="AY651" s="30">
        <f t="shared" si="312"/>
        <v>0</v>
      </c>
      <c r="AZ651" s="124">
        <f>交易记录!AE582</f>
        <v>0</v>
      </c>
      <c r="BA651" s="124">
        <f>交易记录!AE613</f>
        <v>0</v>
      </c>
      <c r="BB651" s="30">
        <f t="shared" si="313"/>
        <v>0</v>
      </c>
      <c r="BC651" s="121">
        <f>交易记录!AE646</f>
        <v>0</v>
      </c>
      <c r="BD651" s="121">
        <f>交易记录!AE677</f>
        <v>0</v>
      </c>
      <c r="BE651" s="30">
        <f t="shared" si="314"/>
        <v>0</v>
      </c>
      <c r="BF651" s="124">
        <f>交易记录!AE710</f>
        <v>0</v>
      </c>
      <c r="BG651" s="124">
        <f>交易记录!AE741</f>
        <v>0</v>
      </c>
      <c r="BH651" s="30">
        <f t="shared" si="315"/>
        <v>0</v>
      </c>
      <c r="BI651" s="121">
        <f>交易记录!AE774</f>
        <v>0</v>
      </c>
      <c r="BJ651" s="121">
        <f>交易记录!AE805</f>
        <v>0</v>
      </c>
      <c r="BK651" s="30">
        <f t="shared" si="316"/>
        <v>0</v>
      </c>
      <c r="BL651" s="124">
        <f>交易记录!AE838</f>
        <v>0</v>
      </c>
      <c r="BM651" s="124">
        <f>交易记录!AE869</f>
        <v>0</v>
      </c>
      <c r="BN651" s="30">
        <f t="shared" si="317"/>
        <v>0</v>
      </c>
      <c r="BO651" s="121">
        <f>交易记录!AE902</f>
        <v>0</v>
      </c>
      <c r="BP651" s="121">
        <f>交易记录!AE933</f>
        <v>0</v>
      </c>
      <c r="BQ651" s="30">
        <f t="shared" si="318"/>
        <v>0</v>
      </c>
    </row>
    <row r="652" spans="1:69" ht="15">
      <c r="A652" s="125">
        <f>'维护-日期'!A$30</f>
        <v>46293</v>
      </c>
      <c r="B652" s="7" t="s">
        <v>8</v>
      </c>
      <c r="C652" s="144">
        <f t="shared" si="319"/>
        <v>14.811999999999999</v>
      </c>
      <c r="D652" s="144">
        <f>ROUND(INDEX(持仓数据!$C$3:$AG$26,MATCH('计算过程-数据汇总'!B652,持仓数据!$B$3:$B$26,0),MATCH('计算过程-数据汇总'!A652,'维护-日期'!$B$2:$AF$2,0)),3)</f>
        <v>14.811999999999999</v>
      </c>
      <c r="E652" s="98">
        <f t="shared" si="320"/>
        <v>14.811999999999999</v>
      </c>
      <c r="F652" s="22">
        <f>持仓数据!AD74</f>
        <v>0.24199999999999999</v>
      </c>
      <c r="G652" s="97">
        <v>372</v>
      </c>
      <c r="H652" s="97">
        <v>372</v>
      </c>
      <c r="I652" s="64">
        <v>0</v>
      </c>
      <c r="J652" s="64">
        <v>0</v>
      </c>
      <c r="K652" s="21">
        <f>IF(持仓数据!AD107="",0,持仓数据!AD107)</f>
        <v>372</v>
      </c>
      <c r="L652" s="21">
        <f t="shared" si="321"/>
        <v>0</v>
      </c>
      <c r="M652" s="28">
        <f t="shared" si="305"/>
        <v>5510.0639999999994</v>
      </c>
      <c r="N652" s="28">
        <f t="shared" si="306"/>
        <v>0</v>
      </c>
      <c r="O652" s="28">
        <f t="shared" si="307"/>
        <v>0</v>
      </c>
      <c r="P652" s="28">
        <f t="shared" si="308"/>
        <v>0</v>
      </c>
      <c r="Q652" s="28">
        <f t="shared" si="322"/>
        <v>0</v>
      </c>
      <c r="R652" s="28">
        <f t="shared" si="309"/>
        <v>5510.0639999999994</v>
      </c>
      <c r="S652" s="28">
        <f t="shared" si="323"/>
        <v>0</v>
      </c>
      <c r="T652" s="28">
        <f t="shared" si="324"/>
        <v>0</v>
      </c>
      <c r="U652" s="28">
        <f t="shared" si="327"/>
        <v>0</v>
      </c>
      <c r="V652" s="28">
        <f t="shared" si="325"/>
        <v>0</v>
      </c>
      <c r="W652" s="118"/>
      <c r="X652" s="143">
        <f t="shared" si="326"/>
        <v>17.532</v>
      </c>
      <c r="Y652" s="121">
        <f>交易记录!AE7</f>
        <v>0.24199999999999999</v>
      </c>
      <c r="Z652" s="121">
        <f>交易记录!AE38</f>
        <v>372</v>
      </c>
      <c r="AA652" s="30">
        <f t="shared" si="310"/>
        <v>0</v>
      </c>
      <c r="AB652" s="124">
        <f>交易记录!AE71</f>
        <v>0</v>
      </c>
      <c r="AC652" s="124">
        <f>交易记录!AE102</f>
        <v>0</v>
      </c>
      <c r="AD652" s="30">
        <f t="shared" si="299"/>
        <v>0</v>
      </c>
      <c r="AE652" s="121">
        <f>交易记录!AE135</f>
        <v>0</v>
      </c>
      <c r="AF652" s="121">
        <f>交易记录!AE166</f>
        <v>0</v>
      </c>
      <c r="AG652" s="30">
        <f t="shared" si="300"/>
        <v>0</v>
      </c>
      <c r="AH652" s="124">
        <f>交易记录!AE199</f>
        <v>0</v>
      </c>
      <c r="AI652" s="124">
        <f>交易记录!AE230</f>
        <v>0</v>
      </c>
      <c r="AJ652" s="30">
        <f t="shared" si="301"/>
        <v>0</v>
      </c>
      <c r="AK652" s="121">
        <f>交易记录!AE263</f>
        <v>0</v>
      </c>
      <c r="AL652" s="121">
        <f>交易记录!AE294</f>
        <v>0</v>
      </c>
      <c r="AM652" s="30">
        <f t="shared" si="302"/>
        <v>0</v>
      </c>
      <c r="AN652" s="124">
        <f>交易记录!AE327</f>
        <v>0</v>
      </c>
      <c r="AO652" s="124">
        <f>交易记录!AE358</f>
        <v>0</v>
      </c>
      <c r="AP652" s="30">
        <f t="shared" si="303"/>
        <v>0</v>
      </c>
      <c r="AQ652" s="121">
        <f>交易记录!AE391</f>
        <v>0</v>
      </c>
      <c r="AR652" s="121">
        <f>交易记录!AE422</f>
        <v>0</v>
      </c>
      <c r="AS652" s="30">
        <f t="shared" si="304"/>
        <v>0</v>
      </c>
      <c r="AT652" s="124">
        <f>交易记录!AE455</f>
        <v>0</v>
      </c>
      <c r="AU652" s="124">
        <f>交易记录!AE486</f>
        <v>0</v>
      </c>
      <c r="AV652" s="30">
        <f t="shared" si="311"/>
        <v>0</v>
      </c>
      <c r="AW652" s="121">
        <f>交易记录!AE519</f>
        <v>0</v>
      </c>
      <c r="AX652" s="121">
        <f>交易记录!AE550</f>
        <v>0</v>
      </c>
      <c r="AY652" s="30">
        <f t="shared" si="312"/>
        <v>0</v>
      </c>
      <c r="AZ652" s="124">
        <f>交易记录!AE583</f>
        <v>0</v>
      </c>
      <c r="BA652" s="124">
        <f>交易记录!AE614</f>
        <v>0</v>
      </c>
      <c r="BB652" s="30">
        <f t="shared" si="313"/>
        <v>0</v>
      </c>
      <c r="BC652" s="121">
        <f>交易记录!AE647</f>
        <v>0</v>
      </c>
      <c r="BD652" s="121">
        <f>交易记录!AE678</f>
        <v>0</v>
      </c>
      <c r="BE652" s="30">
        <f t="shared" si="314"/>
        <v>0</v>
      </c>
      <c r="BF652" s="124">
        <f>交易记录!AE711</f>
        <v>0</v>
      </c>
      <c r="BG652" s="124">
        <f>交易记录!AE742</f>
        <v>0</v>
      </c>
      <c r="BH652" s="30">
        <f t="shared" si="315"/>
        <v>0</v>
      </c>
      <c r="BI652" s="121">
        <f>交易记录!AE775</f>
        <v>0</v>
      </c>
      <c r="BJ652" s="121">
        <f>交易记录!AE806</f>
        <v>0</v>
      </c>
      <c r="BK652" s="30">
        <f t="shared" si="316"/>
        <v>0</v>
      </c>
      <c r="BL652" s="124">
        <f>交易记录!AE839</f>
        <v>0</v>
      </c>
      <c r="BM652" s="124">
        <f>交易记录!AE870</f>
        <v>0</v>
      </c>
      <c r="BN652" s="30">
        <f t="shared" si="317"/>
        <v>0</v>
      </c>
      <c r="BO652" s="121">
        <f>交易记录!AE903</f>
        <v>0</v>
      </c>
      <c r="BP652" s="121">
        <f>交易记录!AE934</f>
        <v>0</v>
      </c>
      <c r="BQ652" s="30">
        <f t="shared" si="318"/>
        <v>0</v>
      </c>
    </row>
    <row r="653" spans="1:69" ht="15">
      <c r="A653" s="125">
        <f>'维护-日期'!A$30</f>
        <v>46293</v>
      </c>
      <c r="B653" s="7" t="s">
        <v>9</v>
      </c>
      <c r="C653" s="144">
        <f t="shared" si="319"/>
        <v>13.836</v>
      </c>
      <c r="D653" s="144">
        <f>ROUND(INDEX(持仓数据!$C$3:$AG$26,MATCH('计算过程-数据汇总'!B653,持仓数据!$B$3:$B$26,0),MATCH('计算过程-数据汇总'!A653,'维护-日期'!$B$2:$AF$2,0)),3)</f>
        <v>13.836</v>
      </c>
      <c r="E653" s="98">
        <f t="shared" si="320"/>
        <v>13.836</v>
      </c>
      <c r="F653" s="22">
        <f>持仓数据!AD75</f>
        <v>0.09</v>
      </c>
      <c r="G653" s="97">
        <v>372</v>
      </c>
      <c r="H653" s="97">
        <v>372</v>
      </c>
      <c r="I653" s="64">
        <v>0</v>
      </c>
      <c r="J653" s="64">
        <v>0</v>
      </c>
      <c r="K653" s="21">
        <f>IF(持仓数据!AD108="",0,持仓数据!AD108)</f>
        <v>372</v>
      </c>
      <c r="L653" s="21">
        <f t="shared" si="321"/>
        <v>0</v>
      </c>
      <c r="M653" s="28">
        <f t="shared" si="305"/>
        <v>5146.9920000000002</v>
      </c>
      <c r="N653" s="28">
        <f t="shared" si="306"/>
        <v>0</v>
      </c>
      <c r="O653" s="28">
        <f t="shared" si="307"/>
        <v>0</v>
      </c>
      <c r="P653" s="28">
        <f t="shared" si="308"/>
        <v>0</v>
      </c>
      <c r="Q653" s="28">
        <f t="shared" si="322"/>
        <v>0</v>
      </c>
      <c r="R653" s="28">
        <f t="shared" si="309"/>
        <v>5146.9920000000002</v>
      </c>
      <c r="S653" s="28">
        <f t="shared" si="323"/>
        <v>0</v>
      </c>
      <c r="T653" s="28">
        <f t="shared" si="324"/>
        <v>0</v>
      </c>
      <c r="U653" s="28">
        <f t="shared" si="327"/>
        <v>0</v>
      </c>
      <c r="V653" s="28">
        <f t="shared" si="325"/>
        <v>0</v>
      </c>
      <c r="W653" s="118"/>
      <c r="X653" s="143">
        <f t="shared" si="326"/>
        <v>16.513000000000002</v>
      </c>
      <c r="Y653" s="121">
        <f>交易记录!AE8</f>
        <v>0.09</v>
      </c>
      <c r="Z653" s="121">
        <f>交易记录!AE39</f>
        <v>372</v>
      </c>
      <c r="AA653" s="30">
        <f t="shared" si="310"/>
        <v>0</v>
      </c>
      <c r="AB653" s="124">
        <f>交易记录!AE72</f>
        <v>0</v>
      </c>
      <c r="AC653" s="124">
        <f>交易记录!AE103</f>
        <v>0</v>
      </c>
      <c r="AD653" s="30">
        <f t="shared" si="299"/>
        <v>0</v>
      </c>
      <c r="AE653" s="121">
        <f>交易记录!AE136</f>
        <v>0</v>
      </c>
      <c r="AF653" s="121">
        <f>交易记录!AE167</f>
        <v>0</v>
      </c>
      <c r="AG653" s="30">
        <f t="shared" si="300"/>
        <v>0</v>
      </c>
      <c r="AH653" s="124">
        <f>交易记录!AE200</f>
        <v>0</v>
      </c>
      <c r="AI653" s="124">
        <f>交易记录!AE231</f>
        <v>0</v>
      </c>
      <c r="AJ653" s="30">
        <f t="shared" si="301"/>
        <v>0</v>
      </c>
      <c r="AK653" s="121">
        <f>交易记录!AE264</f>
        <v>0</v>
      </c>
      <c r="AL653" s="121">
        <f>交易记录!AE295</f>
        <v>0</v>
      </c>
      <c r="AM653" s="30">
        <f t="shared" si="302"/>
        <v>0</v>
      </c>
      <c r="AN653" s="124">
        <f>交易记录!AE328</f>
        <v>0</v>
      </c>
      <c r="AO653" s="124">
        <f>交易记录!AE359</f>
        <v>0</v>
      </c>
      <c r="AP653" s="30">
        <f t="shared" si="303"/>
        <v>0</v>
      </c>
      <c r="AQ653" s="121">
        <f>交易记录!AE392</f>
        <v>0</v>
      </c>
      <c r="AR653" s="121">
        <f>交易记录!AE423</f>
        <v>0</v>
      </c>
      <c r="AS653" s="30">
        <f t="shared" si="304"/>
        <v>0</v>
      </c>
      <c r="AT653" s="124">
        <f>交易记录!AE456</f>
        <v>0</v>
      </c>
      <c r="AU653" s="124">
        <f>交易记录!AE487</f>
        <v>0</v>
      </c>
      <c r="AV653" s="30">
        <f t="shared" si="311"/>
        <v>0</v>
      </c>
      <c r="AW653" s="121">
        <f>交易记录!AE520</f>
        <v>0</v>
      </c>
      <c r="AX653" s="121">
        <f>交易记录!AE551</f>
        <v>0</v>
      </c>
      <c r="AY653" s="30">
        <f t="shared" si="312"/>
        <v>0</v>
      </c>
      <c r="AZ653" s="124">
        <f>交易记录!AE584</f>
        <v>0</v>
      </c>
      <c r="BA653" s="124">
        <f>交易记录!AE615</f>
        <v>0</v>
      </c>
      <c r="BB653" s="30">
        <f t="shared" si="313"/>
        <v>0</v>
      </c>
      <c r="BC653" s="121">
        <f>交易记录!AE648</f>
        <v>0</v>
      </c>
      <c r="BD653" s="121">
        <f>交易记录!AE679</f>
        <v>0</v>
      </c>
      <c r="BE653" s="30">
        <f t="shared" si="314"/>
        <v>0</v>
      </c>
      <c r="BF653" s="124">
        <f>交易记录!AE712</f>
        <v>0</v>
      </c>
      <c r="BG653" s="124">
        <f>交易记录!AE743</f>
        <v>0</v>
      </c>
      <c r="BH653" s="30">
        <f t="shared" si="315"/>
        <v>0</v>
      </c>
      <c r="BI653" s="121">
        <f>交易记录!AE776</f>
        <v>0</v>
      </c>
      <c r="BJ653" s="121">
        <f>交易记录!AE807</f>
        <v>0</v>
      </c>
      <c r="BK653" s="30">
        <f t="shared" si="316"/>
        <v>0</v>
      </c>
      <c r="BL653" s="124">
        <f>交易记录!AE840</f>
        <v>0</v>
      </c>
      <c r="BM653" s="124">
        <f>交易记录!AE871</f>
        <v>0</v>
      </c>
      <c r="BN653" s="30">
        <f t="shared" si="317"/>
        <v>0</v>
      </c>
      <c r="BO653" s="121">
        <f>交易记录!AE904</f>
        <v>0</v>
      </c>
      <c r="BP653" s="121">
        <f>交易记录!AE935</f>
        <v>0</v>
      </c>
      <c r="BQ653" s="30">
        <f t="shared" si="318"/>
        <v>0</v>
      </c>
    </row>
    <row r="654" spans="1:69" ht="15">
      <c r="A654" s="125">
        <f>'维护-日期'!A$30</f>
        <v>46293</v>
      </c>
      <c r="B654" s="7" t="s">
        <v>10</v>
      </c>
      <c r="C654" s="144">
        <f t="shared" si="319"/>
        <v>13.28</v>
      </c>
      <c r="D654" s="144">
        <f>ROUND(INDEX(持仓数据!$C$3:$AG$26,MATCH('计算过程-数据汇总'!B654,持仓数据!$B$3:$B$26,0),MATCH('计算过程-数据汇总'!A654,'维护-日期'!$B$2:$AF$2,0)),3)</f>
        <v>13.28</v>
      </c>
      <c r="E654" s="98">
        <f t="shared" si="320"/>
        <v>13.28</v>
      </c>
      <c r="F654" s="22">
        <f>持仓数据!AD76</f>
        <v>8.6999999999999994E-2</v>
      </c>
      <c r="G654" s="97">
        <v>372</v>
      </c>
      <c r="H654" s="97">
        <v>372</v>
      </c>
      <c r="I654" s="64">
        <v>0</v>
      </c>
      <c r="J654" s="64">
        <v>0</v>
      </c>
      <c r="K654" s="21">
        <f>IF(持仓数据!AD109="",0,持仓数据!AD109)</f>
        <v>372</v>
      </c>
      <c r="L654" s="21">
        <f t="shared" si="321"/>
        <v>0</v>
      </c>
      <c r="M654" s="28">
        <f t="shared" si="305"/>
        <v>4940.16</v>
      </c>
      <c r="N654" s="28">
        <f t="shared" si="306"/>
        <v>0</v>
      </c>
      <c r="O654" s="28">
        <f t="shared" si="307"/>
        <v>0</v>
      </c>
      <c r="P654" s="28">
        <f t="shared" si="308"/>
        <v>0</v>
      </c>
      <c r="Q654" s="28">
        <f t="shared" si="322"/>
        <v>0</v>
      </c>
      <c r="R654" s="28">
        <f t="shared" si="309"/>
        <v>4940.16</v>
      </c>
      <c r="S654" s="28">
        <f t="shared" si="323"/>
        <v>0</v>
      </c>
      <c r="T654" s="28">
        <f t="shared" si="324"/>
        <v>0</v>
      </c>
      <c r="U654" s="28">
        <f t="shared" si="327"/>
        <v>0</v>
      </c>
      <c r="V654" s="28">
        <f t="shared" si="325"/>
        <v>0</v>
      </c>
      <c r="W654" s="118"/>
      <c r="X654" s="143">
        <f t="shared" si="326"/>
        <v>15.849</v>
      </c>
      <c r="Y654" s="121">
        <f>交易记录!AE9</f>
        <v>8.6999999999999994E-2</v>
      </c>
      <c r="Z654" s="121">
        <f>交易记录!AE40</f>
        <v>372</v>
      </c>
      <c r="AA654" s="30">
        <f t="shared" si="310"/>
        <v>0</v>
      </c>
      <c r="AB654" s="124">
        <f>交易记录!AE73</f>
        <v>0</v>
      </c>
      <c r="AC654" s="124">
        <f>交易记录!AE104</f>
        <v>0</v>
      </c>
      <c r="AD654" s="30">
        <f t="shared" si="299"/>
        <v>0</v>
      </c>
      <c r="AE654" s="121">
        <f>交易记录!AE137</f>
        <v>0</v>
      </c>
      <c r="AF654" s="121">
        <f>交易记录!AE168</f>
        <v>0</v>
      </c>
      <c r="AG654" s="30">
        <f t="shared" si="300"/>
        <v>0</v>
      </c>
      <c r="AH654" s="124">
        <f>交易记录!AE201</f>
        <v>0</v>
      </c>
      <c r="AI654" s="124">
        <f>交易记录!AE232</f>
        <v>0</v>
      </c>
      <c r="AJ654" s="30">
        <f t="shared" si="301"/>
        <v>0</v>
      </c>
      <c r="AK654" s="121">
        <f>交易记录!AE265</f>
        <v>0</v>
      </c>
      <c r="AL654" s="121">
        <f>交易记录!AE296</f>
        <v>0</v>
      </c>
      <c r="AM654" s="30">
        <f t="shared" si="302"/>
        <v>0</v>
      </c>
      <c r="AN654" s="124">
        <f>交易记录!AE329</f>
        <v>0</v>
      </c>
      <c r="AO654" s="124">
        <f>交易记录!AE360</f>
        <v>0</v>
      </c>
      <c r="AP654" s="30">
        <f t="shared" si="303"/>
        <v>0</v>
      </c>
      <c r="AQ654" s="121">
        <f>交易记录!AE393</f>
        <v>0</v>
      </c>
      <c r="AR654" s="121">
        <f>交易记录!AE424</f>
        <v>0</v>
      </c>
      <c r="AS654" s="30">
        <f t="shared" si="304"/>
        <v>0</v>
      </c>
      <c r="AT654" s="124">
        <f>交易记录!AE457</f>
        <v>0</v>
      </c>
      <c r="AU654" s="124">
        <f>交易记录!AE488</f>
        <v>0</v>
      </c>
      <c r="AV654" s="30">
        <f t="shared" si="311"/>
        <v>0</v>
      </c>
      <c r="AW654" s="121">
        <f>交易记录!AE521</f>
        <v>0</v>
      </c>
      <c r="AX654" s="121">
        <f>交易记录!AE552</f>
        <v>0</v>
      </c>
      <c r="AY654" s="30">
        <f t="shared" si="312"/>
        <v>0</v>
      </c>
      <c r="AZ654" s="124">
        <f>交易记录!AE585</f>
        <v>0</v>
      </c>
      <c r="BA654" s="124">
        <f>交易记录!AE616</f>
        <v>0</v>
      </c>
      <c r="BB654" s="30">
        <f t="shared" si="313"/>
        <v>0</v>
      </c>
      <c r="BC654" s="121">
        <f>交易记录!AE649</f>
        <v>0</v>
      </c>
      <c r="BD654" s="121">
        <f>交易记录!AE680</f>
        <v>0</v>
      </c>
      <c r="BE654" s="30">
        <f t="shared" si="314"/>
        <v>0</v>
      </c>
      <c r="BF654" s="124">
        <f>交易记录!AE713</f>
        <v>0</v>
      </c>
      <c r="BG654" s="124">
        <f>交易记录!AE744</f>
        <v>0</v>
      </c>
      <c r="BH654" s="30">
        <f t="shared" si="315"/>
        <v>0</v>
      </c>
      <c r="BI654" s="121">
        <f>交易记录!AE777</f>
        <v>0</v>
      </c>
      <c r="BJ654" s="121">
        <f>交易记录!AE808</f>
        <v>0</v>
      </c>
      <c r="BK654" s="30">
        <f t="shared" si="316"/>
        <v>0</v>
      </c>
      <c r="BL654" s="124">
        <f>交易记录!AE841</f>
        <v>0</v>
      </c>
      <c r="BM654" s="124">
        <f>交易记录!AE872</f>
        <v>0</v>
      </c>
      <c r="BN654" s="30">
        <f t="shared" si="317"/>
        <v>0</v>
      </c>
      <c r="BO654" s="121">
        <f>交易记录!AE905</f>
        <v>0</v>
      </c>
      <c r="BP654" s="121">
        <f>交易记录!AE936</f>
        <v>0</v>
      </c>
      <c r="BQ654" s="30">
        <f t="shared" si="318"/>
        <v>0</v>
      </c>
    </row>
    <row r="655" spans="1:69" ht="15">
      <c r="A655" s="125">
        <f>'维护-日期'!A$30</f>
        <v>46293</v>
      </c>
      <c r="B655" s="7" t="s">
        <v>11</v>
      </c>
      <c r="C655" s="144">
        <f t="shared" si="319"/>
        <v>12.787000000000001</v>
      </c>
      <c r="D655" s="144">
        <f>ROUND(INDEX(持仓数据!$C$3:$AG$26,MATCH('计算过程-数据汇总'!B655,持仓数据!$B$3:$B$26,0),MATCH('计算过程-数据汇总'!A655,'维护-日期'!$B$2:$AF$2,0)),3)</f>
        <v>12.787000000000001</v>
      </c>
      <c r="E655" s="98">
        <f t="shared" si="320"/>
        <v>12.787000000000001</v>
      </c>
      <c r="F655" s="22">
        <f>持仓数据!AD77</f>
        <v>8.6999999999999994E-2</v>
      </c>
      <c r="G655" s="97">
        <v>372</v>
      </c>
      <c r="H655" s="97">
        <v>372</v>
      </c>
      <c r="I655" s="64">
        <v>0</v>
      </c>
      <c r="J655" s="64">
        <v>0</v>
      </c>
      <c r="K655" s="21">
        <f>IF(持仓数据!AD110="",0,持仓数据!AD110)</f>
        <v>372</v>
      </c>
      <c r="L655" s="21">
        <f t="shared" si="321"/>
        <v>0</v>
      </c>
      <c r="M655" s="28">
        <f t="shared" si="305"/>
        <v>4756.7640000000001</v>
      </c>
      <c r="N655" s="28">
        <f t="shared" si="306"/>
        <v>0</v>
      </c>
      <c r="O655" s="28">
        <f t="shared" si="307"/>
        <v>0</v>
      </c>
      <c r="P655" s="28">
        <f t="shared" si="308"/>
        <v>0</v>
      </c>
      <c r="Q655" s="28">
        <f t="shared" si="322"/>
        <v>0</v>
      </c>
      <c r="R655" s="28">
        <f t="shared" si="309"/>
        <v>4756.7640000000001</v>
      </c>
      <c r="S655" s="28">
        <f t="shared" si="323"/>
        <v>0</v>
      </c>
      <c r="T655" s="28">
        <f t="shared" si="324"/>
        <v>0</v>
      </c>
      <c r="U655" s="28">
        <f t="shared" si="327"/>
        <v>0</v>
      </c>
      <c r="V655" s="28">
        <f t="shared" si="325"/>
        <v>0</v>
      </c>
      <c r="W655" s="118"/>
      <c r="X655" s="143">
        <f t="shared" si="326"/>
        <v>15.257</v>
      </c>
      <c r="Y655" s="121">
        <f>交易记录!AE10</f>
        <v>8.6999999999999994E-2</v>
      </c>
      <c r="Z655" s="121">
        <f>交易记录!AE41</f>
        <v>372</v>
      </c>
      <c r="AA655" s="30">
        <f t="shared" si="310"/>
        <v>0</v>
      </c>
      <c r="AB655" s="124">
        <f>交易记录!AE74</f>
        <v>0</v>
      </c>
      <c r="AC655" s="124">
        <f>交易记录!AE105</f>
        <v>0</v>
      </c>
      <c r="AD655" s="30">
        <f t="shared" si="299"/>
        <v>0</v>
      </c>
      <c r="AE655" s="121">
        <f>交易记录!AE138</f>
        <v>0</v>
      </c>
      <c r="AF655" s="121">
        <f>交易记录!AE169</f>
        <v>0</v>
      </c>
      <c r="AG655" s="30">
        <f t="shared" si="300"/>
        <v>0</v>
      </c>
      <c r="AH655" s="124">
        <f>交易记录!AE202</f>
        <v>0</v>
      </c>
      <c r="AI655" s="124">
        <f>交易记录!AE233</f>
        <v>0</v>
      </c>
      <c r="AJ655" s="30">
        <f t="shared" si="301"/>
        <v>0</v>
      </c>
      <c r="AK655" s="121">
        <f>交易记录!AE266</f>
        <v>0</v>
      </c>
      <c r="AL655" s="121">
        <f>交易记录!AE297</f>
        <v>0</v>
      </c>
      <c r="AM655" s="30">
        <f t="shared" si="302"/>
        <v>0</v>
      </c>
      <c r="AN655" s="124">
        <f>交易记录!AE330</f>
        <v>0</v>
      </c>
      <c r="AO655" s="124">
        <f>交易记录!AE361</f>
        <v>0</v>
      </c>
      <c r="AP655" s="30">
        <f t="shared" si="303"/>
        <v>0</v>
      </c>
      <c r="AQ655" s="121">
        <f>交易记录!AE394</f>
        <v>0</v>
      </c>
      <c r="AR655" s="121">
        <f>交易记录!AE425</f>
        <v>0</v>
      </c>
      <c r="AS655" s="30">
        <f t="shared" si="304"/>
        <v>0</v>
      </c>
      <c r="AT655" s="124">
        <f>交易记录!AE458</f>
        <v>0</v>
      </c>
      <c r="AU655" s="124">
        <f>交易记录!AE489</f>
        <v>0</v>
      </c>
      <c r="AV655" s="30">
        <f t="shared" si="311"/>
        <v>0</v>
      </c>
      <c r="AW655" s="121">
        <f>交易记录!AE522</f>
        <v>0</v>
      </c>
      <c r="AX655" s="121">
        <f>交易记录!AE553</f>
        <v>0</v>
      </c>
      <c r="AY655" s="30">
        <f t="shared" si="312"/>
        <v>0</v>
      </c>
      <c r="AZ655" s="124">
        <f>交易记录!AE586</f>
        <v>0</v>
      </c>
      <c r="BA655" s="124">
        <f>交易记录!AE617</f>
        <v>0</v>
      </c>
      <c r="BB655" s="30">
        <f t="shared" si="313"/>
        <v>0</v>
      </c>
      <c r="BC655" s="121">
        <f>交易记录!AE650</f>
        <v>0</v>
      </c>
      <c r="BD655" s="121">
        <f>交易记录!AE681</f>
        <v>0</v>
      </c>
      <c r="BE655" s="30">
        <f t="shared" si="314"/>
        <v>0</v>
      </c>
      <c r="BF655" s="124">
        <f>交易记录!AE714</f>
        <v>0</v>
      </c>
      <c r="BG655" s="124">
        <f>交易记录!AE745</f>
        <v>0</v>
      </c>
      <c r="BH655" s="30">
        <f t="shared" si="315"/>
        <v>0</v>
      </c>
      <c r="BI655" s="121">
        <f>交易记录!AE778</f>
        <v>0</v>
      </c>
      <c r="BJ655" s="121">
        <f>交易记录!AE809</f>
        <v>0</v>
      </c>
      <c r="BK655" s="30">
        <f t="shared" si="316"/>
        <v>0</v>
      </c>
      <c r="BL655" s="124">
        <f>交易记录!AE842</f>
        <v>0</v>
      </c>
      <c r="BM655" s="124">
        <f>交易记录!AE873</f>
        <v>0</v>
      </c>
      <c r="BN655" s="30">
        <f t="shared" si="317"/>
        <v>0</v>
      </c>
      <c r="BO655" s="121">
        <f>交易记录!AE906</f>
        <v>0</v>
      </c>
      <c r="BP655" s="121">
        <f>交易记录!AE937</f>
        <v>0</v>
      </c>
      <c r="BQ655" s="30">
        <f t="shared" si="318"/>
        <v>0</v>
      </c>
    </row>
    <row r="656" spans="1:69" ht="15">
      <c r="A656" s="125">
        <f>'维护-日期'!A$30</f>
        <v>46293</v>
      </c>
      <c r="B656" s="7" t="s">
        <v>12</v>
      </c>
      <c r="C656" s="144">
        <f t="shared" si="319"/>
        <v>12.55</v>
      </c>
      <c r="D656" s="144">
        <f>ROUND(INDEX(持仓数据!$C$3:$AG$26,MATCH('计算过程-数据汇总'!B656,持仓数据!$B$3:$B$26,0),MATCH('计算过程-数据汇总'!A656,'维护-日期'!$B$2:$AF$2,0)),3)</f>
        <v>12.55</v>
      </c>
      <c r="E656" s="98">
        <f t="shared" si="320"/>
        <v>12.55</v>
      </c>
      <c r="F656" s="22">
        <f>持仓数据!AD78</f>
        <v>0.14499999999999999</v>
      </c>
      <c r="G656" s="97">
        <v>372</v>
      </c>
      <c r="H656" s="97">
        <v>372</v>
      </c>
      <c r="I656" s="64">
        <v>0</v>
      </c>
      <c r="J656" s="64">
        <v>0</v>
      </c>
      <c r="K656" s="21">
        <f>IF(持仓数据!AD111="",0,持仓数据!AD111)</f>
        <v>372</v>
      </c>
      <c r="L656" s="21">
        <f t="shared" si="321"/>
        <v>0</v>
      </c>
      <c r="M656" s="28">
        <f t="shared" si="305"/>
        <v>4668.6000000000004</v>
      </c>
      <c r="N656" s="28">
        <f t="shared" si="306"/>
        <v>0</v>
      </c>
      <c r="O656" s="28">
        <f t="shared" si="307"/>
        <v>0</v>
      </c>
      <c r="P656" s="28">
        <f t="shared" si="308"/>
        <v>0</v>
      </c>
      <c r="Q656" s="28">
        <f t="shared" si="322"/>
        <v>0</v>
      </c>
      <c r="R656" s="28">
        <f t="shared" si="309"/>
        <v>4668.6000000000004</v>
      </c>
      <c r="S656" s="28">
        <f t="shared" si="323"/>
        <v>0</v>
      </c>
      <c r="T656" s="28">
        <f t="shared" si="324"/>
        <v>0</v>
      </c>
      <c r="U656" s="28">
        <f t="shared" si="327"/>
        <v>0</v>
      </c>
      <c r="V656" s="28">
        <f t="shared" si="325"/>
        <v>0</v>
      </c>
      <c r="W656" s="118"/>
      <c r="X656" s="143">
        <f t="shared" si="326"/>
        <v>14.914999999999999</v>
      </c>
      <c r="Y656" s="121">
        <f>交易记录!AE11</f>
        <v>0.14499999999999999</v>
      </c>
      <c r="Z656" s="121">
        <f>交易记录!AE42</f>
        <v>372</v>
      </c>
      <c r="AA656" s="30">
        <f t="shared" si="310"/>
        <v>0</v>
      </c>
      <c r="AB656" s="124">
        <f>交易记录!AE75</f>
        <v>0</v>
      </c>
      <c r="AC656" s="124">
        <f>交易记录!AE106</f>
        <v>0</v>
      </c>
      <c r="AD656" s="30">
        <f t="shared" si="299"/>
        <v>0</v>
      </c>
      <c r="AE656" s="121">
        <f>交易记录!AE139</f>
        <v>0</v>
      </c>
      <c r="AF656" s="121">
        <f>交易记录!AE170</f>
        <v>0</v>
      </c>
      <c r="AG656" s="30">
        <f t="shared" si="300"/>
        <v>0</v>
      </c>
      <c r="AH656" s="124">
        <f>交易记录!AE203</f>
        <v>0</v>
      </c>
      <c r="AI656" s="124">
        <f>交易记录!AE234</f>
        <v>0</v>
      </c>
      <c r="AJ656" s="30">
        <f t="shared" si="301"/>
        <v>0</v>
      </c>
      <c r="AK656" s="121">
        <f>交易记录!AE267</f>
        <v>0</v>
      </c>
      <c r="AL656" s="121">
        <f>交易记录!AE298</f>
        <v>0</v>
      </c>
      <c r="AM656" s="30">
        <f t="shared" si="302"/>
        <v>0</v>
      </c>
      <c r="AN656" s="124">
        <f>交易记录!AE331</f>
        <v>0</v>
      </c>
      <c r="AO656" s="124">
        <f>交易记录!AE362</f>
        <v>0</v>
      </c>
      <c r="AP656" s="30">
        <f t="shared" si="303"/>
        <v>0</v>
      </c>
      <c r="AQ656" s="121">
        <f>交易记录!AE395</f>
        <v>0</v>
      </c>
      <c r="AR656" s="121">
        <f>交易记录!AE426</f>
        <v>0</v>
      </c>
      <c r="AS656" s="30">
        <f t="shared" si="304"/>
        <v>0</v>
      </c>
      <c r="AT656" s="124">
        <f>交易记录!AE459</f>
        <v>0</v>
      </c>
      <c r="AU656" s="124">
        <f>交易记录!AE490</f>
        <v>0</v>
      </c>
      <c r="AV656" s="30">
        <f t="shared" si="311"/>
        <v>0</v>
      </c>
      <c r="AW656" s="121">
        <f>交易记录!AE523</f>
        <v>0</v>
      </c>
      <c r="AX656" s="121">
        <f>交易记录!AE554</f>
        <v>0</v>
      </c>
      <c r="AY656" s="30">
        <f t="shared" si="312"/>
        <v>0</v>
      </c>
      <c r="AZ656" s="124">
        <f>交易记录!AE587</f>
        <v>0</v>
      </c>
      <c r="BA656" s="124">
        <f>交易记录!AE618</f>
        <v>0</v>
      </c>
      <c r="BB656" s="30">
        <f t="shared" si="313"/>
        <v>0</v>
      </c>
      <c r="BC656" s="121">
        <f>交易记录!AE651</f>
        <v>0</v>
      </c>
      <c r="BD656" s="121">
        <f>交易记录!AE682</f>
        <v>0</v>
      </c>
      <c r="BE656" s="30">
        <f t="shared" si="314"/>
        <v>0</v>
      </c>
      <c r="BF656" s="124">
        <f>交易记录!AE715</f>
        <v>0</v>
      </c>
      <c r="BG656" s="124">
        <f>交易记录!AE746</f>
        <v>0</v>
      </c>
      <c r="BH656" s="30">
        <f t="shared" si="315"/>
        <v>0</v>
      </c>
      <c r="BI656" s="121">
        <f>交易记录!AE779</f>
        <v>0</v>
      </c>
      <c r="BJ656" s="121">
        <f>交易记录!AE810</f>
        <v>0</v>
      </c>
      <c r="BK656" s="30">
        <f t="shared" si="316"/>
        <v>0</v>
      </c>
      <c r="BL656" s="124">
        <f>交易记录!AE843</f>
        <v>0</v>
      </c>
      <c r="BM656" s="124">
        <f>交易记录!AE874</f>
        <v>0</v>
      </c>
      <c r="BN656" s="30">
        <f t="shared" si="317"/>
        <v>0</v>
      </c>
      <c r="BO656" s="121">
        <f>交易记录!AE907</f>
        <v>0</v>
      </c>
      <c r="BP656" s="121">
        <f>交易记录!AE938</f>
        <v>0</v>
      </c>
      <c r="BQ656" s="30">
        <f t="shared" si="318"/>
        <v>0</v>
      </c>
    </row>
    <row r="657" spans="1:69" ht="15">
      <c r="A657" s="125">
        <f>'维护-日期'!A$30</f>
        <v>46293</v>
      </c>
      <c r="B657" s="7" t="s">
        <v>13</v>
      </c>
      <c r="C657" s="144">
        <f t="shared" si="319"/>
        <v>12.419</v>
      </c>
      <c r="D657" s="144">
        <f>ROUND(INDEX(持仓数据!$C$3:$AG$26,MATCH('计算过程-数据汇总'!B657,持仓数据!$B$3:$B$26,0),MATCH('计算过程-数据汇总'!A657,'维护-日期'!$B$2:$AF$2,0)),3)</f>
        <v>12.419</v>
      </c>
      <c r="E657" s="98">
        <f t="shared" si="320"/>
        <v>12.419</v>
      </c>
      <c r="F657" s="22">
        <f>持仓数据!AD79</f>
        <v>0.307</v>
      </c>
      <c r="G657" s="97">
        <v>372</v>
      </c>
      <c r="H657" s="97">
        <v>372</v>
      </c>
      <c r="I657" s="64">
        <v>0</v>
      </c>
      <c r="J657" s="64">
        <v>0</v>
      </c>
      <c r="K657" s="21">
        <f>IF(持仓数据!AD112="",0,持仓数据!AD112)</f>
        <v>372</v>
      </c>
      <c r="L657" s="21">
        <f t="shared" si="321"/>
        <v>0</v>
      </c>
      <c r="M657" s="28">
        <f t="shared" si="305"/>
        <v>4619.8680000000004</v>
      </c>
      <c r="N657" s="28">
        <f t="shared" si="306"/>
        <v>0</v>
      </c>
      <c r="O657" s="28">
        <f t="shared" si="307"/>
        <v>0</v>
      </c>
      <c r="P657" s="28">
        <f t="shared" si="308"/>
        <v>0</v>
      </c>
      <c r="Q657" s="28">
        <f t="shared" si="322"/>
        <v>0</v>
      </c>
      <c r="R657" s="28">
        <f t="shared" si="309"/>
        <v>4619.8680000000004</v>
      </c>
      <c r="S657" s="28">
        <f t="shared" si="323"/>
        <v>0</v>
      </c>
      <c r="T657" s="28">
        <f t="shared" si="324"/>
        <v>0</v>
      </c>
      <c r="U657" s="28">
        <f t="shared" si="327"/>
        <v>0</v>
      </c>
      <c r="V657" s="28">
        <f t="shared" si="325"/>
        <v>0</v>
      </c>
      <c r="W657" s="118"/>
      <c r="X657" s="143">
        <f t="shared" si="326"/>
        <v>14.596</v>
      </c>
      <c r="Y657" s="121">
        <f>交易记录!AE12</f>
        <v>0.307</v>
      </c>
      <c r="Z657" s="121">
        <f>交易记录!AE43</f>
        <v>372</v>
      </c>
      <c r="AA657" s="30">
        <f t="shared" si="310"/>
        <v>0</v>
      </c>
      <c r="AB657" s="124">
        <f>交易记录!AE76</f>
        <v>0</v>
      </c>
      <c r="AC657" s="124">
        <f>交易记录!AE107</f>
        <v>0</v>
      </c>
      <c r="AD657" s="30">
        <f t="shared" si="299"/>
        <v>0</v>
      </c>
      <c r="AE657" s="121">
        <f>交易记录!AE140</f>
        <v>0</v>
      </c>
      <c r="AF657" s="121">
        <f>交易记录!AE171</f>
        <v>0</v>
      </c>
      <c r="AG657" s="30">
        <f t="shared" si="300"/>
        <v>0</v>
      </c>
      <c r="AH657" s="124">
        <f>交易记录!AE204</f>
        <v>0</v>
      </c>
      <c r="AI657" s="124">
        <f>交易记录!AE235</f>
        <v>0</v>
      </c>
      <c r="AJ657" s="30">
        <f t="shared" si="301"/>
        <v>0</v>
      </c>
      <c r="AK657" s="121">
        <f>交易记录!AE268</f>
        <v>0</v>
      </c>
      <c r="AL657" s="121">
        <f>交易记录!AE299</f>
        <v>0</v>
      </c>
      <c r="AM657" s="30">
        <f t="shared" si="302"/>
        <v>0</v>
      </c>
      <c r="AN657" s="124">
        <f>交易记录!AE332</f>
        <v>0</v>
      </c>
      <c r="AO657" s="124">
        <f>交易记录!AE363</f>
        <v>0</v>
      </c>
      <c r="AP657" s="30">
        <f t="shared" si="303"/>
        <v>0</v>
      </c>
      <c r="AQ657" s="121">
        <f>交易记录!AE396</f>
        <v>0</v>
      </c>
      <c r="AR657" s="121">
        <f>交易记录!AE427</f>
        <v>0</v>
      </c>
      <c r="AS657" s="30">
        <f t="shared" si="304"/>
        <v>0</v>
      </c>
      <c r="AT657" s="124">
        <f>交易记录!AE460</f>
        <v>0</v>
      </c>
      <c r="AU657" s="124">
        <f>交易记录!AE491</f>
        <v>0</v>
      </c>
      <c r="AV657" s="30">
        <f t="shared" si="311"/>
        <v>0</v>
      </c>
      <c r="AW657" s="121">
        <f>交易记录!AE524</f>
        <v>0</v>
      </c>
      <c r="AX657" s="121">
        <f>交易记录!AE555</f>
        <v>0</v>
      </c>
      <c r="AY657" s="30">
        <f t="shared" si="312"/>
        <v>0</v>
      </c>
      <c r="AZ657" s="124">
        <f>交易记录!AE588</f>
        <v>0</v>
      </c>
      <c r="BA657" s="124">
        <f>交易记录!AE619</f>
        <v>0</v>
      </c>
      <c r="BB657" s="30">
        <f t="shared" si="313"/>
        <v>0</v>
      </c>
      <c r="BC657" s="121">
        <f>交易记录!AE652</f>
        <v>0</v>
      </c>
      <c r="BD657" s="121">
        <f>交易记录!AE683</f>
        <v>0</v>
      </c>
      <c r="BE657" s="30">
        <f t="shared" si="314"/>
        <v>0</v>
      </c>
      <c r="BF657" s="124">
        <f>交易记录!AE716</f>
        <v>0</v>
      </c>
      <c r="BG657" s="124">
        <f>交易记录!AE747</f>
        <v>0</v>
      </c>
      <c r="BH657" s="30">
        <f t="shared" si="315"/>
        <v>0</v>
      </c>
      <c r="BI657" s="121">
        <f>交易记录!AE780</f>
        <v>0</v>
      </c>
      <c r="BJ657" s="121">
        <f>交易记录!AE811</f>
        <v>0</v>
      </c>
      <c r="BK657" s="30">
        <f t="shared" si="316"/>
        <v>0</v>
      </c>
      <c r="BL657" s="124">
        <f>交易记录!AE844</f>
        <v>0</v>
      </c>
      <c r="BM657" s="124">
        <f>交易记录!AE875</f>
        <v>0</v>
      </c>
      <c r="BN657" s="30">
        <f t="shared" si="317"/>
        <v>0</v>
      </c>
      <c r="BO657" s="121">
        <f>交易记录!AE908</f>
        <v>0</v>
      </c>
      <c r="BP657" s="121">
        <f>交易记录!AE939</f>
        <v>0</v>
      </c>
      <c r="BQ657" s="30">
        <f t="shared" si="318"/>
        <v>0</v>
      </c>
    </row>
    <row r="658" spans="1:69" ht="15">
      <c r="A658" s="125">
        <f>'维护-日期'!A$30</f>
        <v>46293</v>
      </c>
      <c r="B658" s="7" t="s">
        <v>14</v>
      </c>
      <c r="C658" s="144">
        <f t="shared" si="319"/>
        <v>13.66</v>
      </c>
      <c r="D658" s="144">
        <f>ROUND(INDEX(持仓数据!$C$3:$AG$26,MATCH('计算过程-数据汇总'!B658,持仓数据!$B$3:$B$26,0),MATCH('计算过程-数据汇总'!A658,'维护-日期'!$B$2:$AF$2,0)),3)</f>
        <v>13.66</v>
      </c>
      <c r="E658" s="98">
        <f t="shared" si="320"/>
        <v>13.66</v>
      </c>
      <c r="F658" s="22">
        <f>持仓数据!AD80</f>
        <v>0.42800000000000005</v>
      </c>
      <c r="G658" s="97">
        <v>372</v>
      </c>
      <c r="H658" s="97">
        <v>372</v>
      </c>
      <c r="I658" s="64">
        <v>0</v>
      </c>
      <c r="J658" s="64">
        <v>0</v>
      </c>
      <c r="K658" s="21">
        <f>IF(持仓数据!AD113="",0,持仓数据!AD113)</f>
        <v>372</v>
      </c>
      <c r="L658" s="21">
        <f t="shared" si="321"/>
        <v>0</v>
      </c>
      <c r="M658" s="28">
        <f t="shared" si="305"/>
        <v>5081.5200000000004</v>
      </c>
      <c r="N658" s="28">
        <f t="shared" si="306"/>
        <v>0</v>
      </c>
      <c r="O658" s="28">
        <f t="shared" si="307"/>
        <v>0</v>
      </c>
      <c r="P658" s="28">
        <f t="shared" si="308"/>
        <v>0</v>
      </c>
      <c r="Q658" s="28">
        <f t="shared" si="322"/>
        <v>0</v>
      </c>
      <c r="R658" s="28">
        <f t="shared" si="309"/>
        <v>5081.5200000000004</v>
      </c>
      <c r="S658" s="28">
        <f t="shared" si="323"/>
        <v>0</v>
      </c>
      <c r="T658" s="28">
        <f t="shared" si="324"/>
        <v>0</v>
      </c>
      <c r="U658" s="28">
        <f t="shared" si="327"/>
        <v>0</v>
      </c>
      <c r="V658" s="28">
        <f t="shared" si="325"/>
        <v>0</v>
      </c>
      <c r="W658" s="118"/>
      <c r="X658" s="143">
        <f t="shared" si="326"/>
        <v>15.964</v>
      </c>
      <c r="Y658" s="121">
        <f>交易记录!AE13</f>
        <v>0.42800000000000005</v>
      </c>
      <c r="Z658" s="121">
        <f>交易记录!AE44</f>
        <v>372</v>
      </c>
      <c r="AA658" s="30">
        <f t="shared" si="310"/>
        <v>0</v>
      </c>
      <c r="AB658" s="124">
        <f>交易记录!AE77</f>
        <v>0</v>
      </c>
      <c r="AC658" s="124">
        <f>交易记录!AE108</f>
        <v>0</v>
      </c>
      <c r="AD658" s="30">
        <f t="shared" si="299"/>
        <v>0</v>
      </c>
      <c r="AE658" s="121">
        <f>交易记录!AE141</f>
        <v>0</v>
      </c>
      <c r="AF658" s="121">
        <f>交易记录!AE172</f>
        <v>0</v>
      </c>
      <c r="AG658" s="30">
        <f t="shared" si="300"/>
        <v>0</v>
      </c>
      <c r="AH658" s="124">
        <f>交易记录!AE205</f>
        <v>0</v>
      </c>
      <c r="AI658" s="124">
        <f>交易记录!AE236</f>
        <v>0</v>
      </c>
      <c r="AJ658" s="30">
        <f t="shared" si="301"/>
        <v>0</v>
      </c>
      <c r="AK658" s="121">
        <f>交易记录!AE269</f>
        <v>0</v>
      </c>
      <c r="AL658" s="121">
        <f>交易记录!AE300</f>
        <v>0</v>
      </c>
      <c r="AM658" s="30">
        <f t="shared" si="302"/>
        <v>0</v>
      </c>
      <c r="AN658" s="124">
        <f>交易记录!AE333</f>
        <v>0</v>
      </c>
      <c r="AO658" s="124">
        <f>交易记录!AE364</f>
        <v>0</v>
      </c>
      <c r="AP658" s="30">
        <f t="shared" si="303"/>
        <v>0</v>
      </c>
      <c r="AQ658" s="121">
        <f>交易记录!AE397</f>
        <v>0</v>
      </c>
      <c r="AR658" s="121">
        <f>交易记录!AE428</f>
        <v>0</v>
      </c>
      <c r="AS658" s="30">
        <f t="shared" si="304"/>
        <v>0</v>
      </c>
      <c r="AT658" s="124">
        <f>交易记录!AE461</f>
        <v>0</v>
      </c>
      <c r="AU658" s="124">
        <f>交易记录!AE492</f>
        <v>0</v>
      </c>
      <c r="AV658" s="30">
        <f t="shared" si="311"/>
        <v>0</v>
      </c>
      <c r="AW658" s="121">
        <f>交易记录!AE525</f>
        <v>0</v>
      </c>
      <c r="AX658" s="121">
        <f>交易记录!AE556</f>
        <v>0</v>
      </c>
      <c r="AY658" s="30">
        <f t="shared" si="312"/>
        <v>0</v>
      </c>
      <c r="AZ658" s="124">
        <f>交易记录!AE589</f>
        <v>0</v>
      </c>
      <c r="BA658" s="124">
        <f>交易记录!AE620</f>
        <v>0</v>
      </c>
      <c r="BB658" s="30">
        <f t="shared" si="313"/>
        <v>0</v>
      </c>
      <c r="BC658" s="121">
        <f>交易记录!AE653</f>
        <v>0</v>
      </c>
      <c r="BD658" s="121">
        <f>交易记录!AE684</f>
        <v>0</v>
      </c>
      <c r="BE658" s="30">
        <f t="shared" si="314"/>
        <v>0</v>
      </c>
      <c r="BF658" s="124">
        <f>交易记录!AE717</f>
        <v>0</v>
      </c>
      <c r="BG658" s="124">
        <f>交易记录!AE748</f>
        <v>0</v>
      </c>
      <c r="BH658" s="30">
        <f t="shared" si="315"/>
        <v>0</v>
      </c>
      <c r="BI658" s="121">
        <f>交易记录!AE781</f>
        <v>0</v>
      </c>
      <c r="BJ658" s="121">
        <f>交易记录!AE812</f>
        <v>0</v>
      </c>
      <c r="BK658" s="30">
        <f t="shared" si="316"/>
        <v>0</v>
      </c>
      <c r="BL658" s="124">
        <f>交易记录!AE845</f>
        <v>0</v>
      </c>
      <c r="BM658" s="124">
        <f>交易记录!AE876</f>
        <v>0</v>
      </c>
      <c r="BN658" s="30">
        <f t="shared" si="317"/>
        <v>0</v>
      </c>
      <c r="BO658" s="121">
        <f>交易记录!AE909</f>
        <v>0</v>
      </c>
      <c r="BP658" s="121">
        <f>交易记录!AE940</f>
        <v>0</v>
      </c>
      <c r="BQ658" s="30">
        <f t="shared" si="318"/>
        <v>0</v>
      </c>
    </row>
    <row r="659" spans="1:69" ht="15">
      <c r="A659" s="125">
        <f>'维护-日期'!A$30</f>
        <v>46293</v>
      </c>
      <c r="B659" s="7" t="s">
        <v>15</v>
      </c>
      <c r="C659" s="144">
        <f t="shared" si="319"/>
        <v>16.832999999999998</v>
      </c>
      <c r="D659" s="144">
        <f>ROUND(INDEX(持仓数据!$C$3:$AG$26,MATCH('计算过程-数据汇总'!B659,持仓数据!$B$3:$B$26,0),MATCH('计算过程-数据汇总'!A659,'维护-日期'!$B$2:$AF$2,0)),3)</f>
        <v>16.832999999999998</v>
      </c>
      <c r="E659" s="98">
        <f t="shared" si="320"/>
        <v>16.832999999999998</v>
      </c>
      <c r="F659" s="22">
        <f>持仓数据!AD81</f>
        <v>0.46100000000000002</v>
      </c>
      <c r="G659" s="97">
        <v>372</v>
      </c>
      <c r="H659" s="97">
        <v>372</v>
      </c>
      <c r="I659" s="64">
        <v>0</v>
      </c>
      <c r="J659" s="64">
        <v>0</v>
      </c>
      <c r="K659" s="21">
        <f>IF(持仓数据!AD114="",0,持仓数据!AD114)</f>
        <v>372</v>
      </c>
      <c r="L659" s="21">
        <f t="shared" si="321"/>
        <v>0</v>
      </c>
      <c r="M659" s="28">
        <f t="shared" si="305"/>
        <v>6261.8759999999993</v>
      </c>
      <c r="N659" s="28">
        <f t="shared" si="306"/>
        <v>0</v>
      </c>
      <c r="O659" s="28">
        <f t="shared" si="307"/>
        <v>0</v>
      </c>
      <c r="P659" s="28">
        <f t="shared" si="308"/>
        <v>0</v>
      </c>
      <c r="Q659" s="28">
        <f t="shared" si="322"/>
        <v>0</v>
      </c>
      <c r="R659" s="28">
        <f t="shared" si="309"/>
        <v>6261.8759999999993</v>
      </c>
      <c r="S659" s="28">
        <f t="shared" si="323"/>
        <v>0</v>
      </c>
      <c r="T659" s="28">
        <f t="shared" si="324"/>
        <v>0</v>
      </c>
      <c r="U659" s="28">
        <f t="shared" si="327"/>
        <v>0</v>
      </c>
      <c r="V659" s="28">
        <f t="shared" si="325"/>
        <v>0</v>
      </c>
      <c r="W659" s="118"/>
      <c r="X659" s="143">
        <f t="shared" si="326"/>
        <v>19.739000000000001</v>
      </c>
      <c r="Y659" s="121">
        <f>交易记录!AE14</f>
        <v>0.46100000000000002</v>
      </c>
      <c r="Z659" s="121">
        <f>交易记录!AE45</f>
        <v>372</v>
      </c>
      <c r="AA659" s="30">
        <f t="shared" si="310"/>
        <v>0</v>
      </c>
      <c r="AB659" s="124">
        <f>交易记录!AE78</f>
        <v>0</v>
      </c>
      <c r="AC659" s="124">
        <f>交易记录!AE109</f>
        <v>0</v>
      </c>
      <c r="AD659" s="30">
        <f t="shared" si="299"/>
        <v>0</v>
      </c>
      <c r="AE659" s="121">
        <f>交易记录!AE142</f>
        <v>0</v>
      </c>
      <c r="AF659" s="121">
        <f>交易记录!AE173</f>
        <v>0</v>
      </c>
      <c r="AG659" s="30">
        <f t="shared" si="300"/>
        <v>0</v>
      </c>
      <c r="AH659" s="124">
        <f>交易记录!AE206</f>
        <v>0</v>
      </c>
      <c r="AI659" s="124">
        <f>交易记录!AE237</f>
        <v>0</v>
      </c>
      <c r="AJ659" s="30">
        <f t="shared" si="301"/>
        <v>0</v>
      </c>
      <c r="AK659" s="121">
        <f>交易记录!AE270</f>
        <v>0</v>
      </c>
      <c r="AL659" s="121">
        <f>交易记录!AE301</f>
        <v>0</v>
      </c>
      <c r="AM659" s="30">
        <f t="shared" si="302"/>
        <v>0</v>
      </c>
      <c r="AN659" s="124">
        <f>交易记录!AE334</f>
        <v>0</v>
      </c>
      <c r="AO659" s="124">
        <f>交易记录!AE365</f>
        <v>0</v>
      </c>
      <c r="AP659" s="30">
        <f t="shared" si="303"/>
        <v>0</v>
      </c>
      <c r="AQ659" s="121">
        <f>交易记录!AE398</f>
        <v>0</v>
      </c>
      <c r="AR659" s="121">
        <f>交易记录!AE429</f>
        <v>0</v>
      </c>
      <c r="AS659" s="30">
        <f t="shared" si="304"/>
        <v>0</v>
      </c>
      <c r="AT659" s="124">
        <f>交易记录!AE462</f>
        <v>0</v>
      </c>
      <c r="AU659" s="124">
        <f>交易记录!AE493</f>
        <v>0</v>
      </c>
      <c r="AV659" s="30">
        <f t="shared" si="311"/>
        <v>0</v>
      </c>
      <c r="AW659" s="121">
        <f>交易记录!AE526</f>
        <v>0</v>
      </c>
      <c r="AX659" s="121">
        <f>交易记录!AE557</f>
        <v>0</v>
      </c>
      <c r="AY659" s="30">
        <f t="shared" si="312"/>
        <v>0</v>
      </c>
      <c r="AZ659" s="124">
        <f>交易记录!AE590</f>
        <v>0</v>
      </c>
      <c r="BA659" s="124">
        <f>交易记录!AE621</f>
        <v>0</v>
      </c>
      <c r="BB659" s="30">
        <f t="shared" si="313"/>
        <v>0</v>
      </c>
      <c r="BC659" s="121">
        <f>交易记录!AE654</f>
        <v>0</v>
      </c>
      <c r="BD659" s="121">
        <f>交易记录!AE685</f>
        <v>0</v>
      </c>
      <c r="BE659" s="30">
        <f t="shared" si="314"/>
        <v>0</v>
      </c>
      <c r="BF659" s="124">
        <f>交易记录!AE718</f>
        <v>0</v>
      </c>
      <c r="BG659" s="124">
        <f>交易记录!AE749</f>
        <v>0</v>
      </c>
      <c r="BH659" s="30">
        <f t="shared" si="315"/>
        <v>0</v>
      </c>
      <c r="BI659" s="121">
        <f>交易记录!AE782</f>
        <v>0</v>
      </c>
      <c r="BJ659" s="121">
        <f>交易记录!AE813</f>
        <v>0</v>
      </c>
      <c r="BK659" s="30">
        <f t="shared" si="316"/>
        <v>0</v>
      </c>
      <c r="BL659" s="124">
        <f>交易记录!AE846</f>
        <v>0</v>
      </c>
      <c r="BM659" s="124">
        <f>交易记录!AE877</f>
        <v>0</v>
      </c>
      <c r="BN659" s="30">
        <f t="shared" si="317"/>
        <v>0</v>
      </c>
      <c r="BO659" s="121">
        <f>交易记录!AE910</f>
        <v>0</v>
      </c>
      <c r="BP659" s="121">
        <f>交易记录!AE941</f>
        <v>0</v>
      </c>
      <c r="BQ659" s="30">
        <f t="shared" si="318"/>
        <v>0</v>
      </c>
    </row>
    <row r="660" spans="1:69" ht="15">
      <c r="A660" s="125">
        <f>'维护-日期'!A$30</f>
        <v>46293</v>
      </c>
      <c r="B660" s="7" t="s">
        <v>16</v>
      </c>
      <c r="C660" s="144">
        <f t="shared" si="319"/>
        <v>18.838999999999999</v>
      </c>
      <c r="D660" s="144">
        <f>ROUND(INDEX(持仓数据!$C$3:$AG$26,MATCH('计算过程-数据汇总'!B660,持仓数据!$B$3:$B$26,0),MATCH('计算过程-数据汇总'!A660,'维护-日期'!$B$2:$AF$2,0)),3)</f>
        <v>18.838999999999999</v>
      </c>
      <c r="E660" s="98">
        <f t="shared" si="320"/>
        <v>18.838999999999999</v>
      </c>
      <c r="F660" s="22">
        <f>持仓数据!AD82</f>
        <v>0.46700000000000003</v>
      </c>
      <c r="G660" s="97">
        <v>372</v>
      </c>
      <c r="H660" s="97">
        <v>372</v>
      </c>
      <c r="I660" s="64">
        <v>0</v>
      </c>
      <c r="J660" s="64">
        <v>0</v>
      </c>
      <c r="K660" s="21">
        <f>IF(持仓数据!AD115="",0,持仓数据!AD115)</f>
        <v>372</v>
      </c>
      <c r="L660" s="21">
        <f t="shared" si="321"/>
        <v>0</v>
      </c>
      <c r="M660" s="28">
        <f t="shared" si="305"/>
        <v>7008.1079999999993</v>
      </c>
      <c r="N660" s="28">
        <f t="shared" si="306"/>
        <v>0</v>
      </c>
      <c r="O660" s="28">
        <f t="shared" si="307"/>
        <v>0</v>
      </c>
      <c r="P660" s="28">
        <f t="shared" si="308"/>
        <v>0</v>
      </c>
      <c r="Q660" s="28">
        <f t="shared" si="322"/>
        <v>0</v>
      </c>
      <c r="R660" s="28">
        <f t="shared" si="309"/>
        <v>7008.1079999999993</v>
      </c>
      <c r="S660" s="28">
        <f t="shared" si="323"/>
        <v>0</v>
      </c>
      <c r="T660" s="28">
        <f t="shared" si="324"/>
        <v>0</v>
      </c>
      <c r="U660" s="28">
        <f t="shared" si="327"/>
        <v>0</v>
      </c>
      <c r="V660" s="28">
        <f t="shared" si="325"/>
        <v>0</v>
      </c>
      <c r="W660" s="118"/>
      <c r="X660" s="143">
        <f t="shared" si="326"/>
        <v>22.14</v>
      </c>
      <c r="Y660" s="121">
        <f>交易记录!AE15</f>
        <v>0.46700000000000003</v>
      </c>
      <c r="Z660" s="121">
        <f>交易记录!AE46</f>
        <v>372</v>
      </c>
      <c r="AA660" s="30">
        <f t="shared" si="310"/>
        <v>0</v>
      </c>
      <c r="AB660" s="124">
        <f>交易记录!AE79</f>
        <v>0</v>
      </c>
      <c r="AC660" s="124">
        <f>交易记录!AE110</f>
        <v>0</v>
      </c>
      <c r="AD660" s="30">
        <f t="shared" si="299"/>
        <v>0</v>
      </c>
      <c r="AE660" s="121">
        <f>交易记录!AE143</f>
        <v>0</v>
      </c>
      <c r="AF660" s="121">
        <f>交易记录!AE174</f>
        <v>0</v>
      </c>
      <c r="AG660" s="30">
        <f t="shared" si="300"/>
        <v>0</v>
      </c>
      <c r="AH660" s="124">
        <f>交易记录!AE207</f>
        <v>0</v>
      </c>
      <c r="AI660" s="124">
        <f>交易记录!AE238</f>
        <v>0</v>
      </c>
      <c r="AJ660" s="30">
        <f t="shared" si="301"/>
        <v>0</v>
      </c>
      <c r="AK660" s="121">
        <f>交易记录!AE271</f>
        <v>0</v>
      </c>
      <c r="AL660" s="121">
        <f>交易记录!AE302</f>
        <v>0</v>
      </c>
      <c r="AM660" s="30">
        <f t="shared" si="302"/>
        <v>0</v>
      </c>
      <c r="AN660" s="124">
        <f>交易记录!AE335</f>
        <v>0</v>
      </c>
      <c r="AO660" s="124">
        <f>交易记录!AE366</f>
        <v>0</v>
      </c>
      <c r="AP660" s="30">
        <f t="shared" si="303"/>
        <v>0</v>
      </c>
      <c r="AQ660" s="121">
        <f>交易记录!AE399</f>
        <v>0</v>
      </c>
      <c r="AR660" s="121">
        <f>交易记录!AE430</f>
        <v>0</v>
      </c>
      <c r="AS660" s="30">
        <f t="shared" si="304"/>
        <v>0</v>
      </c>
      <c r="AT660" s="124">
        <f>交易记录!AE463</f>
        <v>0</v>
      </c>
      <c r="AU660" s="124">
        <f>交易记录!AE494</f>
        <v>0</v>
      </c>
      <c r="AV660" s="30">
        <f t="shared" si="311"/>
        <v>0</v>
      </c>
      <c r="AW660" s="121">
        <f>交易记录!AE527</f>
        <v>0</v>
      </c>
      <c r="AX660" s="121">
        <f>交易记录!AE558</f>
        <v>0</v>
      </c>
      <c r="AY660" s="30">
        <f t="shared" si="312"/>
        <v>0</v>
      </c>
      <c r="AZ660" s="124">
        <f>交易记录!AE591</f>
        <v>0</v>
      </c>
      <c r="BA660" s="124">
        <f>交易记录!AE622</f>
        <v>0</v>
      </c>
      <c r="BB660" s="30">
        <f t="shared" si="313"/>
        <v>0</v>
      </c>
      <c r="BC660" s="121">
        <f>交易记录!AE655</f>
        <v>0</v>
      </c>
      <c r="BD660" s="121">
        <f>交易记录!AE686</f>
        <v>0</v>
      </c>
      <c r="BE660" s="30">
        <f t="shared" si="314"/>
        <v>0</v>
      </c>
      <c r="BF660" s="124">
        <f>交易记录!AE719</f>
        <v>0</v>
      </c>
      <c r="BG660" s="124">
        <f>交易记录!AE750</f>
        <v>0</v>
      </c>
      <c r="BH660" s="30">
        <f t="shared" si="315"/>
        <v>0</v>
      </c>
      <c r="BI660" s="121">
        <f>交易记录!AE783</f>
        <v>0</v>
      </c>
      <c r="BJ660" s="121">
        <f>交易记录!AE814</f>
        <v>0</v>
      </c>
      <c r="BK660" s="30">
        <f t="shared" si="316"/>
        <v>0</v>
      </c>
      <c r="BL660" s="124">
        <f>交易记录!AE847</f>
        <v>0</v>
      </c>
      <c r="BM660" s="124">
        <f>交易记录!AE878</f>
        <v>0</v>
      </c>
      <c r="BN660" s="30">
        <f t="shared" si="317"/>
        <v>0</v>
      </c>
      <c r="BO660" s="121">
        <f>交易记录!AE911</f>
        <v>0</v>
      </c>
      <c r="BP660" s="121">
        <f>交易记录!AE942</f>
        <v>0</v>
      </c>
      <c r="BQ660" s="30">
        <f t="shared" si="318"/>
        <v>0</v>
      </c>
    </row>
    <row r="661" spans="1:69" ht="15">
      <c r="A661" s="125">
        <f>'维护-日期'!A$30</f>
        <v>46293</v>
      </c>
      <c r="B661" s="7" t="s">
        <v>17</v>
      </c>
      <c r="C661" s="144">
        <f t="shared" si="319"/>
        <v>19.346</v>
      </c>
      <c r="D661" s="144">
        <f>ROUND(INDEX(持仓数据!$C$3:$AG$26,MATCH('计算过程-数据汇总'!B661,持仓数据!$B$3:$B$26,0),MATCH('计算过程-数据汇总'!A661,'维护-日期'!$B$2:$AF$2,0)),3)</f>
        <v>19.346</v>
      </c>
      <c r="E661" s="98">
        <f t="shared" si="320"/>
        <v>19.346</v>
      </c>
      <c r="F661" s="22">
        <f>持仓数据!AD83</f>
        <v>0.32100000000000001</v>
      </c>
      <c r="G661" s="97">
        <v>372</v>
      </c>
      <c r="H661" s="97">
        <v>372</v>
      </c>
      <c r="I661" s="64">
        <v>0</v>
      </c>
      <c r="J661" s="64">
        <v>0</v>
      </c>
      <c r="K661" s="21">
        <f>IF(持仓数据!AD116="",0,持仓数据!AD116)</f>
        <v>372</v>
      </c>
      <c r="L661" s="21">
        <f t="shared" si="321"/>
        <v>0</v>
      </c>
      <c r="M661" s="28">
        <f t="shared" si="305"/>
        <v>7196.7120000000004</v>
      </c>
      <c r="N661" s="28">
        <f t="shared" si="306"/>
        <v>0</v>
      </c>
      <c r="O661" s="28">
        <f t="shared" si="307"/>
        <v>0</v>
      </c>
      <c r="P661" s="28">
        <f t="shared" si="308"/>
        <v>0</v>
      </c>
      <c r="Q661" s="28">
        <f t="shared" si="322"/>
        <v>0</v>
      </c>
      <c r="R661" s="28">
        <f t="shared" si="309"/>
        <v>7196.7120000000004</v>
      </c>
      <c r="S661" s="28">
        <f t="shared" si="323"/>
        <v>0</v>
      </c>
      <c r="T661" s="28">
        <f t="shared" si="324"/>
        <v>0</v>
      </c>
      <c r="U661" s="28">
        <f t="shared" si="327"/>
        <v>0</v>
      </c>
      <c r="V661" s="28">
        <f t="shared" si="325"/>
        <v>0</v>
      </c>
      <c r="W661" s="118"/>
      <c r="X661" s="143">
        <f t="shared" si="326"/>
        <v>22.893999999999998</v>
      </c>
      <c r="Y661" s="121">
        <f>交易记录!AE16</f>
        <v>0.32100000000000001</v>
      </c>
      <c r="Z661" s="121">
        <f>交易记录!AE47</f>
        <v>372</v>
      </c>
      <c r="AA661" s="30">
        <f t="shared" si="310"/>
        <v>0</v>
      </c>
      <c r="AB661" s="124">
        <f>交易记录!AE80</f>
        <v>0</v>
      </c>
      <c r="AC661" s="124">
        <f>交易记录!AE111</f>
        <v>0</v>
      </c>
      <c r="AD661" s="30">
        <f t="shared" si="299"/>
        <v>0</v>
      </c>
      <c r="AE661" s="121">
        <f>交易记录!AE144</f>
        <v>0</v>
      </c>
      <c r="AF661" s="121">
        <f>交易记录!AE175</f>
        <v>0</v>
      </c>
      <c r="AG661" s="30">
        <f t="shared" si="300"/>
        <v>0</v>
      </c>
      <c r="AH661" s="124">
        <f>交易记录!AE208</f>
        <v>0</v>
      </c>
      <c r="AI661" s="124">
        <f>交易记录!AE239</f>
        <v>0</v>
      </c>
      <c r="AJ661" s="30">
        <f t="shared" si="301"/>
        <v>0</v>
      </c>
      <c r="AK661" s="121">
        <f>交易记录!AE272</f>
        <v>0</v>
      </c>
      <c r="AL661" s="121">
        <f>交易记录!AE303</f>
        <v>0</v>
      </c>
      <c r="AM661" s="30">
        <f t="shared" si="302"/>
        <v>0</v>
      </c>
      <c r="AN661" s="124">
        <f>交易记录!AE336</f>
        <v>0</v>
      </c>
      <c r="AO661" s="124">
        <f>交易记录!AE367</f>
        <v>0</v>
      </c>
      <c r="AP661" s="30">
        <f t="shared" si="303"/>
        <v>0</v>
      </c>
      <c r="AQ661" s="121">
        <f>交易记录!AE400</f>
        <v>0</v>
      </c>
      <c r="AR661" s="121">
        <f>交易记录!AE431</f>
        <v>0</v>
      </c>
      <c r="AS661" s="30">
        <f t="shared" si="304"/>
        <v>0</v>
      </c>
      <c r="AT661" s="124">
        <f>交易记录!AE464</f>
        <v>0</v>
      </c>
      <c r="AU661" s="124">
        <f>交易记录!AE495</f>
        <v>0</v>
      </c>
      <c r="AV661" s="30">
        <f t="shared" si="311"/>
        <v>0</v>
      </c>
      <c r="AW661" s="121">
        <f>交易记录!AE528</f>
        <v>0</v>
      </c>
      <c r="AX661" s="121">
        <f>交易记录!AE559</f>
        <v>0</v>
      </c>
      <c r="AY661" s="30">
        <f t="shared" si="312"/>
        <v>0</v>
      </c>
      <c r="AZ661" s="124">
        <f>交易记录!AE592</f>
        <v>0</v>
      </c>
      <c r="BA661" s="124">
        <f>交易记录!AE623</f>
        <v>0</v>
      </c>
      <c r="BB661" s="30">
        <f t="shared" si="313"/>
        <v>0</v>
      </c>
      <c r="BC661" s="121">
        <f>交易记录!AE656</f>
        <v>0</v>
      </c>
      <c r="BD661" s="121">
        <f>交易记录!AE687</f>
        <v>0</v>
      </c>
      <c r="BE661" s="30">
        <f t="shared" si="314"/>
        <v>0</v>
      </c>
      <c r="BF661" s="124">
        <f>交易记录!AE720</f>
        <v>0</v>
      </c>
      <c r="BG661" s="124">
        <f>交易记录!AE751</f>
        <v>0</v>
      </c>
      <c r="BH661" s="30">
        <f t="shared" si="315"/>
        <v>0</v>
      </c>
      <c r="BI661" s="121">
        <f>交易记录!AE784</f>
        <v>0</v>
      </c>
      <c r="BJ661" s="121">
        <f>交易记录!AE815</f>
        <v>0</v>
      </c>
      <c r="BK661" s="30">
        <f t="shared" si="316"/>
        <v>0</v>
      </c>
      <c r="BL661" s="124">
        <f>交易记录!AE848</f>
        <v>0</v>
      </c>
      <c r="BM661" s="124">
        <f>交易记录!AE879</f>
        <v>0</v>
      </c>
      <c r="BN661" s="30">
        <f t="shared" si="317"/>
        <v>0</v>
      </c>
      <c r="BO661" s="121">
        <f>交易记录!AE912</f>
        <v>0</v>
      </c>
      <c r="BP661" s="121">
        <f>交易记录!AE943</f>
        <v>0</v>
      </c>
      <c r="BQ661" s="30">
        <f t="shared" si="318"/>
        <v>0</v>
      </c>
    </row>
    <row r="662" spans="1:69" ht="15">
      <c r="A662" s="125">
        <f>'维护-日期'!A$30</f>
        <v>46293</v>
      </c>
      <c r="B662" s="7" t="s">
        <v>18</v>
      </c>
      <c r="C662" s="144">
        <f t="shared" si="319"/>
        <v>20.166</v>
      </c>
      <c r="D662" s="144">
        <f>ROUND(INDEX(持仓数据!$C$3:$AG$26,MATCH('计算过程-数据汇总'!B662,持仓数据!$B$3:$B$26,0),MATCH('计算过程-数据汇总'!A662,'维护-日期'!$B$2:$AF$2,0)),3)</f>
        <v>20.166</v>
      </c>
      <c r="E662" s="98">
        <f t="shared" si="320"/>
        <v>20.166</v>
      </c>
      <c r="F662" s="22">
        <f>持仓数据!AD84</f>
        <v>7.8E-2</v>
      </c>
      <c r="G662" s="97">
        <v>372</v>
      </c>
      <c r="H662" s="97">
        <v>372</v>
      </c>
      <c r="I662" s="64">
        <v>0</v>
      </c>
      <c r="J662" s="64">
        <v>0</v>
      </c>
      <c r="K662" s="21">
        <f>IF(持仓数据!AD117="",0,持仓数据!AD117)</f>
        <v>372</v>
      </c>
      <c r="L662" s="21">
        <f t="shared" si="321"/>
        <v>0</v>
      </c>
      <c r="M662" s="28">
        <f t="shared" si="305"/>
        <v>7501.7520000000004</v>
      </c>
      <c r="N662" s="28">
        <f t="shared" si="306"/>
        <v>0</v>
      </c>
      <c r="O662" s="28">
        <f t="shared" si="307"/>
        <v>0</v>
      </c>
      <c r="P662" s="28">
        <f t="shared" si="308"/>
        <v>0</v>
      </c>
      <c r="Q662" s="28">
        <f t="shared" si="322"/>
        <v>0</v>
      </c>
      <c r="R662" s="28">
        <f t="shared" si="309"/>
        <v>7501.7520000000004</v>
      </c>
      <c r="S662" s="28">
        <f t="shared" si="323"/>
        <v>0</v>
      </c>
      <c r="T662" s="28">
        <f t="shared" si="324"/>
        <v>0</v>
      </c>
      <c r="U662" s="28">
        <f t="shared" si="327"/>
        <v>0</v>
      </c>
      <c r="V662" s="28">
        <f t="shared" si="325"/>
        <v>0</v>
      </c>
      <c r="W662" s="118"/>
      <c r="X662" s="143">
        <f t="shared" si="326"/>
        <v>24.120999999999999</v>
      </c>
      <c r="Y662" s="121">
        <f>交易记录!AE17</f>
        <v>7.8E-2</v>
      </c>
      <c r="Z662" s="121">
        <f>交易记录!AE48</f>
        <v>372</v>
      </c>
      <c r="AA662" s="30">
        <f t="shared" si="310"/>
        <v>0</v>
      </c>
      <c r="AB662" s="124">
        <f>交易记录!AE81</f>
        <v>0</v>
      </c>
      <c r="AC662" s="124">
        <f>交易记录!AE112</f>
        <v>0</v>
      </c>
      <c r="AD662" s="30">
        <f t="shared" si="299"/>
        <v>0</v>
      </c>
      <c r="AE662" s="121">
        <f>交易记录!AE145</f>
        <v>0</v>
      </c>
      <c r="AF662" s="121">
        <f>交易记录!AE176</f>
        <v>0</v>
      </c>
      <c r="AG662" s="30">
        <f t="shared" si="300"/>
        <v>0</v>
      </c>
      <c r="AH662" s="124">
        <f>交易记录!AE209</f>
        <v>0</v>
      </c>
      <c r="AI662" s="124">
        <f>交易记录!AE240</f>
        <v>0</v>
      </c>
      <c r="AJ662" s="30">
        <f t="shared" si="301"/>
        <v>0</v>
      </c>
      <c r="AK662" s="121">
        <f>交易记录!AE273</f>
        <v>0</v>
      </c>
      <c r="AL662" s="121">
        <f>交易记录!AE304</f>
        <v>0</v>
      </c>
      <c r="AM662" s="30">
        <f t="shared" si="302"/>
        <v>0</v>
      </c>
      <c r="AN662" s="124">
        <f>交易记录!AE337</f>
        <v>0</v>
      </c>
      <c r="AO662" s="124">
        <f>交易记录!AE368</f>
        <v>0</v>
      </c>
      <c r="AP662" s="30">
        <f t="shared" si="303"/>
        <v>0</v>
      </c>
      <c r="AQ662" s="121">
        <f>交易记录!AE401</f>
        <v>0</v>
      </c>
      <c r="AR662" s="121">
        <f>交易记录!AE432</f>
        <v>0</v>
      </c>
      <c r="AS662" s="30">
        <f t="shared" si="304"/>
        <v>0</v>
      </c>
      <c r="AT662" s="124">
        <f>交易记录!AE465</f>
        <v>0</v>
      </c>
      <c r="AU662" s="124">
        <f>交易记录!AE496</f>
        <v>0</v>
      </c>
      <c r="AV662" s="30">
        <f t="shared" si="311"/>
        <v>0</v>
      </c>
      <c r="AW662" s="121">
        <f>交易记录!AE529</f>
        <v>0</v>
      </c>
      <c r="AX662" s="121">
        <f>交易记录!AE560</f>
        <v>0</v>
      </c>
      <c r="AY662" s="30">
        <f t="shared" si="312"/>
        <v>0</v>
      </c>
      <c r="AZ662" s="124">
        <f>交易记录!AE593</f>
        <v>0</v>
      </c>
      <c r="BA662" s="124">
        <f>交易记录!AE624</f>
        <v>0</v>
      </c>
      <c r="BB662" s="30">
        <f t="shared" si="313"/>
        <v>0</v>
      </c>
      <c r="BC662" s="121">
        <f>交易记录!AE657</f>
        <v>0</v>
      </c>
      <c r="BD662" s="121">
        <f>交易记录!AE688</f>
        <v>0</v>
      </c>
      <c r="BE662" s="30">
        <f t="shared" si="314"/>
        <v>0</v>
      </c>
      <c r="BF662" s="124">
        <f>交易记录!AE721</f>
        <v>0</v>
      </c>
      <c r="BG662" s="124">
        <f>交易记录!AE752</f>
        <v>0</v>
      </c>
      <c r="BH662" s="30">
        <f t="shared" si="315"/>
        <v>0</v>
      </c>
      <c r="BI662" s="121">
        <f>交易记录!AE785</f>
        <v>0</v>
      </c>
      <c r="BJ662" s="121">
        <f>交易记录!AE816</f>
        <v>0</v>
      </c>
      <c r="BK662" s="30">
        <f t="shared" si="316"/>
        <v>0</v>
      </c>
      <c r="BL662" s="124">
        <f>交易记录!AE849</f>
        <v>0</v>
      </c>
      <c r="BM662" s="124">
        <f>交易记录!AE880</f>
        <v>0</v>
      </c>
      <c r="BN662" s="30">
        <f t="shared" si="317"/>
        <v>0</v>
      </c>
      <c r="BO662" s="121">
        <f>交易记录!AE913</f>
        <v>0</v>
      </c>
      <c r="BP662" s="121">
        <f>交易记录!AE944</f>
        <v>0</v>
      </c>
      <c r="BQ662" s="30">
        <f t="shared" si="318"/>
        <v>0</v>
      </c>
    </row>
    <row r="663" spans="1:69" ht="15">
      <c r="A663" s="125">
        <f>'维护-日期'!A$30</f>
        <v>46293</v>
      </c>
      <c r="B663" s="7" t="s">
        <v>19</v>
      </c>
      <c r="C663" s="144">
        <f t="shared" si="319"/>
        <v>21.004999999999999</v>
      </c>
      <c r="D663" s="144">
        <f>ROUND(INDEX(持仓数据!$C$3:$AG$26,MATCH('计算过程-数据汇总'!B663,持仓数据!$B$3:$B$26,0),MATCH('计算过程-数据汇总'!A663,'维护-日期'!$B$2:$AF$2,0)),3)</f>
        <v>21.004999999999999</v>
      </c>
      <c r="E663" s="98">
        <f t="shared" si="320"/>
        <v>21.004999999999999</v>
      </c>
      <c r="F663" s="22">
        <f>持仓数据!AD85</f>
        <v>0.19500000000000001</v>
      </c>
      <c r="G663" s="97">
        <v>372</v>
      </c>
      <c r="H663" s="97">
        <v>372</v>
      </c>
      <c r="I663" s="64">
        <v>0</v>
      </c>
      <c r="J663" s="64">
        <v>0</v>
      </c>
      <c r="K663" s="21">
        <f>IF(持仓数据!AD118="",0,持仓数据!AD118)</f>
        <v>372</v>
      </c>
      <c r="L663" s="21">
        <f t="shared" si="321"/>
        <v>0</v>
      </c>
      <c r="M663" s="28">
        <f t="shared" si="305"/>
        <v>7813.86</v>
      </c>
      <c r="N663" s="28">
        <f t="shared" si="306"/>
        <v>0</v>
      </c>
      <c r="O663" s="28">
        <f t="shared" si="307"/>
        <v>0</v>
      </c>
      <c r="P663" s="28">
        <f t="shared" si="308"/>
        <v>0</v>
      </c>
      <c r="Q663" s="28">
        <f t="shared" si="322"/>
        <v>0</v>
      </c>
      <c r="R663" s="28">
        <f t="shared" si="309"/>
        <v>7813.86</v>
      </c>
      <c r="S663" s="28">
        <f t="shared" si="323"/>
        <v>0</v>
      </c>
      <c r="T663" s="28">
        <f t="shared" si="324"/>
        <v>0</v>
      </c>
      <c r="U663" s="28">
        <f t="shared" si="327"/>
        <v>0</v>
      </c>
      <c r="V663" s="28">
        <f t="shared" si="325"/>
        <v>0</v>
      </c>
      <c r="W663" s="118"/>
      <c r="X663" s="143">
        <f t="shared" si="326"/>
        <v>25.010999999999999</v>
      </c>
      <c r="Y663" s="121">
        <f>交易记录!AE18</f>
        <v>0.19500000000000001</v>
      </c>
      <c r="Z663" s="121">
        <f>交易记录!AE49</f>
        <v>372</v>
      </c>
      <c r="AA663" s="30">
        <f t="shared" si="310"/>
        <v>0</v>
      </c>
      <c r="AB663" s="124">
        <f>交易记录!AE82</f>
        <v>0</v>
      </c>
      <c r="AC663" s="124">
        <f>交易记录!AE113</f>
        <v>0</v>
      </c>
      <c r="AD663" s="30">
        <f t="shared" si="299"/>
        <v>0</v>
      </c>
      <c r="AE663" s="121">
        <f>交易记录!AE146</f>
        <v>0</v>
      </c>
      <c r="AF663" s="121">
        <f>交易记录!AE177</f>
        <v>0</v>
      </c>
      <c r="AG663" s="30">
        <f t="shared" si="300"/>
        <v>0</v>
      </c>
      <c r="AH663" s="124">
        <f>交易记录!AE210</f>
        <v>0</v>
      </c>
      <c r="AI663" s="124">
        <f>交易记录!AE241</f>
        <v>0</v>
      </c>
      <c r="AJ663" s="30">
        <f t="shared" si="301"/>
        <v>0</v>
      </c>
      <c r="AK663" s="121">
        <f>交易记录!AE274</f>
        <v>0</v>
      </c>
      <c r="AL663" s="121">
        <f>交易记录!AE305</f>
        <v>0</v>
      </c>
      <c r="AM663" s="30">
        <f t="shared" si="302"/>
        <v>0</v>
      </c>
      <c r="AN663" s="124">
        <f>交易记录!AE338</f>
        <v>0</v>
      </c>
      <c r="AO663" s="124">
        <f>交易记录!AE369</f>
        <v>0</v>
      </c>
      <c r="AP663" s="30">
        <f t="shared" si="303"/>
        <v>0</v>
      </c>
      <c r="AQ663" s="121">
        <f>交易记录!AE402</f>
        <v>0</v>
      </c>
      <c r="AR663" s="121">
        <f>交易记录!AE433</f>
        <v>0</v>
      </c>
      <c r="AS663" s="30">
        <f t="shared" si="304"/>
        <v>0</v>
      </c>
      <c r="AT663" s="124">
        <f>交易记录!AE466</f>
        <v>0</v>
      </c>
      <c r="AU663" s="124">
        <f>交易记录!AE497</f>
        <v>0</v>
      </c>
      <c r="AV663" s="30">
        <f t="shared" si="311"/>
        <v>0</v>
      </c>
      <c r="AW663" s="121">
        <f>交易记录!AE530</f>
        <v>0</v>
      </c>
      <c r="AX663" s="121">
        <f>交易记录!AE561</f>
        <v>0</v>
      </c>
      <c r="AY663" s="30">
        <f t="shared" si="312"/>
        <v>0</v>
      </c>
      <c r="AZ663" s="124">
        <f>交易记录!AE594</f>
        <v>0</v>
      </c>
      <c r="BA663" s="124">
        <f>交易记录!AE625</f>
        <v>0</v>
      </c>
      <c r="BB663" s="30">
        <f t="shared" si="313"/>
        <v>0</v>
      </c>
      <c r="BC663" s="121">
        <f>交易记录!AE658</f>
        <v>0</v>
      </c>
      <c r="BD663" s="121">
        <f>交易记录!AE689</f>
        <v>0</v>
      </c>
      <c r="BE663" s="30">
        <f t="shared" si="314"/>
        <v>0</v>
      </c>
      <c r="BF663" s="124">
        <f>交易记录!AE722</f>
        <v>0</v>
      </c>
      <c r="BG663" s="124">
        <f>交易记录!AE753</f>
        <v>0</v>
      </c>
      <c r="BH663" s="30">
        <f t="shared" si="315"/>
        <v>0</v>
      </c>
      <c r="BI663" s="121">
        <f>交易记录!AE786</f>
        <v>0</v>
      </c>
      <c r="BJ663" s="121">
        <f>交易记录!AE817</f>
        <v>0</v>
      </c>
      <c r="BK663" s="30">
        <f t="shared" si="316"/>
        <v>0</v>
      </c>
      <c r="BL663" s="124">
        <f>交易记录!AE850</f>
        <v>0</v>
      </c>
      <c r="BM663" s="124">
        <f>交易记录!AE881</f>
        <v>0</v>
      </c>
      <c r="BN663" s="30">
        <f t="shared" si="317"/>
        <v>0</v>
      </c>
      <c r="BO663" s="121">
        <f>交易记录!AE914</f>
        <v>0</v>
      </c>
      <c r="BP663" s="121">
        <f>交易记录!AE945</f>
        <v>0</v>
      </c>
      <c r="BQ663" s="30">
        <f t="shared" si="318"/>
        <v>0</v>
      </c>
    </row>
    <row r="664" spans="1:69" ht="15">
      <c r="A664" s="125">
        <f>'维护-日期'!A$30</f>
        <v>46293</v>
      </c>
      <c r="B664" s="7" t="s">
        <v>20</v>
      </c>
      <c r="C664" s="144">
        <f t="shared" si="319"/>
        <v>20.777000000000001</v>
      </c>
      <c r="D664" s="144">
        <f>ROUND(INDEX(持仓数据!$C$3:$AG$26,MATCH('计算过程-数据汇总'!B664,持仓数据!$B$3:$B$26,0),MATCH('计算过程-数据汇总'!A664,'维护-日期'!$B$2:$AF$2,0)),3)</f>
        <v>20.777000000000001</v>
      </c>
      <c r="E664" s="98">
        <f t="shared" si="320"/>
        <v>20.777000000000001</v>
      </c>
      <c r="F664" s="22">
        <f>持仓数据!AD86</f>
        <v>0.34599999999999997</v>
      </c>
      <c r="G664" s="97">
        <v>372</v>
      </c>
      <c r="H664" s="97">
        <v>372</v>
      </c>
      <c r="I664" s="64">
        <v>0</v>
      </c>
      <c r="J664" s="64">
        <v>0</v>
      </c>
      <c r="K664" s="21">
        <f>IF(持仓数据!AD119="",0,持仓数据!AD119)</f>
        <v>372</v>
      </c>
      <c r="L664" s="21">
        <f t="shared" si="321"/>
        <v>0</v>
      </c>
      <c r="M664" s="28">
        <f t="shared" si="305"/>
        <v>7729.0440000000008</v>
      </c>
      <c r="N664" s="28">
        <f t="shared" si="306"/>
        <v>0</v>
      </c>
      <c r="O664" s="28">
        <f t="shared" si="307"/>
        <v>0</v>
      </c>
      <c r="P664" s="28">
        <f t="shared" si="308"/>
        <v>0</v>
      </c>
      <c r="Q664" s="28">
        <f t="shared" si="322"/>
        <v>0</v>
      </c>
      <c r="R664" s="28">
        <f t="shared" si="309"/>
        <v>7729.0440000000008</v>
      </c>
      <c r="S664" s="28">
        <f t="shared" si="323"/>
        <v>0</v>
      </c>
      <c r="T664" s="28">
        <f t="shared" si="324"/>
        <v>0</v>
      </c>
      <c r="U664" s="28">
        <f t="shared" si="327"/>
        <v>0</v>
      </c>
      <c r="V664" s="28">
        <f t="shared" si="325"/>
        <v>0</v>
      </c>
      <c r="W664" s="118"/>
      <c r="X664" s="143">
        <f t="shared" si="326"/>
        <v>24.585999999999999</v>
      </c>
      <c r="Y664" s="121">
        <f>交易记录!AE19</f>
        <v>0.34599999999999997</v>
      </c>
      <c r="Z664" s="121">
        <f>交易记录!AE50</f>
        <v>372</v>
      </c>
      <c r="AA664" s="30">
        <f t="shared" si="310"/>
        <v>0</v>
      </c>
      <c r="AB664" s="124">
        <f>交易记录!AE83</f>
        <v>0</v>
      </c>
      <c r="AC664" s="124">
        <f>交易记录!AE114</f>
        <v>0</v>
      </c>
      <c r="AD664" s="30">
        <f t="shared" si="299"/>
        <v>0</v>
      </c>
      <c r="AE664" s="121">
        <f>交易记录!AE147</f>
        <v>0</v>
      </c>
      <c r="AF664" s="121">
        <f>交易记录!AE178</f>
        <v>0</v>
      </c>
      <c r="AG664" s="30">
        <f t="shared" si="300"/>
        <v>0</v>
      </c>
      <c r="AH664" s="124">
        <f>交易记录!AE211</f>
        <v>0</v>
      </c>
      <c r="AI664" s="124">
        <f>交易记录!AE242</f>
        <v>0</v>
      </c>
      <c r="AJ664" s="30">
        <f t="shared" si="301"/>
        <v>0</v>
      </c>
      <c r="AK664" s="121">
        <f>交易记录!AE275</f>
        <v>0</v>
      </c>
      <c r="AL664" s="121">
        <f>交易记录!AE306</f>
        <v>0</v>
      </c>
      <c r="AM664" s="30">
        <f t="shared" si="302"/>
        <v>0</v>
      </c>
      <c r="AN664" s="124">
        <f>交易记录!AE339</f>
        <v>0</v>
      </c>
      <c r="AO664" s="124">
        <f>交易记录!AE370</f>
        <v>0</v>
      </c>
      <c r="AP664" s="30">
        <f t="shared" si="303"/>
        <v>0</v>
      </c>
      <c r="AQ664" s="121">
        <f>交易记录!AE403</f>
        <v>0</v>
      </c>
      <c r="AR664" s="121">
        <f>交易记录!AE434</f>
        <v>0</v>
      </c>
      <c r="AS664" s="30">
        <f t="shared" si="304"/>
        <v>0</v>
      </c>
      <c r="AT664" s="124">
        <f>交易记录!AE467</f>
        <v>0</v>
      </c>
      <c r="AU664" s="124">
        <f>交易记录!AE498</f>
        <v>0</v>
      </c>
      <c r="AV664" s="30">
        <f t="shared" si="311"/>
        <v>0</v>
      </c>
      <c r="AW664" s="121">
        <f>交易记录!AE531</f>
        <v>0</v>
      </c>
      <c r="AX664" s="121">
        <f>交易记录!AE562</f>
        <v>0</v>
      </c>
      <c r="AY664" s="30">
        <f t="shared" si="312"/>
        <v>0</v>
      </c>
      <c r="AZ664" s="124">
        <f>交易记录!AE595</f>
        <v>0</v>
      </c>
      <c r="BA664" s="124">
        <f>交易记录!AE626</f>
        <v>0</v>
      </c>
      <c r="BB664" s="30">
        <f t="shared" si="313"/>
        <v>0</v>
      </c>
      <c r="BC664" s="121">
        <f>交易记录!AE659</f>
        <v>0</v>
      </c>
      <c r="BD664" s="121">
        <f>交易记录!AE690</f>
        <v>0</v>
      </c>
      <c r="BE664" s="30">
        <f t="shared" si="314"/>
        <v>0</v>
      </c>
      <c r="BF664" s="124">
        <f>交易记录!AE723</f>
        <v>0</v>
      </c>
      <c r="BG664" s="124">
        <f>交易记录!AE754</f>
        <v>0</v>
      </c>
      <c r="BH664" s="30">
        <f t="shared" si="315"/>
        <v>0</v>
      </c>
      <c r="BI664" s="121">
        <f>交易记录!AE787</f>
        <v>0</v>
      </c>
      <c r="BJ664" s="121">
        <f>交易记录!AE818</f>
        <v>0</v>
      </c>
      <c r="BK664" s="30">
        <f t="shared" si="316"/>
        <v>0</v>
      </c>
      <c r="BL664" s="124">
        <f>交易记录!AE851</f>
        <v>0</v>
      </c>
      <c r="BM664" s="124">
        <f>交易记录!AE882</f>
        <v>0</v>
      </c>
      <c r="BN664" s="30">
        <f t="shared" si="317"/>
        <v>0</v>
      </c>
      <c r="BO664" s="121">
        <f>交易记录!AE915</f>
        <v>0</v>
      </c>
      <c r="BP664" s="121">
        <f>交易记录!AE946</f>
        <v>0</v>
      </c>
      <c r="BQ664" s="30">
        <f t="shared" si="318"/>
        <v>0</v>
      </c>
    </row>
    <row r="665" spans="1:69" ht="15">
      <c r="A665" s="125">
        <f>'维护-日期'!A$30</f>
        <v>46293</v>
      </c>
      <c r="B665" s="7" t="s">
        <v>21</v>
      </c>
      <c r="C665" s="144">
        <f t="shared" si="319"/>
        <v>20.858000000000001</v>
      </c>
      <c r="D665" s="144">
        <f>ROUND(INDEX(持仓数据!$C$3:$AG$26,MATCH('计算过程-数据汇总'!B665,持仓数据!$B$3:$B$26,0),MATCH('计算过程-数据汇总'!A665,'维护-日期'!$B$2:$AF$2,0)),3)</f>
        <v>20.858000000000001</v>
      </c>
      <c r="E665" s="98">
        <f t="shared" si="320"/>
        <v>20.858000000000001</v>
      </c>
      <c r="F665" s="22">
        <f>持仓数据!AD87</f>
        <v>0.38</v>
      </c>
      <c r="G665" s="97">
        <v>372</v>
      </c>
      <c r="H665" s="97">
        <v>372</v>
      </c>
      <c r="I665" s="64">
        <v>0</v>
      </c>
      <c r="J665" s="64">
        <v>0</v>
      </c>
      <c r="K665" s="21">
        <f>IF(持仓数据!AD120="",0,持仓数据!AD120)</f>
        <v>372.00000000000006</v>
      </c>
      <c r="L665" s="21">
        <f t="shared" si="321"/>
        <v>0</v>
      </c>
      <c r="M665" s="28">
        <f t="shared" si="305"/>
        <v>7759.1760000000004</v>
      </c>
      <c r="N665" s="28">
        <f t="shared" si="306"/>
        <v>0</v>
      </c>
      <c r="O665" s="28">
        <f t="shared" si="307"/>
        <v>0</v>
      </c>
      <c r="P665" s="28">
        <f t="shared" si="308"/>
        <v>2.1600499167107046E-14</v>
      </c>
      <c r="Q665" s="28">
        <f t="shared" si="322"/>
        <v>0</v>
      </c>
      <c r="R665" s="28">
        <f t="shared" si="309"/>
        <v>7759.1760000000013</v>
      </c>
      <c r="S665" s="28">
        <f t="shared" si="323"/>
        <v>0</v>
      </c>
      <c r="T665" s="28">
        <f t="shared" si="324"/>
        <v>-1.1640395314316266E-12</v>
      </c>
      <c r="U665" s="28">
        <f t="shared" si="327"/>
        <v>0</v>
      </c>
      <c r="V665" s="28">
        <f t="shared" si="325"/>
        <v>0</v>
      </c>
      <c r="W665" s="118"/>
      <c r="X665" s="143">
        <f t="shared" si="326"/>
        <v>24.65</v>
      </c>
      <c r="Y665" s="121">
        <f>交易记录!AE20</f>
        <v>0.38</v>
      </c>
      <c r="Z665" s="121">
        <f>交易记录!AE51</f>
        <v>372</v>
      </c>
      <c r="AA665" s="30">
        <f t="shared" si="310"/>
        <v>0</v>
      </c>
      <c r="AB665" s="124">
        <f>交易记录!AE84</f>
        <v>0</v>
      </c>
      <c r="AC665" s="124">
        <f>交易记录!AE115</f>
        <v>0</v>
      </c>
      <c r="AD665" s="30">
        <f t="shared" si="299"/>
        <v>0</v>
      </c>
      <c r="AE665" s="121">
        <f>交易记录!AE148</f>
        <v>0</v>
      </c>
      <c r="AF665" s="121">
        <f>交易记录!AE179</f>
        <v>0</v>
      </c>
      <c r="AG665" s="30">
        <f t="shared" si="300"/>
        <v>0</v>
      </c>
      <c r="AH665" s="124">
        <f>交易记录!AE212</f>
        <v>0</v>
      </c>
      <c r="AI665" s="124">
        <f>交易记录!AE243</f>
        <v>0</v>
      </c>
      <c r="AJ665" s="30">
        <f t="shared" si="301"/>
        <v>0</v>
      </c>
      <c r="AK665" s="121">
        <f>交易记录!AE276</f>
        <v>0</v>
      </c>
      <c r="AL665" s="121">
        <f>交易记录!AE307</f>
        <v>0</v>
      </c>
      <c r="AM665" s="30">
        <f t="shared" si="302"/>
        <v>0</v>
      </c>
      <c r="AN665" s="124">
        <f>交易记录!AE340</f>
        <v>0</v>
      </c>
      <c r="AO665" s="124">
        <f>交易记录!AE371</f>
        <v>0</v>
      </c>
      <c r="AP665" s="30">
        <f t="shared" si="303"/>
        <v>0</v>
      </c>
      <c r="AQ665" s="121">
        <f>交易记录!AE404</f>
        <v>0</v>
      </c>
      <c r="AR665" s="121">
        <f>交易记录!AE435</f>
        <v>0</v>
      </c>
      <c r="AS665" s="30">
        <f t="shared" si="304"/>
        <v>0</v>
      </c>
      <c r="AT665" s="124">
        <f>交易记录!AE468</f>
        <v>0</v>
      </c>
      <c r="AU665" s="124">
        <f>交易记录!AE499</f>
        <v>0</v>
      </c>
      <c r="AV665" s="30">
        <f t="shared" si="311"/>
        <v>0</v>
      </c>
      <c r="AW665" s="121">
        <f>交易记录!AE532</f>
        <v>0</v>
      </c>
      <c r="AX665" s="121">
        <f>交易记录!AE563</f>
        <v>0</v>
      </c>
      <c r="AY665" s="30">
        <f t="shared" si="312"/>
        <v>0</v>
      </c>
      <c r="AZ665" s="124">
        <f>交易记录!AE596</f>
        <v>0</v>
      </c>
      <c r="BA665" s="124">
        <f>交易记录!AE627</f>
        <v>0</v>
      </c>
      <c r="BB665" s="30">
        <f t="shared" si="313"/>
        <v>0</v>
      </c>
      <c r="BC665" s="121">
        <f>交易记录!AE660</f>
        <v>0</v>
      </c>
      <c r="BD665" s="121">
        <f>交易记录!AE691</f>
        <v>0</v>
      </c>
      <c r="BE665" s="30">
        <f t="shared" si="314"/>
        <v>0</v>
      </c>
      <c r="BF665" s="124">
        <f>交易记录!AE724</f>
        <v>0</v>
      </c>
      <c r="BG665" s="124">
        <f>交易记录!AE755</f>
        <v>0</v>
      </c>
      <c r="BH665" s="30">
        <f t="shared" si="315"/>
        <v>0</v>
      </c>
      <c r="BI665" s="121">
        <f>交易记录!AE788</f>
        <v>0</v>
      </c>
      <c r="BJ665" s="121">
        <f>交易记录!AE819</f>
        <v>0</v>
      </c>
      <c r="BK665" s="30">
        <f t="shared" si="316"/>
        <v>0</v>
      </c>
      <c r="BL665" s="124">
        <f>交易记录!AE852</f>
        <v>0</v>
      </c>
      <c r="BM665" s="124">
        <f>交易记录!AE883</f>
        <v>0</v>
      </c>
      <c r="BN665" s="30">
        <f t="shared" si="317"/>
        <v>0</v>
      </c>
      <c r="BO665" s="121">
        <f>交易记录!AE916</f>
        <v>0</v>
      </c>
      <c r="BP665" s="121">
        <f>交易记录!AE947</f>
        <v>0</v>
      </c>
      <c r="BQ665" s="30">
        <f t="shared" si="318"/>
        <v>0</v>
      </c>
    </row>
    <row r="666" spans="1:69" ht="15">
      <c r="A666" s="125">
        <f>'维护-日期'!A$30</f>
        <v>46293</v>
      </c>
      <c r="B666" s="7" t="s">
        <v>22</v>
      </c>
      <c r="C666" s="144">
        <f t="shared" si="319"/>
        <v>21.905999999999999</v>
      </c>
      <c r="D666" s="144">
        <f>ROUND(INDEX(持仓数据!$C$3:$AG$26,MATCH('计算过程-数据汇总'!B666,持仓数据!$B$3:$B$26,0),MATCH('计算过程-数据汇总'!A666,'维护-日期'!$B$2:$AF$2,0)),3)</f>
        <v>21.905999999999999</v>
      </c>
      <c r="E666" s="98">
        <f t="shared" si="320"/>
        <v>21.905999999999999</v>
      </c>
      <c r="F666" s="22">
        <f>持仓数据!AD88</f>
        <v>0.58600000000000008</v>
      </c>
      <c r="G666" s="97">
        <v>372</v>
      </c>
      <c r="H666" s="97">
        <v>372</v>
      </c>
      <c r="I666" s="64">
        <v>0</v>
      </c>
      <c r="J666" s="64">
        <v>0</v>
      </c>
      <c r="K666" s="21">
        <f>IF(持仓数据!AD121="",0,持仓数据!AD121)</f>
        <v>372</v>
      </c>
      <c r="L666" s="21">
        <f t="shared" si="321"/>
        <v>0</v>
      </c>
      <c r="M666" s="28">
        <f t="shared" si="305"/>
        <v>8149.0319999999992</v>
      </c>
      <c r="N666" s="28">
        <f t="shared" si="306"/>
        <v>0</v>
      </c>
      <c r="O666" s="28">
        <f t="shared" si="307"/>
        <v>0</v>
      </c>
      <c r="P666" s="28">
        <f t="shared" si="308"/>
        <v>0</v>
      </c>
      <c r="Q666" s="28">
        <f t="shared" si="322"/>
        <v>0</v>
      </c>
      <c r="R666" s="28">
        <f t="shared" si="309"/>
        <v>8149.0319999999992</v>
      </c>
      <c r="S666" s="28">
        <f t="shared" si="323"/>
        <v>0</v>
      </c>
      <c r="T666" s="28">
        <f t="shared" si="324"/>
        <v>0</v>
      </c>
      <c r="U666" s="28">
        <f t="shared" si="327"/>
        <v>0</v>
      </c>
      <c r="V666" s="28">
        <f t="shared" si="325"/>
        <v>0</v>
      </c>
      <c r="W666" s="118"/>
      <c r="X666" s="143">
        <f t="shared" si="326"/>
        <v>25.701000000000001</v>
      </c>
      <c r="Y666" s="121">
        <f>交易记录!AE21</f>
        <v>0.58600000000000008</v>
      </c>
      <c r="Z666" s="121">
        <f>交易记录!AE52</f>
        <v>372</v>
      </c>
      <c r="AA666" s="30">
        <f t="shared" si="310"/>
        <v>0</v>
      </c>
      <c r="AB666" s="124">
        <f>交易记录!AE85</f>
        <v>0</v>
      </c>
      <c r="AC666" s="124">
        <f>交易记录!AE116</f>
        <v>0</v>
      </c>
      <c r="AD666" s="30">
        <f t="shared" si="299"/>
        <v>0</v>
      </c>
      <c r="AE666" s="121">
        <f>交易记录!AE149</f>
        <v>0</v>
      </c>
      <c r="AF666" s="121">
        <f>交易记录!AE180</f>
        <v>0</v>
      </c>
      <c r="AG666" s="30">
        <f t="shared" si="300"/>
        <v>0</v>
      </c>
      <c r="AH666" s="124">
        <f>交易记录!AE213</f>
        <v>0</v>
      </c>
      <c r="AI666" s="124">
        <f>交易记录!AE244</f>
        <v>0</v>
      </c>
      <c r="AJ666" s="30">
        <f t="shared" si="301"/>
        <v>0</v>
      </c>
      <c r="AK666" s="121">
        <f>交易记录!AE277</f>
        <v>0</v>
      </c>
      <c r="AL666" s="121">
        <f>交易记录!AE308</f>
        <v>0</v>
      </c>
      <c r="AM666" s="30">
        <f t="shared" si="302"/>
        <v>0</v>
      </c>
      <c r="AN666" s="124">
        <f>交易记录!AE341</f>
        <v>0</v>
      </c>
      <c r="AO666" s="124">
        <f>交易记录!AE372</f>
        <v>0</v>
      </c>
      <c r="AP666" s="30">
        <f t="shared" si="303"/>
        <v>0</v>
      </c>
      <c r="AQ666" s="121">
        <f>交易记录!AE405</f>
        <v>0</v>
      </c>
      <c r="AR666" s="121">
        <f>交易记录!AE436</f>
        <v>0</v>
      </c>
      <c r="AS666" s="30">
        <f t="shared" si="304"/>
        <v>0</v>
      </c>
      <c r="AT666" s="124">
        <f>交易记录!AE469</f>
        <v>0</v>
      </c>
      <c r="AU666" s="124">
        <f>交易记录!AE500</f>
        <v>0</v>
      </c>
      <c r="AV666" s="30">
        <f t="shared" si="311"/>
        <v>0</v>
      </c>
      <c r="AW666" s="121">
        <f>交易记录!AE533</f>
        <v>0</v>
      </c>
      <c r="AX666" s="121">
        <f>交易记录!AE564</f>
        <v>0</v>
      </c>
      <c r="AY666" s="30">
        <f t="shared" si="312"/>
        <v>0</v>
      </c>
      <c r="AZ666" s="124">
        <f>交易记录!AE597</f>
        <v>0</v>
      </c>
      <c r="BA666" s="124">
        <f>交易记录!AE628</f>
        <v>0</v>
      </c>
      <c r="BB666" s="30">
        <f t="shared" si="313"/>
        <v>0</v>
      </c>
      <c r="BC666" s="121">
        <f>交易记录!AE661</f>
        <v>0</v>
      </c>
      <c r="BD666" s="121">
        <f>交易记录!AE692</f>
        <v>0</v>
      </c>
      <c r="BE666" s="30">
        <f t="shared" si="314"/>
        <v>0</v>
      </c>
      <c r="BF666" s="124">
        <f>交易记录!AE725</f>
        <v>0</v>
      </c>
      <c r="BG666" s="124">
        <f>交易记录!AE756</f>
        <v>0</v>
      </c>
      <c r="BH666" s="30">
        <f t="shared" si="315"/>
        <v>0</v>
      </c>
      <c r="BI666" s="121">
        <f>交易记录!AE789</f>
        <v>0</v>
      </c>
      <c r="BJ666" s="121">
        <f>交易记录!AE820</f>
        <v>0</v>
      </c>
      <c r="BK666" s="30">
        <f t="shared" si="316"/>
        <v>0</v>
      </c>
      <c r="BL666" s="124">
        <f>交易记录!AE853</f>
        <v>0</v>
      </c>
      <c r="BM666" s="124">
        <f>交易记录!AE884</f>
        <v>0</v>
      </c>
      <c r="BN666" s="30">
        <f t="shared" si="317"/>
        <v>0</v>
      </c>
      <c r="BO666" s="121">
        <f>交易记录!AE917</f>
        <v>0</v>
      </c>
      <c r="BP666" s="121">
        <f>交易记录!AE948</f>
        <v>0</v>
      </c>
      <c r="BQ666" s="30">
        <f t="shared" si="318"/>
        <v>0</v>
      </c>
    </row>
    <row r="667" spans="1:69" ht="15">
      <c r="A667" s="125">
        <f>'维护-日期'!A$30</f>
        <v>46293</v>
      </c>
      <c r="B667" s="7" t="s">
        <v>23</v>
      </c>
      <c r="C667" s="144">
        <f t="shared" si="319"/>
        <v>22.69</v>
      </c>
      <c r="D667" s="144">
        <f>ROUND(INDEX(持仓数据!$C$3:$AG$26,MATCH('计算过程-数据汇总'!B667,持仓数据!$B$3:$B$26,0),MATCH('计算过程-数据汇总'!A667,'维护-日期'!$B$2:$AF$2,0)),3)</f>
        <v>22.69</v>
      </c>
      <c r="E667" s="98">
        <f t="shared" si="320"/>
        <v>22.69</v>
      </c>
      <c r="F667" s="22">
        <f>持仓数据!AD89</f>
        <v>0.63300000000000001</v>
      </c>
      <c r="G667" s="97">
        <v>372</v>
      </c>
      <c r="H667" s="97">
        <v>372</v>
      </c>
      <c r="I667" s="64">
        <v>0</v>
      </c>
      <c r="J667" s="64">
        <v>0</v>
      </c>
      <c r="K667" s="21">
        <f>IF(持仓数据!AD122="",0,持仓数据!AD122)</f>
        <v>372</v>
      </c>
      <c r="L667" s="21">
        <f t="shared" si="321"/>
        <v>0</v>
      </c>
      <c r="M667" s="28">
        <f t="shared" si="305"/>
        <v>8440.68</v>
      </c>
      <c r="N667" s="28">
        <f t="shared" si="306"/>
        <v>0</v>
      </c>
      <c r="O667" s="28">
        <f t="shared" si="307"/>
        <v>0</v>
      </c>
      <c r="P667" s="28">
        <f t="shared" si="308"/>
        <v>0</v>
      </c>
      <c r="Q667" s="28">
        <f t="shared" si="322"/>
        <v>0</v>
      </c>
      <c r="R667" s="28">
        <f t="shared" si="309"/>
        <v>8440.68</v>
      </c>
      <c r="S667" s="28">
        <f t="shared" si="323"/>
        <v>0</v>
      </c>
      <c r="T667" s="28">
        <f t="shared" si="324"/>
        <v>0</v>
      </c>
      <c r="U667" s="28">
        <f t="shared" si="327"/>
        <v>0</v>
      </c>
      <c r="V667" s="28">
        <f t="shared" si="325"/>
        <v>0</v>
      </c>
      <c r="W667" s="118"/>
      <c r="X667" s="143">
        <f t="shared" si="326"/>
        <v>26.594999999999999</v>
      </c>
      <c r="Y667" s="121">
        <f>交易记录!AE22</f>
        <v>0.63300000000000001</v>
      </c>
      <c r="Z667" s="121">
        <f>交易记录!AE53</f>
        <v>372</v>
      </c>
      <c r="AA667" s="30">
        <f t="shared" si="310"/>
        <v>0</v>
      </c>
      <c r="AB667" s="124">
        <f>交易记录!AE86</f>
        <v>0</v>
      </c>
      <c r="AC667" s="124">
        <f>交易记录!AE117</f>
        <v>0</v>
      </c>
      <c r="AD667" s="30">
        <f t="shared" ref="AD667:AD730" si="328">IFERROR((AC667-$G667)*AB667,0)</f>
        <v>0</v>
      </c>
      <c r="AE667" s="121">
        <f>交易记录!AE150</f>
        <v>0</v>
      </c>
      <c r="AF667" s="121">
        <f>交易记录!AE181</f>
        <v>0</v>
      </c>
      <c r="AG667" s="30">
        <f t="shared" ref="AG667:AG730" si="329">IFERROR((AF667-$G667)*AE667,0)</f>
        <v>0</v>
      </c>
      <c r="AH667" s="124">
        <f>交易记录!AE214</f>
        <v>0</v>
      </c>
      <c r="AI667" s="124">
        <f>交易记录!AE245</f>
        <v>0</v>
      </c>
      <c r="AJ667" s="30">
        <f t="shared" ref="AJ667:AJ730" si="330">IFERROR((AI667-$G667)*AH667,0)</f>
        <v>0</v>
      </c>
      <c r="AK667" s="121">
        <f>交易记录!AE278</f>
        <v>0</v>
      </c>
      <c r="AL667" s="121">
        <f>交易记录!AE309</f>
        <v>0</v>
      </c>
      <c r="AM667" s="30">
        <f t="shared" ref="AM667:AM730" si="331">IFERROR((AL667-$G667)*AK667,0)</f>
        <v>0</v>
      </c>
      <c r="AN667" s="124">
        <f>交易记录!AE342</f>
        <v>0</v>
      </c>
      <c r="AO667" s="124">
        <f>交易记录!AE373</f>
        <v>0</v>
      </c>
      <c r="AP667" s="30">
        <f t="shared" ref="AP667:AP730" si="332">IFERROR((AO667-$G667)*AN667,0)</f>
        <v>0</v>
      </c>
      <c r="AQ667" s="121">
        <f>交易记录!AE406</f>
        <v>0</v>
      </c>
      <c r="AR667" s="121">
        <f>交易记录!AE437</f>
        <v>0</v>
      </c>
      <c r="AS667" s="30">
        <f t="shared" ref="AS667:AS730" si="333">IFERROR((AR667-$G667)*AQ667,0)</f>
        <v>0</v>
      </c>
      <c r="AT667" s="124">
        <f>交易记录!AE470</f>
        <v>0</v>
      </c>
      <c r="AU667" s="124">
        <f>交易记录!AE501</f>
        <v>0</v>
      </c>
      <c r="AV667" s="30">
        <f t="shared" si="311"/>
        <v>0</v>
      </c>
      <c r="AW667" s="121">
        <f>交易记录!AE534</f>
        <v>0</v>
      </c>
      <c r="AX667" s="121">
        <f>交易记录!AE565</f>
        <v>0</v>
      </c>
      <c r="AY667" s="30">
        <f t="shared" si="312"/>
        <v>0</v>
      </c>
      <c r="AZ667" s="124">
        <f>交易记录!AE598</f>
        <v>0</v>
      </c>
      <c r="BA667" s="124">
        <f>交易记录!AE629</f>
        <v>0</v>
      </c>
      <c r="BB667" s="30">
        <f t="shared" si="313"/>
        <v>0</v>
      </c>
      <c r="BC667" s="121">
        <f>交易记录!AE662</f>
        <v>0</v>
      </c>
      <c r="BD667" s="121">
        <f>交易记录!AE693</f>
        <v>0</v>
      </c>
      <c r="BE667" s="30">
        <f t="shared" si="314"/>
        <v>0</v>
      </c>
      <c r="BF667" s="124">
        <f>交易记录!AE726</f>
        <v>0</v>
      </c>
      <c r="BG667" s="124">
        <f>交易记录!AE757</f>
        <v>0</v>
      </c>
      <c r="BH667" s="30">
        <f t="shared" si="315"/>
        <v>0</v>
      </c>
      <c r="BI667" s="121">
        <f>交易记录!AE790</f>
        <v>0</v>
      </c>
      <c r="BJ667" s="121">
        <f>交易记录!AE821</f>
        <v>0</v>
      </c>
      <c r="BK667" s="30">
        <f t="shared" si="316"/>
        <v>0</v>
      </c>
      <c r="BL667" s="124">
        <f>交易记录!AE854</f>
        <v>0</v>
      </c>
      <c r="BM667" s="124">
        <f>交易记录!AE885</f>
        <v>0</v>
      </c>
      <c r="BN667" s="30">
        <f t="shared" si="317"/>
        <v>0</v>
      </c>
      <c r="BO667" s="121">
        <f>交易记录!AE918</f>
        <v>0</v>
      </c>
      <c r="BP667" s="121">
        <f>交易记录!AE949</f>
        <v>0</v>
      </c>
      <c r="BQ667" s="30">
        <f t="shared" si="318"/>
        <v>0</v>
      </c>
    </row>
    <row r="668" spans="1:69" ht="15">
      <c r="A668" s="125">
        <f>'维护-日期'!A$30</f>
        <v>46293</v>
      </c>
      <c r="B668" s="7" t="s">
        <v>24</v>
      </c>
      <c r="C668" s="144">
        <f t="shared" si="319"/>
        <v>23.346</v>
      </c>
      <c r="D668" s="144">
        <f>ROUND(INDEX(持仓数据!$C$3:$AG$26,MATCH('计算过程-数据汇总'!B668,持仓数据!$B$3:$B$26,0),MATCH('计算过程-数据汇总'!A668,'维护-日期'!$B$2:$AF$2,0)),3)</f>
        <v>23.346</v>
      </c>
      <c r="E668" s="98">
        <f t="shared" si="320"/>
        <v>23.346</v>
      </c>
      <c r="F668" s="22">
        <f>持仓数据!AD90</f>
        <v>0.45400000000000001</v>
      </c>
      <c r="G668" s="97">
        <v>372</v>
      </c>
      <c r="H668" s="97">
        <v>372</v>
      </c>
      <c r="I668" s="64">
        <v>0</v>
      </c>
      <c r="J668" s="64">
        <v>0</v>
      </c>
      <c r="K668" s="21">
        <f>IF(持仓数据!AD123="",0,持仓数据!AD123)</f>
        <v>372</v>
      </c>
      <c r="L668" s="21">
        <f t="shared" si="321"/>
        <v>0</v>
      </c>
      <c r="M668" s="28">
        <f t="shared" si="305"/>
        <v>8684.7119999999995</v>
      </c>
      <c r="N668" s="28">
        <f t="shared" si="306"/>
        <v>0</v>
      </c>
      <c r="O668" s="28">
        <f t="shared" si="307"/>
        <v>0</v>
      </c>
      <c r="P668" s="28">
        <f t="shared" si="308"/>
        <v>0</v>
      </c>
      <c r="Q668" s="28">
        <f t="shared" si="322"/>
        <v>0</v>
      </c>
      <c r="R668" s="28">
        <f t="shared" si="309"/>
        <v>8684.7119999999995</v>
      </c>
      <c r="S668" s="28">
        <f t="shared" si="323"/>
        <v>0</v>
      </c>
      <c r="T668" s="28">
        <f t="shared" si="324"/>
        <v>0</v>
      </c>
      <c r="U668" s="28">
        <f t="shared" si="327"/>
        <v>0</v>
      </c>
      <c r="V668" s="28">
        <f t="shared" si="325"/>
        <v>0</v>
      </c>
      <c r="W668" s="118"/>
      <c r="X668" s="143">
        <f t="shared" si="326"/>
        <v>27.561</v>
      </c>
      <c r="Y668" s="121">
        <f>交易记录!AE23</f>
        <v>0.45400000000000001</v>
      </c>
      <c r="Z668" s="121">
        <f>交易记录!AE54</f>
        <v>372</v>
      </c>
      <c r="AA668" s="30">
        <f t="shared" si="310"/>
        <v>0</v>
      </c>
      <c r="AB668" s="124">
        <f>交易记录!AE87</f>
        <v>0</v>
      </c>
      <c r="AC668" s="124">
        <f>交易记录!AE118</f>
        <v>0</v>
      </c>
      <c r="AD668" s="30">
        <f t="shared" si="328"/>
        <v>0</v>
      </c>
      <c r="AE668" s="121">
        <f>交易记录!AE151</f>
        <v>0</v>
      </c>
      <c r="AF668" s="121">
        <f>交易记录!AE182</f>
        <v>0</v>
      </c>
      <c r="AG668" s="30">
        <f t="shared" si="329"/>
        <v>0</v>
      </c>
      <c r="AH668" s="124">
        <f>交易记录!AE215</f>
        <v>0</v>
      </c>
      <c r="AI668" s="124">
        <f>交易记录!AE246</f>
        <v>0</v>
      </c>
      <c r="AJ668" s="30">
        <f t="shared" si="330"/>
        <v>0</v>
      </c>
      <c r="AK668" s="121">
        <f>交易记录!AE279</f>
        <v>0</v>
      </c>
      <c r="AL668" s="121">
        <f>交易记录!AE310</f>
        <v>0</v>
      </c>
      <c r="AM668" s="30">
        <f t="shared" si="331"/>
        <v>0</v>
      </c>
      <c r="AN668" s="124">
        <f>交易记录!AE343</f>
        <v>0</v>
      </c>
      <c r="AO668" s="124">
        <f>交易记录!AE374</f>
        <v>0</v>
      </c>
      <c r="AP668" s="30">
        <f t="shared" si="332"/>
        <v>0</v>
      </c>
      <c r="AQ668" s="121">
        <f>交易记录!AE407</f>
        <v>0</v>
      </c>
      <c r="AR668" s="121">
        <f>交易记录!AE438</f>
        <v>0</v>
      </c>
      <c r="AS668" s="30">
        <f t="shared" si="333"/>
        <v>0</v>
      </c>
      <c r="AT668" s="124">
        <f>交易记录!AE471</f>
        <v>0</v>
      </c>
      <c r="AU668" s="124">
        <f>交易记录!AE502</f>
        <v>0</v>
      </c>
      <c r="AV668" s="30">
        <f t="shared" si="311"/>
        <v>0</v>
      </c>
      <c r="AW668" s="121">
        <f>交易记录!AE535</f>
        <v>0</v>
      </c>
      <c r="AX668" s="121">
        <f>交易记录!AE566</f>
        <v>0</v>
      </c>
      <c r="AY668" s="30">
        <f t="shared" si="312"/>
        <v>0</v>
      </c>
      <c r="AZ668" s="124">
        <f>交易记录!AE599</f>
        <v>0</v>
      </c>
      <c r="BA668" s="124">
        <f>交易记录!AE630</f>
        <v>0</v>
      </c>
      <c r="BB668" s="30">
        <f t="shared" si="313"/>
        <v>0</v>
      </c>
      <c r="BC668" s="121">
        <f>交易记录!AE663</f>
        <v>0</v>
      </c>
      <c r="BD668" s="121">
        <f>交易记录!AE694</f>
        <v>0</v>
      </c>
      <c r="BE668" s="30">
        <f t="shared" si="314"/>
        <v>0</v>
      </c>
      <c r="BF668" s="124">
        <f>交易记录!AE727</f>
        <v>0</v>
      </c>
      <c r="BG668" s="124">
        <f>交易记录!AE758</f>
        <v>0</v>
      </c>
      <c r="BH668" s="30">
        <f t="shared" si="315"/>
        <v>0</v>
      </c>
      <c r="BI668" s="121">
        <f>交易记录!AE791</f>
        <v>0</v>
      </c>
      <c r="BJ668" s="121">
        <f>交易记录!AE822</f>
        <v>0</v>
      </c>
      <c r="BK668" s="30">
        <f t="shared" si="316"/>
        <v>0</v>
      </c>
      <c r="BL668" s="124">
        <f>交易记录!AE855</f>
        <v>0</v>
      </c>
      <c r="BM668" s="124">
        <f>交易记录!AE886</f>
        <v>0</v>
      </c>
      <c r="BN668" s="30">
        <f t="shared" si="317"/>
        <v>0</v>
      </c>
      <c r="BO668" s="121">
        <f>交易记录!AE919</f>
        <v>0</v>
      </c>
      <c r="BP668" s="121">
        <f>交易记录!AE950</f>
        <v>0</v>
      </c>
      <c r="BQ668" s="30">
        <f t="shared" si="318"/>
        <v>0</v>
      </c>
    </row>
    <row r="669" spans="1:69" ht="15">
      <c r="A669" s="125">
        <f>'维护-日期'!A$30</f>
        <v>46293</v>
      </c>
      <c r="B669" s="7" t="s">
        <v>25</v>
      </c>
      <c r="C669" s="144">
        <f t="shared" si="319"/>
        <v>23.771999999999998</v>
      </c>
      <c r="D669" s="144">
        <f>ROUND(INDEX(持仓数据!$C$3:$AG$26,MATCH('计算过程-数据汇总'!B669,持仓数据!$B$3:$B$26,0),MATCH('计算过程-数据汇总'!A669,'维护-日期'!$B$2:$AF$2,0)),3)</f>
        <v>23.771999999999998</v>
      </c>
      <c r="E669" s="98">
        <f t="shared" si="320"/>
        <v>23.771999999999998</v>
      </c>
      <c r="F669" s="22">
        <f>持仓数据!AD91</f>
        <v>1.1160000000000001</v>
      </c>
      <c r="G669" s="97">
        <v>372</v>
      </c>
      <c r="H669" s="97">
        <v>372</v>
      </c>
      <c r="I669" s="64">
        <v>0</v>
      </c>
      <c r="J669" s="64">
        <v>0</v>
      </c>
      <c r="K669" s="21">
        <f>IF(持仓数据!AD124="",0,持仓数据!AD124)</f>
        <v>372</v>
      </c>
      <c r="L669" s="21">
        <f t="shared" si="321"/>
        <v>0</v>
      </c>
      <c r="M669" s="28">
        <f t="shared" si="305"/>
        <v>8843.1839999999993</v>
      </c>
      <c r="N669" s="28">
        <f t="shared" si="306"/>
        <v>0</v>
      </c>
      <c r="O669" s="28">
        <f t="shared" si="307"/>
        <v>0</v>
      </c>
      <c r="P669" s="28">
        <f t="shared" si="308"/>
        <v>0</v>
      </c>
      <c r="Q669" s="28">
        <f t="shared" si="322"/>
        <v>0</v>
      </c>
      <c r="R669" s="28">
        <f t="shared" si="309"/>
        <v>8843.1839999999993</v>
      </c>
      <c r="S669" s="28">
        <f t="shared" si="323"/>
        <v>0</v>
      </c>
      <c r="T669" s="28">
        <f t="shared" si="324"/>
        <v>0</v>
      </c>
      <c r="U669" s="28">
        <f t="shared" si="327"/>
        <v>0</v>
      </c>
      <c r="V669" s="28">
        <f t="shared" si="325"/>
        <v>0</v>
      </c>
      <c r="W669" s="118"/>
      <c r="X669" s="143">
        <f t="shared" si="326"/>
        <v>27.41</v>
      </c>
      <c r="Y669" s="121">
        <f>交易记录!AE24</f>
        <v>1.1160000000000001</v>
      </c>
      <c r="Z669" s="121">
        <f>交易记录!AE55</f>
        <v>372</v>
      </c>
      <c r="AA669" s="30">
        <f t="shared" si="310"/>
        <v>0</v>
      </c>
      <c r="AB669" s="124">
        <f>交易记录!AE88</f>
        <v>0</v>
      </c>
      <c r="AC669" s="124">
        <f>交易记录!AE119</f>
        <v>0</v>
      </c>
      <c r="AD669" s="30">
        <f t="shared" si="328"/>
        <v>0</v>
      </c>
      <c r="AE669" s="121">
        <f>交易记录!AE152</f>
        <v>0</v>
      </c>
      <c r="AF669" s="121">
        <f>交易记录!AE183</f>
        <v>0</v>
      </c>
      <c r="AG669" s="30">
        <f t="shared" si="329"/>
        <v>0</v>
      </c>
      <c r="AH669" s="124">
        <f>交易记录!AE216</f>
        <v>0</v>
      </c>
      <c r="AI669" s="124">
        <f>交易记录!AE247</f>
        <v>0</v>
      </c>
      <c r="AJ669" s="30">
        <f t="shared" si="330"/>
        <v>0</v>
      </c>
      <c r="AK669" s="121">
        <f>交易记录!AE280</f>
        <v>0</v>
      </c>
      <c r="AL669" s="121">
        <f>交易记录!AE311</f>
        <v>0</v>
      </c>
      <c r="AM669" s="30">
        <f t="shared" si="331"/>
        <v>0</v>
      </c>
      <c r="AN669" s="124">
        <f>交易记录!AE344</f>
        <v>0</v>
      </c>
      <c r="AO669" s="124">
        <f>交易记录!AE375</f>
        <v>0</v>
      </c>
      <c r="AP669" s="30">
        <f t="shared" si="332"/>
        <v>0</v>
      </c>
      <c r="AQ669" s="121">
        <f>交易记录!AE408</f>
        <v>0</v>
      </c>
      <c r="AR669" s="121">
        <f>交易记录!AE439</f>
        <v>0</v>
      </c>
      <c r="AS669" s="30">
        <f t="shared" si="333"/>
        <v>0</v>
      </c>
      <c r="AT669" s="124">
        <f>交易记录!AE472</f>
        <v>0</v>
      </c>
      <c r="AU669" s="124">
        <f>交易记录!AE503</f>
        <v>0</v>
      </c>
      <c r="AV669" s="30">
        <f t="shared" si="311"/>
        <v>0</v>
      </c>
      <c r="AW669" s="121">
        <f>交易记录!AE536</f>
        <v>0</v>
      </c>
      <c r="AX669" s="121">
        <f>交易记录!AE567</f>
        <v>0</v>
      </c>
      <c r="AY669" s="30">
        <f t="shared" si="312"/>
        <v>0</v>
      </c>
      <c r="AZ669" s="124">
        <f>交易记录!AE600</f>
        <v>0</v>
      </c>
      <c r="BA669" s="124">
        <f>交易记录!AE631</f>
        <v>0</v>
      </c>
      <c r="BB669" s="30">
        <f t="shared" si="313"/>
        <v>0</v>
      </c>
      <c r="BC669" s="121">
        <f>交易记录!AE664</f>
        <v>0</v>
      </c>
      <c r="BD669" s="121">
        <f>交易记录!AE695</f>
        <v>0</v>
      </c>
      <c r="BE669" s="30">
        <f t="shared" si="314"/>
        <v>0</v>
      </c>
      <c r="BF669" s="124">
        <f>交易记录!AE728</f>
        <v>0</v>
      </c>
      <c r="BG669" s="124">
        <f>交易记录!AE759</f>
        <v>0</v>
      </c>
      <c r="BH669" s="30">
        <f t="shared" si="315"/>
        <v>0</v>
      </c>
      <c r="BI669" s="121">
        <f>交易记录!AE792</f>
        <v>0</v>
      </c>
      <c r="BJ669" s="121">
        <f>交易记录!AE823</f>
        <v>0</v>
      </c>
      <c r="BK669" s="30">
        <f t="shared" si="316"/>
        <v>0</v>
      </c>
      <c r="BL669" s="124">
        <f>交易记录!AE856</f>
        <v>0</v>
      </c>
      <c r="BM669" s="124">
        <f>交易记录!AE887</f>
        <v>0</v>
      </c>
      <c r="BN669" s="30">
        <f t="shared" si="317"/>
        <v>0</v>
      </c>
      <c r="BO669" s="121">
        <f>交易记录!AE920</f>
        <v>0</v>
      </c>
      <c r="BP669" s="121">
        <f>交易记录!AE951</f>
        <v>0</v>
      </c>
      <c r="BQ669" s="30">
        <f t="shared" si="318"/>
        <v>0</v>
      </c>
    </row>
    <row r="670" spans="1:69" ht="15">
      <c r="A670" s="125">
        <f>'维护-日期'!A$30</f>
        <v>46293</v>
      </c>
      <c r="B670" s="7" t="s">
        <v>26</v>
      </c>
      <c r="C670" s="144">
        <f t="shared" si="319"/>
        <v>23.515000000000001</v>
      </c>
      <c r="D670" s="144">
        <f>ROUND(INDEX(持仓数据!$C$3:$AG$26,MATCH('计算过程-数据汇总'!B670,持仓数据!$B$3:$B$26,0),MATCH('计算过程-数据汇总'!A670,'维护-日期'!$B$2:$AF$2,0)),3)</f>
        <v>23.515000000000001</v>
      </c>
      <c r="E670" s="98">
        <f t="shared" si="320"/>
        <v>23.515000000000001</v>
      </c>
      <c r="F670" s="22">
        <f>持仓数据!AD92</f>
        <v>1</v>
      </c>
      <c r="G670" s="97">
        <v>372</v>
      </c>
      <c r="H670" s="97">
        <v>372</v>
      </c>
      <c r="I670" s="64">
        <v>0</v>
      </c>
      <c r="J670" s="64">
        <v>0</v>
      </c>
      <c r="K670" s="21">
        <f>IF(持仓数据!AD125="",0,持仓数据!AD125)</f>
        <v>372</v>
      </c>
      <c r="L670" s="21">
        <f t="shared" si="321"/>
        <v>0</v>
      </c>
      <c r="M670" s="28">
        <f t="shared" si="305"/>
        <v>8747.58</v>
      </c>
      <c r="N670" s="28">
        <f t="shared" si="306"/>
        <v>0</v>
      </c>
      <c r="O670" s="28">
        <f t="shared" si="307"/>
        <v>0</v>
      </c>
      <c r="P670" s="28">
        <f t="shared" si="308"/>
        <v>0</v>
      </c>
      <c r="Q670" s="28">
        <f t="shared" si="322"/>
        <v>0</v>
      </c>
      <c r="R670" s="28">
        <f t="shared" si="309"/>
        <v>8747.58</v>
      </c>
      <c r="S670" s="28">
        <f t="shared" si="323"/>
        <v>0</v>
      </c>
      <c r="T670" s="28">
        <f t="shared" si="324"/>
        <v>0</v>
      </c>
      <c r="U670" s="28">
        <f t="shared" si="327"/>
        <v>0</v>
      </c>
      <c r="V670" s="28">
        <f t="shared" si="325"/>
        <v>0</v>
      </c>
      <c r="W670" s="118"/>
      <c r="X670" s="143">
        <f t="shared" si="326"/>
        <v>27.218</v>
      </c>
      <c r="Y670" s="121">
        <f>交易记录!AE25</f>
        <v>1</v>
      </c>
      <c r="Z670" s="121">
        <f>交易记录!AE56</f>
        <v>372</v>
      </c>
      <c r="AA670" s="30">
        <f t="shared" si="310"/>
        <v>0</v>
      </c>
      <c r="AB670" s="124">
        <f>交易记录!AE89</f>
        <v>0</v>
      </c>
      <c r="AC670" s="124">
        <f>交易记录!AE120</f>
        <v>0</v>
      </c>
      <c r="AD670" s="30">
        <f t="shared" si="328"/>
        <v>0</v>
      </c>
      <c r="AE670" s="121">
        <f>交易记录!AE153</f>
        <v>0</v>
      </c>
      <c r="AF670" s="121">
        <f>交易记录!AE184</f>
        <v>0</v>
      </c>
      <c r="AG670" s="30">
        <f t="shared" si="329"/>
        <v>0</v>
      </c>
      <c r="AH670" s="124">
        <f>交易记录!AE217</f>
        <v>0</v>
      </c>
      <c r="AI670" s="124">
        <f>交易记录!AE248</f>
        <v>0</v>
      </c>
      <c r="AJ670" s="30">
        <f t="shared" si="330"/>
        <v>0</v>
      </c>
      <c r="AK670" s="121">
        <f>交易记录!AE281</f>
        <v>0</v>
      </c>
      <c r="AL670" s="121">
        <f>交易记录!AE312</f>
        <v>0</v>
      </c>
      <c r="AM670" s="30">
        <f t="shared" si="331"/>
        <v>0</v>
      </c>
      <c r="AN670" s="124">
        <f>交易记录!AE345</f>
        <v>0</v>
      </c>
      <c r="AO670" s="124">
        <f>交易记录!AE376</f>
        <v>0</v>
      </c>
      <c r="AP670" s="30">
        <f t="shared" si="332"/>
        <v>0</v>
      </c>
      <c r="AQ670" s="121">
        <f>交易记录!AE409</f>
        <v>0</v>
      </c>
      <c r="AR670" s="121">
        <f>交易记录!AE440</f>
        <v>0</v>
      </c>
      <c r="AS670" s="30">
        <f t="shared" si="333"/>
        <v>0</v>
      </c>
      <c r="AT670" s="124">
        <f>交易记录!AE473</f>
        <v>0</v>
      </c>
      <c r="AU670" s="124">
        <f>交易记录!AE504</f>
        <v>0</v>
      </c>
      <c r="AV670" s="30">
        <f t="shared" si="311"/>
        <v>0</v>
      </c>
      <c r="AW670" s="121">
        <f>交易记录!AE537</f>
        <v>0</v>
      </c>
      <c r="AX670" s="121">
        <f>交易记录!AE568</f>
        <v>0</v>
      </c>
      <c r="AY670" s="30">
        <f t="shared" si="312"/>
        <v>0</v>
      </c>
      <c r="AZ670" s="124">
        <f>交易记录!AE601</f>
        <v>0</v>
      </c>
      <c r="BA670" s="124">
        <f>交易记录!AE632</f>
        <v>0</v>
      </c>
      <c r="BB670" s="30">
        <f t="shared" si="313"/>
        <v>0</v>
      </c>
      <c r="BC670" s="121">
        <f>交易记录!AE665</f>
        <v>0</v>
      </c>
      <c r="BD670" s="121">
        <f>交易记录!AE696</f>
        <v>0</v>
      </c>
      <c r="BE670" s="30">
        <f t="shared" si="314"/>
        <v>0</v>
      </c>
      <c r="BF670" s="124">
        <f>交易记录!AE729</f>
        <v>0</v>
      </c>
      <c r="BG670" s="124">
        <f>交易记录!AE760</f>
        <v>0</v>
      </c>
      <c r="BH670" s="30">
        <f t="shared" si="315"/>
        <v>0</v>
      </c>
      <c r="BI670" s="121">
        <f>交易记录!AE793</f>
        <v>0</v>
      </c>
      <c r="BJ670" s="121">
        <f>交易记录!AE824</f>
        <v>0</v>
      </c>
      <c r="BK670" s="30">
        <f t="shared" si="316"/>
        <v>0</v>
      </c>
      <c r="BL670" s="124">
        <f>交易记录!AE857</f>
        <v>0</v>
      </c>
      <c r="BM670" s="124">
        <f>交易记录!AE888</f>
        <v>0</v>
      </c>
      <c r="BN670" s="30">
        <f t="shared" si="317"/>
        <v>0</v>
      </c>
      <c r="BO670" s="121">
        <f>交易记录!AE921</f>
        <v>0</v>
      </c>
      <c r="BP670" s="121">
        <f>交易记录!AE952</f>
        <v>0</v>
      </c>
      <c r="BQ670" s="30">
        <f t="shared" si="318"/>
        <v>0</v>
      </c>
    </row>
    <row r="671" spans="1:69" ht="15">
      <c r="A671" s="125">
        <f>'维护-日期'!A$30</f>
        <v>46293</v>
      </c>
      <c r="B671" s="7" t="s">
        <v>27</v>
      </c>
      <c r="C671" s="144">
        <f t="shared" si="319"/>
        <v>22.122</v>
      </c>
      <c r="D671" s="144">
        <f>ROUND(INDEX(持仓数据!$C$3:$AG$26,MATCH('计算过程-数据汇总'!B671,持仓数据!$B$3:$B$26,0),MATCH('计算过程-数据汇总'!A671,'维护-日期'!$B$2:$AF$2,0)),3)</f>
        <v>22.122</v>
      </c>
      <c r="E671" s="98">
        <f t="shared" si="320"/>
        <v>22.122</v>
      </c>
      <c r="F671" s="22">
        <f>持仓数据!AD93</f>
        <v>0.95199999999999996</v>
      </c>
      <c r="G671" s="97">
        <v>372</v>
      </c>
      <c r="H671" s="97">
        <v>372</v>
      </c>
      <c r="I671" s="64">
        <v>0</v>
      </c>
      <c r="J671" s="64">
        <v>0</v>
      </c>
      <c r="K671" s="21">
        <f>IF(持仓数据!AD126="",0,持仓数据!AD126)</f>
        <v>372</v>
      </c>
      <c r="L671" s="21">
        <f t="shared" si="321"/>
        <v>0</v>
      </c>
      <c r="M671" s="28">
        <f t="shared" si="305"/>
        <v>8229.384</v>
      </c>
      <c r="N671" s="28">
        <f t="shared" si="306"/>
        <v>0</v>
      </c>
      <c r="O671" s="28">
        <f t="shared" si="307"/>
        <v>0</v>
      </c>
      <c r="P671" s="28">
        <f t="shared" si="308"/>
        <v>0</v>
      </c>
      <c r="Q671" s="28">
        <f t="shared" si="322"/>
        <v>0</v>
      </c>
      <c r="R671" s="28">
        <f t="shared" si="309"/>
        <v>8229.384</v>
      </c>
      <c r="S671" s="28">
        <f t="shared" si="323"/>
        <v>0</v>
      </c>
      <c r="T671" s="28">
        <f t="shared" si="324"/>
        <v>0</v>
      </c>
      <c r="U671" s="28">
        <f t="shared" si="327"/>
        <v>0</v>
      </c>
      <c r="V671" s="28">
        <f t="shared" si="325"/>
        <v>0</v>
      </c>
      <c r="W671" s="118"/>
      <c r="X671" s="143">
        <f t="shared" si="326"/>
        <v>25.594000000000001</v>
      </c>
      <c r="Y671" s="121">
        <f>交易记录!AE26</f>
        <v>0.95199999999999996</v>
      </c>
      <c r="Z671" s="121">
        <f>交易记录!AE57</f>
        <v>372</v>
      </c>
      <c r="AA671" s="30">
        <f t="shared" si="310"/>
        <v>0</v>
      </c>
      <c r="AB671" s="124">
        <f>交易记录!AE90</f>
        <v>0</v>
      </c>
      <c r="AC671" s="124">
        <f>交易记录!AE121</f>
        <v>0</v>
      </c>
      <c r="AD671" s="30">
        <f t="shared" si="328"/>
        <v>0</v>
      </c>
      <c r="AE671" s="121">
        <f>交易记录!AE154</f>
        <v>0</v>
      </c>
      <c r="AF671" s="121">
        <f>交易记录!AE185</f>
        <v>0</v>
      </c>
      <c r="AG671" s="30">
        <f t="shared" si="329"/>
        <v>0</v>
      </c>
      <c r="AH671" s="124">
        <f>交易记录!AE218</f>
        <v>0</v>
      </c>
      <c r="AI671" s="124">
        <f>交易记录!AE249</f>
        <v>0</v>
      </c>
      <c r="AJ671" s="30">
        <f t="shared" si="330"/>
        <v>0</v>
      </c>
      <c r="AK671" s="121">
        <f>交易记录!AE282</f>
        <v>0</v>
      </c>
      <c r="AL671" s="121">
        <f>交易记录!AE313</f>
        <v>0</v>
      </c>
      <c r="AM671" s="30">
        <f t="shared" si="331"/>
        <v>0</v>
      </c>
      <c r="AN671" s="124">
        <f>交易记录!AE346</f>
        <v>0</v>
      </c>
      <c r="AO671" s="124">
        <f>交易记录!AE377</f>
        <v>0</v>
      </c>
      <c r="AP671" s="30">
        <f t="shared" si="332"/>
        <v>0</v>
      </c>
      <c r="AQ671" s="121">
        <f>交易记录!AE410</f>
        <v>0</v>
      </c>
      <c r="AR671" s="121">
        <f>交易记录!AE441</f>
        <v>0</v>
      </c>
      <c r="AS671" s="30">
        <f t="shared" si="333"/>
        <v>0</v>
      </c>
      <c r="AT671" s="124">
        <f>交易记录!AE474</f>
        <v>0</v>
      </c>
      <c r="AU671" s="124">
        <f>交易记录!AE505</f>
        <v>0</v>
      </c>
      <c r="AV671" s="30">
        <f t="shared" si="311"/>
        <v>0</v>
      </c>
      <c r="AW671" s="121">
        <f>交易记录!AE538</f>
        <v>0</v>
      </c>
      <c r="AX671" s="121">
        <f>交易记录!AE569</f>
        <v>0</v>
      </c>
      <c r="AY671" s="30">
        <f t="shared" si="312"/>
        <v>0</v>
      </c>
      <c r="AZ671" s="124">
        <f>交易记录!AE602</f>
        <v>0</v>
      </c>
      <c r="BA671" s="124">
        <f>交易记录!AE633</f>
        <v>0</v>
      </c>
      <c r="BB671" s="30">
        <f t="shared" si="313"/>
        <v>0</v>
      </c>
      <c r="BC671" s="121">
        <f>交易记录!AE666</f>
        <v>0</v>
      </c>
      <c r="BD671" s="121">
        <f>交易记录!AE697</f>
        <v>0</v>
      </c>
      <c r="BE671" s="30">
        <f t="shared" si="314"/>
        <v>0</v>
      </c>
      <c r="BF671" s="124">
        <f>交易记录!AE730</f>
        <v>0</v>
      </c>
      <c r="BG671" s="124">
        <f>交易记录!AE761</f>
        <v>0</v>
      </c>
      <c r="BH671" s="30">
        <f t="shared" si="315"/>
        <v>0</v>
      </c>
      <c r="BI671" s="121">
        <f>交易记录!AE794</f>
        <v>0</v>
      </c>
      <c r="BJ671" s="121">
        <f>交易记录!AE825</f>
        <v>0</v>
      </c>
      <c r="BK671" s="30">
        <f t="shared" si="316"/>
        <v>0</v>
      </c>
      <c r="BL671" s="124">
        <f>交易记录!AE858</f>
        <v>0</v>
      </c>
      <c r="BM671" s="124">
        <f>交易记录!AE889</f>
        <v>0</v>
      </c>
      <c r="BN671" s="30">
        <f t="shared" si="317"/>
        <v>0</v>
      </c>
      <c r="BO671" s="121">
        <f>交易记录!AE922</f>
        <v>0</v>
      </c>
      <c r="BP671" s="121">
        <f>交易记录!AE953</f>
        <v>0</v>
      </c>
      <c r="BQ671" s="30">
        <f t="shared" si="318"/>
        <v>0</v>
      </c>
    </row>
    <row r="672" spans="1:69" ht="15">
      <c r="A672" s="125">
        <f>'维护-日期'!A$30</f>
        <v>46293</v>
      </c>
      <c r="B672" s="7" t="s">
        <v>28</v>
      </c>
      <c r="C672" s="144">
        <f t="shared" si="319"/>
        <v>19.263000000000002</v>
      </c>
      <c r="D672" s="144">
        <f>ROUND(INDEX(持仓数据!$C$3:$AG$26,MATCH('计算过程-数据汇总'!B672,持仓数据!$B$3:$B$26,0),MATCH('计算过程-数据汇总'!A672,'维护-日期'!$B$2:$AF$2,0)),3)</f>
        <v>19.263000000000002</v>
      </c>
      <c r="E672" s="98">
        <f t="shared" si="320"/>
        <v>19.263000000000002</v>
      </c>
      <c r="F672" s="22">
        <f>持仓数据!AD94</f>
        <v>0.84300000000000008</v>
      </c>
      <c r="G672" s="97">
        <v>372</v>
      </c>
      <c r="H672" s="97">
        <v>372</v>
      </c>
      <c r="I672" s="64">
        <v>0</v>
      </c>
      <c r="J672" s="64">
        <v>0</v>
      </c>
      <c r="K672" s="21">
        <f>IF(持仓数据!AD127="",0,持仓数据!AD127)</f>
        <v>371.99999999999994</v>
      </c>
      <c r="L672" s="21">
        <f t="shared" si="321"/>
        <v>0</v>
      </c>
      <c r="M672" s="28">
        <f t="shared" si="305"/>
        <v>7165.8360000000002</v>
      </c>
      <c r="N672" s="28">
        <f t="shared" si="306"/>
        <v>0</v>
      </c>
      <c r="O672" s="28">
        <f t="shared" si="307"/>
        <v>0</v>
      </c>
      <c r="P672" s="28">
        <f t="shared" si="308"/>
        <v>-4.7919002099661161E-14</v>
      </c>
      <c r="Q672" s="28">
        <f t="shared" si="322"/>
        <v>0</v>
      </c>
      <c r="R672" s="28">
        <f t="shared" si="309"/>
        <v>7165.8359999999993</v>
      </c>
      <c r="S672" s="28">
        <f t="shared" si="323"/>
        <v>0</v>
      </c>
      <c r="T672" s="28">
        <f t="shared" si="324"/>
        <v>1.0470557754160837E-12</v>
      </c>
      <c r="U672" s="28">
        <f t="shared" si="327"/>
        <v>0</v>
      </c>
      <c r="V672" s="28">
        <f t="shared" si="325"/>
        <v>0</v>
      </c>
      <c r="W672" s="118"/>
      <c r="X672" s="143">
        <f t="shared" si="326"/>
        <v>22.273</v>
      </c>
      <c r="Y672" s="121">
        <f>交易记录!AE27</f>
        <v>0.84300000000000008</v>
      </c>
      <c r="Z672" s="121">
        <f>交易记录!AE58</f>
        <v>372</v>
      </c>
      <c r="AA672" s="30">
        <f t="shared" si="310"/>
        <v>0</v>
      </c>
      <c r="AB672" s="124">
        <f>交易记录!AE91</f>
        <v>0</v>
      </c>
      <c r="AC672" s="124">
        <f>交易记录!AE122</f>
        <v>0</v>
      </c>
      <c r="AD672" s="30">
        <f t="shared" si="328"/>
        <v>0</v>
      </c>
      <c r="AE672" s="121">
        <f>交易记录!AE155</f>
        <v>0</v>
      </c>
      <c r="AF672" s="121">
        <f>交易记录!AE186</f>
        <v>0</v>
      </c>
      <c r="AG672" s="30">
        <f t="shared" si="329"/>
        <v>0</v>
      </c>
      <c r="AH672" s="124">
        <f>交易记录!AE219</f>
        <v>0</v>
      </c>
      <c r="AI672" s="124">
        <f>交易记录!AE250</f>
        <v>0</v>
      </c>
      <c r="AJ672" s="30">
        <f t="shared" si="330"/>
        <v>0</v>
      </c>
      <c r="AK672" s="121">
        <f>交易记录!AE283</f>
        <v>0</v>
      </c>
      <c r="AL672" s="121">
        <f>交易记录!AE314</f>
        <v>0</v>
      </c>
      <c r="AM672" s="30">
        <f t="shared" si="331"/>
        <v>0</v>
      </c>
      <c r="AN672" s="124">
        <f>交易记录!AE347</f>
        <v>0</v>
      </c>
      <c r="AO672" s="124">
        <f>交易记录!AE378</f>
        <v>0</v>
      </c>
      <c r="AP672" s="30">
        <f t="shared" si="332"/>
        <v>0</v>
      </c>
      <c r="AQ672" s="121">
        <f>交易记录!AE411</f>
        <v>0</v>
      </c>
      <c r="AR672" s="121">
        <f>交易记录!AE442</f>
        <v>0</v>
      </c>
      <c r="AS672" s="30">
        <f t="shared" si="333"/>
        <v>0</v>
      </c>
      <c r="AT672" s="124">
        <f>交易记录!AE475</f>
        <v>0</v>
      </c>
      <c r="AU672" s="124">
        <f>交易记录!AE506</f>
        <v>0</v>
      </c>
      <c r="AV672" s="30">
        <f t="shared" si="311"/>
        <v>0</v>
      </c>
      <c r="AW672" s="121">
        <f>交易记录!AE539</f>
        <v>0</v>
      </c>
      <c r="AX672" s="121">
        <f>交易记录!AE570</f>
        <v>0</v>
      </c>
      <c r="AY672" s="30">
        <f t="shared" si="312"/>
        <v>0</v>
      </c>
      <c r="AZ672" s="124">
        <f>交易记录!AE603</f>
        <v>0</v>
      </c>
      <c r="BA672" s="124">
        <f>交易记录!AE634</f>
        <v>0</v>
      </c>
      <c r="BB672" s="30">
        <f t="shared" si="313"/>
        <v>0</v>
      </c>
      <c r="BC672" s="121">
        <f>交易记录!AE667</f>
        <v>0</v>
      </c>
      <c r="BD672" s="121">
        <f>交易记录!AE698</f>
        <v>0</v>
      </c>
      <c r="BE672" s="30">
        <f t="shared" si="314"/>
        <v>0</v>
      </c>
      <c r="BF672" s="124">
        <f>交易记录!AE731</f>
        <v>0</v>
      </c>
      <c r="BG672" s="124">
        <f>交易记录!AE762</f>
        <v>0</v>
      </c>
      <c r="BH672" s="30">
        <f t="shared" si="315"/>
        <v>0</v>
      </c>
      <c r="BI672" s="121">
        <f>交易记录!AE795</f>
        <v>0</v>
      </c>
      <c r="BJ672" s="121">
        <f>交易记录!AE826</f>
        <v>0</v>
      </c>
      <c r="BK672" s="30">
        <f t="shared" si="316"/>
        <v>0</v>
      </c>
      <c r="BL672" s="124">
        <f>交易记录!AE859</f>
        <v>0</v>
      </c>
      <c r="BM672" s="124">
        <f>交易记录!AE890</f>
        <v>0</v>
      </c>
      <c r="BN672" s="30">
        <f t="shared" si="317"/>
        <v>0</v>
      </c>
      <c r="BO672" s="121">
        <f>交易记录!AE923</f>
        <v>0</v>
      </c>
      <c r="BP672" s="121">
        <f>交易记录!AE954</f>
        <v>0</v>
      </c>
      <c r="BQ672" s="30">
        <f t="shared" si="318"/>
        <v>0</v>
      </c>
    </row>
    <row r="673" spans="1:69" ht="15">
      <c r="A673" s="125">
        <f>'维护-日期'!A$30</f>
        <v>46293</v>
      </c>
      <c r="B673" s="7" t="s">
        <v>29</v>
      </c>
      <c r="C673" s="144">
        <f t="shared" si="319"/>
        <v>16.701000000000001</v>
      </c>
      <c r="D673" s="144">
        <f>ROUND(INDEX(持仓数据!$C$3:$AG$26,MATCH('计算过程-数据汇总'!B673,持仓数据!$B$3:$B$26,0),MATCH('计算过程-数据汇总'!A673,'维护-日期'!$B$2:$AF$2,0)),3)</f>
        <v>16.701000000000001</v>
      </c>
      <c r="E673" s="98">
        <f t="shared" si="320"/>
        <v>16.701000000000001</v>
      </c>
      <c r="F673" s="22">
        <f>持仓数据!AD95</f>
        <v>0.33299999999999996</v>
      </c>
      <c r="G673" s="97">
        <v>372</v>
      </c>
      <c r="H673" s="97">
        <v>372</v>
      </c>
      <c r="I673" s="64">
        <v>0</v>
      </c>
      <c r="J673" s="64">
        <v>0</v>
      </c>
      <c r="K673" s="21">
        <f>IF(持仓数据!AD128="",0,持仓数据!AD128)</f>
        <v>372</v>
      </c>
      <c r="L673" s="21">
        <f t="shared" si="321"/>
        <v>0</v>
      </c>
      <c r="M673" s="28">
        <f t="shared" si="305"/>
        <v>6212.7719999999999</v>
      </c>
      <c r="N673" s="28">
        <f t="shared" si="306"/>
        <v>0</v>
      </c>
      <c r="O673" s="28">
        <f t="shared" si="307"/>
        <v>0</v>
      </c>
      <c r="P673" s="28">
        <f t="shared" si="308"/>
        <v>0</v>
      </c>
      <c r="Q673" s="28">
        <f t="shared" si="322"/>
        <v>0</v>
      </c>
      <c r="R673" s="28">
        <f t="shared" si="309"/>
        <v>6212.7719999999999</v>
      </c>
      <c r="S673" s="28">
        <f t="shared" si="323"/>
        <v>0</v>
      </c>
      <c r="T673" s="28">
        <f t="shared" si="324"/>
        <v>0</v>
      </c>
      <c r="U673" s="28">
        <f t="shared" si="327"/>
        <v>0</v>
      </c>
      <c r="V673" s="28">
        <f t="shared" si="325"/>
        <v>0</v>
      </c>
      <c r="W673" s="118"/>
      <c r="X673" s="143">
        <f t="shared" si="326"/>
        <v>19.707999999999998</v>
      </c>
      <c r="Y673" s="121">
        <f>交易记录!AE28</f>
        <v>0.33299999999999996</v>
      </c>
      <c r="Z673" s="121">
        <f>交易记录!AE59</f>
        <v>372</v>
      </c>
      <c r="AA673" s="30">
        <f t="shared" si="310"/>
        <v>0</v>
      </c>
      <c r="AB673" s="124">
        <f>交易记录!AE92</f>
        <v>0</v>
      </c>
      <c r="AC673" s="124">
        <f>交易记录!AE123</f>
        <v>0</v>
      </c>
      <c r="AD673" s="30">
        <f t="shared" si="328"/>
        <v>0</v>
      </c>
      <c r="AE673" s="121">
        <f>交易记录!AE156</f>
        <v>0</v>
      </c>
      <c r="AF673" s="121">
        <f>交易记录!AE187</f>
        <v>0</v>
      </c>
      <c r="AG673" s="30">
        <f t="shared" si="329"/>
        <v>0</v>
      </c>
      <c r="AH673" s="124">
        <f>交易记录!AE220</f>
        <v>0</v>
      </c>
      <c r="AI673" s="124">
        <f>交易记录!AE251</f>
        <v>0</v>
      </c>
      <c r="AJ673" s="30">
        <f t="shared" si="330"/>
        <v>0</v>
      </c>
      <c r="AK673" s="121">
        <f>交易记录!AE284</f>
        <v>0</v>
      </c>
      <c r="AL673" s="121">
        <f>交易记录!AE315</f>
        <v>0</v>
      </c>
      <c r="AM673" s="30">
        <f t="shared" si="331"/>
        <v>0</v>
      </c>
      <c r="AN673" s="124">
        <f>交易记录!AE348</f>
        <v>0</v>
      </c>
      <c r="AO673" s="124">
        <f>交易记录!AE379</f>
        <v>0</v>
      </c>
      <c r="AP673" s="30">
        <f t="shared" si="332"/>
        <v>0</v>
      </c>
      <c r="AQ673" s="121">
        <f>交易记录!AE412</f>
        <v>0</v>
      </c>
      <c r="AR673" s="121">
        <f>交易记录!AE443</f>
        <v>0</v>
      </c>
      <c r="AS673" s="30">
        <f t="shared" si="333"/>
        <v>0</v>
      </c>
      <c r="AT673" s="124">
        <f>交易记录!AE476</f>
        <v>0</v>
      </c>
      <c r="AU673" s="124">
        <f>交易记录!AE507</f>
        <v>0</v>
      </c>
      <c r="AV673" s="30">
        <f t="shared" si="311"/>
        <v>0</v>
      </c>
      <c r="AW673" s="121">
        <f>交易记录!AE540</f>
        <v>0</v>
      </c>
      <c r="AX673" s="121">
        <f>交易记录!AE571</f>
        <v>0</v>
      </c>
      <c r="AY673" s="30">
        <f t="shared" si="312"/>
        <v>0</v>
      </c>
      <c r="AZ673" s="124">
        <f>交易记录!AE604</f>
        <v>0</v>
      </c>
      <c r="BA673" s="124">
        <f>交易记录!AE635</f>
        <v>0</v>
      </c>
      <c r="BB673" s="30">
        <f t="shared" si="313"/>
        <v>0</v>
      </c>
      <c r="BC673" s="121">
        <f>交易记录!AE668</f>
        <v>0</v>
      </c>
      <c r="BD673" s="121">
        <f>交易记录!AE699</f>
        <v>0</v>
      </c>
      <c r="BE673" s="30">
        <f t="shared" si="314"/>
        <v>0</v>
      </c>
      <c r="BF673" s="124">
        <f>交易记录!AE732</f>
        <v>0</v>
      </c>
      <c r="BG673" s="124">
        <f>交易记录!AE763</f>
        <v>0</v>
      </c>
      <c r="BH673" s="30">
        <f t="shared" si="315"/>
        <v>0</v>
      </c>
      <c r="BI673" s="121">
        <f>交易记录!AE796</f>
        <v>0</v>
      </c>
      <c r="BJ673" s="121">
        <f>交易记录!AE827</f>
        <v>0</v>
      </c>
      <c r="BK673" s="30">
        <f t="shared" si="316"/>
        <v>0</v>
      </c>
      <c r="BL673" s="124">
        <f>交易记录!AE860</f>
        <v>0</v>
      </c>
      <c r="BM673" s="124">
        <f>交易记录!AE891</f>
        <v>0</v>
      </c>
      <c r="BN673" s="30">
        <f t="shared" si="317"/>
        <v>0</v>
      </c>
      <c r="BO673" s="121">
        <f>交易记录!AE924</f>
        <v>0</v>
      </c>
      <c r="BP673" s="121">
        <f>交易记录!AE955</f>
        <v>0</v>
      </c>
      <c r="BQ673" s="30">
        <f t="shared" si="318"/>
        <v>0</v>
      </c>
    </row>
    <row r="674" spans="1:69" ht="15">
      <c r="A674" s="125">
        <f>'维护-日期'!A$31</f>
        <v>46294</v>
      </c>
      <c r="B674" s="7" t="s">
        <v>6</v>
      </c>
      <c r="C674" s="144">
        <f t="shared" si="319"/>
        <v>16.655999999999999</v>
      </c>
      <c r="D674" s="144">
        <f>ROUND(INDEX(持仓数据!$C$3:$AG$26,MATCH('计算过程-数据汇总'!B674,持仓数据!$B$3:$B$26,0),MATCH('计算过程-数据汇总'!A674,'维护-日期'!$B$2:$AF$2,0)),3)</f>
        <v>16.655999999999999</v>
      </c>
      <c r="E674" s="98">
        <f t="shared" si="320"/>
        <v>16.655999999999999</v>
      </c>
      <c r="F674" s="22">
        <f>持仓数据!AE72</f>
        <v>0.39700000000000002</v>
      </c>
      <c r="G674" s="97">
        <v>372</v>
      </c>
      <c r="H674" s="97">
        <v>372</v>
      </c>
      <c r="I674" s="64">
        <v>0</v>
      </c>
      <c r="J674" s="64">
        <v>0</v>
      </c>
      <c r="K674" s="21">
        <f>IF(持仓数据!AE105="",0,持仓数据!AE105)</f>
        <v>372</v>
      </c>
      <c r="L674" s="21">
        <f t="shared" si="321"/>
        <v>0</v>
      </c>
      <c r="M674" s="28">
        <f t="shared" si="305"/>
        <v>6196.0319999999992</v>
      </c>
      <c r="N674" s="28">
        <f t="shared" si="306"/>
        <v>0</v>
      </c>
      <c r="O674" s="28">
        <f t="shared" si="307"/>
        <v>0</v>
      </c>
      <c r="P674" s="28">
        <f t="shared" si="308"/>
        <v>0</v>
      </c>
      <c r="Q674" s="28">
        <f t="shared" si="322"/>
        <v>0</v>
      </c>
      <c r="R674" s="28">
        <f t="shared" si="309"/>
        <v>6196.0319999999992</v>
      </c>
      <c r="S674" s="28">
        <f t="shared" si="323"/>
        <v>0</v>
      </c>
      <c r="T674" s="28">
        <f t="shared" si="324"/>
        <v>0</v>
      </c>
      <c r="U674" s="28">
        <f t="shared" si="327"/>
        <v>0</v>
      </c>
      <c r="V674" s="28">
        <f t="shared" si="325"/>
        <v>0</v>
      </c>
      <c r="W674" s="118"/>
      <c r="X674" s="143">
        <f t="shared" si="326"/>
        <v>19.59</v>
      </c>
      <c r="Y674" s="121">
        <f>交易记录!AF5</f>
        <v>0.39700000000000002</v>
      </c>
      <c r="Z674" s="121">
        <f>交易记录!AF36</f>
        <v>372</v>
      </c>
      <c r="AA674" s="30">
        <f t="shared" si="310"/>
        <v>0</v>
      </c>
      <c r="AB674" s="124">
        <f>交易记录!AF69</f>
        <v>0</v>
      </c>
      <c r="AC674" s="124">
        <f>交易记录!AF100</f>
        <v>0</v>
      </c>
      <c r="AD674" s="30">
        <f t="shared" si="328"/>
        <v>0</v>
      </c>
      <c r="AE674" s="121">
        <f>交易记录!AF133</f>
        <v>0</v>
      </c>
      <c r="AF674" s="121">
        <f>交易记录!AF164</f>
        <v>0</v>
      </c>
      <c r="AG674" s="30">
        <f t="shared" si="329"/>
        <v>0</v>
      </c>
      <c r="AH674" s="124">
        <f>交易记录!AF197</f>
        <v>0</v>
      </c>
      <c r="AI674" s="124">
        <f>交易记录!AF228</f>
        <v>0</v>
      </c>
      <c r="AJ674" s="30">
        <f t="shared" si="330"/>
        <v>0</v>
      </c>
      <c r="AK674" s="121">
        <f>交易记录!AF261</f>
        <v>0</v>
      </c>
      <c r="AL674" s="121">
        <f>交易记录!AF292</f>
        <v>0</v>
      </c>
      <c r="AM674" s="30">
        <f t="shared" si="331"/>
        <v>0</v>
      </c>
      <c r="AN674" s="124">
        <f>交易记录!AF325</f>
        <v>0</v>
      </c>
      <c r="AO674" s="124">
        <f>交易记录!AF356</f>
        <v>0</v>
      </c>
      <c r="AP674" s="30">
        <f t="shared" si="332"/>
        <v>0</v>
      </c>
      <c r="AQ674" s="121">
        <f>交易记录!AF389</f>
        <v>0</v>
      </c>
      <c r="AR674" s="121">
        <f>交易记录!AF420</f>
        <v>0</v>
      </c>
      <c r="AS674" s="30">
        <f t="shared" si="333"/>
        <v>0</v>
      </c>
      <c r="AT674" s="124">
        <f>交易记录!AF453</f>
        <v>0</v>
      </c>
      <c r="AU674" s="124">
        <f>交易记录!AF484</f>
        <v>0</v>
      </c>
      <c r="AV674" s="30">
        <f t="shared" si="311"/>
        <v>0</v>
      </c>
      <c r="AW674" s="121">
        <f>交易记录!AF517</f>
        <v>0</v>
      </c>
      <c r="AX674" s="121">
        <f>交易记录!AF548</f>
        <v>0</v>
      </c>
      <c r="AY674" s="30">
        <f t="shared" si="312"/>
        <v>0</v>
      </c>
      <c r="AZ674" s="124">
        <f>交易记录!AF581</f>
        <v>0</v>
      </c>
      <c r="BA674" s="124">
        <f>交易记录!AF612</f>
        <v>0</v>
      </c>
      <c r="BB674" s="30">
        <f t="shared" si="313"/>
        <v>0</v>
      </c>
      <c r="BC674" s="121">
        <f>交易记录!AF645</f>
        <v>0</v>
      </c>
      <c r="BD674" s="121">
        <f>交易记录!AF676</f>
        <v>0</v>
      </c>
      <c r="BE674" s="30">
        <f t="shared" si="314"/>
        <v>0</v>
      </c>
      <c r="BF674" s="124">
        <f>交易记录!AF709</f>
        <v>0</v>
      </c>
      <c r="BG674" s="124">
        <f>交易记录!AF740</f>
        <v>0</v>
      </c>
      <c r="BH674" s="30">
        <f t="shared" si="315"/>
        <v>0</v>
      </c>
      <c r="BI674" s="121">
        <f>交易记录!AF773</f>
        <v>0</v>
      </c>
      <c r="BJ674" s="121">
        <f>交易记录!AF804</f>
        <v>0</v>
      </c>
      <c r="BK674" s="30">
        <f t="shared" si="316"/>
        <v>0</v>
      </c>
      <c r="BL674" s="124">
        <f>交易记录!AF837</f>
        <v>0</v>
      </c>
      <c r="BM674" s="124">
        <f>交易记录!AF868</f>
        <v>0</v>
      </c>
      <c r="BN674" s="30">
        <f t="shared" si="317"/>
        <v>0</v>
      </c>
      <c r="BO674" s="121">
        <f>交易记录!AF901</f>
        <v>0</v>
      </c>
      <c r="BP674" s="121">
        <f>交易记录!AF932</f>
        <v>0</v>
      </c>
      <c r="BQ674" s="30">
        <f t="shared" si="318"/>
        <v>0</v>
      </c>
    </row>
    <row r="675" spans="1:69" ht="15">
      <c r="A675" s="125">
        <f>'维护-日期'!A$31</f>
        <v>46294</v>
      </c>
      <c r="B675" s="7" t="s">
        <v>7</v>
      </c>
      <c r="C675" s="144">
        <f t="shared" si="319"/>
        <v>15.792</v>
      </c>
      <c r="D675" s="144">
        <f>ROUND(INDEX(持仓数据!$C$3:$AG$26,MATCH('计算过程-数据汇总'!B675,持仓数据!$B$3:$B$26,0),MATCH('计算过程-数据汇总'!A675,'维护-日期'!$B$2:$AF$2,0)),3)</f>
        <v>15.792</v>
      </c>
      <c r="E675" s="98">
        <f t="shared" si="320"/>
        <v>15.792</v>
      </c>
      <c r="F675" s="22">
        <f>持仓数据!AE73</f>
        <v>0.26500000000000001</v>
      </c>
      <c r="G675" s="97">
        <v>372</v>
      </c>
      <c r="H675" s="97">
        <v>372</v>
      </c>
      <c r="I675" s="64">
        <v>0</v>
      </c>
      <c r="J675" s="64">
        <v>0</v>
      </c>
      <c r="K675" s="21">
        <f>IF(持仓数据!AE106="",0,持仓数据!AE106)</f>
        <v>372</v>
      </c>
      <c r="L675" s="21">
        <f t="shared" si="321"/>
        <v>0</v>
      </c>
      <c r="M675" s="28">
        <f t="shared" si="305"/>
        <v>5874.6239999999998</v>
      </c>
      <c r="N675" s="28">
        <f t="shared" si="306"/>
        <v>0</v>
      </c>
      <c r="O675" s="28">
        <f t="shared" si="307"/>
        <v>0</v>
      </c>
      <c r="P675" s="28">
        <f t="shared" si="308"/>
        <v>0</v>
      </c>
      <c r="Q675" s="28">
        <f t="shared" si="322"/>
        <v>0</v>
      </c>
      <c r="R675" s="28">
        <f t="shared" si="309"/>
        <v>5874.6239999999998</v>
      </c>
      <c r="S675" s="28">
        <f t="shared" si="323"/>
        <v>0</v>
      </c>
      <c r="T675" s="28">
        <f t="shared" si="324"/>
        <v>0</v>
      </c>
      <c r="U675" s="28">
        <f t="shared" si="327"/>
        <v>0</v>
      </c>
      <c r="V675" s="28">
        <f t="shared" si="325"/>
        <v>0</v>
      </c>
      <c r="W675" s="118"/>
      <c r="X675" s="143">
        <f t="shared" si="326"/>
        <v>18.684999999999999</v>
      </c>
      <c r="Y675" s="121">
        <f>交易记录!AF6</f>
        <v>0.26500000000000001</v>
      </c>
      <c r="Z675" s="121">
        <f>交易记录!AF37</f>
        <v>372</v>
      </c>
      <c r="AA675" s="30">
        <f t="shared" si="310"/>
        <v>0</v>
      </c>
      <c r="AB675" s="124">
        <f>交易记录!AF70</f>
        <v>0</v>
      </c>
      <c r="AC675" s="124">
        <f>交易记录!AF101</f>
        <v>0</v>
      </c>
      <c r="AD675" s="30">
        <f t="shared" si="328"/>
        <v>0</v>
      </c>
      <c r="AE675" s="121">
        <f>交易记录!AF134</f>
        <v>0</v>
      </c>
      <c r="AF675" s="121">
        <f>交易记录!AF165</f>
        <v>0</v>
      </c>
      <c r="AG675" s="30">
        <f t="shared" si="329"/>
        <v>0</v>
      </c>
      <c r="AH675" s="124">
        <f>交易记录!AF198</f>
        <v>0</v>
      </c>
      <c r="AI675" s="124">
        <f>交易记录!AF229</f>
        <v>0</v>
      </c>
      <c r="AJ675" s="30">
        <f t="shared" si="330"/>
        <v>0</v>
      </c>
      <c r="AK675" s="121">
        <f>交易记录!AF262</f>
        <v>0</v>
      </c>
      <c r="AL675" s="121">
        <f>交易记录!AF293</f>
        <v>0</v>
      </c>
      <c r="AM675" s="30">
        <f t="shared" si="331"/>
        <v>0</v>
      </c>
      <c r="AN675" s="124">
        <f>交易记录!AF326</f>
        <v>0</v>
      </c>
      <c r="AO675" s="124">
        <f>交易记录!AF357</f>
        <v>0</v>
      </c>
      <c r="AP675" s="30">
        <f t="shared" si="332"/>
        <v>0</v>
      </c>
      <c r="AQ675" s="121">
        <f>交易记录!AF390</f>
        <v>0</v>
      </c>
      <c r="AR675" s="121">
        <f>交易记录!AF421</f>
        <v>0</v>
      </c>
      <c r="AS675" s="30">
        <f t="shared" si="333"/>
        <v>0</v>
      </c>
      <c r="AT675" s="124">
        <f>交易记录!AF454</f>
        <v>0</v>
      </c>
      <c r="AU675" s="124">
        <f>交易记录!AF485</f>
        <v>0</v>
      </c>
      <c r="AV675" s="30">
        <f t="shared" si="311"/>
        <v>0</v>
      </c>
      <c r="AW675" s="121">
        <f>交易记录!AF518</f>
        <v>0</v>
      </c>
      <c r="AX675" s="121">
        <f>交易记录!AF549</f>
        <v>0</v>
      </c>
      <c r="AY675" s="30">
        <f t="shared" si="312"/>
        <v>0</v>
      </c>
      <c r="AZ675" s="124">
        <f>交易记录!AF582</f>
        <v>0</v>
      </c>
      <c r="BA675" s="124">
        <f>交易记录!AF613</f>
        <v>0</v>
      </c>
      <c r="BB675" s="30">
        <f t="shared" si="313"/>
        <v>0</v>
      </c>
      <c r="BC675" s="121">
        <f>交易记录!AF646</f>
        <v>0</v>
      </c>
      <c r="BD675" s="121">
        <f>交易记录!AF677</f>
        <v>0</v>
      </c>
      <c r="BE675" s="30">
        <f t="shared" si="314"/>
        <v>0</v>
      </c>
      <c r="BF675" s="124">
        <f>交易记录!AF710</f>
        <v>0</v>
      </c>
      <c r="BG675" s="124">
        <f>交易记录!AF741</f>
        <v>0</v>
      </c>
      <c r="BH675" s="30">
        <f t="shared" si="315"/>
        <v>0</v>
      </c>
      <c r="BI675" s="121">
        <f>交易记录!AF774</f>
        <v>0</v>
      </c>
      <c r="BJ675" s="121">
        <f>交易记录!AF805</f>
        <v>0</v>
      </c>
      <c r="BK675" s="30">
        <f t="shared" si="316"/>
        <v>0</v>
      </c>
      <c r="BL675" s="124">
        <f>交易记录!AF838</f>
        <v>0</v>
      </c>
      <c r="BM675" s="124">
        <f>交易记录!AF869</f>
        <v>0</v>
      </c>
      <c r="BN675" s="30">
        <f t="shared" si="317"/>
        <v>0</v>
      </c>
      <c r="BO675" s="121">
        <f>交易记录!AF902</f>
        <v>0</v>
      </c>
      <c r="BP675" s="121">
        <f>交易记录!AF933</f>
        <v>0</v>
      </c>
      <c r="BQ675" s="30">
        <f t="shared" si="318"/>
        <v>0</v>
      </c>
    </row>
    <row r="676" spans="1:69" ht="15">
      <c r="A676" s="125">
        <f>'维护-日期'!A$31</f>
        <v>46294</v>
      </c>
      <c r="B676" s="7" t="s">
        <v>8</v>
      </c>
      <c r="C676" s="144">
        <f t="shared" si="319"/>
        <v>14.821999999999999</v>
      </c>
      <c r="D676" s="144">
        <f>ROUND(INDEX(持仓数据!$C$3:$AG$26,MATCH('计算过程-数据汇总'!B676,持仓数据!$B$3:$B$26,0),MATCH('计算过程-数据汇总'!A676,'维护-日期'!$B$2:$AF$2,0)),3)</f>
        <v>14.821999999999999</v>
      </c>
      <c r="E676" s="98">
        <f t="shared" si="320"/>
        <v>14.821999999999999</v>
      </c>
      <c r="F676" s="22">
        <f>持仓数据!AE74</f>
        <v>0.24199999999999999</v>
      </c>
      <c r="G676" s="97">
        <v>372</v>
      </c>
      <c r="H676" s="97">
        <v>372</v>
      </c>
      <c r="I676" s="64">
        <v>0</v>
      </c>
      <c r="J676" s="64">
        <v>0</v>
      </c>
      <c r="K676" s="21">
        <f>IF(持仓数据!AE107="",0,持仓数据!AE107)</f>
        <v>372</v>
      </c>
      <c r="L676" s="21">
        <f t="shared" si="321"/>
        <v>0</v>
      </c>
      <c r="M676" s="28">
        <f t="shared" si="305"/>
        <v>5513.7839999999997</v>
      </c>
      <c r="N676" s="28">
        <f t="shared" si="306"/>
        <v>0</v>
      </c>
      <c r="O676" s="28">
        <f t="shared" si="307"/>
        <v>0</v>
      </c>
      <c r="P676" s="28">
        <f t="shared" si="308"/>
        <v>0</v>
      </c>
      <c r="Q676" s="28">
        <f t="shared" si="322"/>
        <v>0</v>
      </c>
      <c r="R676" s="28">
        <f t="shared" si="309"/>
        <v>5513.7839999999997</v>
      </c>
      <c r="S676" s="28">
        <f t="shared" si="323"/>
        <v>0</v>
      </c>
      <c r="T676" s="28">
        <f t="shared" si="324"/>
        <v>0</v>
      </c>
      <c r="U676" s="28">
        <f t="shared" si="327"/>
        <v>0</v>
      </c>
      <c r="V676" s="28">
        <f t="shared" si="325"/>
        <v>0</v>
      </c>
      <c r="W676" s="118"/>
      <c r="X676" s="143">
        <f t="shared" si="326"/>
        <v>17.544</v>
      </c>
      <c r="Y676" s="121">
        <f>交易记录!AF7</f>
        <v>0.24199999999999999</v>
      </c>
      <c r="Z676" s="121">
        <f>交易记录!AF38</f>
        <v>372</v>
      </c>
      <c r="AA676" s="30">
        <f t="shared" si="310"/>
        <v>0</v>
      </c>
      <c r="AB676" s="124">
        <f>交易记录!AF71</f>
        <v>0</v>
      </c>
      <c r="AC676" s="124">
        <f>交易记录!AF102</f>
        <v>0</v>
      </c>
      <c r="AD676" s="30">
        <f t="shared" si="328"/>
        <v>0</v>
      </c>
      <c r="AE676" s="121">
        <f>交易记录!AF135</f>
        <v>0</v>
      </c>
      <c r="AF676" s="121">
        <f>交易记录!AF166</f>
        <v>0</v>
      </c>
      <c r="AG676" s="30">
        <f t="shared" si="329"/>
        <v>0</v>
      </c>
      <c r="AH676" s="124">
        <f>交易记录!AF199</f>
        <v>0</v>
      </c>
      <c r="AI676" s="124">
        <f>交易记录!AF230</f>
        <v>0</v>
      </c>
      <c r="AJ676" s="30">
        <f t="shared" si="330"/>
        <v>0</v>
      </c>
      <c r="AK676" s="121">
        <f>交易记录!AF263</f>
        <v>0</v>
      </c>
      <c r="AL676" s="121">
        <f>交易记录!AF294</f>
        <v>0</v>
      </c>
      <c r="AM676" s="30">
        <f t="shared" si="331"/>
        <v>0</v>
      </c>
      <c r="AN676" s="124">
        <f>交易记录!AF327</f>
        <v>0</v>
      </c>
      <c r="AO676" s="124">
        <f>交易记录!AF358</f>
        <v>0</v>
      </c>
      <c r="AP676" s="30">
        <f t="shared" si="332"/>
        <v>0</v>
      </c>
      <c r="AQ676" s="121">
        <f>交易记录!AF391</f>
        <v>0</v>
      </c>
      <c r="AR676" s="121">
        <f>交易记录!AF422</f>
        <v>0</v>
      </c>
      <c r="AS676" s="30">
        <f t="shared" si="333"/>
        <v>0</v>
      </c>
      <c r="AT676" s="124">
        <f>交易记录!AF455</f>
        <v>0</v>
      </c>
      <c r="AU676" s="124">
        <f>交易记录!AF486</f>
        <v>0</v>
      </c>
      <c r="AV676" s="30">
        <f t="shared" si="311"/>
        <v>0</v>
      </c>
      <c r="AW676" s="121">
        <f>交易记录!AF519</f>
        <v>0</v>
      </c>
      <c r="AX676" s="121">
        <f>交易记录!AF550</f>
        <v>0</v>
      </c>
      <c r="AY676" s="30">
        <f t="shared" si="312"/>
        <v>0</v>
      </c>
      <c r="AZ676" s="124">
        <f>交易记录!AF583</f>
        <v>0</v>
      </c>
      <c r="BA676" s="124">
        <f>交易记录!AF614</f>
        <v>0</v>
      </c>
      <c r="BB676" s="30">
        <f t="shared" si="313"/>
        <v>0</v>
      </c>
      <c r="BC676" s="121">
        <f>交易记录!AF647</f>
        <v>0</v>
      </c>
      <c r="BD676" s="121">
        <f>交易记录!AF678</f>
        <v>0</v>
      </c>
      <c r="BE676" s="30">
        <f t="shared" si="314"/>
        <v>0</v>
      </c>
      <c r="BF676" s="124">
        <f>交易记录!AF711</f>
        <v>0</v>
      </c>
      <c r="BG676" s="124">
        <f>交易记录!AF742</f>
        <v>0</v>
      </c>
      <c r="BH676" s="30">
        <f t="shared" si="315"/>
        <v>0</v>
      </c>
      <c r="BI676" s="121">
        <f>交易记录!AF775</f>
        <v>0</v>
      </c>
      <c r="BJ676" s="121">
        <f>交易记录!AF806</f>
        <v>0</v>
      </c>
      <c r="BK676" s="30">
        <f t="shared" si="316"/>
        <v>0</v>
      </c>
      <c r="BL676" s="124">
        <f>交易记录!AF839</f>
        <v>0</v>
      </c>
      <c r="BM676" s="124">
        <f>交易记录!AF870</f>
        <v>0</v>
      </c>
      <c r="BN676" s="30">
        <f t="shared" si="317"/>
        <v>0</v>
      </c>
      <c r="BO676" s="121">
        <f>交易记录!AF903</f>
        <v>0</v>
      </c>
      <c r="BP676" s="121">
        <f>交易记录!AF934</f>
        <v>0</v>
      </c>
      <c r="BQ676" s="30">
        <f t="shared" si="318"/>
        <v>0</v>
      </c>
    </row>
    <row r="677" spans="1:69" ht="15">
      <c r="A677" s="125">
        <f>'维护-日期'!A$31</f>
        <v>46294</v>
      </c>
      <c r="B677" s="7" t="s">
        <v>9</v>
      </c>
      <c r="C677" s="144">
        <f t="shared" si="319"/>
        <v>13.817</v>
      </c>
      <c r="D677" s="144">
        <f>ROUND(INDEX(持仓数据!$C$3:$AG$26,MATCH('计算过程-数据汇总'!B677,持仓数据!$B$3:$B$26,0),MATCH('计算过程-数据汇总'!A677,'维护-日期'!$B$2:$AF$2,0)),3)</f>
        <v>13.817</v>
      </c>
      <c r="E677" s="98">
        <f t="shared" si="320"/>
        <v>13.817</v>
      </c>
      <c r="F677" s="22">
        <f>持仓数据!AE75</f>
        <v>0.09</v>
      </c>
      <c r="G677" s="97">
        <v>372</v>
      </c>
      <c r="H677" s="97">
        <v>372</v>
      </c>
      <c r="I677" s="64">
        <v>0</v>
      </c>
      <c r="J677" s="64">
        <v>0</v>
      </c>
      <c r="K677" s="21">
        <f>IF(持仓数据!AE108="",0,持仓数据!AE108)</f>
        <v>372</v>
      </c>
      <c r="L677" s="21">
        <f t="shared" si="321"/>
        <v>0</v>
      </c>
      <c r="M677" s="28">
        <f t="shared" si="305"/>
        <v>5139.924</v>
      </c>
      <c r="N677" s="28">
        <f t="shared" si="306"/>
        <v>0</v>
      </c>
      <c r="O677" s="28">
        <f t="shared" si="307"/>
        <v>0</v>
      </c>
      <c r="P677" s="28">
        <f t="shared" si="308"/>
        <v>0</v>
      </c>
      <c r="Q677" s="28">
        <f t="shared" si="322"/>
        <v>0</v>
      </c>
      <c r="R677" s="28">
        <f t="shared" si="309"/>
        <v>5139.924</v>
      </c>
      <c r="S677" s="28">
        <f t="shared" si="323"/>
        <v>0</v>
      </c>
      <c r="T677" s="28">
        <f t="shared" si="324"/>
        <v>0</v>
      </c>
      <c r="U677" s="28">
        <f t="shared" si="327"/>
        <v>0</v>
      </c>
      <c r="V677" s="28">
        <f t="shared" si="325"/>
        <v>0</v>
      </c>
      <c r="W677" s="118"/>
      <c r="X677" s="143">
        <f t="shared" si="326"/>
        <v>16.489999999999998</v>
      </c>
      <c r="Y677" s="121">
        <f>交易记录!AF8</f>
        <v>0.09</v>
      </c>
      <c r="Z677" s="121">
        <f>交易记录!AF39</f>
        <v>372</v>
      </c>
      <c r="AA677" s="30">
        <f t="shared" si="310"/>
        <v>0</v>
      </c>
      <c r="AB677" s="124">
        <f>交易记录!AF72</f>
        <v>0</v>
      </c>
      <c r="AC677" s="124">
        <f>交易记录!AF103</f>
        <v>0</v>
      </c>
      <c r="AD677" s="30">
        <f t="shared" si="328"/>
        <v>0</v>
      </c>
      <c r="AE677" s="121">
        <f>交易记录!AF136</f>
        <v>0</v>
      </c>
      <c r="AF677" s="121">
        <f>交易记录!AF167</f>
        <v>0</v>
      </c>
      <c r="AG677" s="30">
        <f t="shared" si="329"/>
        <v>0</v>
      </c>
      <c r="AH677" s="124">
        <f>交易记录!AF200</f>
        <v>0</v>
      </c>
      <c r="AI677" s="124">
        <f>交易记录!AF231</f>
        <v>0</v>
      </c>
      <c r="AJ677" s="30">
        <f t="shared" si="330"/>
        <v>0</v>
      </c>
      <c r="AK677" s="121">
        <f>交易记录!AF264</f>
        <v>0</v>
      </c>
      <c r="AL677" s="121">
        <f>交易记录!AF295</f>
        <v>0</v>
      </c>
      <c r="AM677" s="30">
        <f t="shared" si="331"/>
        <v>0</v>
      </c>
      <c r="AN677" s="124">
        <f>交易记录!AF328</f>
        <v>0</v>
      </c>
      <c r="AO677" s="124">
        <f>交易记录!AF359</f>
        <v>0</v>
      </c>
      <c r="AP677" s="30">
        <f t="shared" si="332"/>
        <v>0</v>
      </c>
      <c r="AQ677" s="121">
        <f>交易记录!AF392</f>
        <v>0</v>
      </c>
      <c r="AR677" s="121">
        <f>交易记录!AF423</f>
        <v>0</v>
      </c>
      <c r="AS677" s="30">
        <f t="shared" si="333"/>
        <v>0</v>
      </c>
      <c r="AT677" s="124">
        <f>交易记录!AF456</f>
        <v>0</v>
      </c>
      <c r="AU677" s="124">
        <f>交易记录!AF487</f>
        <v>0</v>
      </c>
      <c r="AV677" s="30">
        <f t="shared" si="311"/>
        <v>0</v>
      </c>
      <c r="AW677" s="121">
        <f>交易记录!AF520</f>
        <v>0</v>
      </c>
      <c r="AX677" s="121">
        <f>交易记录!AF551</f>
        <v>0</v>
      </c>
      <c r="AY677" s="30">
        <f t="shared" si="312"/>
        <v>0</v>
      </c>
      <c r="AZ677" s="124">
        <f>交易记录!AF584</f>
        <v>0</v>
      </c>
      <c r="BA677" s="124">
        <f>交易记录!AF615</f>
        <v>0</v>
      </c>
      <c r="BB677" s="30">
        <f t="shared" si="313"/>
        <v>0</v>
      </c>
      <c r="BC677" s="121">
        <f>交易记录!AF648</f>
        <v>0</v>
      </c>
      <c r="BD677" s="121">
        <f>交易记录!AF679</f>
        <v>0</v>
      </c>
      <c r="BE677" s="30">
        <f t="shared" si="314"/>
        <v>0</v>
      </c>
      <c r="BF677" s="124">
        <f>交易记录!AF712</f>
        <v>0</v>
      </c>
      <c r="BG677" s="124">
        <f>交易记录!AF743</f>
        <v>0</v>
      </c>
      <c r="BH677" s="30">
        <f t="shared" si="315"/>
        <v>0</v>
      </c>
      <c r="BI677" s="121">
        <f>交易记录!AF776</f>
        <v>0</v>
      </c>
      <c r="BJ677" s="121">
        <f>交易记录!AF807</f>
        <v>0</v>
      </c>
      <c r="BK677" s="30">
        <f t="shared" si="316"/>
        <v>0</v>
      </c>
      <c r="BL677" s="124">
        <f>交易记录!AF840</f>
        <v>0</v>
      </c>
      <c r="BM677" s="124">
        <f>交易记录!AF871</f>
        <v>0</v>
      </c>
      <c r="BN677" s="30">
        <f t="shared" si="317"/>
        <v>0</v>
      </c>
      <c r="BO677" s="121">
        <f>交易记录!AF904</f>
        <v>0</v>
      </c>
      <c r="BP677" s="121">
        <f>交易记录!AF935</f>
        <v>0</v>
      </c>
      <c r="BQ677" s="30">
        <f t="shared" si="318"/>
        <v>0</v>
      </c>
    </row>
    <row r="678" spans="1:69" ht="15">
      <c r="A678" s="125">
        <f>'维护-日期'!A$31</f>
        <v>46294</v>
      </c>
      <c r="B678" s="7" t="s">
        <v>10</v>
      </c>
      <c r="C678" s="144">
        <f t="shared" si="319"/>
        <v>13.388</v>
      </c>
      <c r="D678" s="144">
        <f>ROUND(INDEX(持仓数据!$C$3:$AG$26,MATCH('计算过程-数据汇总'!B678,持仓数据!$B$3:$B$26,0),MATCH('计算过程-数据汇总'!A678,'维护-日期'!$B$2:$AF$2,0)),3)</f>
        <v>13.388</v>
      </c>
      <c r="E678" s="98">
        <f t="shared" si="320"/>
        <v>13.388</v>
      </c>
      <c r="F678" s="22">
        <f>持仓数据!AE76</f>
        <v>8.6999999999999994E-2</v>
      </c>
      <c r="G678" s="97">
        <v>372</v>
      </c>
      <c r="H678" s="97">
        <v>372</v>
      </c>
      <c r="I678" s="64">
        <v>0</v>
      </c>
      <c r="J678" s="64">
        <v>0</v>
      </c>
      <c r="K678" s="21">
        <f>IF(持仓数据!AE109="",0,持仓数据!AE109)</f>
        <v>372</v>
      </c>
      <c r="L678" s="21">
        <f t="shared" si="321"/>
        <v>0</v>
      </c>
      <c r="M678" s="28">
        <f t="shared" si="305"/>
        <v>4980.3360000000002</v>
      </c>
      <c r="N678" s="28">
        <f t="shared" si="306"/>
        <v>0</v>
      </c>
      <c r="O678" s="28">
        <f t="shared" si="307"/>
        <v>0</v>
      </c>
      <c r="P678" s="28">
        <f t="shared" si="308"/>
        <v>0</v>
      </c>
      <c r="Q678" s="28">
        <f t="shared" si="322"/>
        <v>0</v>
      </c>
      <c r="R678" s="28">
        <f t="shared" si="309"/>
        <v>4980.3360000000002</v>
      </c>
      <c r="S678" s="28">
        <f t="shared" si="323"/>
        <v>0</v>
      </c>
      <c r="T678" s="28">
        <f t="shared" si="324"/>
        <v>0</v>
      </c>
      <c r="U678" s="28">
        <f t="shared" si="327"/>
        <v>0</v>
      </c>
      <c r="V678" s="28">
        <f t="shared" si="325"/>
        <v>0</v>
      </c>
      <c r="W678" s="118"/>
      <c r="X678" s="143">
        <f t="shared" si="326"/>
        <v>15.978999999999999</v>
      </c>
      <c r="Y678" s="121">
        <f>交易记录!AF9</f>
        <v>8.6999999999999994E-2</v>
      </c>
      <c r="Z678" s="121">
        <f>交易记录!AF40</f>
        <v>372</v>
      </c>
      <c r="AA678" s="30">
        <f t="shared" si="310"/>
        <v>0</v>
      </c>
      <c r="AB678" s="124">
        <f>交易记录!AF73</f>
        <v>0</v>
      </c>
      <c r="AC678" s="124">
        <f>交易记录!AF104</f>
        <v>0</v>
      </c>
      <c r="AD678" s="30">
        <f t="shared" si="328"/>
        <v>0</v>
      </c>
      <c r="AE678" s="121">
        <f>交易记录!AF137</f>
        <v>0</v>
      </c>
      <c r="AF678" s="121">
        <f>交易记录!AF168</f>
        <v>0</v>
      </c>
      <c r="AG678" s="30">
        <f t="shared" si="329"/>
        <v>0</v>
      </c>
      <c r="AH678" s="124">
        <f>交易记录!AF201</f>
        <v>0</v>
      </c>
      <c r="AI678" s="124">
        <f>交易记录!AF232</f>
        <v>0</v>
      </c>
      <c r="AJ678" s="30">
        <f t="shared" si="330"/>
        <v>0</v>
      </c>
      <c r="AK678" s="121">
        <f>交易记录!AF265</f>
        <v>0</v>
      </c>
      <c r="AL678" s="121">
        <f>交易记录!AF296</f>
        <v>0</v>
      </c>
      <c r="AM678" s="30">
        <f t="shared" si="331"/>
        <v>0</v>
      </c>
      <c r="AN678" s="124">
        <f>交易记录!AF329</f>
        <v>0</v>
      </c>
      <c r="AO678" s="124">
        <f>交易记录!AF360</f>
        <v>0</v>
      </c>
      <c r="AP678" s="30">
        <f t="shared" si="332"/>
        <v>0</v>
      </c>
      <c r="AQ678" s="121">
        <f>交易记录!AF393</f>
        <v>0</v>
      </c>
      <c r="AR678" s="121">
        <f>交易记录!AF424</f>
        <v>0</v>
      </c>
      <c r="AS678" s="30">
        <f t="shared" si="333"/>
        <v>0</v>
      </c>
      <c r="AT678" s="124">
        <f>交易记录!AF457</f>
        <v>0</v>
      </c>
      <c r="AU678" s="124">
        <f>交易记录!AF488</f>
        <v>0</v>
      </c>
      <c r="AV678" s="30">
        <f t="shared" si="311"/>
        <v>0</v>
      </c>
      <c r="AW678" s="121">
        <f>交易记录!AF521</f>
        <v>0</v>
      </c>
      <c r="AX678" s="121">
        <f>交易记录!AF552</f>
        <v>0</v>
      </c>
      <c r="AY678" s="30">
        <f t="shared" si="312"/>
        <v>0</v>
      </c>
      <c r="AZ678" s="124">
        <f>交易记录!AF585</f>
        <v>0</v>
      </c>
      <c r="BA678" s="124">
        <f>交易记录!AF616</f>
        <v>0</v>
      </c>
      <c r="BB678" s="30">
        <f t="shared" si="313"/>
        <v>0</v>
      </c>
      <c r="BC678" s="121">
        <f>交易记录!AF649</f>
        <v>0</v>
      </c>
      <c r="BD678" s="121">
        <f>交易记录!AF680</f>
        <v>0</v>
      </c>
      <c r="BE678" s="30">
        <f t="shared" si="314"/>
        <v>0</v>
      </c>
      <c r="BF678" s="124">
        <f>交易记录!AF713</f>
        <v>0</v>
      </c>
      <c r="BG678" s="124">
        <f>交易记录!AF744</f>
        <v>0</v>
      </c>
      <c r="BH678" s="30">
        <f t="shared" si="315"/>
        <v>0</v>
      </c>
      <c r="BI678" s="121">
        <f>交易记录!AF777</f>
        <v>0</v>
      </c>
      <c r="BJ678" s="121">
        <f>交易记录!AF808</f>
        <v>0</v>
      </c>
      <c r="BK678" s="30">
        <f t="shared" si="316"/>
        <v>0</v>
      </c>
      <c r="BL678" s="124">
        <f>交易记录!AF841</f>
        <v>0</v>
      </c>
      <c r="BM678" s="124">
        <f>交易记录!AF872</f>
        <v>0</v>
      </c>
      <c r="BN678" s="30">
        <f t="shared" si="317"/>
        <v>0</v>
      </c>
      <c r="BO678" s="121">
        <f>交易记录!AF905</f>
        <v>0</v>
      </c>
      <c r="BP678" s="121">
        <f>交易记录!AF936</f>
        <v>0</v>
      </c>
      <c r="BQ678" s="30">
        <f t="shared" si="318"/>
        <v>0</v>
      </c>
    </row>
    <row r="679" spans="1:69" ht="15">
      <c r="A679" s="125">
        <f>'维护-日期'!A$31</f>
        <v>46294</v>
      </c>
      <c r="B679" s="7" t="s">
        <v>11</v>
      </c>
      <c r="C679" s="144">
        <f t="shared" si="319"/>
        <v>13.087</v>
      </c>
      <c r="D679" s="144">
        <f>ROUND(INDEX(持仓数据!$C$3:$AG$26,MATCH('计算过程-数据汇总'!B679,持仓数据!$B$3:$B$26,0),MATCH('计算过程-数据汇总'!A679,'维护-日期'!$B$2:$AF$2,0)),3)</f>
        <v>13.087</v>
      </c>
      <c r="E679" s="98">
        <f t="shared" si="320"/>
        <v>13.087</v>
      </c>
      <c r="F679" s="22">
        <f>持仓数据!AE77</f>
        <v>8.6999999999999994E-2</v>
      </c>
      <c r="G679" s="97">
        <v>372</v>
      </c>
      <c r="H679" s="97">
        <v>372</v>
      </c>
      <c r="I679" s="64">
        <v>0</v>
      </c>
      <c r="J679" s="64">
        <v>0</v>
      </c>
      <c r="K679" s="21">
        <f>IF(持仓数据!AE110="",0,持仓数据!AE110)</f>
        <v>372</v>
      </c>
      <c r="L679" s="21">
        <f t="shared" si="321"/>
        <v>0</v>
      </c>
      <c r="M679" s="28">
        <f t="shared" si="305"/>
        <v>4868.3639999999996</v>
      </c>
      <c r="N679" s="28">
        <f t="shared" si="306"/>
        <v>0</v>
      </c>
      <c r="O679" s="28">
        <f t="shared" si="307"/>
        <v>0</v>
      </c>
      <c r="P679" s="28">
        <f t="shared" si="308"/>
        <v>0</v>
      </c>
      <c r="Q679" s="28">
        <f t="shared" si="322"/>
        <v>0</v>
      </c>
      <c r="R679" s="28">
        <f t="shared" si="309"/>
        <v>4868.3639999999996</v>
      </c>
      <c r="S679" s="28">
        <f t="shared" si="323"/>
        <v>0</v>
      </c>
      <c r="T679" s="28">
        <f t="shared" si="324"/>
        <v>0</v>
      </c>
      <c r="U679" s="28">
        <f t="shared" si="327"/>
        <v>0</v>
      </c>
      <c r="V679" s="28">
        <f t="shared" si="325"/>
        <v>0</v>
      </c>
      <c r="W679" s="118"/>
      <c r="X679" s="143">
        <f t="shared" si="326"/>
        <v>15.617000000000001</v>
      </c>
      <c r="Y679" s="121">
        <f>交易记录!AF10</f>
        <v>8.6999999999999994E-2</v>
      </c>
      <c r="Z679" s="121">
        <f>交易记录!AF41</f>
        <v>372</v>
      </c>
      <c r="AA679" s="30">
        <f t="shared" si="310"/>
        <v>0</v>
      </c>
      <c r="AB679" s="124">
        <f>交易记录!AF74</f>
        <v>0</v>
      </c>
      <c r="AC679" s="124">
        <f>交易记录!AF105</f>
        <v>0</v>
      </c>
      <c r="AD679" s="30">
        <f t="shared" si="328"/>
        <v>0</v>
      </c>
      <c r="AE679" s="121">
        <f>交易记录!AF138</f>
        <v>0</v>
      </c>
      <c r="AF679" s="121">
        <f>交易记录!AF169</f>
        <v>0</v>
      </c>
      <c r="AG679" s="30">
        <f t="shared" si="329"/>
        <v>0</v>
      </c>
      <c r="AH679" s="124">
        <f>交易记录!AF202</f>
        <v>0</v>
      </c>
      <c r="AI679" s="124">
        <f>交易记录!AF233</f>
        <v>0</v>
      </c>
      <c r="AJ679" s="30">
        <f t="shared" si="330"/>
        <v>0</v>
      </c>
      <c r="AK679" s="121">
        <f>交易记录!AF266</f>
        <v>0</v>
      </c>
      <c r="AL679" s="121">
        <f>交易记录!AF297</f>
        <v>0</v>
      </c>
      <c r="AM679" s="30">
        <f t="shared" si="331"/>
        <v>0</v>
      </c>
      <c r="AN679" s="124">
        <f>交易记录!AF330</f>
        <v>0</v>
      </c>
      <c r="AO679" s="124">
        <f>交易记录!AF361</f>
        <v>0</v>
      </c>
      <c r="AP679" s="30">
        <f t="shared" si="332"/>
        <v>0</v>
      </c>
      <c r="AQ679" s="121">
        <f>交易记录!AF394</f>
        <v>0</v>
      </c>
      <c r="AR679" s="121">
        <f>交易记录!AF425</f>
        <v>0</v>
      </c>
      <c r="AS679" s="30">
        <f t="shared" si="333"/>
        <v>0</v>
      </c>
      <c r="AT679" s="124">
        <f>交易记录!AF458</f>
        <v>0</v>
      </c>
      <c r="AU679" s="124">
        <f>交易记录!AF489</f>
        <v>0</v>
      </c>
      <c r="AV679" s="30">
        <f t="shared" si="311"/>
        <v>0</v>
      </c>
      <c r="AW679" s="121">
        <f>交易记录!AF522</f>
        <v>0</v>
      </c>
      <c r="AX679" s="121">
        <f>交易记录!AF553</f>
        <v>0</v>
      </c>
      <c r="AY679" s="30">
        <f t="shared" si="312"/>
        <v>0</v>
      </c>
      <c r="AZ679" s="124">
        <f>交易记录!AF586</f>
        <v>0</v>
      </c>
      <c r="BA679" s="124">
        <f>交易记录!AF617</f>
        <v>0</v>
      </c>
      <c r="BB679" s="30">
        <f t="shared" si="313"/>
        <v>0</v>
      </c>
      <c r="BC679" s="121">
        <f>交易记录!AF650</f>
        <v>0</v>
      </c>
      <c r="BD679" s="121">
        <f>交易记录!AF681</f>
        <v>0</v>
      </c>
      <c r="BE679" s="30">
        <f t="shared" si="314"/>
        <v>0</v>
      </c>
      <c r="BF679" s="124">
        <f>交易记录!AF714</f>
        <v>0</v>
      </c>
      <c r="BG679" s="124">
        <f>交易记录!AF745</f>
        <v>0</v>
      </c>
      <c r="BH679" s="30">
        <f t="shared" si="315"/>
        <v>0</v>
      </c>
      <c r="BI679" s="121">
        <f>交易记录!AF778</f>
        <v>0</v>
      </c>
      <c r="BJ679" s="121">
        <f>交易记录!AF809</f>
        <v>0</v>
      </c>
      <c r="BK679" s="30">
        <f t="shared" si="316"/>
        <v>0</v>
      </c>
      <c r="BL679" s="124">
        <f>交易记录!AF842</f>
        <v>0</v>
      </c>
      <c r="BM679" s="124">
        <f>交易记录!AF873</f>
        <v>0</v>
      </c>
      <c r="BN679" s="30">
        <f t="shared" si="317"/>
        <v>0</v>
      </c>
      <c r="BO679" s="121">
        <f>交易记录!AF906</f>
        <v>0</v>
      </c>
      <c r="BP679" s="121">
        <f>交易记录!AF937</f>
        <v>0</v>
      </c>
      <c r="BQ679" s="30">
        <f t="shared" si="318"/>
        <v>0</v>
      </c>
    </row>
    <row r="680" spans="1:69" ht="15">
      <c r="A680" s="125">
        <f>'维护-日期'!A$31</f>
        <v>46294</v>
      </c>
      <c r="B680" s="7" t="s">
        <v>12</v>
      </c>
      <c r="C680" s="144">
        <f t="shared" si="319"/>
        <v>12.95</v>
      </c>
      <c r="D680" s="144">
        <f>ROUND(INDEX(持仓数据!$C$3:$AG$26,MATCH('计算过程-数据汇总'!B680,持仓数据!$B$3:$B$26,0),MATCH('计算过程-数据汇总'!A680,'维护-日期'!$B$2:$AF$2,0)),3)</f>
        <v>12.95</v>
      </c>
      <c r="E680" s="98">
        <f t="shared" si="320"/>
        <v>12.95</v>
      </c>
      <c r="F680" s="22">
        <f>持仓数据!AE78</f>
        <v>0.14499999999999999</v>
      </c>
      <c r="G680" s="97">
        <v>372</v>
      </c>
      <c r="H680" s="97">
        <v>372</v>
      </c>
      <c r="I680" s="64">
        <v>0</v>
      </c>
      <c r="J680" s="64">
        <v>0</v>
      </c>
      <c r="K680" s="21">
        <f>IF(持仓数据!AE111="",0,持仓数据!AE111)</f>
        <v>372</v>
      </c>
      <c r="L680" s="21">
        <f t="shared" si="321"/>
        <v>0</v>
      </c>
      <c r="M680" s="28">
        <f t="shared" si="305"/>
        <v>4817.3999999999996</v>
      </c>
      <c r="N680" s="28">
        <f t="shared" si="306"/>
        <v>0</v>
      </c>
      <c r="O680" s="28">
        <f t="shared" si="307"/>
        <v>0</v>
      </c>
      <c r="P680" s="28">
        <f t="shared" si="308"/>
        <v>0</v>
      </c>
      <c r="Q680" s="28">
        <f t="shared" si="322"/>
        <v>0</v>
      </c>
      <c r="R680" s="28">
        <f t="shared" si="309"/>
        <v>4817.3999999999996</v>
      </c>
      <c r="S680" s="28">
        <f t="shared" si="323"/>
        <v>0</v>
      </c>
      <c r="T680" s="28">
        <f t="shared" si="324"/>
        <v>0</v>
      </c>
      <c r="U680" s="28">
        <f t="shared" si="327"/>
        <v>0</v>
      </c>
      <c r="V680" s="28">
        <f t="shared" si="325"/>
        <v>0</v>
      </c>
      <c r="W680" s="118"/>
      <c r="X680" s="143">
        <f t="shared" si="326"/>
        <v>15.395</v>
      </c>
      <c r="Y680" s="121">
        <f>交易记录!AF11</f>
        <v>0.14499999999999999</v>
      </c>
      <c r="Z680" s="121">
        <f>交易记录!AF42</f>
        <v>372</v>
      </c>
      <c r="AA680" s="30">
        <f t="shared" si="310"/>
        <v>0</v>
      </c>
      <c r="AB680" s="124">
        <f>交易记录!AF75</f>
        <v>0</v>
      </c>
      <c r="AC680" s="124">
        <f>交易记录!AF106</f>
        <v>0</v>
      </c>
      <c r="AD680" s="30">
        <f t="shared" si="328"/>
        <v>0</v>
      </c>
      <c r="AE680" s="121">
        <f>交易记录!AF139</f>
        <v>0</v>
      </c>
      <c r="AF680" s="121">
        <f>交易记录!AF170</f>
        <v>0</v>
      </c>
      <c r="AG680" s="30">
        <f t="shared" si="329"/>
        <v>0</v>
      </c>
      <c r="AH680" s="124">
        <f>交易记录!AF203</f>
        <v>0</v>
      </c>
      <c r="AI680" s="124">
        <f>交易记录!AF234</f>
        <v>0</v>
      </c>
      <c r="AJ680" s="30">
        <f t="shared" si="330"/>
        <v>0</v>
      </c>
      <c r="AK680" s="121">
        <f>交易记录!AF267</f>
        <v>0</v>
      </c>
      <c r="AL680" s="121">
        <f>交易记录!AF298</f>
        <v>0</v>
      </c>
      <c r="AM680" s="30">
        <f t="shared" si="331"/>
        <v>0</v>
      </c>
      <c r="AN680" s="124">
        <f>交易记录!AF331</f>
        <v>0</v>
      </c>
      <c r="AO680" s="124">
        <f>交易记录!AF362</f>
        <v>0</v>
      </c>
      <c r="AP680" s="30">
        <f t="shared" si="332"/>
        <v>0</v>
      </c>
      <c r="AQ680" s="121">
        <f>交易记录!AF395</f>
        <v>0</v>
      </c>
      <c r="AR680" s="121">
        <f>交易记录!AF426</f>
        <v>0</v>
      </c>
      <c r="AS680" s="30">
        <f t="shared" si="333"/>
        <v>0</v>
      </c>
      <c r="AT680" s="124">
        <f>交易记录!AF459</f>
        <v>0</v>
      </c>
      <c r="AU680" s="124">
        <f>交易记录!AF490</f>
        <v>0</v>
      </c>
      <c r="AV680" s="30">
        <f t="shared" si="311"/>
        <v>0</v>
      </c>
      <c r="AW680" s="121">
        <f>交易记录!AF523</f>
        <v>0</v>
      </c>
      <c r="AX680" s="121">
        <f>交易记录!AF554</f>
        <v>0</v>
      </c>
      <c r="AY680" s="30">
        <f t="shared" si="312"/>
        <v>0</v>
      </c>
      <c r="AZ680" s="124">
        <f>交易记录!AF587</f>
        <v>0</v>
      </c>
      <c r="BA680" s="124">
        <f>交易记录!AF618</f>
        <v>0</v>
      </c>
      <c r="BB680" s="30">
        <f t="shared" si="313"/>
        <v>0</v>
      </c>
      <c r="BC680" s="121">
        <f>交易记录!AF651</f>
        <v>0</v>
      </c>
      <c r="BD680" s="121">
        <f>交易记录!AF682</f>
        <v>0</v>
      </c>
      <c r="BE680" s="30">
        <f t="shared" si="314"/>
        <v>0</v>
      </c>
      <c r="BF680" s="124">
        <f>交易记录!AF715</f>
        <v>0</v>
      </c>
      <c r="BG680" s="124">
        <f>交易记录!AF746</f>
        <v>0</v>
      </c>
      <c r="BH680" s="30">
        <f t="shared" si="315"/>
        <v>0</v>
      </c>
      <c r="BI680" s="121">
        <f>交易记录!AF779</f>
        <v>0</v>
      </c>
      <c r="BJ680" s="121">
        <f>交易记录!AF810</f>
        <v>0</v>
      </c>
      <c r="BK680" s="30">
        <f t="shared" si="316"/>
        <v>0</v>
      </c>
      <c r="BL680" s="124">
        <f>交易记录!AF843</f>
        <v>0</v>
      </c>
      <c r="BM680" s="124">
        <f>交易记录!AF874</f>
        <v>0</v>
      </c>
      <c r="BN680" s="30">
        <f t="shared" si="317"/>
        <v>0</v>
      </c>
      <c r="BO680" s="121">
        <f>交易记录!AF907</f>
        <v>0</v>
      </c>
      <c r="BP680" s="121">
        <f>交易记录!AF938</f>
        <v>0</v>
      </c>
      <c r="BQ680" s="30">
        <f t="shared" si="318"/>
        <v>0</v>
      </c>
    </row>
    <row r="681" spans="1:69" ht="15">
      <c r="A681" s="125">
        <f>'维护-日期'!A$31</f>
        <v>46294</v>
      </c>
      <c r="B681" s="7" t="s">
        <v>13</v>
      </c>
      <c r="C681" s="144">
        <f t="shared" si="319"/>
        <v>13.266999999999999</v>
      </c>
      <c r="D681" s="144">
        <f>ROUND(INDEX(持仓数据!$C$3:$AG$26,MATCH('计算过程-数据汇总'!B681,持仓数据!$B$3:$B$26,0),MATCH('计算过程-数据汇总'!A681,'维护-日期'!$B$2:$AF$2,0)),3)</f>
        <v>13.266999999999999</v>
      </c>
      <c r="E681" s="98">
        <f t="shared" si="320"/>
        <v>13.266999999999999</v>
      </c>
      <c r="F681" s="22">
        <f>持仓数据!AE79</f>
        <v>0.307</v>
      </c>
      <c r="G681" s="97">
        <v>372</v>
      </c>
      <c r="H681" s="97">
        <v>372</v>
      </c>
      <c r="I681" s="64">
        <v>0</v>
      </c>
      <c r="J681" s="64">
        <v>0</v>
      </c>
      <c r="K681" s="21">
        <f>IF(持仓数据!AE112="",0,持仓数据!AE112)</f>
        <v>372</v>
      </c>
      <c r="L681" s="21">
        <f t="shared" si="321"/>
        <v>0</v>
      </c>
      <c r="M681" s="28">
        <f t="shared" si="305"/>
        <v>4935.3239999999996</v>
      </c>
      <c r="N681" s="28">
        <f t="shared" si="306"/>
        <v>0</v>
      </c>
      <c r="O681" s="28">
        <f t="shared" si="307"/>
        <v>0</v>
      </c>
      <c r="P681" s="28">
        <f t="shared" si="308"/>
        <v>0</v>
      </c>
      <c r="Q681" s="28">
        <f t="shared" si="322"/>
        <v>0</v>
      </c>
      <c r="R681" s="28">
        <f t="shared" si="309"/>
        <v>4935.3239999999996</v>
      </c>
      <c r="S681" s="28">
        <f t="shared" si="323"/>
        <v>0</v>
      </c>
      <c r="T681" s="28">
        <f t="shared" si="324"/>
        <v>0</v>
      </c>
      <c r="U681" s="28">
        <f t="shared" si="327"/>
        <v>0</v>
      </c>
      <c r="V681" s="28">
        <f t="shared" si="325"/>
        <v>0</v>
      </c>
      <c r="W681" s="118"/>
      <c r="X681" s="143">
        <f t="shared" si="326"/>
        <v>15.613</v>
      </c>
      <c r="Y681" s="121">
        <f>交易记录!AF12</f>
        <v>0.307</v>
      </c>
      <c r="Z681" s="121">
        <f>交易记录!AF43</f>
        <v>372</v>
      </c>
      <c r="AA681" s="30">
        <f t="shared" si="310"/>
        <v>0</v>
      </c>
      <c r="AB681" s="124">
        <f>交易记录!AF76</f>
        <v>0</v>
      </c>
      <c r="AC681" s="124">
        <f>交易记录!AF107</f>
        <v>0</v>
      </c>
      <c r="AD681" s="30">
        <f t="shared" si="328"/>
        <v>0</v>
      </c>
      <c r="AE681" s="121">
        <f>交易记录!AF140</f>
        <v>0</v>
      </c>
      <c r="AF681" s="121">
        <f>交易记录!AF171</f>
        <v>0</v>
      </c>
      <c r="AG681" s="30">
        <f t="shared" si="329"/>
        <v>0</v>
      </c>
      <c r="AH681" s="124">
        <f>交易记录!AF204</f>
        <v>0</v>
      </c>
      <c r="AI681" s="124">
        <f>交易记录!AF235</f>
        <v>0</v>
      </c>
      <c r="AJ681" s="30">
        <f t="shared" si="330"/>
        <v>0</v>
      </c>
      <c r="AK681" s="121">
        <f>交易记录!AF268</f>
        <v>0</v>
      </c>
      <c r="AL681" s="121">
        <f>交易记录!AF299</f>
        <v>0</v>
      </c>
      <c r="AM681" s="30">
        <f t="shared" si="331"/>
        <v>0</v>
      </c>
      <c r="AN681" s="124">
        <f>交易记录!AF332</f>
        <v>0</v>
      </c>
      <c r="AO681" s="124">
        <f>交易记录!AF363</f>
        <v>0</v>
      </c>
      <c r="AP681" s="30">
        <f t="shared" si="332"/>
        <v>0</v>
      </c>
      <c r="AQ681" s="121">
        <f>交易记录!AF396</f>
        <v>0</v>
      </c>
      <c r="AR681" s="121">
        <f>交易记录!AF427</f>
        <v>0</v>
      </c>
      <c r="AS681" s="30">
        <f t="shared" si="333"/>
        <v>0</v>
      </c>
      <c r="AT681" s="124">
        <f>交易记录!AF460</f>
        <v>0</v>
      </c>
      <c r="AU681" s="124">
        <f>交易记录!AF491</f>
        <v>0</v>
      </c>
      <c r="AV681" s="30">
        <f t="shared" si="311"/>
        <v>0</v>
      </c>
      <c r="AW681" s="121">
        <f>交易记录!AF524</f>
        <v>0</v>
      </c>
      <c r="AX681" s="121">
        <f>交易记录!AF555</f>
        <v>0</v>
      </c>
      <c r="AY681" s="30">
        <f t="shared" si="312"/>
        <v>0</v>
      </c>
      <c r="AZ681" s="124">
        <f>交易记录!AF588</f>
        <v>0</v>
      </c>
      <c r="BA681" s="124">
        <f>交易记录!AF619</f>
        <v>0</v>
      </c>
      <c r="BB681" s="30">
        <f t="shared" si="313"/>
        <v>0</v>
      </c>
      <c r="BC681" s="121">
        <f>交易记录!AF652</f>
        <v>0</v>
      </c>
      <c r="BD681" s="121">
        <f>交易记录!AF683</f>
        <v>0</v>
      </c>
      <c r="BE681" s="30">
        <f t="shared" si="314"/>
        <v>0</v>
      </c>
      <c r="BF681" s="124">
        <f>交易记录!AF716</f>
        <v>0</v>
      </c>
      <c r="BG681" s="124">
        <f>交易记录!AF747</f>
        <v>0</v>
      </c>
      <c r="BH681" s="30">
        <f t="shared" si="315"/>
        <v>0</v>
      </c>
      <c r="BI681" s="121">
        <f>交易记录!AF780</f>
        <v>0</v>
      </c>
      <c r="BJ681" s="121">
        <f>交易记录!AF811</f>
        <v>0</v>
      </c>
      <c r="BK681" s="30">
        <f t="shared" si="316"/>
        <v>0</v>
      </c>
      <c r="BL681" s="124">
        <f>交易记录!AF844</f>
        <v>0</v>
      </c>
      <c r="BM681" s="124">
        <f>交易记录!AF875</f>
        <v>0</v>
      </c>
      <c r="BN681" s="30">
        <f t="shared" si="317"/>
        <v>0</v>
      </c>
      <c r="BO681" s="121">
        <f>交易记录!AF908</f>
        <v>0</v>
      </c>
      <c r="BP681" s="121">
        <f>交易记录!AF939</f>
        <v>0</v>
      </c>
      <c r="BQ681" s="30">
        <f t="shared" si="318"/>
        <v>0</v>
      </c>
    </row>
    <row r="682" spans="1:69" ht="15">
      <c r="A682" s="125">
        <f>'维护-日期'!A$31</f>
        <v>46294</v>
      </c>
      <c r="B682" s="7" t="s">
        <v>14</v>
      </c>
      <c r="C682" s="144">
        <f t="shared" si="319"/>
        <v>15.795999999999999</v>
      </c>
      <c r="D682" s="144">
        <f>ROUND(INDEX(持仓数据!$C$3:$AG$26,MATCH('计算过程-数据汇总'!B682,持仓数据!$B$3:$B$26,0),MATCH('计算过程-数据汇总'!A682,'维护-日期'!$B$2:$AF$2,0)),3)</f>
        <v>15.795999999999999</v>
      </c>
      <c r="E682" s="98">
        <f t="shared" si="320"/>
        <v>15.795999999999999</v>
      </c>
      <c r="F682" s="22">
        <f>持仓数据!AE80</f>
        <v>0.42800000000000005</v>
      </c>
      <c r="G682" s="97">
        <v>372</v>
      </c>
      <c r="H682" s="97">
        <v>372</v>
      </c>
      <c r="I682" s="64">
        <v>0</v>
      </c>
      <c r="J682" s="64">
        <v>0</v>
      </c>
      <c r="K682" s="21">
        <f>IF(持仓数据!AE113="",0,持仓数据!AE113)</f>
        <v>372</v>
      </c>
      <c r="L682" s="21">
        <f t="shared" si="321"/>
        <v>0</v>
      </c>
      <c r="M682" s="28">
        <f t="shared" si="305"/>
        <v>5876.1120000000001</v>
      </c>
      <c r="N682" s="28">
        <f t="shared" si="306"/>
        <v>0</v>
      </c>
      <c r="O682" s="28">
        <f t="shared" si="307"/>
        <v>0</v>
      </c>
      <c r="P682" s="28">
        <f t="shared" si="308"/>
        <v>0</v>
      </c>
      <c r="Q682" s="28">
        <f t="shared" si="322"/>
        <v>0</v>
      </c>
      <c r="R682" s="28">
        <f t="shared" si="309"/>
        <v>5876.1120000000001</v>
      </c>
      <c r="S682" s="28">
        <f t="shared" si="323"/>
        <v>0</v>
      </c>
      <c r="T682" s="28">
        <f t="shared" si="324"/>
        <v>0</v>
      </c>
      <c r="U682" s="28">
        <f t="shared" si="327"/>
        <v>0</v>
      </c>
      <c r="V682" s="28">
        <f t="shared" si="325"/>
        <v>0</v>
      </c>
      <c r="W682" s="118"/>
      <c r="X682" s="143">
        <f t="shared" si="326"/>
        <v>18.527000000000001</v>
      </c>
      <c r="Y682" s="121">
        <f>交易记录!AF13</f>
        <v>0.42800000000000005</v>
      </c>
      <c r="Z682" s="121">
        <f>交易记录!AF44</f>
        <v>372</v>
      </c>
      <c r="AA682" s="30">
        <f t="shared" si="310"/>
        <v>0</v>
      </c>
      <c r="AB682" s="124">
        <f>交易记录!AF77</f>
        <v>0</v>
      </c>
      <c r="AC682" s="124">
        <f>交易记录!AF108</f>
        <v>0</v>
      </c>
      <c r="AD682" s="30">
        <f t="shared" si="328"/>
        <v>0</v>
      </c>
      <c r="AE682" s="121">
        <f>交易记录!AF141</f>
        <v>0</v>
      </c>
      <c r="AF682" s="121">
        <f>交易记录!AF172</f>
        <v>0</v>
      </c>
      <c r="AG682" s="30">
        <f t="shared" si="329"/>
        <v>0</v>
      </c>
      <c r="AH682" s="124">
        <f>交易记录!AF205</f>
        <v>0</v>
      </c>
      <c r="AI682" s="124">
        <f>交易记录!AF236</f>
        <v>0</v>
      </c>
      <c r="AJ682" s="30">
        <f t="shared" si="330"/>
        <v>0</v>
      </c>
      <c r="AK682" s="121">
        <f>交易记录!AF269</f>
        <v>0</v>
      </c>
      <c r="AL682" s="121">
        <f>交易记录!AF300</f>
        <v>0</v>
      </c>
      <c r="AM682" s="30">
        <f t="shared" si="331"/>
        <v>0</v>
      </c>
      <c r="AN682" s="124">
        <f>交易记录!AF333</f>
        <v>0</v>
      </c>
      <c r="AO682" s="124">
        <f>交易记录!AF364</f>
        <v>0</v>
      </c>
      <c r="AP682" s="30">
        <f t="shared" si="332"/>
        <v>0</v>
      </c>
      <c r="AQ682" s="121">
        <f>交易记录!AF397</f>
        <v>0</v>
      </c>
      <c r="AR682" s="121">
        <f>交易记录!AF428</f>
        <v>0</v>
      </c>
      <c r="AS682" s="30">
        <f t="shared" si="333"/>
        <v>0</v>
      </c>
      <c r="AT682" s="124">
        <f>交易记录!AF461</f>
        <v>0</v>
      </c>
      <c r="AU682" s="124">
        <f>交易记录!AF492</f>
        <v>0</v>
      </c>
      <c r="AV682" s="30">
        <f t="shared" si="311"/>
        <v>0</v>
      </c>
      <c r="AW682" s="121">
        <f>交易记录!AF525</f>
        <v>0</v>
      </c>
      <c r="AX682" s="121">
        <f>交易记录!AF556</f>
        <v>0</v>
      </c>
      <c r="AY682" s="30">
        <f t="shared" si="312"/>
        <v>0</v>
      </c>
      <c r="AZ682" s="124">
        <f>交易记录!AF589</f>
        <v>0</v>
      </c>
      <c r="BA682" s="124">
        <f>交易记录!AF620</f>
        <v>0</v>
      </c>
      <c r="BB682" s="30">
        <f t="shared" si="313"/>
        <v>0</v>
      </c>
      <c r="BC682" s="121">
        <f>交易记录!AF653</f>
        <v>0</v>
      </c>
      <c r="BD682" s="121">
        <f>交易记录!AF684</f>
        <v>0</v>
      </c>
      <c r="BE682" s="30">
        <f t="shared" si="314"/>
        <v>0</v>
      </c>
      <c r="BF682" s="124">
        <f>交易记录!AF717</f>
        <v>0</v>
      </c>
      <c r="BG682" s="124">
        <f>交易记录!AF748</f>
        <v>0</v>
      </c>
      <c r="BH682" s="30">
        <f t="shared" si="315"/>
        <v>0</v>
      </c>
      <c r="BI682" s="121">
        <f>交易记录!AF781</f>
        <v>0</v>
      </c>
      <c r="BJ682" s="121">
        <f>交易记录!AF812</f>
        <v>0</v>
      </c>
      <c r="BK682" s="30">
        <f t="shared" si="316"/>
        <v>0</v>
      </c>
      <c r="BL682" s="124">
        <f>交易记录!AF845</f>
        <v>0</v>
      </c>
      <c r="BM682" s="124">
        <f>交易记录!AF876</f>
        <v>0</v>
      </c>
      <c r="BN682" s="30">
        <f t="shared" si="317"/>
        <v>0</v>
      </c>
      <c r="BO682" s="121">
        <f>交易记录!AF909</f>
        <v>0</v>
      </c>
      <c r="BP682" s="121">
        <f>交易记录!AF940</f>
        <v>0</v>
      </c>
      <c r="BQ682" s="30">
        <f t="shared" si="318"/>
        <v>0</v>
      </c>
    </row>
    <row r="683" spans="1:69" ht="15">
      <c r="A683" s="125">
        <f>'维护-日期'!A$31</f>
        <v>46294</v>
      </c>
      <c r="B683" s="7" t="s">
        <v>15</v>
      </c>
      <c r="C683" s="144">
        <f t="shared" si="319"/>
        <v>19.308</v>
      </c>
      <c r="D683" s="144">
        <f>ROUND(INDEX(持仓数据!$C$3:$AG$26,MATCH('计算过程-数据汇总'!B683,持仓数据!$B$3:$B$26,0),MATCH('计算过程-数据汇总'!A683,'维护-日期'!$B$2:$AF$2,0)),3)</f>
        <v>19.308</v>
      </c>
      <c r="E683" s="98">
        <f t="shared" si="320"/>
        <v>19.308</v>
      </c>
      <c r="F683" s="22">
        <f>持仓数据!AE81</f>
        <v>0.46100000000000002</v>
      </c>
      <c r="G683" s="97">
        <v>372</v>
      </c>
      <c r="H683" s="97">
        <v>372</v>
      </c>
      <c r="I683" s="64">
        <v>0</v>
      </c>
      <c r="J683" s="64">
        <v>0</v>
      </c>
      <c r="K683" s="21">
        <f>IF(持仓数据!AE114="",0,持仓数据!AE114)</f>
        <v>372</v>
      </c>
      <c r="L683" s="21">
        <f t="shared" si="321"/>
        <v>0</v>
      </c>
      <c r="M683" s="28">
        <f t="shared" si="305"/>
        <v>7182.576</v>
      </c>
      <c r="N683" s="28">
        <f t="shared" si="306"/>
        <v>0</v>
      </c>
      <c r="O683" s="28">
        <f t="shared" si="307"/>
        <v>0</v>
      </c>
      <c r="P683" s="28">
        <f t="shared" si="308"/>
        <v>0</v>
      </c>
      <c r="Q683" s="28">
        <f t="shared" si="322"/>
        <v>0</v>
      </c>
      <c r="R683" s="28">
        <f t="shared" si="309"/>
        <v>7182.576</v>
      </c>
      <c r="S683" s="28">
        <f t="shared" si="323"/>
        <v>0</v>
      </c>
      <c r="T683" s="28">
        <f t="shared" si="324"/>
        <v>0</v>
      </c>
      <c r="U683" s="28">
        <f t="shared" si="327"/>
        <v>0</v>
      </c>
      <c r="V683" s="28">
        <f t="shared" si="325"/>
        <v>0</v>
      </c>
      <c r="W683" s="118"/>
      <c r="X683" s="143">
        <f t="shared" si="326"/>
        <v>22.709</v>
      </c>
      <c r="Y683" s="121">
        <f>交易记录!AF14</f>
        <v>0.46100000000000002</v>
      </c>
      <c r="Z683" s="121">
        <f>交易记录!AF45</f>
        <v>372</v>
      </c>
      <c r="AA683" s="30">
        <f t="shared" si="310"/>
        <v>0</v>
      </c>
      <c r="AB683" s="124">
        <f>交易记录!AF78</f>
        <v>0</v>
      </c>
      <c r="AC683" s="124">
        <f>交易记录!AF109</f>
        <v>0</v>
      </c>
      <c r="AD683" s="30">
        <f t="shared" si="328"/>
        <v>0</v>
      </c>
      <c r="AE683" s="121">
        <f>交易记录!AF142</f>
        <v>0</v>
      </c>
      <c r="AF683" s="121">
        <f>交易记录!AF173</f>
        <v>0</v>
      </c>
      <c r="AG683" s="30">
        <f t="shared" si="329"/>
        <v>0</v>
      </c>
      <c r="AH683" s="124">
        <f>交易记录!AF206</f>
        <v>0</v>
      </c>
      <c r="AI683" s="124">
        <f>交易记录!AF237</f>
        <v>0</v>
      </c>
      <c r="AJ683" s="30">
        <f t="shared" si="330"/>
        <v>0</v>
      </c>
      <c r="AK683" s="121">
        <f>交易记录!AF270</f>
        <v>0</v>
      </c>
      <c r="AL683" s="121">
        <f>交易记录!AF301</f>
        <v>0</v>
      </c>
      <c r="AM683" s="30">
        <f t="shared" si="331"/>
        <v>0</v>
      </c>
      <c r="AN683" s="124">
        <f>交易记录!AF334</f>
        <v>0</v>
      </c>
      <c r="AO683" s="124">
        <f>交易记录!AF365</f>
        <v>0</v>
      </c>
      <c r="AP683" s="30">
        <f t="shared" si="332"/>
        <v>0</v>
      </c>
      <c r="AQ683" s="121">
        <f>交易记录!AF398</f>
        <v>0</v>
      </c>
      <c r="AR683" s="121">
        <f>交易记录!AF429</f>
        <v>0</v>
      </c>
      <c r="AS683" s="30">
        <f t="shared" si="333"/>
        <v>0</v>
      </c>
      <c r="AT683" s="124">
        <f>交易记录!AF462</f>
        <v>0</v>
      </c>
      <c r="AU683" s="124">
        <f>交易记录!AF493</f>
        <v>0</v>
      </c>
      <c r="AV683" s="30">
        <f t="shared" si="311"/>
        <v>0</v>
      </c>
      <c r="AW683" s="121">
        <f>交易记录!AF526</f>
        <v>0</v>
      </c>
      <c r="AX683" s="121">
        <f>交易记录!AF557</f>
        <v>0</v>
      </c>
      <c r="AY683" s="30">
        <f t="shared" si="312"/>
        <v>0</v>
      </c>
      <c r="AZ683" s="124">
        <f>交易记录!AF590</f>
        <v>0</v>
      </c>
      <c r="BA683" s="124">
        <f>交易记录!AF621</f>
        <v>0</v>
      </c>
      <c r="BB683" s="30">
        <f t="shared" si="313"/>
        <v>0</v>
      </c>
      <c r="BC683" s="121">
        <f>交易记录!AF654</f>
        <v>0</v>
      </c>
      <c r="BD683" s="121">
        <f>交易记录!AF685</f>
        <v>0</v>
      </c>
      <c r="BE683" s="30">
        <f t="shared" si="314"/>
        <v>0</v>
      </c>
      <c r="BF683" s="124">
        <f>交易记录!AF718</f>
        <v>0</v>
      </c>
      <c r="BG683" s="124">
        <f>交易记录!AF749</f>
        <v>0</v>
      </c>
      <c r="BH683" s="30">
        <f t="shared" si="315"/>
        <v>0</v>
      </c>
      <c r="BI683" s="121">
        <f>交易记录!AF782</f>
        <v>0</v>
      </c>
      <c r="BJ683" s="121">
        <f>交易记录!AF813</f>
        <v>0</v>
      </c>
      <c r="BK683" s="30">
        <f t="shared" si="316"/>
        <v>0</v>
      </c>
      <c r="BL683" s="124">
        <f>交易记录!AF846</f>
        <v>0</v>
      </c>
      <c r="BM683" s="124">
        <f>交易记录!AF877</f>
        <v>0</v>
      </c>
      <c r="BN683" s="30">
        <f t="shared" si="317"/>
        <v>0</v>
      </c>
      <c r="BO683" s="121">
        <f>交易记录!AF910</f>
        <v>0</v>
      </c>
      <c r="BP683" s="121">
        <f>交易记录!AF941</f>
        <v>0</v>
      </c>
      <c r="BQ683" s="30">
        <f t="shared" si="318"/>
        <v>0</v>
      </c>
    </row>
    <row r="684" spans="1:69" ht="15">
      <c r="A684" s="125">
        <f>'维护-日期'!A$31</f>
        <v>46294</v>
      </c>
      <c r="B684" s="7" t="s">
        <v>16</v>
      </c>
      <c r="C684" s="144">
        <f t="shared" si="319"/>
        <v>21.01</v>
      </c>
      <c r="D684" s="144">
        <f>ROUND(INDEX(持仓数据!$C$3:$AG$26,MATCH('计算过程-数据汇总'!B684,持仓数据!$B$3:$B$26,0),MATCH('计算过程-数据汇总'!A684,'维护-日期'!$B$2:$AF$2,0)),3)</f>
        <v>21.01</v>
      </c>
      <c r="E684" s="98">
        <f t="shared" si="320"/>
        <v>21.01</v>
      </c>
      <c r="F684" s="22">
        <f>持仓数据!AE82</f>
        <v>0.46700000000000003</v>
      </c>
      <c r="G684" s="97">
        <v>372</v>
      </c>
      <c r="H684" s="97">
        <v>372</v>
      </c>
      <c r="I684" s="64">
        <v>0</v>
      </c>
      <c r="J684" s="64">
        <v>0</v>
      </c>
      <c r="K684" s="21">
        <f>IF(持仓数据!AE115="",0,持仓数据!AE115)</f>
        <v>372</v>
      </c>
      <c r="L684" s="21">
        <f t="shared" si="321"/>
        <v>0</v>
      </c>
      <c r="M684" s="28">
        <f t="shared" si="305"/>
        <v>7815.72</v>
      </c>
      <c r="N684" s="28">
        <f t="shared" si="306"/>
        <v>0</v>
      </c>
      <c r="O684" s="28">
        <f t="shared" si="307"/>
        <v>0</v>
      </c>
      <c r="P684" s="28">
        <f t="shared" si="308"/>
        <v>0</v>
      </c>
      <c r="Q684" s="28">
        <f t="shared" si="322"/>
        <v>0</v>
      </c>
      <c r="R684" s="28">
        <f t="shared" si="309"/>
        <v>7815.72</v>
      </c>
      <c r="S684" s="28">
        <f t="shared" si="323"/>
        <v>0</v>
      </c>
      <c r="T684" s="28">
        <f t="shared" si="324"/>
        <v>0</v>
      </c>
      <c r="U684" s="28">
        <f t="shared" si="327"/>
        <v>0</v>
      </c>
      <c r="V684" s="28">
        <f t="shared" si="325"/>
        <v>0</v>
      </c>
      <c r="W684" s="118"/>
      <c r="X684" s="143">
        <f t="shared" si="326"/>
        <v>24.745000000000001</v>
      </c>
      <c r="Y684" s="121">
        <f>交易记录!AF15</f>
        <v>0.46700000000000003</v>
      </c>
      <c r="Z684" s="121">
        <f>交易记录!AF46</f>
        <v>372</v>
      </c>
      <c r="AA684" s="30">
        <f t="shared" si="310"/>
        <v>0</v>
      </c>
      <c r="AB684" s="124">
        <f>交易记录!AF79</f>
        <v>0</v>
      </c>
      <c r="AC684" s="124">
        <f>交易记录!AF110</f>
        <v>0</v>
      </c>
      <c r="AD684" s="30">
        <f t="shared" si="328"/>
        <v>0</v>
      </c>
      <c r="AE684" s="121">
        <f>交易记录!AF143</f>
        <v>0</v>
      </c>
      <c r="AF684" s="121">
        <f>交易记录!AF174</f>
        <v>0</v>
      </c>
      <c r="AG684" s="30">
        <f t="shared" si="329"/>
        <v>0</v>
      </c>
      <c r="AH684" s="124">
        <f>交易记录!AF207</f>
        <v>0</v>
      </c>
      <c r="AI684" s="124">
        <f>交易记录!AF238</f>
        <v>0</v>
      </c>
      <c r="AJ684" s="30">
        <f t="shared" si="330"/>
        <v>0</v>
      </c>
      <c r="AK684" s="121">
        <f>交易记录!AF271</f>
        <v>0</v>
      </c>
      <c r="AL684" s="121">
        <f>交易记录!AF302</f>
        <v>0</v>
      </c>
      <c r="AM684" s="30">
        <f t="shared" si="331"/>
        <v>0</v>
      </c>
      <c r="AN684" s="124">
        <f>交易记录!AF335</f>
        <v>0</v>
      </c>
      <c r="AO684" s="124">
        <f>交易记录!AF366</f>
        <v>0</v>
      </c>
      <c r="AP684" s="30">
        <f t="shared" si="332"/>
        <v>0</v>
      </c>
      <c r="AQ684" s="121">
        <f>交易记录!AF399</f>
        <v>0</v>
      </c>
      <c r="AR684" s="121">
        <f>交易记录!AF430</f>
        <v>0</v>
      </c>
      <c r="AS684" s="30">
        <f t="shared" si="333"/>
        <v>0</v>
      </c>
      <c r="AT684" s="124">
        <f>交易记录!AF463</f>
        <v>0</v>
      </c>
      <c r="AU684" s="124">
        <f>交易记录!AF494</f>
        <v>0</v>
      </c>
      <c r="AV684" s="30">
        <f t="shared" si="311"/>
        <v>0</v>
      </c>
      <c r="AW684" s="121">
        <f>交易记录!AF527</f>
        <v>0</v>
      </c>
      <c r="AX684" s="121">
        <f>交易记录!AF558</f>
        <v>0</v>
      </c>
      <c r="AY684" s="30">
        <f t="shared" si="312"/>
        <v>0</v>
      </c>
      <c r="AZ684" s="124">
        <f>交易记录!AF591</f>
        <v>0</v>
      </c>
      <c r="BA684" s="124">
        <f>交易记录!AF622</f>
        <v>0</v>
      </c>
      <c r="BB684" s="30">
        <f t="shared" si="313"/>
        <v>0</v>
      </c>
      <c r="BC684" s="121">
        <f>交易记录!AF655</f>
        <v>0</v>
      </c>
      <c r="BD684" s="121">
        <f>交易记录!AF686</f>
        <v>0</v>
      </c>
      <c r="BE684" s="30">
        <f t="shared" si="314"/>
        <v>0</v>
      </c>
      <c r="BF684" s="124">
        <f>交易记录!AF719</f>
        <v>0</v>
      </c>
      <c r="BG684" s="124">
        <f>交易记录!AF750</f>
        <v>0</v>
      </c>
      <c r="BH684" s="30">
        <f t="shared" si="315"/>
        <v>0</v>
      </c>
      <c r="BI684" s="121">
        <f>交易记录!AF783</f>
        <v>0</v>
      </c>
      <c r="BJ684" s="121">
        <f>交易记录!AF814</f>
        <v>0</v>
      </c>
      <c r="BK684" s="30">
        <f t="shared" si="316"/>
        <v>0</v>
      </c>
      <c r="BL684" s="124">
        <f>交易记录!AF847</f>
        <v>0</v>
      </c>
      <c r="BM684" s="124">
        <f>交易记录!AF878</f>
        <v>0</v>
      </c>
      <c r="BN684" s="30">
        <f t="shared" si="317"/>
        <v>0</v>
      </c>
      <c r="BO684" s="121">
        <f>交易记录!AF911</f>
        <v>0</v>
      </c>
      <c r="BP684" s="121">
        <f>交易记录!AF942</f>
        <v>0</v>
      </c>
      <c r="BQ684" s="30">
        <f t="shared" si="318"/>
        <v>0</v>
      </c>
    </row>
    <row r="685" spans="1:69" ht="15">
      <c r="A685" s="125">
        <f>'维护-日期'!A$31</f>
        <v>46294</v>
      </c>
      <c r="B685" s="7" t="s">
        <v>17</v>
      </c>
      <c r="C685" s="144">
        <f t="shared" si="319"/>
        <v>21.329000000000001</v>
      </c>
      <c r="D685" s="144">
        <f>ROUND(INDEX(持仓数据!$C$3:$AG$26,MATCH('计算过程-数据汇总'!B685,持仓数据!$B$3:$B$26,0),MATCH('计算过程-数据汇总'!A685,'维护-日期'!$B$2:$AF$2,0)),3)</f>
        <v>21.329000000000001</v>
      </c>
      <c r="E685" s="98">
        <f t="shared" si="320"/>
        <v>21.329000000000001</v>
      </c>
      <c r="F685" s="22">
        <f>持仓数据!AE83</f>
        <v>0.32100000000000001</v>
      </c>
      <c r="G685" s="97">
        <v>372</v>
      </c>
      <c r="H685" s="97">
        <v>372</v>
      </c>
      <c r="I685" s="64">
        <v>0</v>
      </c>
      <c r="J685" s="64">
        <v>0</v>
      </c>
      <c r="K685" s="21">
        <f>IF(持仓数据!AE116="",0,持仓数据!AE116)</f>
        <v>372</v>
      </c>
      <c r="L685" s="21">
        <f t="shared" si="321"/>
        <v>0</v>
      </c>
      <c r="M685" s="28">
        <f t="shared" si="305"/>
        <v>7934.3879999999999</v>
      </c>
      <c r="N685" s="28">
        <f t="shared" si="306"/>
        <v>0</v>
      </c>
      <c r="O685" s="28">
        <f t="shared" si="307"/>
        <v>0</v>
      </c>
      <c r="P685" s="28">
        <f t="shared" si="308"/>
        <v>0</v>
      </c>
      <c r="Q685" s="28">
        <f t="shared" si="322"/>
        <v>0</v>
      </c>
      <c r="R685" s="28">
        <f t="shared" si="309"/>
        <v>7934.3879999999999</v>
      </c>
      <c r="S685" s="28">
        <f t="shared" si="323"/>
        <v>0</v>
      </c>
      <c r="T685" s="28">
        <f t="shared" si="324"/>
        <v>0</v>
      </c>
      <c r="U685" s="28">
        <f t="shared" si="327"/>
        <v>0</v>
      </c>
      <c r="V685" s="28">
        <f t="shared" si="325"/>
        <v>0</v>
      </c>
      <c r="W685" s="118"/>
      <c r="X685" s="143">
        <f t="shared" si="326"/>
        <v>25.274000000000001</v>
      </c>
      <c r="Y685" s="121">
        <f>交易记录!AF16</f>
        <v>0.32100000000000001</v>
      </c>
      <c r="Z685" s="121">
        <f>交易记录!AF47</f>
        <v>372</v>
      </c>
      <c r="AA685" s="30">
        <f t="shared" si="310"/>
        <v>0</v>
      </c>
      <c r="AB685" s="124">
        <f>交易记录!AF80</f>
        <v>0</v>
      </c>
      <c r="AC685" s="124">
        <f>交易记录!AF111</f>
        <v>0</v>
      </c>
      <c r="AD685" s="30">
        <f t="shared" si="328"/>
        <v>0</v>
      </c>
      <c r="AE685" s="121">
        <f>交易记录!AF144</f>
        <v>0</v>
      </c>
      <c r="AF685" s="121">
        <f>交易记录!AF175</f>
        <v>0</v>
      </c>
      <c r="AG685" s="30">
        <f t="shared" si="329"/>
        <v>0</v>
      </c>
      <c r="AH685" s="124">
        <f>交易记录!AF208</f>
        <v>0</v>
      </c>
      <c r="AI685" s="124">
        <f>交易记录!AF239</f>
        <v>0</v>
      </c>
      <c r="AJ685" s="30">
        <f t="shared" si="330"/>
        <v>0</v>
      </c>
      <c r="AK685" s="121">
        <f>交易记录!AF272</f>
        <v>0</v>
      </c>
      <c r="AL685" s="121">
        <f>交易记录!AF303</f>
        <v>0</v>
      </c>
      <c r="AM685" s="30">
        <f t="shared" si="331"/>
        <v>0</v>
      </c>
      <c r="AN685" s="124">
        <f>交易记录!AF336</f>
        <v>0</v>
      </c>
      <c r="AO685" s="124">
        <f>交易记录!AF367</f>
        <v>0</v>
      </c>
      <c r="AP685" s="30">
        <f t="shared" si="332"/>
        <v>0</v>
      </c>
      <c r="AQ685" s="121">
        <f>交易记录!AF400</f>
        <v>0</v>
      </c>
      <c r="AR685" s="121">
        <f>交易记录!AF431</f>
        <v>0</v>
      </c>
      <c r="AS685" s="30">
        <f t="shared" si="333"/>
        <v>0</v>
      </c>
      <c r="AT685" s="124">
        <f>交易记录!AF464</f>
        <v>0</v>
      </c>
      <c r="AU685" s="124">
        <f>交易记录!AF495</f>
        <v>0</v>
      </c>
      <c r="AV685" s="30">
        <f t="shared" si="311"/>
        <v>0</v>
      </c>
      <c r="AW685" s="121">
        <f>交易记录!AF528</f>
        <v>0</v>
      </c>
      <c r="AX685" s="121">
        <f>交易记录!AF559</f>
        <v>0</v>
      </c>
      <c r="AY685" s="30">
        <f t="shared" si="312"/>
        <v>0</v>
      </c>
      <c r="AZ685" s="124">
        <f>交易记录!AF592</f>
        <v>0</v>
      </c>
      <c r="BA685" s="124">
        <f>交易记录!AF623</f>
        <v>0</v>
      </c>
      <c r="BB685" s="30">
        <f t="shared" si="313"/>
        <v>0</v>
      </c>
      <c r="BC685" s="121">
        <f>交易记录!AF656</f>
        <v>0</v>
      </c>
      <c r="BD685" s="121">
        <f>交易记录!AF687</f>
        <v>0</v>
      </c>
      <c r="BE685" s="30">
        <f t="shared" si="314"/>
        <v>0</v>
      </c>
      <c r="BF685" s="124">
        <f>交易记录!AF720</f>
        <v>0</v>
      </c>
      <c r="BG685" s="124">
        <f>交易记录!AF751</f>
        <v>0</v>
      </c>
      <c r="BH685" s="30">
        <f t="shared" si="315"/>
        <v>0</v>
      </c>
      <c r="BI685" s="121">
        <f>交易记录!AF784</f>
        <v>0</v>
      </c>
      <c r="BJ685" s="121">
        <f>交易记录!AF815</f>
        <v>0</v>
      </c>
      <c r="BK685" s="30">
        <f t="shared" si="316"/>
        <v>0</v>
      </c>
      <c r="BL685" s="124">
        <f>交易记录!AF848</f>
        <v>0</v>
      </c>
      <c r="BM685" s="124">
        <f>交易记录!AF879</f>
        <v>0</v>
      </c>
      <c r="BN685" s="30">
        <f t="shared" si="317"/>
        <v>0</v>
      </c>
      <c r="BO685" s="121">
        <f>交易记录!AF912</f>
        <v>0</v>
      </c>
      <c r="BP685" s="121">
        <f>交易记录!AF943</f>
        <v>0</v>
      </c>
      <c r="BQ685" s="30">
        <f t="shared" si="318"/>
        <v>0</v>
      </c>
    </row>
    <row r="686" spans="1:69" ht="15">
      <c r="A686" s="125">
        <f>'维护-日期'!A$31</f>
        <v>46294</v>
      </c>
      <c r="B686" s="7" t="s">
        <v>18</v>
      </c>
      <c r="C686" s="144">
        <f t="shared" si="319"/>
        <v>22.643999999999998</v>
      </c>
      <c r="D686" s="144">
        <f>ROUND(INDEX(持仓数据!$C$3:$AG$26,MATCH('计算过程-数据汇总'!B686,持仓数据!$B$3:$B$26,0),MATCH('计算过程-数据汇总'!A686,'维护-日期'!$B$2:$AF$2,0)),3)</f>
        <v>22.643999999999998</v>
      </c>
      <c r="E686" s="98">
        <f t="shared" si="320"/>
        <v>22.643999999999998</v>
      </c>
      <c r="F686" s="22">
        <f>持仓数据!AE84</f>
        <v>7.8E-2</v>
      </c>
      <c r="G686" s="97">
        <v>372</v>
      </c>
      <c r="H686" s="97">
        <v>372</v>
      </c>
      <c r="I686" s="64">
        <v>0</v>
      </c>
      <c r="J686" s="64">
        <v>0</v>
      </c>
      <c r="K686" s="21">
        <f>IF(持仓数据!AE117="",0,持仓数据!AE117)</f>
        <v>372</v>
      </c>
      <c r="L686" s="21">
        <f t="shared" si="321"/>
        <v>0</v>
      </c>
      <c r="M686" s="28">
        <f t="shared" si="305"/>
        <v>8423.5679999999993</v>
      </c>
      <c r="N686" s="28">
        <f t="shared" si="306"/>
        <v>0</v>
      </c>
      <c r="O686" s="28">
        <f t="shared" si="307"/>
        <v>0</v>
      </c>
      <c r="P686" s="28">
        <f t="shared" si="308"/>
        <v>0</v>
      </c>
      <c r="Q686" s="28">
        <f t="shared" si="322"/>
        <v>0</v>
      </c>
      <c r="R686" s="28">
        <f t="shared" si="309"/>
        <v>8423.5679999999993</v>
      </c>
      <c r="S686" s="28">
        <f t="shared" si="323"/>
        <v>0</v>
      </c>
      <c r="T686" s="28">
        <f t="shared" si="324"/>
        <v>0</v>
      </c>
      <c r="U686" s="28">
        <f t="shared" si="327"/>
        <v>0</v>
      </c>
      <c r="V686" s="28">
        <f t="shared" si="325"/>
        <v>0</v>
      </c>
      <c r="W686" s="118"/>
      <c r="X686" s="143">
        <f t="shared" si="326"/>
        <v>27.094999999999999</v>
      </c>
      <c r="Y686" s="121">
        <f>交易记录!AF17</f>
        <v>7.8E-2</v>
      </c>
      <c r="Z686" s="121">
        <f>交易记录!AF48</f>
        <v>372</v>
      </c>
      <c r="AA686" s="30">
        <f t="shared" si="310"/>
        <v>0</v>
      </c>
      <c r="AB686" s="124">
        <f>交易记录!AF81</f>
        <v>0</v>
      </c>
      <c r="AC686" s="124">
        <f>交易记录!AF112</f>
        <v>0</v>
      </c>
      <c r="AD686" s="30">
        <f t="shared" si="328"/>
        <v>0</v>
      </c>
      <c r="AE686" s="121">
        <f>交易记录!AF145</f>
        <v>0</v>
      </c>
      <c r="AF686" s="121">
        <f>交易记录!AF176</f>
        <v>0</v>
      </c>
      <c r="AG686" s="30">
        <f t="shared" si="329"/>
        <v>0</v>
      </c>
      <c r="AH686" s="124">
        <f>交易记录!AF209</f>
        <v>0</v>
      </c>
      <c r="AI686" s="124">
        <f>交易记录!AF240</f>
        <v>0</v>
      </c>
      <c r="AJ686" s="30">
        <f t="shared" si="330"/>
        <v>0</v>
      </c>
      <c r="AK686" s="121">
        <f>交易记录!AF273</f>
        <v>0</v>
      </c>
      <c r="AL686" s="121">
        <f>交易记录!AF304</f>
        <v>0</v>
      </c>
      <c r="AM686" s="30">
        <f t="shared" si="331"/>
        <v>0</v>
      </c>
      <c r="AN686" s="124">
        <f>交易记录!AF337</f>
        <v>0</v>
      </c>
      <c r="AO686" s="124">
        <f>交易记录!AF368</f>
        <v>0</v>
      </c>
      <c r="AP686" s="30">
        <f t="shared" si="332"/>
        <v>0</v>
      </c>
      <c r="AQ686" s="121">
        <f>交易记录!AF401</f>
        <v>0</v>
      </c>
      <c r="AR686" s="121">
        <f>交易记录!AF432</f>
        <v>0</v>
      </c>
      <c r="AS686" s="30">
        <f t="shared" si="333"/>
        <v>0</v>
      </c>
      <c r="AT686" s="124">
        <f>交易记录!AF465</f>
        <v>0</v>
      </c>
      <c r="AU686" s="124">
        <f>交易记录!AF496</f>
        <v>0</v>
      </c>
      <c r="AV686" s="30">
        <f t="shared" si="311"/>
        <v>0</v>
      </c>
      <c r="AW686" s="121">
        <f>交易记录!AF529</f>
        <v>0</v>
      </c>
      <c r="AX686" s="121">
        <f>交易记录!AF560</f>
        <v>0</v>
      </c>
      <c r="AY686" s="30">
        <f t="shared" si="312"/>
        <v>0</v>
      </c>
      <c r="AZ686" s="124">
        <f>交易记录!AF593</f>
        <v>0</v>
      </c>
      <c r="BA686" s="124">
        <f>交易记录!AF624</f>
        <v>0</v>
      </c>
      <c r="BB686" s="30">
        <f t="shared" si="313"/>
        <v>0</v>
      </c>
      <c r="BC686" s="121">
        <f>交易记录!AF657</f>
        <v>0</v>
      </c>
      <c r="BD686" s="121">
        <f>交易记录!AF688</f>
        <v>0</v>
      </c>
      <c r="BE686" s="30">
        <f t="shared" si="314"/>
        <v>0</v>
      </c>
      <c r="BF686" s="124">
        <f>交易记录!AF721</f>
        <v>0</v>
      </c>
      <c r="BG686" s="124">
        <f>交易记录!AF752</f>
        <v>0</v>
      </c>
      <c r="BH686" s="30">
        <f t="shared" si="315"/>
        <v>0</v>
      </c>
      <c r="BI686" s="121">
        <f>交易记录!AF785</f>
        <v>0</v>
      </c>
      <c r="BJ686" s="121">
        <f>交易记录!AF816</f>
        <v>0</v>
      </c>
      <c r="BK686" s="30">
        <f t="shared" si="316"/>
        <v>0</v>
      </c>
      <c r="BL686" s="124">
        <f>交易记录!AF849</f>
        <v>0</v>
      </c>
      <c r="BM686" s="124">
        <f>交易记录!AF880</f>
        <v>0</v>
      </c>
      <c r="BN686" s="30">
        <f t="shared" si="317"/>
        <v>0</v>
      </c>
      <c r="BO686" s="121">
        <f>交易记录!AF913</f>
        <v>0</v>
      </c>
      <c r="BP686" s="121">
        <f>交易记录!AF944</f>
        <v>0</v>
      </c>
      <c r="BQ686" s="30">
        <f t="shared" si="318"/>
        <v>0</v>
      </c>
    </row>
    <row r="687" spans="1:69" ht="15">
      <c r="A687" s="125">
        <f>'维护-日期'!A$31</f>
        <v>46294</v>
      </c>
      <c r="B687" s="7" t="s">
        <v>19</v>
      </c>
      <c r="C687" s="144">
        <f t="shared" si="319"/>
        <v>22.904</v>
      </c>
      <c r="D687" s="144">
        <f>ROUND(INDEX(持仓数据!$C$3:$AG$26,MATCH('计算过程-数据汇总'!B687,持仓数据!$B$3:$B$26,0),MATCH('计算过程-数据汇总'!A687,'维护-日期'!$B$2:$AF$2,0)),3)</f>
        <v>22.904</v>
      </c>
      <c r="E687" s="98">
        <f t="shared" si="320"/>
        <v>22.904</v>
      </c>
      <c r="F687" s="22">
        <f>持仓数据!AE85</f>
        <v>0.19500000000000001</v>
      </c>
      <c r="G687" s="97">
        <v>372</v>
      </c>
      <c r="H687" s="97">
        <v>372</v>
      </c>
      <c r="I687" s="64">
        <v>0</v>
      </c>
      <c r="J687" s="64">
        <v>0</v>
      </c>
      <c r="K687" s="21">
        <f>IF(持仓数据!AE118="",0,持仓数据!AE118)</f>
        <v>372</v>
      </c>
      <c r="L687" s="21">
        <f t="shared" si="321"/>
        <v>0</v>
      </c>
      <c r="M687" s="28">
        <f t="shared" si="305"/>
        <v>8520.2880000000005</v>
      </c>
      <c r="N687" s="28">
        <f t="shared" si="306"/>
        <v>0</v>
      </c>
      <c r="O687" s="28">
        <f t="shared" si="307"/>
        <v>0</v>
      </c>
      <c r="P687" s="28">
        <f t="shared" si="308"/>
        <v>0</v>
      </c>
      <c r="Q687" s="28">
        <f t="shared" si="322"/>
        <v>0</v>
      </c>
      <c r="R687" s="28">
        <f t="shared" si="309"/>
        <v>8520.2880000000005</v>
      </c>
      <c r="S687" s="28">
        <f t="shared" si="323"/>
        <v>0</v>
      </c>
      <c r="T687" s="28">
        <f t="shared" si="324"/>
        <v>0</v>
      </c>
      <c r="U687" s="28">
        <f t="shared" si="327"/>
        <v>0</v>
      </c>
      <c r="V687" s="28">
        <f t="shared" si="325"/>
        <v>0</v>
      </c>
      <c r="W687" s="118"/>
      <c r="X687" s="143">
        <f t="shared" si="326"/>
        <v>27.29</v>
      </c>
      <c r="Y687" s="121">
        <f>交易记录!AF18</f>
        <v>0.19500000000000001</v>
      </c>
      <c r="Z687" s="121">
        <f>交易记录!AF49</f>
        <v>372</v>
      </c>
      <c r="AA687" s="30">
        <f t="shared" si="310"/>
        <v>0</v>
      </c>
      <c r="AB687" s="124">
        <f>交易记录!AF82</f>
        <v>0</v>
      </c>
      <c r="AC687" s="124">
        <f>交易记录!AF113</f>
        <v>0</v>
      </c>
      <c r="AD687" s="30">
        <f t="shared" si="328"/>
        <v>0</v>
      </c>
      <c r="AE687" s="121">
        <f>交易记录!AF146</f>
        <v>0</v>
      </c>
      <c r="AF687" s="121">
        <f>交易记录!AF177</f>
        <v>0</v>
      </c>
      <c r="AG687" s="30">
        <f t="shared" si="329"/>
        <v>0</v>
      </c>
      <c r="AH687" s="124">
        <f>交易记录!AF210</f>
        <v>0</v>
      </c>
      <c r="AI687" s="124">
        <f>交易记录!AF241</f>
        <v>0</v>
      </c>
      <c r="AJ687" s="30">
        <f t="shared" si="330"/>
        <v>0</v>
      </c>
      <c r="AK687" s="121">
        <f>交易记录!AF274</f>
        <v>0</v>
      </c>
      <c r="AL687" s="121">
        <f>交易记录!AF305</f>
        <v>0</v>
      </c>
      <c r="AM687" s="30">
        <f t="shared" si="331"/>
        <v>0</v>
      </c>
      <c r="AN687" s="124">
        <f>交易记录!AF338</f>
        <v>0</v>
      </c>
      <c r="AO687" s="124">
        <f>交易记录!AF369</f>
        <v>0</v>
      </c>
      <c r="AP687" s="30">
        <f t="shared" si="332"/>
        <v>0</v>
      </c>
      <c r="AQ687" s="121">
        <f>交易记录!AF402</f>
        <v>0</v>
      </c>
      <c r="AR687" s="121">
        <f>交易记录!AF433</f>
        <v>0</v>
      </c>
      <c r="AS687" s="30">
        <f t="shared" si="333"/>
        <v>0</v>
      </c>
      <c r="AT687" s="124">
        <f>交易记录!AF466</f>
        <v>0</v>
      </c>
      <c r="AU687" s="124">
        <f>交易记录!AF497</f>
        <v>0</v>
      </c>
      <c r="AV687" s="30">
        <f t="shared" si="311"/>
        <v>0</v>
      </c>
      <c r="AW687" s="121">
        <f>交易记录!AF530</f>
        <v>0</v>
      </c>
      <c r="AX687" s="121">
        <f>交易记录!AF561</f>
        <v>0</v>
      </c>
      <c r="AY687" s="30">
        <f t="shared" si="312"/>
        <v>0</v>
      </c>
      <c r="AZ687" s="124">
        <f>交易记录!AF594</f>
        <v>0</v>
      </c>
      <c r="BA687" s="124">
        <f>交易记录!AF625</f>
        <v>0</v>
      </c>
      <c r="BB687" s="30">
        <f t="shared" si="313"/>
        <v>0</v>
      </c>
      <c r="BC687" s="121">
        <f>交易记录!AF658</f>
        <v>0</v>
      </c>
      <c r="BD687" s="121">
        <f>交易记录!AF689</f>
        <v>0</v>
      </c>
      <c r="BE687" s="30">
        <f t="shared" si="314"/>
        <v>0</v>
      </c>
      <c r="BF687" s="124">
        <f>交易记录!AF722</f>
        <v>0</v>
      </c>
      <c r="BG687" s="124">
        <f>交易记录!AF753</f>
        <v>0</v>
      </c>
      <c r="BH687" s="30">
        <f t="shared" si="315"/>
        <v>0</v>
      </c>
      <c r="BI687" s="121">
        <f>交易记录!AF786</f>
        <v>0</v>
      </c>
      <c r="BJ687" s="121">
        <f>交易记录!AF817</f>
        <v>0</v>
      </c>
      <c r="BK687" s="30">
        <f t="shared" si="316"/>
        <v>0</v>
      </c>
      <c r="BL687" s="124">
        <f>交易记录!AF850</f>
        <v>0</v>
      </c>
      <c r="BM687" s="124">
        <f>交易记录!AF881</f>
        <v>0</v>
      </c>
      <c r="BN687" s="30">
        <f t="shared" si="317"/>
        <v>0</v>
      </c>
      <c r="BO687" s="121">
        <f>交易记录!AF914</f>
        <v>0</v>
      </c>
      <c r="BP687" s="121">
        <f>交易记录!AF945</f>
        <v>0</v>
      </c>
      <c r="BQ687" s="30">
        <f t="shared" si="318"/>
        <v>0</v>
      </c>
    </row>
    <row r="688" spans="1:69" ht="15">
      <c r="A688" s="125">
        <f>'维护-日期'!A$31</f>
        <v>46294</v>
      </c>
      <c r="B688" s="7" t="s">
        <v>20</v>
      </c>
      <c r="C688" s="144">
        <f t="shared" si="319"/>
        <v>22.071000000000002</v>
      </c>
      <c r="D688" s="144">
        <f>ROUND(INDEX(持仓数据!$C$3:$AG$26,MATCH('计算过程-数据汇总'!B688,持仓数据!$B$3:$B$26,0),MATCH('计算过程-数据汇总'!A688,'维护-日期'!$B$2:$AF$2,0)),3)</f>
        <v>22.071000000000002</v>
      </c>
      <c r="E688" s="98">
        <f t="shared" si="320"/>
        <v>22.071000000000002</v>
      </c>
      <c r="F688" s="22">
        <f>持仓数据!AE86</f>
        <v>0.34599999999999997</v>
      </c>
      <c r="G688" s="97">
        <v>372</v>
      </c>
      <c r="H688" s="97">
        <v>372</v>
      </c>
      <c r="I688" s="64">
        <v>0</v>
      </c>
      <c r="J688" s="64">
        <v>0</v>
      </c>
      <c r="K688" s="21">
        <f>IF(持仓数据!AE119="",0,持仓数据!AE119)</f>
        <v>372</v>
      </c>
      <c r="L688" s="21">
        <f t="shared" si="321"/>
        <v>0</v>
      </c>
      <c r="M688" s="28">
        <f t="shared" si="305"/>
        <v>8210.4120000000003</v>
      </c>
      <c r="N688" s="28">
        <f t="shared" si="306"/>
        <v>0</v>
      </c>
      <c r="O688" s="28">
        <f t="shared" si="307"/>
        <v>0</v>
      </c>
      <c r="P688" s="28">
        <f t="shared" si="308"/>
        <v>0</v>
      </c>
      <c r="Q688" s="28">
        <f t="shared" si="322"/>
        <v>0</v>
      </c>
      <c r="R688" s="28">
        <f t="shared" si="309"/>
        <v>8210.4120000000003</v>
      </c>
      <c r="S688" s="28">
        <f t="shared" si="323"/>
        <v>0</v>
      </c>
      <c r="T688" s="28">
        <f t="shared" si="324"/>
        <v>0</v>
      </c>
      <c r="U688" s="28">
        <f t="shared" si="327"/>
        <v>0</v>
      </c>
      <c r="V688" s="28">
        <f t="shared" si="325"/>
        <v>0</v>
      </c>
      <c r="W688" s="118"/>
      <c r="X688" s="143">
        <f t="shared" si="326"/>
        <v>26.138999999999999</v>
      </c>
      <c r="Y688" s="121">
        <f>交易记录!AF19</f>
        <v>0.34599999999999997</v>
      </c>
      <c r="Z688" s="121">
        <f>交易记录!AF50</f>
        <v>372</v>
      </c>
      <c r="AA688" s="30">
        <f t="shared" si="310"/>
        <v>0</v>
      </c>
      <c r="AB688" s="124">
        <f>交易记录!AF83</f>
        <v>0</v>
      </c>
      <c r="AC688" s="124">
        <f>交易记录!AF114</f>
        <v>0</v>
      </c>
      <c r="AD688" s="30">
        <f t="shared" si="328"/>
        <v>0</v>
      </c>
      <c r="AE688" s="121">
        <f>交易记录!AF147</f>
        <v>0</v>
      </c>
      <c r="AF688" s="121">
        <f>交易记录!AF178</f>
        <v>0</v>
      </c>
      <c r="AG688" s="30">
        <f t="shared" si="329"/>
        <v>0</v>
      </c>
      <c r="AH688" s="124">
        <f>交易记录!AF211</f>
        <v>0</v>
      </c>
      <c r="AI688" s="124">
        <f>交易记录!AF242</f>
        <v>0</v>
      </c>
      <c r="AJ688" s="30">
        <f t="shared" si="330"/>
        <v>0</v>
      </c>
      <c r="AK688" s="121">
        <f>交易记录!AF275</f>
        <v>0</v>
      </c>
      <c r="AL688" s="121">
        <f>交易记录!AF306</f>
        <v>0</v>
      </c>
      <c r="AM688" s="30">
        <f t="shared" si="331"/>
        <v>0</v>
      </c>
      <c r="AN688" s="124">
        <f>交易记录!AF339</f>
        <v>0</v>
      </c>
      <c r="AO688" s="124">
        <f>交易记录!AF370</f>
        <v>0</v>
      </c>
      <c r="AP688" s="30">
        <f t="shared" si="332"/>
        <v>0</v>
      </c>
      <c r="AQ688" s="121">
        <f>交易记录!AF403</f>
        <v>0</v>
      </c>
      <c r="AR688" s="121">
        <f>交易记录!AF434</f>
        <v>0</v>
      </c>
      <c r="AS688" s="30">
        <f t="shared" si="333"/>
        <v>0</v>
      </c>
      <c r="AT688" s="124">
        <f>交易记录!AF467</f>
        <v>0</v>
      </c>
      <c r="AU688" s="124">
        <f>交易记录!AF498</f>
        <v>0</v>
      </c>
      <c r="AV688" s="30">
        <f t="shared" si="311"/>
        <v>0</v>
      </c>
      <c r="AW688" s="121">
        <f>交易记录!AF531</f>
        <v>0</v>
      </c>
      <c r="AX688" s="121">
        <f>交易记录!AF562</f>
        <v>0</v>
      </c>
      <c r="AY688" s="30">
        <f t="shared" si="312"/>
        <v>0</v>
      </c>
      <c r="AZ688" s="124">
        <f>交易记录!AF595</f>
        <v>0</v>
      </c>
      <c r="BA688" s="124">
        <f>交易记录!AF626</f>
        <v>0</v>
      </c>
      <c r="BB688" s="30">
        <f t="shared" si="313"/>
        <v>0</v>
      </c>
      <c r="BC688" s="121">
        <f>交易记录!AF659</f>
        <v>0</v>
      </c>
      <c r="BD688" s="121">
        <f>交易记录!AF690</f>
        <v>0</v>
      </c>
      <c r="BE688" s="30">
        <f t="shared" si="314"/>
        <v>0</v>
      </c>
      <c r="BF688" s="124">
        <f>交易记录!AF723</f>
        <v>0</v>
      </c>
      <c r="BG688" s="124">
        <f>交易记录!AF754</f>
        <v>0</v>
      </c>
      <c r="BH688" s="30">
        <f t="shared" si="315"/>
        <v>0</v>
      </c>
      <c r="BI688" s="121">
        <f>交易记录!AF787</f>
        <v>0</v>
      </c>
      <c r="BJ688" s="121">
        <f>交易记录!AF818</f>
        <v>0</v>
      </c>
      <c r="BK688" s="30">
        <f t="shared" si="316"/>
        <v>0</v>
      </c>
      <c r="BL688" s="124">
        <f>交易记录!AF851</f>
        <v>0</v>
      </c>
      <c r="BM688" s="124">
        <f>交易记录!AF882</f>
        <v>0</v>
      </c>
      <c r="BN688" s="30">
        <f t="shared" si="317"/>
        <v>0</v>
      </c>
      <c r="BO688" s="121">
        <f>交易记录!AF915</f>
        <v>0</v>
      </c>
      <c r="BP688" s="121">
        <f>交易记录!AF946</f>
        <v>0</v>
      </c>
      <c r="BQ688" s="30">
        <f t="shared" si="318"/>
        <v>0</v>
      </c>
    </row>
    <row r="689" spans="1:69" ht="15">
      <c r="A689" s="125">
        <f>'维护-日期'!A$31</f>
        <v>46294</v>
      </c>
      <c r="B689" s="7" t="s">
        <v>21</v>
      </c>
      <c r="C689" s="144">
        <f t="shared" si="319"/>
        <v>22.087</v>
      </c>
      <c r="D689" s="144">
        <f>ROUND(INDEX(持仓数据!$C$3:$AG$26,MATCH('计算过程-数据汇总'!B689,持仓数据!$B$3:$B$26,0),MATCH('计算过程-数据汇总'!A689,'维护-日期'!$B$2:$AF$2,0)),3)</f>
        <v>22.087</v>
      </c>
      <c r="E689" s="98">
        <f t="shared" si="320"/>
        <v>22.087</v>
      </c>
      <c r="F689" s="22">
        <f>持仓数据!AE87</f>
        <v>0.38</v>
      </c>
      <c r="G689" s="97">
        <v>372</v>
      </c>
      <c r="H689" s="97">
        <v>372</v>
      </c>
      <c r="I689" s="64">
        <v>0</v>
      </c>
      <c r="J689" s="64">
        <v>0</v>
      </c>
      <c r="K689" s="21">
        <f>IF(持仓数据!AE120="",0,持仓数据!AE120)</f>
        <v>372.00000000000006</v>
      </c>
      <c r="L689" s="21">
        <f t="shared" si="321"/>
        <v>0</v>
      </c>
      <c r="M689" s="28">
        <f t="shared" si="305"/>
        <v>8216.3639999999996</v>
      </c>
      <c r="N689" s="28">
        <f t="shared" si="306"/>
        <v>0</v>
      </c>
      <c r="O689" s="28">
        <f t="shared" si="307"/>
        <v>0</v>
      </c>
      <c r="P689" s="28">
        <f t="shared" si="308"/>
        <v>2.1600499167107046E-14</v>
      </c>
      <c r="Q689" s="28">
        <f t="shared" si="322"/>
        <v>0</v>
      </c>
      <c r="R689" s="28">
        <f t="shared" si="309"/>
        <v>8216.3640000000014</v>
      </c>
      <c r="S689" s="28">
        <f t="shared" si="323"/>
        <v>0</v>
      </c>
      <c r="T689" s="28">
        <f t="shared" si="324"/>
        <v>-1.2339000932115596E-12</v>
      </c>
      <c r="U689" s="28">
        <f t="shared" si="327"/>
        <v>0</v>
      </c>
      <c r="V689" s="28">
        <f t="shared" si="325"/>
        <v>0</v>
      </c>
      <c r="W689" s="118"/>
      <c r="X689" s="143">
        <f t="shared" si="326"/>
        <v>26.123999999999999</v>
      </c>
      <c r="Y689" s="121">
        <f>交易记录!AF20</f>
        <v>0.38</v>
      </c>
      <c r="Z689" s="121">
        <f>交易记录!AF51</f>
        <v>372</v>
      </c>
      <c r="AA689" s="30">
        <f t="shared" si="310"/>
        <v>0</v>
      </c>
      <c r="AB689" s="124">
        <f>交易记录!AF84</f>
        <v>0</v>
      </c>
      <c r="AC689" s="124">
        <f>交易记录!AF115</f>
        <v>0</v>
      </c>
      <c r="AD689" s="30">
        <f t="shared" si="328"/>
        <v>0</v>
      </c>
      <c r="AE689" s="121">
        <f>交易记录!AF148</f>
        <v>0</v>
      </c>
      <c r="AF689" s="121">
        <f>交易记录!AF179</f>
        <v>0</v>
      </c>
      <c r="AG689" s="30">
        <f t="shared" si="329"/>
        <v>0</v>
      </c>
      <c r="AH689" s="124">
        <f>交易记录!AF212</f>
        <v>0</v>
      </c>
      <c r="AI689" s="124">
        <f>交易记录!AF243</f>
        <v>0</v>
      </c>
      <c r="AJ689" s="30">
        <f t="shared" si="330"/>
        <v>0</v>
      </c>
      <c r="AK689" s="121">
        <f>交易记录!AF276</f>
        <v>0</v>
      </c>
      <c r="AL689" s="121">
        <f>交易记录!AF307</f>
        <v>0</v>
      </c>
      <c r="AM689" s="30">
        <f t="shared" si="331"/>
        <v>0</v>
      </c>
      <c r="AN689" s="124">
        <f>交易记录!AF340</f>
        <v>0</v>
      </c>
      <c r="AO689" s="124">
        <f>交易记录!AF371</f>
        <v>0</v>
      </c>
      <c r="AP689" s="30">
        <f t="shared" si="332"/>
        <v>0</v>
      </c>
      <c r="AQ689" s="121">
        <f>交易记录!AF404</f>
        <v>0</v>
      </c>
      <c r="AR689" s="121">
        <f>交易记录!AF435</f>
        <v>0</v>
      </c>
      <c r="AS689" s="30">
        <f t="shared" si="333"/>
        <v>0</v>
      </c>
      <c r="AT689" s="124">
        <f>交易记录!AF468</f>
        <v>0</v>
      </c>
      <c r="AU689" s="124">
        <f>交易记录!AF499</f>
        <v>0</v>
      </c>
      <c r="AV689" s="30">
        <f t="shared" si="311"/>
        <v>0</v>
      </c>
      <c r="AW689" s="121">
        <f>交易记录!AF532</f>
        <v>0</v>
      </c>
      <c r="AX689" s="121">
        <f>交易记录!AF563</f>
        <v>0</v>
      </c>
      <c r="AY689" s="30">
        <f t="shared" si="312"/>
        <v>0</v>
      </c>
      <c r="AZ689" s="124">
        <f>交易记录!AF596</f>
        <v>0</v>
      </c>
      <c r="BA689" s="124">
        <f>交易记录!AF627</f>
        <v>0</v>
      </c>
      <c r="BB689" s="30">
        <f t="shared" si="313"/>
        <v>0</v>
      </c>
      <c r="BC689" s="121">
        <f>交易记录!AF660</f>
        <v>0</v>
      </c>
      <c r="BD689" s="121">
        <f>交易记录!AF691</f>
        <v>0</v>
      </c>
      <c r="BE689" s="30">
        <f t="shared" si="314"/>
        <v>0</v>
      </c>
      <c r="BF689" s="124">
        <f>交易记录!AF724</f>
        <v>0</v>
      </c>
      <c r="BG689" s="124">
        <f>交易记录!AF755</f>
        <v>0</v>
      </c>
      <c r="BH689" s="30">
        <f t="shared" si="315"/>
        <v>0</v>
      </c>
      <c r="BI689" s="121">
        <f>交易记录!AF788</f>
        <v>0</v>
      </c>
      <c r="BJ689" s="121">
        <f>交易记录!AF819</f>
        <v>0</v>
      </c>
      <c r="BK689" s="30">
        <f t="shared" si="316"/>
        <v>0</v>
      </c>
      <c r="BL689" s="124">
        <f>交易记录!AF852</f>
        <v>0</v>
      </c>
      <c r="BM689" s="124">
        <f>交易记录!AF883</f>
        <v>0</v>
      </c>
      <c r="BN689" s="30">
        <f t="shared" si="317"/>
        <v>0</v>
      </c>
      <c r="BO689" s="121">
        <f>交易记录!AF916</f>
        <v>0</v>
      </c>
      <c r="BP689" s="121">
        <f>交易记录!AF947</f>
        <v>0</v>
      </c>
      <c r="BQ689" s="30">
        <f t="shared" si="318"/>
        <v>0</v>
      </c>
    </row>
    <row r="690" spans="1:69" ht="15">
      <c r="A690" s="125">
        <f>'维护-日期'!A$31</f>
        <v>46294</v>
      </c>
      <c r="B690" s="7" t="s">
        <v>22</v>
      </c>
      <c r="C690" s="144">
        <f t="shared" si="319"/>
        <v>23.077999999999999</v>
      </c>
      <c r="D690" s="144">
        <f>ROUND(INDEX(持仓数据!$C$3:$AG$26,MATCH('计算过程-数据汇总'!B690,持仓数据!$B$3:$B$26,0),MATCH('计算过程-数据汇总'!A690,'维护-日期'!$B$2:$AF$2,0)),3)</f>
        <v>23.077999999999999</v>
      </c>
      <c r="E690" s="98">
        <f t="shared" si="320"/>
        <v>23.077999999999999</v>
      </c>
      <c r="F690" s="22">
        <f>持仓数据!AE88</f>
        <v>0.58600000000000008</v>
      </c>
      <c r="G690" s="97">
        <v>372</v>
      </c>
      <c r="H690" s="97">
        <v>372</v>
      </c>
      <c r="I690" s="64">
        <v>0</v>
      </c>
      <c r="J690" s="64">
        <v>0</v>
      </c>
      <c r="K690" s="21">
        <f>IF(持仓数据!AE121="",0,持仓数据!AE121)</f>
        <v>372</v>
      </c>
      <c r="L690" s="21">
        <f t="shared" si="321"/>
        <v>0</v>
      </c>
      <c r="M690" s="28">
        <f t="shared" si="305"/>
        <v>8585.0159999999996</v>
      </c>
      <c r="N690" s="28">
        <f t="shared" si="306"/>
        <v>0</v>
      </c>
      <c r="O690" s="28">
        <f t="shared" si="307"/>
        <v>0</v>
      </c>
      <c r="P690" s="28">
        <f t="shared" si="308"/>
        <v>0</v>
      </c>
      <c r="Q690" s="28">
        <f t="shared" si="322"/>
        <v>0</v>
      </c>
      <c r="R690" s="28">
        <f t="shared" si="309"/>
        <v>8585.0159999999996</v>
      </c>
      <c r="S690" s="28">
        <f t="shared" si="323"/>
        <v>0</v>
      </c>
      <c r="T690" s="28">
        <f t="shared" si="324"/>
        <v>0</v>
      </c>
      <c r="U690" s="28">
        <f t="shared" si="327"/>
        <v>0</v>
      </c>
      <c r="V690" s="28">
        <f t="shared" si="325"/>
        <v>0</v>
      </c>
      <c r="W690" s="118"/>
      <c r="X690" s="143">
        <f t="shared" si="326"/>
        <v>27.108000000000001</v>
      </c>
      <c r="Y690" s="121">
        <f>交易记录!AF21</f>
        <v>0.58600000000000008</v>
      </c>
      <c r="Z690" s="121">
        <f>交易记录!AF52</f>
        <v>372</v>
      </c>
      <c r="AA690" s="30">
        <f t="shared" si="310"/>
        <v>0</v>
      </c>
      <c r="AB690" s="124">
        <f>交易记录!AF85</f>
        <v>0</v>
      </c>
      <c r="AC690" s="124">
        <f>交易记录!AF116</f>
        <v>0</v>
      </c>
      <c r="AD690" s="30">
        <f t="shared" si="328"/>
        <v>0</v>
      </c>
      <c r="AE690" s="121">
        <f>交易记录!AF149</f>
        <v>0</v>
      </c>
      <c r="AF690" s="121">
        <f>交易记录!AF180</f>
        <v>0</v>
      </c>
      <c r="AG690" s="30">
        <f t="shared" si="329"/>
        <v>0</v>
      </c>
      <c r="AH690" s="124">
        <f>交易记录!AF213</f>
        <v>0</v>
      </c>
      <c r="AI690" s="124">
        <f>交易记录!AF244</f>
        <v>0</v>
      </c>
      <c r="AJ690" s="30">
        <f t="shared" si="330"/>
        <v>0</v>
      </c>
      <c r="AK690" s="121">
        <f>交易记录!AF277</f>
        <v>0</v>
      </c>
      <c r="AL690" s="121">
        <f>交易记录!AF308</f>
        <v>0</v>
      </c>
      <c r="AM690" s="30">
        <f t="shared" si="331"/>
        <v>0</v>
      </c>
      <c r="AN690" s="124">
        <f>交易记录!AF341</f>
        <v>0</v>
      </c>
      <c r="AO690" s="124">
        <f>交易记录!AF372</f>
        <v>0</v>
      </c>
      <c r="AP690" s="30">
        <f t="shared" si="332"/>
        <v>0</v>
      </c>
      <c r="AQ690" s="121">
        <f>交易记录!AF405</f>
        <v>0</v>
      </c>
      <c r="AR690" s="121">
        <f>交易记录!AF436</f>
        <v>0</v>
      </c>
      <c r="AS690" s="30">
        <f t="shared" si="333"/>
        <v>0</v>
      </c>
      <c r="AT690" s="124">
        <f>交易记录!AF469</f>
        <v>0</v>
      </c>
      <c r="AU690" s="124">
        <f>交易记录!AF500</f>
        <v>0</v>
      </c>
      <c r="AV690" s="30">
        <f t="shared" si="311"/>
        <v>0</v>
      </c>
      <c r="AW690" s="121">
        <f>交易记录!AF533</f>
        <v>0</v>
      </c>
      <c r="AX690" s="121">
        <f>交易记录!AF564</f>
        <v>0</v>
      </c>
      <c r="AY690" s="30">
        <f t="shared" si="312"/>
        <v>0</v>
      </c>
      <c r="AZ690" s="124">
        <f>交易记录!AF597</f>
        <v>0</v>
      </c>
      <c r="BA690" s="124">
        <f>交易记录!AF628</f>
        <v>0</v>
      </c>
      <c r="BB690" s="30">
        <f t="shared" si="313"/>
        <v>0</v>
      </c>
      <c r="BC690" s="121">
        <f>交易记录!AF661</f>
        <v>0</v>
      </c>
      <c r="BD690" s="121">
        <f>交易记录!AF692</f>
        <v>0</v>
      </c>
      <c r="BE690" s="30">
        <f t="shared" si="314"/>
        <v>0</v>
      </c>
      <c r="BF690" s="124">
        <f>交易记录!AF725</f>
        <v>0</v>
      </c>
      <c r="BG690" s="124">
        <f>交易记录!AF756</f>
        <v>0</v>
      </c>
      <c r="BH690" s="30">
        <f t="shared" si="315"/>
        <v>0</v>
      </c>
      <c r="BI690" s="121">
        <f>交易记录!AF789</f>
        <v>0</v>
      </c>
      <c r="BJ690" s="121">
        <f>交易记录!AF820</f>
        <v>0</v>
      </c>
      <c r="BK690" s="30">
        <f t="shared" si="316"/>
        <v>0</v>
      </c>
      <c r="BL690" s="124">
        <f>交易记录!AF853</f>
        <v>0</v>
      </c>
      <c r="BM690" s="124">
        <f>交易记录!AF884</f>
        <v>0</v>
      </c>
      <c r="BN690" s="30">
        <f t="shared" si="317"/>
        <v>0</v>
      </c>
      <c r="BO690" s="121">
        <f>交易记录!AF917</f>
        <v>0</v>
      </c>
      <c r="BP690" s="121">
        <f>交易记录!AF948</f>
        <v>0</v>
      </c>
      <c r="BQ690" s="30">
        <f t="shared" si="318"/>
        <v>0</v>
      </c>
    </row>
    <row r="691" spans="1:69" ht="15">
      <c r="A691" s="125">
        <f>'维护-日期'!A$31</f>
        <v>46294</v>
      </c>
      <c r="B691" s="7" t="s">
        <v>23</v>
      </c>
      <c r="C691" s="144">
        <f t="shared" si="319"/>
        <v>23.443000000000001</v>
      </c>
      <c r="D691" s="144">
        <f>ROUND(INDEX(持仓数据!$C$3:$AG$26,MATCH('计算过程-数据汇总'!B691,持仓数据!$B$3:$B$26,0),MATCH('计算过程-数据汇总'!A691,'维护-日期'!$B$2:$AF$2,0)),3)</f>
        <v>23.443000000000001</v>
      </c>
      <c r="E691" s="98">
        <f t="shared" si="320"/>
        <v>23.443000000000001</v>
      </c>
      <c r="F691" s="22">
        <f>持仓数据!AE89</f>
        <v>0.63300000000000001</v>
      </c>
      <c r="G691" s="97">
        <v>372</v>
      </c>
      <c r="H691" s="97">
        <v>372</v>
      </c>
      <c r="I691" s="64">
        <v>0</v>
      </c>
      <c r="J691" s="64">
        <v>0</v>
      </c>
      <c r="K691" s="21">
        <f>IF(持仓数据!AE122="",0,持仓数据!AE122)</f>
        <v>372</v>
      </c>
      <c r="L691" s="21">
        <f t="shared" si="321"/>
        <v>0</v>
      </c>
      <c r="M691" s="28">
        <f t="shared" si="305"/>
        <v>8720.7960000000003</v>
      </c>
      <c r="N691" s="28">
        <f t="shared" si="306"/>
        <v>0</v>
      </c>
      <c r="O691" s="28">
        <f t="shared" si="307"/>
        <v>0</v>
      </c>
      <c r="P691" s="28">
        <f t="shared" si="308"/>
        <v>0</v>
      </c>
      <c r="Q691" s="28">
        <f t="shared" si="322"/>
        <v>0</v>
      </c>
      <c r="R691" s="28">
        <f t="shared" si="309"/>
        <v>8720.7960000000003</v>
      </c>
      <c r="S691" s="28">
        <f t="shared" si="323"/>
        <v>0</v>
      </c>
      <c r="T691" s="28">
        <f t="shared" si="324"/>
        <v>0</v>
      </c>
      <c r="U691" s="28">
        <f t="shared" si="327"/>
        <v>0</v>
      </c>
      <c r="V691" s="28">
        <f t="shared" si="325"/>
        <v>0</v>
      </c>
      <c r="W691" s="118"/>
      <c r="X691" s="143">
        <f t="shared" si="326"/>
        <v>27.498999999999999</v>
      </c>
      <c r="Y691" s="121">
        <f>交易记录!AF22</f>
        <v>0.63300000000000001</v>
      </c>
      <c r="Z691" s="121">
        <f>交易记录!AF53</f>
        <v>372</v>
      </c>
      <c r="AA691" s="30">
        <f t="shared" si="310"/>
        <v>0</v>
      </c>
      <c r="AB691" s="124">
        <f>交易记录!AF86</f>
        <v>0</v>
      </c>
      <c r="AC691" s="124">
        <f>交易记录!AF117</f>
        <v>0</v>
      </c>
      <c r="AD691" s="30">
        <f t="shared" si="328"/>
        <v>0</v>
      </c>
      <c r="AE691" s="121">
        <f>交易记录!AF150</f>
        <v>0</v>
      </c>
      <c r="AF691" s="121">
        <f>交易记录!AF181</f>
        <v>0</v>
      </c>
      <c r="AG691" s="30">
        <f t="shared" si="329"/>
        <v>0</v>
      </c>
      <c r="AH691" s="124">
        <f>交易记录!AF214</f>
        <v>0</v>
      </c>
      <c r="AI691" s="124">
        <f>交易记录!AF245</f>
        <v>0</v>
      </c>
      <c r="AJ691" s="30">
        <f t="shared" si="330"/>
        <v>0</v>
      </c>
      <c r="AK691" s="121">
        <f>交易记录!AF278</f>
        <v>0</v>
      </c>
      <c r="AL691" s="121">
        <f>交易记录!AF309</f>
        <v>0</v>
      </c>
      <c r="AM691" s="30">
        <f t="shared" si="331"/>
        <v>0</v>
      </c>
      <c r="AN691" s="124">
        <f>交易记录!AF342</f>
        <v>0</v>
      </c>
      <c r="AO691" s="124">
        <f>交易记录!AF373</f>
        <v>0</v>
      </c>
      <c r="AP691" s="30">
        <f t="shared" si="332"/>
        <v>0</v>
      </c>
      <c r="AQ691" s="121">
        <f>交易记录!AF406</f>
        <v>0</v>
      </c>
      <c r="AR691" s="121">
        <f>交易记录!AF437</f>
        <v>0</v>
      </c>
      <c r="AS691" s="30">
        <f t="shared" si="333"/>
        <v>0</v>
      </c>
      <c r="AT691" s="124">
        <f>交易记录!AF470</f>
        <v>0</v>
      </c>
      <c r="AU691" s="124">
        <f>交易记录!AF501</f>
        <v>0</v>
      </c>
      <c r="AV691" s="30">
        <f t="shared" si="311"/>
        <v>0</v>
      </c>
      <c r="AW691" s="121">
        <f>交易记录!AF534</f>
        <v>0</v>
      </c>
      <c r="AX691" s="121">
        <f>交易记录!AF565</f>
        <v>0</v>
      </c>
      <c r="AY691" s="30">
        <f t="shared" si="312"/>
        <v>0</v>
      </c>
      <c r="AZ691" s="124">
        <f>交易记录!AF598</f>
        <v>0</v>
      </c>
      <c r="BA691" s="124">
        <f>交易记录!AF629</f>
        <v>0</v>
      </c>
      <c r="BB691" s="30">
        <f t="shared" si="313"/>
        <v>0</v>
      </c>
      <c r="BC691" s="121">
        <f>交易记录!AF662</f>
        <v>0</v>
      </c>
      <c r="BD691" s="121">
        <f>交易记录!AF693</f>
        <v>0</v>
      </c>
      <c r="BE691" s="30">
        <f t="shared" si="314"/>
        <v>0</v>
      </c>
      <c r="BF691" s="124">
        <f>交易记录!AF726</f>
        <v>0</v>
      </c>
      <c r="BG691" s="124">
        <f>交易记录!AF757</f>
        <v>0</v>
      </c>
      <c r="BH691" s="30">
        <f t="shared" si="315"/>
        <v>0</v>
      </c>
      <c r="BI691" s="121">
        <f>交易记录!AF790</f>
        <v>0</v>
      </c>
      <c r="BJ691" s="121">
        <f>交易记录!AF821</f>
        <v>0</v>
      </c>
      <c r="BK691" s="30">
        <f t="shared" si="316"/>
        <v>0</v>
      </c>
      <c r="BL691" s="124">
        <f>交易记录!AF854</f>
        <v>0</v>
      </c>
      <c r="BM691" s="124">
        <f>交易记录!AF885</f>
        <v>0</v>
      </c>
      <c r="BN691" s="30">
        <f t="shared" si="317"/>
        <v>0</v>
      </c>
      <c r="BO691" s="121">
        <f>交易记录!AF918</f>
        <v>0</v>
      </c>
      <c r="BP691" s="121">
        <f>交易记录!AF949</f>
        <v>0</v>
      </c>
      <c r="BQ691" s="30">
        <f t="shared" si="318"/>
        <v>0</v>
      </c>
    </row>
    <row r="692" spans="1:69" ht="15">
      <c r="A692" s="125">
        <f>'维护-日期'!A$31</f>
        <v>46294</v>
      </c>
      <c r="B692" s="7" t="s">
        <v>24</v>
      </c>
      <c r="C692" s="144">
        <f t="shared" si="319"/>
        <v>23.85</v>
      </c>
      <c r="D692" s="144">
        <f>ROUND(INDEX(持仓数据!$C$3:$AG$26,MATCH('计算过程-数据汇总'!B692,持仓数据!$B$3:$B$26,0),MATCH('计算过程-数据汇总'!A692,'维护-日期'!$B$2:$AF$2,0)),3)</f>
        <v>23.85</v>
      </c>
      <c r="E692" s="98">
        <f t="shared" si="320"/>
        <v>23.85</v>
      </c>
      <c r="F692" s="22">
        <f>持仓数据!AE90</f>
        <v>0.45400000000000001</v>
      </c>
      <c r="G692" s="97">
        <v>372</v>
      </c>
      <c r="H692" s="97">
        <v>372</v>
      </c>
      <c r="I692" s="64">
        <v>0</v>
      </c>
      <c r="J692" s="64">
        <v>0</v>
      </c>
      <c r="K692" s="21">
        <f>IF(持仓数据!AE123="",0,持仓数据!AE123)</f>
        <v>372</v>
      </c>
      <c r="L692" s="21">
        <f t="shared" si="321"/>
        <v>0</v>
      </c>
      <c r="M692" s="28">
        <f t="shared" si="305"/>
        <v>8872.2000000000007</v>
      </c>
      <c r="N692" s="28">
        <f t="shared" si="306"/>
        <v>0</v>
      </c>
      <c r="O692" s="28">
        <f t="shared" si="307"/>
        <v>0</v>
      </c>
      <c r="P692" s="28">
        <f t="shared" si="308"/>
        <v>0</v>
      </c>
      <c r="Q692" s="28">
        <f t="shared" si="322"/>
        <v>0</v>
      </c>
      <c r="R692" s="28">
        <f t="shared" si="309"/>
        <v>8872.2000000000007</v>
      </c>
      <c r="S692" s="28">
        <f t="shared" si="323"/>
        <v>0</v>
      </c>
      <c r="T692" s="28">
        <f t="shared" si="324"/>
        <v>0</v>
      </c>
      <c r="U692" s="28">
        <f t="shared" si="327"/>
        <v>0</v>
      </c>
      <c r="V692" s="28">
        <f t="shared" si="325"/>
        <v>0</v>
      </c>
      <c r="W692" s="118"/>
      <c r="X692" s="143">
        <f t="shared" si="326"/>
        <v>28.166</v>
      </c>
      <c r="Y692" s="121">
        <f>交易记录!AF23</f>
        <v>0.45400000000000001</v>
      </c>
      <c r="Z692" s="121">
        <f>交易记录!AF54</f>
        <v>372</v>
      </c>
      <c r="AA692" s="30">
        <f t="shared" si="310"/>
        <v>0</v>
      </c>
      <c r="AB692" s="124">
        <f>交易记录!AF87</f>
        <v>0</v>
      </c>
      <c r="AC692" s="124">
        <f>交易记录!AF118</f>
        <v>0</v>
      </c>
      <c r="AD692" s="30">
        <f t="shared" si="328"/>
        <v>0</v>
      </c>
      <c r="AE692" s="121">
        <f>交易记录!AF151</f>
        <v>0</v>
      </c>
      <c r="AF692" s="121">
        <f>交易记录!AF182</f>
        <v>0</v>
      </c>
      <c r="AG692" s="30">
        <f t="shared" si="329"/>
        <v>0</v>
      </c>
      <c r="AH692" s="124">
        <f>交易记录!AF215</f>
        <v>0</v>
      </c>
      <c r="AI692" s="124">
        <f>交易记录!AF246</f>
        <v>0</v>
      </c>
      <c r="AJ692" s="30">
        <f t="shared" si="330"/>
        <v>0</v>
      </c>
      <c r="AK692" s="121">
        <f>交易记录!AF279</f>
        <v>0</v>
      </c>
      <c r="AL692" s="121">
        <f>交易记录!AF310</f>
        <v>0</v>
      </c>
      <c r="AM692" s="30">
        <f t="shared" si="331"/>
        <v>0</v>
      </c>
      <c r="AN692" s="124">
        <f>交易记录!AF343</f>
        <v>0</v>
      </c>
      <c r="AO692" s="124">
        <f>交易记录!AF374</f>
        <v>0</v>
      </c>
      <c r="AP692" s="30">
        <f t="shared" si="332"/>
        <v>0</v>
      </c>
      <c r="AQ692" s="121">
        <f>交易记录!AF407</f>
        <v>0</v>
      </c>
      <c r="AR692" s="121">
        <f>交易记录!AF438</f>
        <v>0</v>
      </c>
      <c r="AS692" s="30">
        <f t="shared" si="333"/>
        <v>0</v>
      </c>
      <c r="AT692" s="124">
        <f>交易记录!AF471</f>
        <v>0</v>
      </c>
      <c r="AU692" s="124">
        <f>交易记录!AF502</f>
        <v>0</v>
      </c>
      <c r="AV692" s="30">
        <f t="shared" si="311"/>
        <v>0</v>
      </c>
      <c r="AW692" s="121">
        <f>交易记录!AF535</f>
        <v>0</v>
      </c>
      <c r="AX692" s="121">
        <f>交易记录!AF566</f>
        <v>0</v>
      </c>
      <c r="AY692" s="30">
        <f t="shared" si="312"/>
        <v>0</v>
      </c>
      <c r="AZ692" s="124">
        <f>交易记录!AF599</f>
        <v>0</v>
      </c>
      <c r="BA692" s="124">
        <f>交易记录!AF630</f>
        <v>0</v>
      </c>
      <c r="BB692" s="30">
        <f t="shared" si="313"/>
        <v>0</v>
      </c>
      <c r="BC692" s="121">
        <f>交易记录!AF663</f>
        <v>0</v>
      </c>
      <c r="BD692" s="121">
        <f>交易记录!AF694</f>
        <v>0</v>
      </c>
      <c r="BE692" s="30">
        <f t="shared" si="314"/>
        <v>0</v>
      </c>
      <c r="BF692" s="124">
        <f>交易记录!AF727</f>
        <v>0</v>
      </c>
      <c r="BG692" s="124">
        <f>交易记录!AF758</f>
        <v>0</v>
      </c>
      <c r="BH692" s="30">
        <f t="shared" si="315"/>
        <v>0</v>
      </c>
      <c r="BI692" s="121">
        <f>交易记录!AF791</f>
        <v>0</v>
      </c>
      <c r="BJ692" s="121">
        <f>交易记录!AF822</f>
        <v>0</v>
      </c>
      <c r="BK692" s="30">
        <f t="shared" si="316"/>
        <v>0</v>
      </c>
      <c r="BL692" s="124">
        <f>交易记录!AF855</f>
        <v>0</v>
      </c>
      <c r="BM692" s="124">
        <f>交易记录!AF886</f>
        <v>0</v>
      </c>
      <c r="BN692" s="30">
        <f t="shared" si="317"/>
        <v>0</v>
      </c>
      <c r="BO692" s="121">
        <f>交易记录!AF919</f>
        <v>0</v>
      </c>
      <c r="BP692" s="121">
        <f>交易记录!AF950</f>
        <v>0</v>
      </c>
      <c r="BQ692" s="30">
        <f t="shared" si="318"/>
        <v>0</v>
      </c>
    </row>
    <row r="693" spans="1:69" ht="15">
      <c r="A693" s="125">
        <f>'维护-日期'!A$31</f>
        <v>46294</v>
      </c>
      <c r="B693" s="7" t="s">
        <v>25</v>
      </c>
      <c r="C693" s="144">
        <f t="shared" si="319"/>
        <v>24.105</v>
      </c>
      <c r="D693" s="144">
        <f>ROUND(INDEX(持仓数据!$C$3:$AG$26,MATCH('计算过程-数据汇总'!B693,持仓数据!$B$3:$B$26,0),MATCH('计算过程-数据汇总'!A693,'维护-日期'!$B$2:$AF$2,0)),3)</f>
        <v>24.105</v>
      </c>
      <c r="E693" s="98">
        <f t="shared" si="320"/>
        <v>24.105</v>
      </c>
      <c r="F693" s="22">
        <f>持仓数据!AE91</f>
        <v>1.1160000000000001</v>
      </c>
      <c r="G693" s="97">
        <v>372</v>
      </c>
      <c r="H693" s="97">
        <v>372</v>
      </c>
      <c r="I693" s="64">
        <v>0</v>
      </c>
      <c r="J693" s="64">
        <v>0</v>
      </c>
      <c r="K693" s="21">
        <f>IF(持仓数据!AE124="",0,持仓数据!AE124)</f>
        <v>372</v>
      </c>
      <c r="L693" s="21">
        <f t="shared" si="321"/>
        <v>0</v>
      </c>
      <c r="M693" s="28">
        <f t="shared" si="305"/>
        <v>8967.06</v>
      </c>
      <c r="N693" s="28">
        <f t="shared" si="306"/>
        <v>0</v>
      </c>
      <c r="O693" s="28">
        <f t="shared" si="307"/>
        <v>0</v>
      </c>
      <c r="P693" s="28">
        <f t="shared" si="308"/>
        <v>0</v>
      </c>
      <c r="Q693" s="28">
        <f t="shared" si="322"/>
        <v>0</v>
      </c>
      <c r="R693" s="28">
        <f t="shared" si="309"/>
        <v>8967.06</v>
      </c>
      <c r="S693" s="28">
        <f t="shared" si="323"/>
        <v>0</v>
      </c>
      <c r="T693" s="28">
        <f t="shared" si="324"/>
        <v>0</v>
      </c>
      <c r="U693" s="28">
        <f t="shared" si="327"/>
        <v>0</v>
      </c>
      <c r="V693" s="28">
        <f t="shared" si="325"/>
        <v>0</v>
      </c>
      <c r="W693" s="118"/>
      <c r="X693" s="143">
        <f t="shared" si="326"/>
        <v>27.81</v>
      </c>
      <c r="Y693" s="121">
        <f>交易记录!AF24</f>
        <v>1.1160000000000001</v>
      </c>
      <c r="Z693" s="121">
        <f>交易记录!AF55</f>
        <v>372</v>
      </c>
      <c r="AA693" s="30">
        <f t="shared" si="310"/>
        <v>0</v>
      </c>
      <c r="AB693" s="124">
        <f>交易记录!AF88</f>
        <v>0</v>
      </c>
      <c r="AC693" s="124">
        <f>交易记录!AF119</f>
        <v>0</v>
      </c>
      <c r="AD693" s="30">
        <f t="shared" si="328"/>
        <v>0</v>
      </c>
      <c r="AE693" s="121">
        <f>交易记录!AF152</f>
        <v>0</v>
      </c>
      <c r="AF693" s="121">
        <f>交易记录!AF183</f>
        <v>0</v>
      </c>
      <c r="AG693" s="30">
        <f t="shared" si="329"/>
        <v>0</v>
      </c>
      <c r="AH693" s="124">
        <f>交易记录!AF216</f>
        <v>0</v>
      </c>
      <c r="AI693" s="124">
        <f>交易记录!AF247</f>
        <v>0</v>
      </c>
      <c r="AJ693" s="30">
        <f t="shared" si="330"/>
        <v>0</v>
      </c>
      <c r="AK693" s="121">
        <f>交易记录!AF280</f>
        <v>0</v>
      </c>
      <c r="AL693" s="121">
        <f>交易记录!AF311</f>
        <v>0</v>
      </c>
      <c r="AM693" s="30">
        <f t="shared" si="331"/>
        <v>0</v>
      </c>
      <c r="AN693" s="124">
        <f>交易记录!AF344</f>
        <v>0</v>
      </c>
      <c r="AO693" s="124">
        <f>交易记录!AF375</f>
        <v>0</v>
      </c>
      <c r="AP693" s="30">
        <f t="shared" si="332"/>
        <v>0</v>
      </c>
      <c r="AQ693" s="121">
        <f>交易记录!AF408</f>
        <v>0</v>
      </c>
      <c r="AR693" s="121">
        <f>交易记录!AF439</f>
        <v>0</v>
      </c>
      <c r="AS693" s="30">
        <f t="shared" si="333"/>
        <v>0</v>
      </c>
      <c r="AT693" s="124">
        <f>交易记录!AF472</f>
        <v>0</v>
      </c>
      <c r="AU693" s="124">
        <f>交易记录!AF503</f>
        <v>0</v>
      </c>
      <c r="AV693" s="30">
        <f t="shared" si="311"/>
        <v>0</v>
      </c>
      <c r="AW693" s="121">
        <f>交易记录!AF536</f>
        <v>0</v>
      </c>
      <c r="AX693" s="121">
        <f>交易记录!AF567</f>
        <v>0</v>
      </c>
      <c r="AY693" s="30">
        <f t="shared" si="312"/>
        <v>0</v>
      </c>
      <c r="AZ693" s="124">
        <f>交易记录!AF600</f>
        <v>0</v>
      </c>
      <c r="BA693" s="124">
        <f>交易记录!AF631</f>
        <v>0</v>
      </c>
      <c r="BB693" s="30">
        <f t="shared" si="313"/>
        <v>0</v>
      </c>
      <c r="BC693" s="121">
        <f>交易记录!AF664</f>
        <v>0</v>
      </c>
      <c r="BD693" s="121">
        <f>交易记录!AF695</f>
        <v>0</v>
      </c>
      <c r="BE693" s="30">
        <f t="shared" si="314"/>
        <v>0</v>
      </c>
      <c r="BF693" s="124">
        <f>交易记录!AF728</f>
        <v>0</v>
      </c>
      <c r="BG693" s="124">
        <f>交易记录!AF759</f>
        <v>0</v>
      </c>
      <c r="BH693" s="30">
        <f t="shared" si="315"/>
        <v>0</v>
      </c>
      <c r="BI693" s="121">
        <f>交易记录!AF792</f>
        <v>0</v>
      </c>
      <c r="BJ693" s="121">
        <f>交易记录!AF823</f>
        <v>0</v>
      </c>
      <c r="BK693" s="30">
        <f t="shared" si="316"/>
        <v>0</v>
      </c>
      <c r="BL693" s="124">
        <f>交易记录!AF856</f>
        <v>0</v>
      </c>
      <c r="BM693" s="124">
        <f>交易记录!AF887</f>
        <v>0</v>
      </c>
      <c r="BN693" s="30">
        <f t="shared" si="317"/>
        <v>0</v>
      </c>
      <c r="BO693" s="121">
        <f>交易记录!AF920</f>
        <v>0</v>
      </c>
      <c r="BP693" s="121">
        <f>交易记录!AF951</f>
        <v>0</v>
      </c>
      <c r="BQ693" s="30">
        <f t="shared" si="318"/>
        <v>0</v>
      </c>
    </row>
    <row r="694" spans="1:69" ht="15">
      <c r="A694" s="125">
        <f>'维护-日期'!A$31</f>
        <v>46294</v>
      </c>
      <c r="B694" s="7" t="s">
        <v>26</v>
      </c>
      <c r="C694" s="144">
        <f t="shared" si="319"/>
        <v>24.047999999999998</v>
      </c>
      <c r="D694" s="144">
        <f>ROUND(INDEX(持仓数据!$C$3:$AG$26,MATCH('计算过程-数据汇总'!B694,持仓数据!$B$3:$B$26,0),MATCH('计算过程-数据汇总'!A694,'维护-日期'!$B$2:$AF$2,0)),3)</f>
        <v>24.047999999999998</v>
      </c>
      <c r="E694" s="98">
        <f t="shared" si="320"/>
        <v>24.047999999999998</v>
      </c>
      <c r="F694" s="22">
        <f>持仓数据!AE92</f>
        <v>1</v>
      </c>
      <c r="G694" s="97">
        <v>372</v>
      </c>
      <c r="H694" s="97">
        <v>372</v>
      </c>
      <c r="I694" s="64">
        <v>0</v>
      </c>
      <c r="J694" s="64">
        <v>0</v>
      </c>
      <c r="K694" s="21">
        <f>IF(持仓数据!AE125="",0,持仓数据!AE125)</f>
        <v>372</v>
      </c>
      <c r="L694" s="21">
        <f t="shared" si="321"/>
        <v>0</v>
      </c>
      <c r="M694" s="28">
        <f t="shared" si="305"/>
        <v>8945.8559999999998</v>
      </c>
      <c r="N694" s="28">
        <f t="shared" si="306"/>
        <v>0</v>
      </c>
      <c r="O694" s="28">
        <f t="shared" si="307"/>
        <v>0</v>
      </c>
      <c r="P694" s="28">
        <f t="shared" si="308"/>
        <v>0</v>
      </c>
      <c r="Q694" s="28">
        <f t="shared" si="322"/>
        <v>0</v>
      </c>
      <c r="R694" s="28">
        <f t="shared" si="309"/>
        <v>8945.8559999999998</v>
      </c>
      <c r="S694" s="28">
        <f t="shared" si="323"/>
        <v>0</v>
      </c>
      <c r="T694" s="28">
        <f t="shared" si="324"/>
        <v>0</v>
      </c>
      <c r="U694" s="28">
        <f t="shared" si="327"/>
        <v>0</v>
      </c>
      <c r="V694" s="28">
        <f t="shared" si="325"/>
        <v>0</v>
      </c>
      <c r="W694" s="118"/>
      <c r="X694" s="143">
        <f t="shared" si="326"/>
        <v>27.858000000000001</v>
      </c>
      <c r="Y694" s="121">
        <f>交易记录!AF25</f>
        <v>1</v>
      </c>
      <c r="Z694" s="121">
        <f>交易记录!AF56</f>
        <v>372</v>
      </c>
      <c r="AA694" s="30">
        <f t="shared" si="310"/>
        <v>0</v>
      </c>
      <c r="AB694" s="124">
        <f>交易记录!AF89</f>
        <v>0</v>
      </c>
      <c r="AC694" s="124">
        <f>交易记录!AF120</f>
        <v>0</v>
      </c>
      <c r="AD694" s="30">
        <f t="shared" si="328"/>
        <v>0</v>
      </c>
      <c r="AE694" s="121">
        <f>交易记录!AF153</f>
        <v>0</v>
      </c>
      <c r="AF694" s="121">
        <f>交易记录!AF184</f>
        <v>0</v>
      </c>
      <c r="AG694" s="30">
        <f t="shared" si="329"/>
        <v>0</v>
      </c>
      <c r="AH694" s="124">
        <f>交易记录!AF217</f>
        <v>0</v>
      </c>
      <c r="AI694" s="124">
        <f>交易记录!AF248</f>
        <v>0</v>
      </c>
      <c r="AJ694" s="30">
        <f t="shared" si="330"/>
        <v>0</v>
      </c>
      <c r="AK694" s="121">
        <f>交易记录!AF281</f>
        <v>0</v>
      </c>
      <c r="AL694" s="121">
        <f>交易记录!AF312</f>
        <v>0</v>
      </c>
      <c r="AM694" s="30">
        <f t="shared" si="331"/>
        <v>0</v>
      </c>
      <c r="AN694" s="124">
        <f>交易记录!AF345</f>
        <v>0</v>
      </c>
      <c r="AO694" s="124">
        <f>交易记录!AF376</f>
        <v>0</v>
      </c>
      <c r="AP694" s="30">
        <f t="shared" si="332"/>
        <v>0</v>
      </c>
      <c r="AQ694" s="121">
        <f>交易记录!AF409</f>
        <v>0</v>
      </c>
      <c r="AR694" s="121">
        <f>交易记录!AF440</f>
        <v>0</v>
      </c>
      <c r="AS694" s="30">
        <f t="shared" si="333"/>
        <v>0</v>
      </c>
      <c r="AT694" s="124">
        <f>交易记录!AF473</f>
        <v>0</v>
      </c>
      <c r="AU694" s="124">
        <f>交易记录!AF504</f>
        <v>0</v>
      </c>
      <c r="AV694" s="30">
        <f t="shared" si="311"/>
        <v>0</v>
      </c>
      <c r="AW694" s="121">
        <f>交易记录!AF537</f>
        <v>0</v>
      </c>
      <c r="AX694" s="121">
        <f>交易记录!AF568</f>
        <v>0</v>
      </c>
      <c r="AY694" s="30">
        <f t="shared" si="312"/>
        <v>0</v>
      </c>
      <c r="AZ694" s="124">
        <f>交易记录!AF601</f>
        <v>0</v>
      </c>
      <c r="BA694" s="124">
        <f>交易记录!AF632</f>
        <v>0</v>
      </c>
      <c r="BB694" s="30">
        <f t="shared" si="313"/>
        <v>0</v>
      </c>
      <c r="BC694" s="121">
        <f>交易记录!AF665</f>
        <v>0</v>
      </c>
      <c r="BD694" s="121">
        <f>交易记录!AF696</f>
        <v>0</v>
      </c>
      <c r="BE694" s="30">
        <f t="shared" si="314"/>
        <v>0</v>
      </c>
      <c r="BF694" s="124">
        <f>交易记录!AF729</f>
        <v>0</v>
      </c>
      <c r="BG694" s="124">
        <f>交易记录!AF760</f>
        <v>0</v>
      </c>
      <c r="BH694" s="30">
        <f t="shared" si="315"/>
        <v>0</v>
      </c>
      <c r="BI694" s="121">
        <f>交易记录!AF793</f>
        <v>0</v>
      </c>
      <c r="BJ694" s="121">
        <f>交易记录!AF824</f>
        <v>0</v>
      </c>
      <c r="BK694" s="30">
        <f t="shared" si="316"/>
        <v>0</v>
      </c>
      <c r="BL694" s="124">
        <f>交易记录!AF857</f>
        <v>0</v>
      </c>
      <c r="BM694" s="124">
        <f>交易记录!AF888</f>
        <v>0</v>
      </c>
      <c r="BN694" s="30">
        <f t="shared" si="317"/>
        <v>0</v>
      </c>
      <c r="BO694" s="121">
        <f>交易记录!AF921</f>
        <v>0</v>
      </c>
      <c r="BP694" s="121">
        <f>交易记录!AF952</f>
        <v>0</v>
      </c>
      <c r="BQ694" s="30">
        <f t="shared" si="318"/>
        <v>0</v>
      </c>
    </row>
    <row r="695" spans="1:69" ht="15">
      <c r="A695" s="125">
        <f>'维护-日期'!A$31</f>
        <v>46294</v>
      </c>
      <c r="B695" s="7" t="s">
        <v>27</v>
      </c>
      <c r="C695" s="144">
        <f t="shared" si="319"/>
        <v>22.594000000000001</v>
      </c>
      <c r="D695" s="144">
        <f>ROUND(INDEX(持仓数据!$C$3:$AG$26,MATCH('计算过程-数据汇总'!B695,持仓数据!$B$3:$B$26,0),MATCH('计算过程-数据汇总'!A695,'维护-日期'!$B$2:$AF$2,0)),3)</f>
        <v>22.594000000000001</v>
      </c>
      <c r="E695" s="98">
        <f t="shared" si="320"/>
        <v>22.594000000000001</v>
      </c>
      <c r="F695" s="22">
        <f>持仓数据!AE93</f>
        <v>0.95199999999999996</v>
      </c>
      <c r="G695" s="97">
        <v>372</v>
      </c>
      <c r="H695" s="97">
        <v>372</v>
      </c>
      <c r="I695" s="64">
        <v>0</v>
      </c>
      <c r="J695" s="64">
        <v>0</v>
      </c>
      <c r="K695" s="21">
        <f>IF(持仓数据!AE126="",0,持仓数据!AE126)</f>
        <v>372</v>
      </c>
      <c r="L695" s="21">
        <f t="shared" si="321"/>
        <v>0</v>
      </c>
      <c r="M695" s="28">
        <f t="shared" si="305"/>
        <v>8404.9680000000008</v>
      </c>
      <c r="N695" s="28">
        <f t="shared" si="306"/>
        <v>0</v>
      </c>
      <c r="O695" s="28">
        <f t="shared" si="307"/>
        <v>0</v>
      </c>
      <c r="P695" s="28">
        <f t="shared" si="308"/>
        <v>0</v>
      </c>
      <c r="Q695" s="28">
        <f t="shared" si="322"/>
        <v>0</v>
      </c>
      <c r="R695" s="28">
        <f t="shared" si="309"/>
        <v>8404.9680000000008</v>
      </c>
      <c r="S695" s="28">
        <f t="shared" si="323"/>
        <v>0</v>
      </c>
      <c r="T695" s="28">
        <f t="shared" si="324"/>
        <v>0</v>
      </c>
      <c r="U695" s="28">
        <f t="shared" si="327"/>
        <v>0</v>
      </c>
      <c r="V695" s="28">
        <f t="shared" si="325"/>
        <v>0</v>
      </c>
      <c r="W695" s="118"/>
      <c r="X695" s="143">
        <f t="shared" si="326"/>
        <v>26.161000000000001</v>
      </c>
      <c r="Y695" s="121">
        <f>交易记录!AF26</f>
        <v>0.95199999999999996</v>
      </c>
      <c r="Z695" s="121">
        <f>交易记录!AF57</f>
        <v>372</v>
      </c>
      <c r="AA695" s="30">
        <f t="shared" si="310"/>
        <v>0</v>
      </c>
      <c r="AB695" s="124">
        <f>交易记录!AF90</f>
        <v>0</v>
      </c>
      <c r="AC695" s="124">
        <f>交易记录!AF121</f>
        <v>0</v>
      </c>
      <c r="AD695" s="30">
        <f t="shared" si="328"/>
        <v>0</v>
      </c>
      <c r="AE695" s="121">
        <f>交易记录!AF154</f>
        <v>0</v>
      </c>
      <c r="AF695" s="121">
        <f>交易记录!AF185</f>
        <v>0</v>
      </c>
      <c r="AG695" s="30">
        <f t="shared" si="329"/>
        <v>0</v>
      </c>
      <c r="AH695" s="124">
        <f>交易记录!AF218</f>
        <v>0</v>
      </c>
      <c r="AI695" s="124">
        <f>交易记录!AF249</f>
        <v>0</v>
      </c>
      <c r="AJ695" s="30">
        <f t="shared" si="330"/>
        <v>0</v>
      </c>
      <c r="AK695" s="121">
        <f>交易记录!AF282</f>
        <v>0</v>
      </c>
      <c r="AL695" s="121">
        <f>交易记录!AF313</f>
        <v>0</v>
      </c>
      <c r="AM695" s="30">
        <f t="shared" si="331"/>
        <v>0</v>
      </c>
      <c r="AN695" s="124">
        <f>交易记录!AF346</f>
        <v>0</v>
      </c>
      <c r="AO695" s="124">
        <f>交易记录!AF377</f>
        <v>0</v>
      </c>
      <c r="AP695" s="30">
        <f t="shared" si="332"/>
        <v>0</v>
      </c>
      <c r="AQ695" s="121">
        <f>交易记录!AF410</f>
        <v>0</v>
      </c>
      <c r="AR695" s="121">
        <f>交易记录!AF441</f>
        <v>0</v>
      </c>
      <c r="AS695" s="30">
        <f t="shared" si="333"/>
        <v>0</v>
      </c>
      <c r="AT695" s="124">
        <f>交易记录!AF474</f>
        <v>0</v>
      </c>
      <c r="AU695" s="124">
        <f>交易记录!AF505</f>
        <v>0</v>
      </c>
      <c r="AV695" s="30">
        <f t="shared" si="311"/>
        <v>0</v>
      </c>
      <c r="AW695" s="121">
        <f>交易记录!AF538</f>
        <v>0</v>
      </c>
      <c r="AX695" s="121">
        <f>交易记录!AF569</f>
        <v>0</v>
      </c>
      <c r="AY695" s="30">
        <f t="shared" si="312"/>
        <v>0</v>
      </c>
      <c r="AZ695" s="124">
        <f>交易记录!AF602</f>
        <v>0</v>
      </c>
      <c r="BA695" s="124">
        <f>交易记录!AF633</f>
        <v>0</v>
      </c>
      <c r="BB695" s="30">
        <f t="shared" si="313"/>
        <v>0</v>
      </c>
      <c r="BC695" s="121">
        <f>交易记录!AF666</f>
        <v>0</v>
      </c>
      <c r="BD695" s="121">
        <f>交易记录!AF697</f>
        <v>0</v>
      </c>
      <c r="BE695" s="30">
        <f t="shared" si="314"/>
        <v>0</v>
      </c>
      <c r="BF695" s="124">
        <f>交易记录!AF730</f>
        <v>0</v>
      </c>
      <c r="BG695" s="124">
        <f>交易记录!AF761</f>
        <v>0</v>
      </c>
      <c r="BH695" s="30">
        <f t="shared" si="315"/>
        <v>0</v>
      </c>
      <c r="BI695" s="121">
        <f>交易记录!AF794</f>
        <v>0</v>
      </c>
      <c r="BJ695" s="121">
        <f>交易记录!AF825</f>
        <v>0</v>
      </c>
      <c r="BK695" s="30">
        <f t="shared" si="316"/>
        <v>0</v>
      </c>
      <c r="BL695" s="124">
        <f>交易记录!AF858</f>
        <v>0</v>
      </c>
      <c r="BM695" s="124">
        <f>交易记录!AF889</f>
        <v>0</v>
      </c>
      <c r="BN695" s="30">
        <f t="shared" si="317"/>
        <v>0</v>
      </c>
      <c r="BO695" s="121">
        <f>交易记录!AF922</f>
        <v>0</v>
      </c>
      <c r="BP695" s="121">
        <f>交易记录!AF953</f>
        <v>0</v>
      </c>
      <c r="BQ695" s="30">
        <f t="shared" si="318"/>
        <v>0</v>
      </c>
    </row>
    <row r="696" spans="1:69" ht="15">
      <c r="A696" s="125">
        <f>'维护-日期'!A$31</f>
        <v>46294</v>
      </c>
      <c r="B696" s="7" t="s">
        <v>28</v>
      </c>
      <c r="C696" s="144">
        <f t="shared" si="319"/>
        <v>19.387</v>
      </c>
      <c r="D696" s="144">
        <f>ROUND(INDEX(持仓数据!$C$3:$AG$26,MATCH('计算过程-数据汇总'!B696,持仓数据!$B$3:$B$26,0),MATCH('计算过程-数据汇总'!A696,'维护-日期'!$B$2:$AF$2,0)),3)</f>
        <v>19.387</v>
      </c>
      <c r="E696" s="98">
        <f t="shared" si="320"/>
        <v>19.387</v>
      </c>
      <c r="F696" s="22">
        <f>持仓数据!AE94</f>
        <v>0.84300000000000008</v>
      </c>
      <c r="G696" s="97">
        <v>372</v>
      </c>
      <c r="H696" s="97">
        <v>372</v>
      </c>
      <c r="I696" s="64">
        <v>0</v>
      </c>
      <c r="J696" s="64">
        <v>0</v>
      </c>
      <c r="K696" s="21">
        <f>IF(持仓数据!AE127="",0,持仓数据!AE127)</f>
        <v>371.99999999999994</v>
      </c>
      <c r="L696" s="21">
        <f t="shared" si="321"/>
        <v>0</v>
      </c>
      <c r="M696" s="28">
        <f t="shared" si="305"/>
        <v>7211.9639999999999</v>
      </c>
      <c r="N696" s="28">
        <f t="shared" si="306"/>
        <v>0</v>
      </c>
      <c r="O696" s="28">
        <f t="shared" si="307"/>
        <v>0</v>
      </c>
      <c r="P696" s="28">
        <f t="shared" si="308"/>
        <v>-4.7919002099661161E-14</v>
      </c>
      <c r="Q696" s="28">
        <f t="shared" si="322"/>
        <v>0</v>
      </c>
      <c r="R696" s="28">
        <f t="shared" si="309"/>
        <v>7211.963999999999</v>
      </c>
      <c r="S696" s="28">
        <f t="shared" si="323"/>
        <v>0</v>
      </c>
      <c r="T696" s="28">
        <f t="shared" si="324"/>
        <v>1.0541043593548239E-12</v>
      </c>
      <c r="U696" s="28">
        <f t="shared" si="327"/>
        <v>0</v>
      </c>
      <c r="V696" s="28">
        <f t="shared" si="325"/>
        <v>0</v>
      </c>
      <c r="W696" s="118"/>
      <c r="X696" s="143">
        <f t="shared" si="326"/>
        <v>22.420999999999999</v>
      </c>
      <c r="Y696" s="121">
        <f>交易记录!AF27</f>
        <v>0.84300000000000008</v>
      </c>
      <c r="Z696" s="121">
        <f>交易记录!AF58</f>
        <v>372</v>
      </c>
      <c r="AA696" s="30">
        <f t="shared" si="310"/>
        <v>0</v>
      </c>
      <c r="AB696" s="124">
        <f>交易记录!AF91</f>
        <v>0</v>
      </c>
      <c r="AC696" s="124">
        <f>交易记录!AF122</f>
        <v>0</v>
      </c>
      <c r="AD696" s="30">
        <f t="shared" si="328"/>
        <v>0</v>
      </c>
      <c r="AE696" s="121">
        <f>交易记录!AF155</f>
        <v>0</v>
      </c>
      <c r="AF696" s="121">
        <f>交易记录!AF186</f>
        <v>0</v>
      </c>
      <c r="AG696" s="30">
        <f t="shared" si="329"/>
        <v>0</v>
      </c>
      <c r="AH696" s="124">
        <f>交易记录!AF219</f>
        <v>0</v>
      </c>
      <c r="AI696" s="124">
        <f>交易记录!AF250</f>
        <v>0</v>
      </c>
      <c r="AJ696" s="30">
        <f t="shared" si="330"/>
        <v>0</v>
      </c>
      <c r="AK696" s="121">
        <f>交易记录!AF283</f>
        <v>0</v>
      </c>
      <c r="AL696" s="121">
        <f>交易记录!AF314</f>
        <v>0</v>
      </c>
      <c r="AM696" s="30">
        <f t="shared" si="331"/>
        <v>0</v>
      </c>
      <c r="AN696" s="124">
        <f>交易记录!AF347</f>
        <v>0</v>
      </c>
      <c r="AO696" s="124">
        <f>交易记录!AF378</f>
        <v>0</v>
      </c>
      <c r="AP696" s="30">
        <f t="shared" si="332"/>
        <v>0</v>
      </c>
      <c r="AQ696" s="121">
        <f>交易记录!AF411</f>
        <v>0</v>
      </c>
      <c r="AR696" s="121">
        <f>交易记录!AF442</f>
        <v>0</v>
      </c>
      <c r="AS696" s="30">
        <f t="shared" si="333"/>
        <v>0</v>
      </c>
      <c r="AT696" s="124">
        <f>交易记录!AF475</f>
        <v>0</v>
      </c>
      <c r="AU696" s="124">
        <f>交易记录!AF506</f>
        <v>0</v>
      </c>
      <c r="AV696" s="30">
        <f t="shared" si="311"/>
        <v>0</v>
      </c>
      <c r="AW696" s="121">
        <f>交易记录!AF539</f>
        <v>0</v>
      </c>
      <c r="AX696" s="121">
        <f>交易记录!AF570</f>
        <v>0</v>
      </c>
      <c r="AY696" s="30">
        <f t="shared" si="312"/>
        <v>0</v>
      </c>
      <c r="AZ696" s="124">
        <f>交易记录!AF603</f>
        <v>0</v>
      </c>
      <c r="BA696" s="124">
        <f>交易记录!AF634</f>
        <v>0</v>
      </c>
      <c r="BB696" s="30">
        <f t="shared" si="313"/>
        <v>0</v>
      </c>
      <c r="BC696" s="121">
        <f>交易记录!AF667</f>
        <v>0</v>
      </c>
      <c r="BD696" s="121">
        <f>交易记录!AF698</f>
        <v>0</v>
      </c>
      <c r="BE696" s="30">
        <f t="shared" si="314"/>
        <v>0</v>
      </c>
      <c r="BF696" s="124">
        <f>交易记录!AF731</f>
        <v>0</v>
      </c>
      <c r="BG696" s="124">
        <f>交易记录!AF762</f>
        <v>0</v>
      </c>
      <c r="BH696" s="30">
        <f t="shared" si="315"/>
        <v>0</v>
      </c>
      <c r="BI696" s="121">
        <f>交易记录!AF795</f>
        <v>0</v>
      </c>
      <c r="BJ696" s="121">
        <f>交易记录!AF826</f>
        <v>0</v>
      </c>
      <c r="BK696" s="30">
        <f t="shared" si="316"/>
        <v>0</v>
      </c>
      <c r="BL696" s="124">
        <f>交易记录!AF859</f>
        <v>0</v>
      </c>
      <c r="BM696" s="124">
        <f>交易记录!AF890</f>
        <v>0</v>
      </c>
      <c r="BN696" s="30">
        <f t="shared" si="317"/>
        <v>0</v>
      </c>
      <c r="BO696" s="121">
        <f>交易记录!AF923</f>
        <v>0</v>
      </c>
      <c r="BP696" s="121">
        <f>交易记录!AF954</f>
        <v>0</v>
      </c>
      <c r="BQ696" s="30">
        <f t="shared" si="318"/>
        <v>0</v>
      </c>
    </row>
    <row r="697" spans="1:69" ht="15">
      <c r="A697" s="125">
        <f>'维护-日期'!A$31</f>
        <v>46294</v>
      </c>
      <c r="B697" s="7" t="s">
        <v>29</v>
      </c>
      <c r="C697" s="144">
        <f t="shared" si="319"/>
        <v>16.963000000000001</v>
      </c>
      <c r="D697" s="144">
        <f>ROUND(INDEX(持仓数据!$C$3:$AG$26,MATCH('计算过程-数据汇总'!B697,持仓数据!$B$3:$B$26,0),MATCH('计算过程-数据汇总'!A697,'维护-日期'!$B$2:$AF$2,0)),3)</f>
        <v>16.963000000000001</v>
      </c>
      <c r="E697" s="98">
        <f t="shared" si="320"/>
        <v>16.963000000000001</v>
      </c>
      <c r="F697" s="22">
        <f>持仓数据!AE95</f>
        <v>0.33299999999999996</v>
      </c>
      <c r="G697" s="97">
        <v>372</v>
      </c>
      <c r="H697" s="97">
        <v>372</v>
      </c>
      <c r="I697" s="64">
        <v>0</v>
      </c>
      <c r="J697" s="64">
        <v>0</v>
      </c>
      <c r="K697" s="21">
        <f>IF(持仓数据!AE128="",0,持仓数据!AE128)</f>
        <v>372</v>
      </c>
      <c r="L697" s="21">
        <f t="shared" si="321"/>
        <v>0</v>
      </c>
      <c r="M697" s="28">
        <f t="shared" si="305"/>
        <v>6310.2360000000008</v>
      </c>
      <c r="N697" s="28">
        <f t="shared" si="306"/>
        <v>0</v>
      </c>
      <c r="O697" s="28">
        <f t="shared" si="307"/>
        <v>0</v>
      </c>
      <c r="P697" s="28">
        <f t="shared" si="308"/>
        <v>0</v>
      </c>
      <c r="Q697" s="28">
        <f t="shared" si="322"/>
        <v>0</v>
      </c>
      <c r="R697" s="28">
        <f t="shared" si="309"/>
        <v>6310.2360000000008</v>
      </c>
      <c r="S697" s="28">
        <f t="shared" si="323"/>
        <v>0</v>
      </c>
      <c r="T697" s="28">
        <f t="shared" si="324"/>
        <v>0</v>
      </c>
      <c r="U697" s="28">
        <f t="shared" si="327"/>
        <v>0</v>
      </c>
      <c r="V697" s="28">
        <f t="shared" si="325"/>
        <v>0</v>
      </c>
      <c r="W697" s="118"/>
      <c r="X697" s="143">
        <f t="shared" si="326"/>
        <v>20.023</v>
      </c>
      <c r="Y697" s="121">
        <f>交易记录!AF28</f>
        <v>0.33299999999999996</v>
      </c>
      <c r="Z697" s="121">
        <f>交易记录!AF59</f>
        <v>372</v>
      </c>
      <c r="AA697" s="30">
        <f t="shared" si="310"/>
        <v>0</v>
      </c>
      <c r="AB697" s="124">
        <f>交易记录!AF92</f>
        <v>0</v>
      </c>
      <c r="AC697" s="124">
        <f>交易记录!AF123</f>
        <v>0</v>
      </c>
      <c r="AD697" s="30">
        <f t="shared" si="328"/>
        <v>0</v>
      </c>
      <c r="AE697" s="121">
        <f>交易记录!AF156</f>
        <v>0</v>
      </c>
      <c r="AF697" s="121">
        <f>交易记录!AF187</f>
        <v>0</v>
      </c>
      <c r="AG697" s="30">
        <f t="shared" si="329"/>
        <v>0</v>
      </c>
      <c r="AH697" s="124">
        <f>交易记录!AF220</f>
        <v>0</v>
      </c>
      <c r="AI697" s="124">
        <f>交易记录!AF251</f>
        <v>0</v>
      </c>
      <c r="AJ697" s="30">
        <f t="shared" si="330"/>
        <v>0</v>
      </c>
      <c r="AK697" s="121">
        <f>交易记录!AF284</f>
        <v>0</v>
      </c>
      <c r="AL697" s="121">
        <f>交易记录!AF315</f>
        <v>0</v>
      </c>
      <c r="AM697" s="30">
        <f t="shared" si="331"/>
        <v>0</v>
      </c>
      <c r="AN697" s="124">
        <f>交易记录!AF348</f>
        <v>0</v>
      </c>
      <c r="AO697" s="124">
        <f>交易记录!AF379</f>
        <v>0</v>
      </c>
      <c r="AP697" s="30">
        <f t="shared" si="332"/>
        <v>0</v>
      </c>
      <c r="AQ697" s="121">
        <f>交易记录!AF412</f>
        <v>0</v>
      </c>
      <c r="AR697" s="121">
        <f>交易记录!AF443</f>
        <v>0</v>
      </c>
      <c r="AS697" s="30">
        <f t="shared" si="333"/>
        <v>0</v>
      </c>
      <c r="AT697" s="124">
        <f>交易记录!AF476</f>
        <v>0</v>
      </c>
      <c r="AU697" s="124">
        <f>交易记录!AF507</f>
        <v>0</v>
      </c>
      <c r="AV697" s="30">
        <f t="shared" si="311"/>
        <v>0</v>
      </c>
      <c r="AW697" s="121">
        <f>交易记录!AF540</f>
        <v>0</v>
      </c>
      <c r="AX697" s="121">
        <f>交易记录!AF571</f>
        <v>0</v>
      </c>
      <c r="AY697" s="30">
        <f t="shared" si="312"/>
        <v>0</v>
      </c>
      <c r="AZ697" s="124">
        <f>交易记录!AF604</f>
        <v>0</v>
      </c>
      <c r="BA697" s="124">
        <f>交易记录!AF635</f>
        <v>0</v>
      </c>
      <c r="BB697" s="30">
        <f t="shared" si="313"/>
        <v>0</v>
      </c>
      <c r="BC697" s="121">
        <f>交易记录!AF668</f>
        <v>0</v>
      </c>
      <c r="BD697" s="121">
        <f>交易记录!AF699</f>
        <v>0</v>
      </c>
      <c r="BE697" s="30">
        <f t="shared" si="314"/>
        <v>0</v>
      </c>
      <c r="BF697" s="124">
        <f>交易记录!AF732</f>
        <v>0</v>
      </c>
      <c r="BG697" s="124">
        <f>交易记录!AF763</f>
        <v>0</v>
      </c>
      <c r="BH697" s="30">
        <f t="shared" si="315"/>
        <v>0</v>
      </c>
      <c r="BI697" s="121">
        <f>交易记录!AF796</f>
        <v>0</v>
      </c>
      <c r="BJ697" s="121">
        <f>交易记录!AF827</f>
        <v>0</v>
      </c>
      <c r="BK697" s="30">
        <f t="shared" si="316"/>
        <v>0</v>
      </c>
      <c r="BL697" s="124">
        <f>交易记录!AF860</f>
        <v>0</v>
      </c>
      <c r="BM697" s="124">
        <f>交易记录!AF891</f>
        <v>0</v>
      </c>
      <c r="BN697" s="30">
        <f t="shared" si="317"/>
        <v>0</v>
      </c>
      <c r="BO697" s="121">
        <f>交易记录!AF924</f>
        <v>0</v>
      </c>
      <c r="BP697" s="121">
        <f>交易记录!AF955</f>
        <v>0</v>
      </c>
      <c r="BQ697" s="30">
        <f t="shared" si="318"/>
        <v>0</v>
      </c>
    </row>
    <row r="698" spans="1:69" ht="15">
      <c r="A698" s="125">
        <f>'维护-日期'!A$32</f>
        <v>46295</v>
      </c>
      <c r="B698" s="7" t="s">
        <v>6</v>
      </c>
      <c r="C698" s="144">
        <f t="shared" si="319"/>
        <v>16.655999999999999</v>
      </c>
      <c r="D698" s="144">
        <f>ROUND(INDEX(持仓数据!$C$3:$AG$26,MATCH('计算过程-数据汇总'!B698,持仓数据!$B$3:$B$26,0),MATCH('计算过程-数据汇总'!A698,'维护-日期'!$B$2:$AF$2,0)),3)</f>
        <v>16.655999999999999</v>
      </c>
      <c r="E698" s="98">
        <f t="shared" si="320"/>
        <v>16.655999999999999</v>
      </c>
      <c r="F698" s="22">
        <f>持仓数据!AF72</f>
        <v>0.39700000000000002</v>
      </c>
      <c r="G698" s="97">
        <v>372</v>
      </c>
      <c r="H698" s="97">
        <v>372</v>
      </c>
      <c r="I698" s="64">
        <v>0</v>
      </c>
      <c r="J698" s="64">
        <v>0</v>
      </c>
      <c r="K698" s="21">
        <f>IF(持仓数据!AF105="",0,持仓数据!AF105)</f>
        <v>372</v>
      </c>
      <c r="L698" s="21">
        <f t="shared" si="321"/>
        <v>0</v>
      </c>
      <c r="M698" s="28">
        <f t="shared" si="305"/>
        <v>6196.0319999999992</v>
      </c>
      <c r="N698" s="28">
        <f t="shared" si="306"/>
        <v>0</v>
      </c>
      <c r="O698" s="28">
        <f t="shared" si="307"/>
        <v>0</v>
      </c>
      <c r="P698" s="28">
        <f t="shared" si="308"/>
        <v>0</v>
      </c>
      <c r="Q698" s="28">
        <f t="shared" si="322"/>
        <v>0</v>
      </c>
      <c r="R698" s="28">
        <f t="shared" si="309"/>
        <v>6196.0319999999992</v>
      </c>
      <c r="S698" s="28">
        <f t="shared" si="323"/>
        <v>0</v>
      </c>
      <c r="T698" s="28">
        <f t="shared" si="324"/>
        <v>0</v>
      </c>
      <c r="U698" s="28">
        <f t="shared" si="327"/>
        <v>0</v>
      </c>
      <c r="V698" s="28">
        <f t="shared" si="325"/>
        <v>0</v>
      </c>
      <c r="W698" s="118"/>
      <c r="X698" s="143">
        <f t="shared" si="326"/>
        <v>19.59</v>
      </c>
      <c r="Y698" s="121">
        <f>交易记录!AG5</f>
        <v>0.39700000000000002</v>
      </c>
      <c r="Z698" s="121">
        <f>交易记录!AG36</f>
        <v>372</v>
      </c>
      <c r="AA698" s="30">
        <f t="shared" si="310"/>
        <v>0</v>
      </c>
      <c r="AB698" s="124">
        <f>交易记录!AG69</f>
        <v>0</v>
      </c>
      <c r="AC698" s="124">
        <f>交易记录!AG100</f>
        <v>0</v>
      </c>
      <c r="AD698" s="30">
        <f t="shared" si="328"/>
        <v>0</v>
      </c>
      <c r="AE698" s="121">
        <f>交易记录!AG133</f>
        <v>0</v>
      </c>
      <c r="AF698" s="121">
        <f>交易记录!AG164</f>
        <v>0</v>
      </c>
      <c r="AG698" s="30">
        <f t="shared" si="329"/>
        <v>0</v>
      </c>
      <c r="AH698" s="124">
        <f>交易记录!AG197</f>
        <v>0</v>
      </c>
      <c r="AI698" s="124">
        <f>交易记录!AG228</f>
        <v>0</v>
      </c>
      <c r="AJ698" s="30">
        <f t="shared" si="330"/>
        <v>0</v>
      </c>
      <c r="AK698" s="121">
        <f>交易记录!AG261</f>
        <v>0</v>
      </c>
      <c r="AL698" s="121">
        <f>交易记录!AG292</f>
        <v>0</v>
      </c>
      <c r="AM698" s="30">
        <f t="shared" si="331"/>
        <v>0</v>
      </c>
      <c r="AN698" s="124">
        <f>交易记录!AG325</f>
        <v>0</v>
      </c>
      <c r="AO698" s="124">
        <f>交易记录!AG356</f>
        <v>0</v>
      </c>
      <c r="AP698" s="30">
        <f t="shared" si="332"/>
        <v>0</v>
      </c>
      <c r="AQ698" s="121">
        <f>交易记录!AG389</f>
        <v>0</v>
      </c>
      <c r="AR698" s="121">
        <f>交易记录!AG420</f>
        <v>0</v>
      </c>
      <c r="AS698" s="30">
        <f t="shared" si="333"/>
        <v>0</v>
      </c>
      <c r="AT698" s="124">
        <f>交易记录!AG453</f>
        <v>0</v>
      </c>
      <c r="AU698" s="124">
        <f>交易记录!AG484</f>
        <v>0</v>
      </c>
      <c r="AV698" s="30">
        <f t="shared" si="311"/>
        <v>0</v>
      </c>
      <c r="AW698" s="121">
        <f>交易记录!AG517</f>
        <v>0</v>
      </c>
      <c r="AX698" s="121">
        <f>交易记录!AG548</f>
        <v>0</v>
      </c>
      <c r="AY698" s="30">
        <f t="shared" si="312"/>
        <v>0</v>
      </c>
      <c r="AZ698" s="124">
        <f>交易记录!AG581</f>
        <v>0</v>
      </c>
      <c r="BA698" s="124">
        <f>交易记录!AG612</f>
        <v>0</v>
      </c>
      <c r="BB698" s="30">
        <f t="shared" si="313"/>
        <v>0</v>
      </c>
      <c r="BC698" s="121">
        <f>交易记录!AG645</f>
        <v>0</v>
      </c>
      <c r="BD698" s="121">
        <f>交易记录!AG676</f>
        <v>0</v>
      </c>
      <c r="BE698" s="30">
        <f t="shared" si="314"/>
        <v>0</v>
      </c>
      <c r="BF698" s="124">
        <f>交易记录!AG709</f>
        <v>0</v>
      </c>
      <c r="BG698" s="124">
        <f>交易记录!AG740</f>
        <v>0</v>
      </c>
      <c r="BH698" s="30">
        <f t="shared" si="315"/>
        <v>0</v>
      </c>
      <c r="BI698" s="121">
        <f>交易记录!AG773</f>
        <v>0</v>
      </c>
      <c r="BJ698" s="121">
        <f>交易记录!AG804</f>
        <v>0</v>
      </c>
      <c r="BK698" s="30">
        <f t="shared" si="316"/>
        <v>0</v>
      </c>
      <c r="BL698" s="124">
        <f>交易记录!AG837</f>
        <v>0</v>
      </c>
      <c r="BM698" s="124">
        <f>交易记录!AG868</f>
        <v>0</v>
      </c>
      <c r="BN698" s="30">
        <f t="shared" si="317"/>
        <v>0</v>
      </c>
      <c r="BO698" s="121">
        <f>交易记录!AG901</f>
        <v>0</v>
      </c>
      <c r="BP698" s="121">
        <f>交易记录!AG932</f>
        <v>0</v>
      </c>
      <c r="BQ698" s="30">
        <f t="shared" si="318"/>
        <v>0</v>
      </c>
    </row>
    <row r="699" spans="1:69" ht="15">
      <c r="A699" s="125">
        <f>'维护-日期'!A$32</f>
        <v>46295</v>
      </c>
      <c r="B699" s="7" t="s">
        <v>7</v>
      </c>
      <c r="C699" s="144">
        <f t="shared" si="319"/>
        <v>15.792</v>
      </c>
      <c r="D699" s="144">
        <f>ROUND(INDEX(持仓数据!$C$3:$AG$26,MATCH('计算过程-数据汇总'!B699,持仓数据!$B$3:$B$26,0),MATCH('计算过程-数据汇总'!A699,'维护-日期'!$B$2:$AF$2,0)),3)</f>
        <v>15.792</v>
      </c>
      <c r="E699" s="98">
        <f t="shared" si="320"/>
        <v>15.792</v>
      </c>
      <c r="F699" s="22">
        <f>持仓数据!AF73</f>
        <v>0.26500000000000001</v>
      </c>
      <c r="G699" s="97">
        <v>372</v>
      </c>
      <c r="H699" s="97">
        <v>372</v>
      </c>
      <c r="I699" s="64">
        <v>0</v>
      </c>
      <c r="J699" s="64">
        <v>0</v>
      </c>
      <c r="K699" s="21">
        <f>IF(持仓数据!AF106="",0,持仓数据!AF106)</f>
        <v>372</v>
      </c>
      <c r="L699" s="21">
        <f t="shared" si="321"/>
        <v>0</v>
      </c>
      <c r="M699" s="28">
        <f t="shared" si="305"/>
        <v>5874.6239999999998</v>
      </c>
      <c r="N699" s="28">
        <f t="shared" si="306"/>
        <v>0</v>
      </c>
      <c r="O699" s="28">
        <f t="shared" si="307"/>
        <v>0</v>
      </c>
      <c r="P699" s="28">
        <f t="shared" si="308"/>
        <v>0</v>
      </c>
      <c r="Q699" s="28">
        <f t="shared" si="322"/>
        <v>0</v>
      </c>
      <c r="R699" s="28">
        <f t="shared" si="309"/>
        <v>5874.6239999999998</v>
      </c>
      <c r="S699" s="28">
        <f t="shared" si="323"/>
        <v>0</v>
      </c>
      <c r="T699" s="28">
        <f t="shared" si="324"/>
        <v>0</v>
      </c>
      <c r="U699" s="28">
        <f t="shared" si="327"/>
        <v>0</v>
      </c>
      <c r="V699" s="28">
        <f t="shared" si="325"/>
        <v>0</v>
      </c>
      <c r="W699" s="118"/>
      <c r="X699" s="143">
        <f t="shared" si="326"/>
        <v>18.684999999999999</v>
      </c>
      <c r="Y699" s="121">
        <f>交易记录!AG6</f>
        <v>0.26500000000000001</v>
      </c>
      <c r="Z699" s="121">
        <f>交易记录!AG37</f>
        <v>372</v>
      </c>
      <c r="AA699" s="30">
        <f t="shared" si="310"/>
        <v>0</v>
      </c>
      <c r="AB699" s="124">
        <f>交易记录!AG70</f>
        <v>0</v>
      </c>
      <c r="AC699" s="124">
        <f>交易记录!AG101</f>
        <v>0</v>
      </c>
      <c r="AD699" s="30">
        <f t="shared" si="328"/>
        <v>0</v>
      </c>
      <c r="AE699" s="121">
        <f>交易记录!AG134</f>
        <v>0</v>
      </c>
      <c r="AF699" s="121">
        <f>交易记录!AG165</f>
        <v>0</v>
      </c>
      <c r="AG699" s="30">
        <f t="shared" si="329"/>
        <v>0</v>
      </c>
      <c r="AH699" s="124">
        <f>交易记录!AG198</f>
        <v>0</v>
      </c>
      <c r="AI699" s="124">
        <f>交易记录!AG229</f>
        <v>0</v>
      </c>
      <c r="AJ699" s="30">
        <f t="shared" si="330"/>
        <v>0</v>
      </c>
      <c r="AK699" s="121">
        <f>交易记录!AG262</f>
        <v>0</v>
      </c>
      <c r="AL699" s="121">
        <f>交易记录!AG293</f>
        <v>0</v>
      </c>
      <c r="AM699" s="30">
        <f t="shared" si="331"/>
        <v>0</v>
      </c>
      <c r="AN699" s="124">
        <f>交易记录!AG326</f>
        <v>0</v>
      </c>
      <c r="AO699" s="124">
        <f>交易记录!AG357</f>
        <v>0</v>
      </c>
      <c r="AP699" s="30">
        <f t="shared" si="332"/>
        <v>0</v>
      </c>
      <c r="AQ699" s="121">
        <f>交易记录!AG390</f>
        <v>0</v>
      </c>
      <c r="AR699" s="121">
        <f>交易记录!AG421</f>
        <v>0</v>
      </c>
      <c r="AS699" s="30">
        <f t="shared" si="333"/>
        <v>0</v>
      </c>
      <c r="AT699" s="124">
        <f>交易记录!AG454</f>
        <v>0</v>
      </c>
      <c r="AU699" s="124">
        <f>交易记录!AG485</f>
        <v>0</v>
      </c>
      <c r="AV699" s="30">
        <f t="shared" si="311"/>
        <v>0</v>
      </c>
      <c r="AW699" s="121">
        <f>交易记录!AG518</f>
        <v>0</v>
      </c>
      <c r="AX699" s="121">
        <f>交易记录!AG549</f>
        <v>0</v>
      </c>
      <c r="AY699" s="30">
        <f t="shared" si="312"/>
        <v>0</v>
      </c>
      <c r="AZ699" s="124">
        <f>交易记录!AG582</f>
        <v>0</v>
      </c>
      <c r="BA699" s="124">
        <f>交易记录!AG613</f>
        <v>0</v>
      </c>
      <c r="BB699" s="30">
        <f t="shared" si="313"/>
        <v>0</v>
      </c>
      <c r="BC699" s="121">
        <f>交易记录!AG646</f>
        <v>0</v>
      </c>
      <c r="BD699" s="121">
        <f>交易记录!AG677</f>
        <v>0</v>
      </c>
      <c r="BE699" s="30">
        <f t="shared" si="314"/>
        <v>0</v>
      </c>
      <c r="BF699" s="124">
        <f>交易记录!AG710</f>
        <v>0</v>
      </c>
      <c r="BG699" s="124">
        <f>交易记录!AG741</f>
        <v>0</v>
      </c>
      <c r="BH699" s="30">
        <f t="shared" si="315"/>
        <v>0</v>
      </c>
      <c r="BI699" s="121">
        <f>交易记录!AG774</f>
        <v>0</v>
      </c>
      <c r="BJ699" s="121">
        <f>交易记录!AG805</f>
        <v>0</v>
      </c>
      <c r="BK699" s="30">
        <f t="shared" si="316"/>
        <v>0</v>
      </c>
      <c r="BL699" s="124">
        <f>交易记录!AG838</f>
        <v>0</v>
      </c>
      <c r="BM699" s="124">
        <f>交易记录!AG869</f>
        <v>0</v>
      </c>
      <c r="BN699" s="30">
        <f t="shared" si="317"/>
        <v>0</v>
      </c>
      <c r="BO699" s="121">
        <f>交易记录!AG902</f>
        <v>0</v>
      </c>
      <c r="BP699" s="121">
        <f>交易记录!AG933</f>
        <v>0</v>
      </c>
      <c r="BQ699" s="30">
        <f t="shared" si="318"/>
        <v>0</v>
      </c>
    </row>
    <row r="700" spans="1:69" ht="15">
      <c r="A700" s="125">
        <f>'维护-日期'!A$32</f>
        <v>46295</v>
      </c>
      <c r="B700" s="7" t="s">
        <v>8</v>
      </c>
      <c r="C700" s="144">
        <f t="shared" si="319"/>
        <v>14.821999999999999</v>
      </c>
      <c r="D700" s="144">
        <f>ROUND(INDEX(持仓数据!$C$3:$AG$26,MATCH('计算过程-数据汇总'!B700,持仓数据!$B$3:$B$26,0),MATCH('计算过程-数据汇总'!A700,'维护-日期'!$B$2:$AF$2,0)),3)</f>
        <v>14.821999999999999</v>
      </c>
      <c r="E700" s="98">
        <f t="shared" si="320"/>
        <v>14.821999999999999</v>
      </c>
      <c r="F700" s="22">
        <f>持仓数据!AF74</f>
        <v>0.24199999999999999</v>
      </c>
      <c r="G700" s="97">
        <v>372</v>
      </c>
      <c r="H700" s="97">
        <v>372</v>
      </c>
      <c r="I700" s="64">
        <v>0</v>
      </c>
      <c r="J700" s="64">
        <v>0</v>
      </c>
      <c r="K700" s="21">
        <f>IF(持仓数据!AF107="",0,持仓数据!AF107)</f>
        <v>372</v>
      </c>
      <c r="L700" s="21">
        <f t="shared" si="321"/>
        <v>0</v>
      </c>
      <c r="M700" s="28">
        <f t="shared" si="305"/>
        <v>5513.7839999999997</v>
      </c>
      <c r="N700" s="28">
        <f t="shared" si="306"/>
        <v>0</v>
      </c>
      <c r="O700" s="28">
        <f t="shared" si="307"/>
        <v>0</v>
      </c>
      <c r="P700" s="28">
        <f t="shared" si="308"/>
        <v>0</v>
      </c>
      <c r="Q700" s="28">
        <f t="shared" si="322"/>
        <v>0</v>
      </c>
      <c r="R700" s="28">
        <f t="shared" si="309"/>
        <v>5513.7839999999997</v>
      </c>
      <c r="S700" s="28">
        <f t="shared" si="323"/>
        <v>0</v>
      </c>
      <c r="T700" s="28">
        <f t="shared" si="324"/>
        <v>0</v>
      </c>
      <c r="U700" s="28">
        <f t="shared" si="327"/>
        <v>0</v>
      </c>
      <c r="V700" s="28">
        <f t="shared" si="325"/>
        <v>0</v>
      </c>
      <c r="W700" s="118"/>
      <c r="X700" s="143">
        <f t="shared" si="326"/>
        <v>17.544</v>
      </c>
      <c r="Y700" s="121">
        <f>交易记录!AG7</f>
        <v>0.24199999999999999</v>
      </c>
      <c r="Z700" s="121">
        <f>交易记录!AG38</f>
        <v>372</v>
      </c>
      <c r="AA700" s="30">
        <f t="shared" si="310"/>
        <v>0</v>
      </c>
      <c r="AB700" s="124">
        <f>交易记录!AG71</f>
        <v>0</v>
      </c>
      <c r="AC700" s="124">
        <f>交易记录!AG102</f>
        <v>0</v>
      </c>
      <c r="AD700" s="30">
        <f t="shared" si="328"/>
        <v>0</v>
      </c>
      <c r="AE700" s="121">
        <f>交易记录!AG135</f>
        <v>0</v>
      </c>
      <c r="AF700" s="121">
        <f>交易记录!AG166</f>
        <v>0</v>
      </c>
      <c r="AG700" s="30">
        <f t="shared" si="329"/>
        <v>0</v>
      </c>
      <c r="AH700" s="124">
        <f>交易记录!AG199</f>
        <v>0</v>
      </c>
      <c r="AI700" s="124">
        <f>交易记录!AG230</f>
        <v>0</v>
      </c>
      <c r="AJ700" s="30">
        <f t="shared" si="330"/>
        <v>0</v>
      </c>
      <c r="AK700" s="121">
        <f>交易记录!AG263</f>
        <v>0</v>
      </c>
      <c r="AL700" s="121">
        <f>交易记录!AG294</f>
        <v>0</v>
      </c>
      <c r="AM700" s="30">
        <f t="shared" si="331"/>
        <v>0</v>
      </c>
      <c r="AN700" s="124">
        <f>交易记录!AG327</f>
        <v>0</v>
      </c>
      <c r="AO700" s="124">
        <f>交易记录!AG358</f>
        <v>0</v>
      </c>
      <c r="AP700" s="30">
        <f t="shared" si="332"/>
        <v>0</v>
      </c>
      <c r="AQ700" s="121">
        <f>交易记录!AG391</f>
        <v>0</v>
      </c>
      <c r="AR700" s="121">
        <f>交易记录!AG422</f>
        <v>0</v>
      </c>
      <c r="AS700" s="30">
        <f t="shared" si="333"/>
        <v>0</v>
      </c>
      <c r="AT700" s="124">
        <f>交易记录!AG455</f>
        <v>0</v>
      </c>
      <c r="AU700" s="124">
        <f>交易记录!AG486</f>
        <v>0</v>
      </c>
      <c r="AV700" s="30">
        <f t="shared" si="311"/>
        <v>0</v>
      </c>
      <c r="AW700" s="121">
        <f>交易记录!AG519</f>
        <v>0</v>
      </c>
      <c r="AX700" s="121">
        <f>交易记录!AG550</f>
        <v>0</v>
      </c>
      <c r="AY700" s="30">
        <f t="shared" si="312"/>
        <v>0</v>
      </c>
      <c r="AZ700" s="124">
        <f>交易记录!AG583</f>
        <v>0</v>
      </c>
      <c r="BA700" s="124">
        <f>交易记录!AG614</f>
        <v>0</v>
      </c>
      <c r="BB700" s="30">
        <f t="shared" si="313"/>
        <v>0</v>
      </c>
      <c r="BC700" s="121">
        <f>交易记录!AG647</f>
        <v>0</v>
      </c>
      <c r="BD700" s="121">
        <f>交易记录!AG678</f>
        <v>0</v>
      </c>
      <c r="BE700" s="30">
        <f t="shared" si="314"/>
        <v>0</v>
      </c>
      <c r="BF700" s="124">
        <f>交易记录!AG711</f>
        <v>0</v>
      </c>
      <c r="BG700" s="124">
        <f>交易记录!AG742</f>
        <v>0</v>
      </c>
      <c r="BH700" s="30">
        <f t="shared" si="315"/>
        <v>0</v>
      </c>
      <c r="BI700" s="121">
        <f>交易记录!AG775</f>
        <v>0</v>
      </c>
      <c r="BJ700" s="121">
        <f>交易记录!AG806</f>
        <v>0</v>
      </c>
      <c r="BK700" s="30">
        <f t="shared" si="316"/>
        <v>0</v>
      </c>
      <c r="BL700" s="124">
        <f>交易记录!AG839</f>
        <v>0</v>
      </c>
      <c r="BM700" s="124">
        <f>交易记录!AG870</f>
        <v>0</v>
      </c>
      <c r="BN700" s="30">
        <f t="shared" si="317"/>
        <v>0</v>
      </c>
      <c r="BO700" s="121">
        <f>交易记录!AG903</f>
        <v>0</v>
      </c>
      <c r="BP700" s="121">
        <f>交易记录!AG934</f>
        <v>0</v>
      </c>
      <c r="BQ700" s="30">
        <f t="shared" si="318"/>
        <v>0</v>
      </c>
    </row>
    <row r="701" spans="1:69" ht="15">
      <c r="A701" s="125">
        <f>'维护-日期'!A$32</f>
        <v>46295</v>
      </c>
      <c r="B701" s="7" t="s">
        <v>9</v>
      </c>
      <c r="C701" s="144">
        <f t="shared" si="319"/>
        <v>13.817</v>
      </c>
      <c r="D701" s="144">
        <f>ROUND(INDEX(持仓数据!$C$3:$AG$26,MATCH('计算过程-数据汇总'!B701,持仓数据!$B$3:$B$26,0),MATCH('计算过程-数据汇总'!A701,'维护-日期'!$B$2:$AF$2,0)),3)</f>
        <v>13.817</v>
      </c>
      <c r="E701" s="98">
        <f t="shared" si="320"/>
        <v>13.817</v>
      </c>
      <c r="F701" s="22">
        <f>持仓数据!AF75</f>
        <v>0.09</v>
      </c>
      <c r="G701" s="97">
        <v>372</v>
      </c>
      <c r="H701" s="97">
        <v>372</v>
      </c>
      <c r="I701" s="64">
        <v>0</v>
      </c>
      <c r="J701" s="64">
        <v>0</v>
      </c>
      <c r="K701" s="21">
        <f>IF(持仓数据!AF108="",0,持仓数据!AF108)</f>
        <v>372</v>
      </c>
      <c r="L701" s="21">
        <f t="shared" si="321"/>
        <v>0</v>
      </c>
      <c r="M701" s="28">
        <f t="shared" si="305"/>
        <v>5139.924</v>
      </c>
      <c r="N701" s="28">
        <f t="shared" si="306"/>
        <v>0</v>
      </c>
      <c r="O701" s="28">
        <f t="shared" si="307"/>
        <v>0</v>
      </c>
      <c r="P701" s="28">
        <f t="shared" si="308"/>
        <v>0</v>
      </c>
      <c r="Q701" s="28">
        <f t="shared" si="322"/>
        <v>0</v>
      </c>
      <c r="R701" s="28">
        <f t="shared" si="309"/>
        <v>5139.924</v>
      </c>
      <c r="S701" s="28">
        <f t="shared" si="323"/>
        <v>0</v>
      </c>
      <c r="T701" s="28">
        <f t="shared" si="324"/>
        <v>0</v>
      </c>
      <c r="U701" s="28">
        <f t="shared" si="327"/>
        <v>0</v>
      </c>
      <c r="V701" s="28">
        <f t="shared" si="325"/>
        <v>0</v>
      </c>
      <c r="W701" s="118"/>
      <c r="X701" s="143">
        <f t="shared" si="326"/>
        <v>16.489999999999998</v>
      </c>
      <c r="Y701" s="121">
        <f>交易记录!AG8</f>
        <v>0.09</v>
      </c>
      <c r="Z701" s="121">
        <f>交易记录!AG39</f>
        <v>372</v>
      </c>
      <c r="AA701" s="30">
        <f t="shared" si="310"/>
        <v>0</v>
      </c>
      <c r="AB701" s="124">
        <f>交易记录!AG72</f>
        <v>0</v>
      </c>
      <c r="AC701" s="124">
        <f>交易记录!AG103</f>
        <v>0</v>
      </c>
      <c r="AD701" s="30">
        <f t="shared" si="328"/>
        <v>0</v>
      </c>
      <c r="AE701" s="121">
        <f>交易记录!AG136</f>
        <v>0</v>
      </c>
      <c r="AF701" s="121">
        <f>交易记录!AG167</f>
        <v>0</v>
      </c>
      <c r="AG701" s="30">
        <f t="shared" si="329"/>
        <v>0</v>
      </c>
      <c r="AH701" s="124">
        <f>交易记录!AG200</f>
        <v>0</v>
      </c>
      <c r="AI701" s="124">
        <f>交易记录!AG231</f>
        <v>0</v>
      </c>
      <c r="AJ701" s="30">
        <f t="shared" si="330"/>
        <v>0</v>
      </c>
      <c r="AK701" s="121">
        <f>交易记录!AG264</f>
        <v>0</v>
      </c>
      <c r="AL701" s="121">
        <f>交易记录!AG295</f>
        <v>0</v>
      </c>
      <c r="AM701" s="30">
        <f t="shared" si="331"/>
        <v>0</v>
      </c>
      <c r="AN701" s="124">
        <f>交易记录!AG328</f>
        <v>0</v>
      </c>
      <c r="AO701" s="124">
        <f>交易记录!AG359</f>
        <v>0</v>
      </c>
      <c r="AP701" s="30">
        <f t="shared" si="332"/>
        <v>0</v>
      </c>
      <c r="AQ701" s="121">
        <f>交易记录!AG392</f>
        <v>0</v>
      </c>
      <c r="AR701" s="121">
        <f>交易记录!AG423</f>
        <v>0</v>
      </c>
      <c r="AS701" s="30">
        <f t="shared" si="333"/>
        <v>0</v>
      </c>
      <c r="AT701" s="124">
        <f>交易记录!AG456</f>
        <v>0</v>
      </c>
      <c r="AU701" s="124">
        <f>交易记录!AG487</f>
        <v>0</v>
      </c>
      <c r="AV701" s="30">
        <f t="shared" si="311"/>
        <v>0</v>
      </c>
      <c r="AW701" s="121">
        <f>交易记录!AG520</f>
        <v>0</v>
      </c>
      <c r="AX701" s="121">
        <f>交易记录!AG551</f>
        <v>0</v>
      </c>
      <c r="AY701" s="30">
        <f t="shared" si="312"/>
        <v>0</v>
      </c>
      <c r="AZ701" s="124">
        <f>交易记录!AG584</f>
        <v>0</v>
      </c>
      <c r="BA701" s="124">
        <f>交易记录!AG615</f>
        <v>0</v>
      </c>
      <c r="BB701" s="30">
        <f t="shared" si="313"/>
        <v>0</v>
      </c>
      <c r="BC701" s="121">
        <f>交易记录!AG648</f>
        <v>0</v>
      </c>
      <c r="BD701" s="121">
        <f>交易记录!AG679</f>
        <v>0</v>
      </c>
      <c r="BE701" s="30">
        <f t="shared" si="314"/>
        <v>0</v>
      </c>
      <c r="BF701" s="124">
        <f>交易记录!AG712</f>
        <v>0</v>
      </c>
      <c r="BG701" s="124">
        <f>交易记录!AG743</f>
        <v>0</v>
      </c>
      <c r="BH701" s="30">
        <f t="shared" si="315"/>
        <v>0</v>
      </c>
      <c r="BI701" s="121">
        <f>交易记录!AG776</f>
        <v>0</v>
      </c>
      <c r="BJ701" s="121">
        <f>交易记录!AG807</f>
        <v>0</v>
      </c>
      <c r="BK701" s="30">
        <f t="shared" si="316"/>
        <v>0</v>
      </c>
      <c r="BL701" s="124">
        <f>交易记录!AG840</f>
        <v>0</v>
      </c>
      <c r="BM701" s="124">
        <f>交易记录!AG871</f>
        <v>0</v>
      </c>
      <c r="BN701" s="30">
        <f t="shared" si="317"/>
        <v>0</v>
      </c>
      <c r="BO701" s="121">
        <f>交易记录!AG904</f>
        <v>0</v>
      </c>
      <c r="BP701" s="121">
        <f>交易记录!AG935</f>
        <v>0</v>
      </c>
      <c r="BQ701" s="30">
        <f t="shared" si="318"/>
        <v>0</v>
      </c>
    </row>
    <row r="702" spans="1:69" ht="15">
      <c r="A702" s="125">
        <f>'维护-日期'!A$32</f>
        <v>46295</v>
      </c>
      <c r="B702" s="7" t="s">
        <v>10</v>
      </c>
      <c r="C702" s="144">
        <f t="shared" si="319"/>
        <v>13.388</v>
      </c>
      <c r="D702" s="144">
        <f>ROUND(INDEX(持仓数据!$C$3:$AG$26,MATCH('计算过程-数据汇总'!B702,持仓数据!$B$3:$B$26,0),MATCH('计算过程-数据汇总'!A702,'维护-日期'!$B$2:$AF$2,0)),3)</f>
        <v>13.388</v>
      </c>
      <c r="E702" s="98">
        <f t="shared" si="320"/>
        <v>13.388</v>
      </c>
      <c r="F702" s="22">
        <f>持仓数据!AF76</f>
        <v>8.6999999999999994E-2</v>
      </c>
      <c r="G702" s="97">
        <v>372</v>
      </c>
      <c r="H702" s="97">
        <v>372</v>
      </c>
      <c r="I702" s="64">
        <v>0</v>
      </c>
      <c r="J702" s="64">
        <v>0</v>
      </c>
      <c r="K702" s="21">
        <f>IF(持仓数据!AF109="",0,持仓数据!AF109)</f>
        <v>372</v>
      </c>
      <c r="L702" s="21">
        <f t="shared" si="321"/>
        <v>0</v>
      </c>
      <c r="M702" s="28">
        <f t="shared" si="305"/>
        <v>4980.3360000000002</v>
      </c>
      <c r="N702" s="28">
        <f t="shared" si="306"/>
        <v>0</v>
      </c>
      <c r="O702" s="28">
        <f t="shared" si="307"/>
        <v>0</v>
      </c>
      <c r="P702" s="28">
        <f t="shared" si="308"/>
        <v>0</v>
      </c>
      <c r="Q702" s="28">
        <f t="shared" si="322"/>
        <v>0</v>
      </c>
      <c r="R702" s="28">
        <f t="shared" si="309"/>
        <v>4980.3360000000002</v>
      </c>
      <c r="S702" s="28">
        <f t="shared" si="323"/>
        <v>0</v>
      </c>
      <c r="T702" s="28">
        <f t="shared" si="324"/>
        <v>0</v>
      </c>
      <c r="U702" s="28">
        <f t="shared" si="327"/>
        <v>0</v>
      </c>
      <c r="V702" s="28">
        <f t="shared" si="325"/>
        <v>0</v>
      </c>
      <c r="W702" s="118"/>
      <c r="X702" s="143">
        <f t="shared" si="326"/>
        <v>15.978999999999999</v>
      </c>
      <c r="Y702" s="121">
        <f>交易记录!AG9</f>
        <v>8.6999999999999994E-2</v>
      </c>
      <c r="Z702" s="121">
        <f>交易记录!AG40</f>
        <v>372</v>
      </c>
      <c r="AA702" s="30">
        <f t="shared" si="310"/>
        <v>0</v>
      </c>
      <c r="AB702" s="124">
        <f>交易记录!AG73</f>
        <v>0</v>
      </c>
      <c r="AC702" s="124">
        <f>交易记录!AG104</f>
        <v>0</v>
      </c>
      <c r="AD702" s="30">
        <f t="shared" si="328"/>
        <v>0</v>
      </c>
      <c r="AE702" s="121">
        <f>交易记录!AG137</f>
        <v>0</v>
      </c>
      <c r="AF702" s="121">
        <f>交易记录!AG168</f>
        <v>0</v>
      </c>
      <c r="AG702" s="30">
        <f t="shared" si="329"/>
        <v>0</v>
      </c>
      <c r="AH702" s="124">
        <f>交易记录!AG201</f>
        <v>0</v>
      </c>
      <c r="AI702" s="124">
        <f>交易记录!AG232</f>
        <v>0</v>
      </c>
      <c r="AJ702" s="30">
        <f t="shared" si="330"/>
        <v>0</v>
      </c>
      <c r="AK702" s="121">
        <f>交易记录!AG265</f>
        <v>0</v>
      </c>
      <c r="AL702" s="121">
        <f>交易记录!AG296</f>
        <v>0</v>
      </c>
      <c r="AM702" s="30">
        <f t="shared" si="331"/>
        <v>0</v>
      </c>
      <c r="AN702" s="124">
        <f>交易记录!AG329</f>
        <v>0</v>
      </c>
      <c r="AO702" s="124">
        <f>交易记录!AG360</f>
        <v>0</v>
      </c>
      <c r="AP702" s="30">
        <f t="shared" si="332"/>
        <v>0</v>
      </c>
      <c r="AQ702" s="121">
        <f>交易记录!AG393</f>
        <v>0</v>
      </c>
      <c r="AR702" s="121">
        <f>交易记录!AG424</f>
        <v>0</v>
      </c>
      <c r="AS702" s="30">
        <f t="shared" si="333"/>
        <v>0</v>
      </c>
      <c r="AT702" s="124">
        <f>交易记录!AG457</f>
        <v>0</v>
      </c>
      <c r="AU702" s="124">
        <f>交易记录!AG488</f>
        <v>0</v>
      </c>
      <c r="AV702" s="30">
        <f t="shared" si="311"/>
        <v>0</v>
      </c>
      <c r="AW702" s="121">
        <f>交易记录!AG521</f>
        <v>0</v>
      </c>
      <c r="AX702" s="121">
        <f>交易记录!AG552</f>
        <v>0</v>
      </c>
      <c r="AY702" s="30">
        <f t="shared" si="312"/>
        <v>0</v>
      </c>
      <c r="AZ702" s="124">
        <f>交易记录!AG585</f>
        <v>0</v>
      </c>
      <c r="BA702" s="124">
        <f>交易记录!AG616</f>
        <v>0</v>
      </c>
      <c r="BB702" s="30">
        <f t="shared" si="313"/>
        <v>0</v>
      </c>
      <c r="BC702" s="121">
        <f>交易记录!AG649</f>
        <v>0</v>
      </c>
      <c r="BD702" s="121">
        <f>交易记录!AG680</f>
        <v>0</v>
      </c>
      <c r="BE702" s="30">
        <f t="shared" si="314"/>
        <v>0</v>
      </c>
      <c r="BF702" s="124">
        <f>交易记录!AG713</f>
        <v>0</v>
      </c>
      <c r="BG702" s="124">
        <f>交易记录!AG744</f>
        <v>0</v>
      </c>
      <c r="BH702" s="30">
        <f t="shared" si="315"/>
        <v>0</v>
      </c>
      <c r="BI702" s="121">
        <f>交易记录!AG777</f>
        <v>0</v>
      </c>
      <c r="BJ702" s="121">
        <f>交易记录!AG808</f>
        <v>0</v>
      </c>
      <c r="BK702" s="30">
        <f t="shared" si="316"/>
        <v>0</v>
      </c>
      <c r="BL702" s="124">
        <f>交易记录!AG841</f>
        <v>0</v>
      </c>
      <c r="BM702" s="124">
        <f>交易记录!AG872</f>
        <v>0</v>
      </c>
      <c r="BN702" s="30">
        <f t="shared" si="317"/>
        <v>0</v>
      </c>
      <c r="BO702" s="121">
        <f>交易记录!AG905</f>
        <v>0</v>
      </c>
      <c r="BP702" s="121">
        <f>交易记录!AG936</f>
        <v>0</v>
      </c>
      <c r="BQ702" s="30">
        <f t="shared" si="318"/>
        <v>0</v>
      </c>
    </row>
    <row r="703" spans="1:69" ht="15">
      <c r="A703" s="125">
        <f>'维护-日期'!A$32</f>
        <v>46295</v>
      </c>
      <c r="B703" s="7" t="s">
        <v>11</v>
      </c>
      <c r="C703" s="144">
        <f t="shared" si="319"/>
        <v>13.087</v>
      </c>
      <c r="D703" s="144">
        <f>ROUND(INDEX(持仓数据!$C$3:$AG$26,MATCH('计算过程-数据汇总'!B703,持仓数据!$B$3:$B$26,0),MATCH('计算过程-数据汇总'!A703,'维护-日期'!$B$2:$AF$2,0)),3)</f>
        <v>13.087</v>
      </c>
      <c r="E703" s="98">
        <f t="shared" si="320"/>
        <v>13.087</v>
      </c>
      <c r="F703" s="22">
        <f>持仓数据!AF77</f>
        <v>8.6999999999999994E-2</v>
      </c>
      <c r="G703" s="97">
        <v>372</v>
      </c>
      <c r="H703" s="97">
        <v>372</v>
      </c>
      <c r="I703" s="64">
        <v>0</v>
      </c>
      <c r="J703" s="64">
        <v>0</v>
      </c>
      <c r="K703" s="21">
        <f>IF(持仓数据!AF110="",0,持仓数据!AF110)</f>
        <v>372</v>
      </c>
      <c r="L703" s="21">
        <f t="shared" si="321"/>
        <v>0</v>
      </c>
      <c r="M703" s="28">
        <f t="shared" si="305"/>
        <v>4868.3639999999996</v>
      </c>
      <c r="N703" s="28">
        <f t="shared" si="306"/>
        <v>0</v>
      </c>
      <c r="O703" s="28">
        <f t="shared" si="307"/>
        <v>0</v>
      </c>
      <c r="P703" s="28">
        <f t="shared" si="308"/>
        <v>0</v>
      </c>
      <c r="Q703" s="28">
        <f t="shared" si="322"/>
        <v>0</v>
      </c>
      <c r="R703" s="28">
        <f t="shared" si="309"/>
        <v>4868.3639999999996</v>
      </c>
      <c r="S703" s="28">
        <f t="shared" si="323"/>
        <v>0</v>
      </c>
      <c r="T703" s="28">
        <f t="shared" si="324"/>
        <v>0</v>
      </c>
      <c r="U703" s="28">
        <f t="shared" si="327"/>
        <v>0</v>
      </c>
      <c r="V703" s="28">
        <f t="shared" si="325"/>
        <v>0</v>
      </c>
      <c r="W703" s="118"/>
      <c r="X703" s="143">
        <f t="shared" si="326"/>
        <v>15.617000000000001</v>
      </c>
      <c r="Y703" s="121">
        <f>交易记录!AG10</f>
        <v>8.6999999999999994E-2</v>
      </c>
      <c r="Z703" s="121">
        <f>交易记录!AG41</f>
        <v>372</v>
      </c>
      <c r="AA703" s="30">
        <f t="shared" si="310"/>
        <v>0</v>
      </c>
      <c r="AB703" s="124">
        <f>交易记录!AG74</f>
        <v>0</v>
      </c>
      <c r="AC703" s="124">
        <f>交易记录!AG105</f>
        <v>0</v>
      </c>
      <c r="AD703" s="30">
        <f t="shared" si="328"/>
        <v>0</v>
      </c>
      <c r="AE703" s="121">
        <f>交易记录!AG138</f>
        <v>0</v>
      </c>
      <c r="AF703" s="121">
        <f>交易记录!AG169</f>
        <v>0</v>
      </c>
      <c r="AG703" s="30">
        <f t="shared" si="329"/>
        <v>0</v>
      </c>
      <c r="AH703" s="124">
        <f>交易记录!AG202</f>
        <v>0</v>
      </c>
      <c r="AI703" s="124">
        <f>交易记录!AG233</f>
        <v>0</v>
      </c>
      <c r="AJ703" s="30">
        <f t="shared" si="330"/>
        <v>0</v>
      </c>
      <c r="AK703" s="121">
        <f>交易记录!AG266</f>
        <v>0</v>
      </c>
      <c r="AL703" s="121">
        <f>交易记录!AG297</f>
        <v>0</v>
      </c>
      <c r="AM703" s="30">
        <f t="shared" si="331"/>
        <v>0</v>
      </c>
      <c r="AN703" s="124">
        <f>交易记录!AG330</f>
        <v>0</v>
      </c>
      <c r="AO703" s="124">
        <f>交易记录!AG361</f>
        <v>0</v>
      </c>
      <c r="AP703" s="30">
        <f t="shared" si="332"/>
        <v>0</v>
      </c>
      <c r="AQ703" s="121">
        <f>交易记录!AG394</f>
        <v>0</v>
      </c>
      <c r="AR703" s="121">
        <f>交易记录!AG425</f>
        <v>0</v>
      </c>
      <c r="AS703" s="30">
        <f t="shared" si="333"/>
        <v>0</v>
      </c>
      <c r="AT703" s="124">
        <f>交易记录!AG458</f>
        <v>0</v>
      </c>
      <c r="AU703" s="124">
        <f>交易记录!AG489</f>
        <v>0</v>
      </c>
      <c r="AV703" s="30">
        <f t="shared" si="311"/>
        <v>0</v>
      </c>
      <c r="AW703" s="121">
        <f>交易记录!AG522</f>
        <v>0</v>
      </c>
      <c r="AX703" s="121">
        <f>交易记录!AG553</f>
        <v>0</v>
      </c>
      <c r="AY703" s="30">
        <f t="shared" si="312"/>
        <v>0</v>
      </c>
      <c r="AZ703" s="124">
        <f>交易记录!AG586</f>
        <v>0</v>
      </c>
      <c r="BA703" s="124">
        <f>交易记录!AG617</f>
        <v>0</v>
      </c>
      <c r="BB703" s="30">
        <f t="shared" si="313"/>
        <v>0</v>
      </c>
      <c r="BC703" s="121">
        <f>交易记录!AG650</f>
        <v>0</v>
      </c>
      <c r="BD703" s="121">
        <f>交易记录!AG681</f>
        <v>0</v>
      </c>
      <c r="BE703" s="30">
        <f t="shared" si="314"/>
        <v>0</v>
      </c>
      <c r="BF703" s="124">
        <f>交易记录!AG714</f>
        <v>0</v>
      </c>
      <c r="BG703" s="124">
        <f>交易记录!AG745</f>
        <v>0</v>
      </c>
      <c r="BH703" s="30">
        <f t="shared" si="315"/>
        <v>0</v>
      </c>
      <c r="BI703" s="121">
        <f>交易记录!AG778</f>
        <v>0</v>
      </c>
      <c r="BJ703" s="121">
        <f>交易记录!AG809</f>
        <v>0</v>
      </c>
      <c r="BK703" s="30">
        <f t="shared" si="316"/>
        <v>0</v>
      </c>
      <c r="BL703" s="124">
        <f>交易记录!AG842</f>
        <v>0</v>
      </c>
      <c r="BM703" s="124">
        <f>交易记录!AG873</f>
        <v>0</v>
      </c>
      <c r="BN703" s="30">
        <f t="shared" si="317"/>
        <v>0</v>
      </c>
      <c r="BO703" s="121">
        <f>交易记录!AG906</f>
        <v>0</v>
      </c>
      <c r="BP703" s="121">
        <f>交易记录!AG937</f>
        <v>0</v>
      </c>
      <c r="BQ703" s="30">
        <f t="shared" si="318"/>
        <v>0</v>
      </c>
    </row>
    <row r="704" spans="1:69" ht="15">
      <c r="A704" s="125">
        <f>'维护-日期'!A$32</f>
        <v>46295</v>
      </c>
      <c r="B704" s="7" t="s">
        <v>12</v>
      </c>
      <c r="C704" s="144">
        <f t="shared" si="319"/>
        <v>12.95</v>
      </c>
      <c r="D704" s="144">
        <f>ROUND(INDEX(持仓数据!$C$3:$AG$26,MATCH('计算过程-数据汇总'!B704,持仓数据!$B$3:$B$26,0),MATCH('计算过程-数据汇总'!A704,'维护-日期'!$B$2:$AF$2,0)),3)</f>
        <v>12.95</v>
      </c>
      <c r="E704" s="98">
        <f t="shared" si="320"/>
        <v>12.95</v>
      </c>
      <c r="F704" s="22">
        <f>持仓数据!AF78</f>
        <v>0.14499999999999999</v>
      </c>
      <c r="G704" s="97">
        <v>372</v>
      </c>
      <c r="H704" s="97">
        <v>372</v>
      </c>
      <c r="I704" s="64">
        <v>0</v>
      </c>
      <c r="J704" s="64">
        <v>0</v>
      </c>
      <c r="K704" s="21">
        <f>IF(持仓数据!AF111="",0,持仓数据!AF111)</f>
        <v>372</v>
      </c>
      <c r="L704" s="21">
        <f t="shared" si="321"/>
        <v>0</v>
      </c>
      <c r="M704" s="28">
        <f t="shared" si="305"/>
        <v>4817.3999999999996</v>
      </c>
      <c r="N704" s="28">
        <f t="shared" si="306"/>
        <v>0</v>
      </c>
      <c r="O704" s="28">
        <f t="shared" si="307"/>
        <v>0</v>
      </c>
      <c r="P704" s="28">
        <f t="shared" si="308"/>
        <v>0</v>
      </c>
      <c r="Q704" s="28">
        <f t="shared" si="322"/>
        <v>0</v>
      </c>
      <c r="R704" s="28">
        <f t="shared" si="309"/>
        <v>4817.3999999999996</v>
      </c>
      <c r="S704" s="28">
        <f t="shared" si="323"/>
        <v>0</v>
      </c>
      <c r="T704" s="28">
        <f t="shared" si="324"/>
        <v>0</v>
      </c>
      <c r="U704" s="28">
        <f t="shared" si="327"/>
        <v>0</v>
      </c>
      <c r="V704" s="28">
        <f t="shared" si="325"/>
        <v>0</v>
      </c>
      <c r="W704" s="118"/>
      <c r="X704" s="143">
        <f t="shared" si="326"/>
        <v>15.395</v>
      </c>
      <c r="Y704" s="121">
        <f>交易记录!AG11</f>
        <v>0.14499999999999999</v>
      </c>
      <c r="Z704" s="121">
        <f>交易记录!AG42</f>
        <v>372</v>
      </c>
      <c r="AA704" s="30">
        <f t="shared" si="310"/>
        <v>0</v>
      </c>
      <c r="AB704" s="124">
        <f>交易记录!AG75</f>
        <v>0</v>
      </c>
      <c r="AC704" s="124">
        <f>交易记录!AG106</f>
        <v>0</v>
      </c>
      <c r="AD704" s="30">
        <f t="shared" si="328"/>
        <v>0</v>
      </c>
      <c r="AE704" s="121">
        <f>交易记录!AG139</f>
        <v>0</v>
      </c>
      <c r="AF704" s="121">
        <f>交易记录!AG170</f>
        <v>0</v>
      </c>
      <c r="AG704" s="30">
        <f t="shared" si="329"/>
        <v>0</v>
      </c>
      <c r="AH704" s="124">
        <f>交易记录!AG203</f>
        <v>0</v>
      </c>
      <c r="AI704" s="124">
        <f>交易记录!AG234</f>
        <v>0</v>
      </c>
      <c r="AJ704" s="30">
        <f t="shared" si="330"/>
        <v>0</v>
      </c>
      <c r="AK704" s="121">
        <f>交易记录!AG267</f>
        <v>0</v>
      </c>
      <c r="AL704" s="121">
        <f>交易记录!AG298</f>
        <v>0</v>
      </c>
      <c r="AM704" s="30">
        <f t="shared" si="331"/>
        <v>0</v>
      </c>
      <c r="AN704" s="124">
        <f>交易记录!AG331</f>
        <v>0</v>
      </c>
      <c r="AO704" s="124">
        <f>交易记录!AG362</f>
        <v>0</v>
      </c>
      <c r="AP704" s="30">
        <f t="shared" si="332"/>
        <v>0</v>
      </c>
      <c r="AQ704" s="121">
        <f>交易记录!AG395</f>
        <v>0</v>
      </c>
      <c r="AR704" s="121">
        <f>交易记录!AG426</f>
        <v>0</v>
      </c>
      <c r="AS704" s="30">
        <f t="shared" si="333"/>
        <v>0</v>
      </c>
      <c r="AT704" s="124">
        <f>交易记录!AG459</f>
        <v>0</v>
      </c>
      <c r="AU704" s="124">
        <f>交易记录!AG490</f>
        <v>0</v>
      </c>
      <c r="AV704" s="30">
        <f t="shared" si="311"/>
        <v>0</v>
      </c>
      <c r="AW704" s="121">
        <f>交易记录!AG523</f>
        <v>0</v>
      </c>
      <c r="AX704" s="121">
        <f>交易记录!AG554</f>
        <v>0</v>
      </c>
      <c r="AY704" s="30">
        <f t="shared" si="312"/>
        <v>0</v>
      </c>
      <c r="AZ704" s="124">
        <f>交易记录!AG587</f>
        <v>0</v>
      </c>
      <c r="BA704" s="124">
        <f>交易记录!AG618</f>
        <v>0</v>
      </c>
      <c r="BB704" s="30">
        <f t="shared" si="313"/>
        <v>0</v>
      </c>
      <c r="BC704" s="121">
        <f>交易记录!AG651</f>
        <v>0</v>
      </c>
      <c r="BD704" s="121">
        <f>交易记录!AG682</f>
        <v>0</v>
      </c>
      <c r="BE704" s="30">
        <f t="shared" si="314"/>
        <v>0</v>
      </c>
      <c r="BF704" s="124">
        <f>交易记录!AG715</f>
        <v>0</v>
      </c>
      <c r="BG704" s="124">
        <f>交易记录!AG746</f>
        <v>0</v>
      </c>
      <c r="BH704" s="30">
        <f t="shared" si="315"/>
        <v>0</v>
      </c>
      <c r="BI704" s="121">
        <f>交易记录!AG779</f>
        <v>0</v>
      </c>
      <c r="BJ704" s="121">
        <f>交易记录!AG810</f>
        <v>0</v>
      </c>
      <c r="BK704" s="30">
        <f t="shared" si="316"/>
        <v>0</v>
      </c>
      <c r="BL704" s="124">
        <f>交易记录!AG843</f>
        <v>0</v>
      </c>
      <c r="BM704" s="124">
        <f>交易记录!AG874</f>
        <v>0</v>
      </c>
      <c r="BN704" s="30">
        <f t="shared" si="317"/>
        <v>0</v>
      </c>
      <c r="BO704" s="121">
        <f>交易记录!AG907</f>
        <v>0</v>
      </c>
      <c r="BP704" s="121">
        <f>交易记录!AG938</f>
        <v>0</v>
      </c>
      <c r="BQ704" s="30">
        <f t="shared" si="318"/>
        <v>0</v>
      </c>
    </row>
    <row r="705" spans="1:69" ht="15">
      <c r="A705" s="125">
        <f>'维护-日期'!A$32</f>
        <v>46295</v>
      </c>
      <c r="B705" s="7" t="s">
        <v>13</v>
      </c>
      <c r="C705" s="144">
        <f t="shared" si="319"/>
        <v>13.266999999999999</v>
      </c>
      <c r="D705" s="144">
        <f>ROUND(INDEX(持仓数据!$C$3:$AG$26,MATCH('计算过程-数据汇总'!B705,持仓数据!$B$3:$B$26,0),MATCH('计算过程-数据汇总'!A705,'维护-日期'!$B$2:$AF$2,0)),3)</f>
        <v>13.266999999999999</v>
      </c>
      <c r="E705" s="98">
        <f t="shared" si="320"/>
        <v>13.266999999999999</v>
      </c>
      <c r="F705" s="22">
        <f>持仓数据!AF79</f>
        <v>0.307</v>
      </c>
      <c r="G705" s="97">
        <v>372</v>
      </c>
      <c r="H705" s="97">
        <v>372</v>
      </c>
      <c r="I705" s="64">
        <v>0</v>
      </c>
      <c r="J705" s="64">
        <v>0</v>
      </c>
      <c r="K705" s="21">
        <f>IF(持仓数据!AF112="",0,持仓数据!AF112)</f>
        <v>372</v>
      </c>
      <c r="L705" s="21">
        <f t="shared" si="321"/>
        <v>0</v>
      </c>
      <c r="M705" s="28">
        <f t="shared" si="305"/>
        <v>4935.3239999999996</v>
      </c>
      <c r="N705" s="28">
        <f t="shared" si="306"/>
        <v>0</v>
      </c>
      <c r="O705" s="28">
        <f t="shared" si="307"/>
        <v>0</v>
      </c>
      <c r="P705" s="28">
        <f t="shared" si="308"/>
        <v>0</v>
      </c>
      <c r="Q705" s="28">
        <f t="shared" si="322"/>
        <v>0</v>
      </c>
      <c r="R705" s="28">
        <f t="shared" si="309"/>
        <v>4935.3239999999996</v>
      </c>
      <c r="S705" s="28">
        <f t="shared" si="323"/>
        <v>0</v>
      </c>
      <c r="T705" s="28">
        <f t="shared" si="324"/>
        <v>0</v>
      </c>
      <c r="U705" s="28">
        <f t="shared" si="327"/>
        <v>0</v>
      </c>
      <c r="V705" s="28">
        <f t="shared" si="325"/>
        <v>0</v>
      </c>
      <c r="W705" s="118"/>
      <c r="X705" s="143">
        <f t="shared" si="326"/>
        <v>15.613</v>
      </c>
      <c r="Y705" s="121">
        <f>交易记录!AG12</f>
        <v>0.307</v>
      </c>
      <c r="Z705" s="121">
        <f>交易记录!AG43</f>
        <v>372</v>
      </c>
      <c r="AA705" s="30">
        <f t="shared" si="310"/>
        <v>0</v>
      </c>
      <c r="AB705" s="124">
        <f>交易记录!AG76</f>
        <v>0</v>
      </c>
      <c r="AC705" s="124">
        <f>交易记录!AG107</f>
        <v>0</v>
      </c>
      <c r="AD705" s="30">
        <f t="shared" si="328"/>
        <v>0</v>
      </c>
      <c r="AE705" s="121">
        <f>交易记录!AG140</f>
        <v>0</v>
      </c>
      <c r="AF705" s="121">
        <f>交易记录!AG171</f>
        <v>0</v>
      </c>
      <c r="AG705" s="30">
        <f t="shared" si="329"/>
        <v>0</v>
      </c>
      <c r="AH705" s="124">
        <f>交易记录!AG204</f>
        <v>0</v>
      </c>
      <c r="AI705" s="124">
        <f>交易记录!AG235</f>
        <v>0</v>
      </c>
      <c r="AJ705" s="30">
        <f t="shared" si="330"/>
        <v>0</v>
      </c>
      <c r="AK705" s="121">
        <f>交易记录!AG268</f>
        <v>0</v>
      </c>
      <c r="AL705" s="121">
        <f>交易记录!AG299</f>
        <v>0</v>
      </c>
      <c r="AM705" s="30">
        <f t="shared" si="331"/>
        <v>0</v>
      </c>
      <c r="AN705" s="124">
        <f>交易记录!AG332</f>
        <v>0</v>
      </c>
      <c r="AO705" s="124">
        <f>交易记录!AG363</f>
        <v>0</v>
      </c>
      <c r="AP705" s="30">
        <f t="shared" si="332"/>
        <v>0</v>
      </c>
      <c r="AQ705" s="121">
        <f>交易记录!AG396</f>
        <v>0</v>
      </c>
      <c r="AR705" s="121">
        <f>交易记录!AG427</f>
        <v>0</v>
      </c>
      <c r="AS705" s="30">
        <f t="shared" si="333"/>
        <v>0</v>
      </c>
      <c r="AT705" s="124">
        <f>交易记录!AG460</f>
        <v>0</v>
      </c>
      <c r="AU705" s="124">
        <f>交易记录!AG491</f>
        <v>0</v>
      </c>
      <c r="AV705" s="30">
        <f t="shared" si="311"/>
        <v>0</v>
      </c>
      <c r="AW705" s="121">
        <f>交易记录!AG524</f>
        <v>0</v>
      </c>
      <c r="AX705" s="121">
        <f>交易记录!AG555</f>
        <v>0</v>
      </c>
      <c r="AY705" s="30">
        <f t="shared" si="312"/>
        <v>0</v>
      </c>
      <c r="AZ705" s="124">
        <f>交易记录!AG588</f>
        <v>0</v>
      </c>
      <c r="BA705" s="124">
        <f>交易记录!AG619</f>
        <v>0</v>
      </c>
      <c r="BB705" s="30">
        <f t="shared" si="313"/>
        <v>0</v>
      </c>
      <c r="BC705" s="121">
        <f>交易记录!AG652</f>
        <v>0</v>
      </c>
      <c r="BD705" s="121">
        <f>交易记录!AG683</f>
        <v>0</v>
      </c>
      <c r="BE705" s="30">
        <f t="shared" si="314"/>
        <v>0</v>
      </c>
      <c r="BF705" s="124">
        <f>交易记录!AG716</f>
        <v>0</v>
      </c>
      <c r="BG705" s="124">
        <f>交易记录!AG747</f>
        <v>0</v>
      </c>
      <c r="BH705" s="30">
        <f t="shared" si="315"/>
        <v>0</v>
      </c>
      <c r="BI705" s="121">
        <f>交易记录!AG780</f>
        <v>0</v>
      </c>
      <c r="BJ705" s="121">
        <f>交易记录!AG811</f>
        <v>0</v>
      </c>
      <c r="BK705" s="30">
        <f t="shared" si="316"/>
        <v>0</v>
      </c>
      <c r="BL705" s="124">
        <f>交易记录!AG844</f>
        <v>0</v>
      </c>
      <c r="BM705" s="124">
        <f>交易记录!AG875</f>
        <v>0</v>
      </c>
      <c r="BN705" s="30">
        <f t="shared" si="317"/>
        <v>0</v>
      </c>
      <c r="BO705" s="121">
        <f>交易记录!AG908</f>
        <v>0</v>
      </c>
      <c r="BP705" s="121">
        <f>交易记录!AG939</f>
        <v>0</v>
      </c>
      <c r="BQ705" s="30">
        <f t="shared" si="318"/>
        <v>0</v>
      </c>
    </row>
    <row r="706" spans="1:69" ht="15">
      <c r="A706" s="125">
        <f>'维护-日期'!A$32</f>
        <v>46295</v>
      </c>
      <c r="B706" s="7" t="s">
        <v>14</v>
      </c>
      <c r="C706" s="144">
        <f t="shared" si="319"/>
        <v>15.795999999999999</v>
      </c>
      <c r="D706" s="144">
        <f>ROUND(INDEX(持仓数据!$C$3:$AG$26,MATCH('计算过程-数据汇总'!B706,持仓数据!$B$3:$B$26,0),MATCH('计算过程-数据汇总'!A706,'维护-日期'!$B$2:$AF$2,0)),3)</f>
        <v>15.795999999999999</v>
      </c>
      <c r="E706" s="98">
        <f t="shared" si="320"/>
        <v>15.795999999999999</v>
      </c>
      <c r="F706" s="22">
        <f>持仓数据!AF80</f>
        <v>0.42800000000000005</v>
      </c>
      <c r="G706" s="97">
        <v>372</v>
      </c>
      <c r="H706" s="97">
        <v>372</v>
      </c>
      <c r="I706" s="64">
        <v>0</v>
      </c>
      <c r="J706" s="64">
        <v>0</v>
      </c>
      <c r="K706" s="21">
        <f>IF(持仓数据!AF113="",0,持仓数据!AF113)</f>
        <v>372</v>
      </c>
      <c r="L706" s="21">
        <f t="shared" si="321"/>
        <v>0</v>
      </c>
      <c r="M706" s="28">
        <f t="shared" ref="M706:M745" si="334">IFERROR(C706*G706,0)</f>
        <v>5876.1120000000001</v>
      </c>
      <c r="N706" s="28">
        <f t="shared" ref="N706:N745" si="335">IFERROR((D706-C706)*(G706-H706),0)</f>
        <v>0</v>
      </c>
      <c r="O706" s="28">
        <f t="shared" ref="O706:O745" si="336">IFERROR((E706-D706)*(G706-H706),0)</f>
        <v>0</v>
      </c>
      <c r="P706" s="28">
        <f t="shared" ref="P706:P745" si="337">IFERROR(F706*(K706-G706),0)</f>
        <v>0</v>
      </c>
      <c r="Q706" s="28">
        <f t="shared" si="322"/>
        <v>0</v>
      </c>
      <c r="R706" s="28">
        <f t="shared" ref="R706:R745" si="338">IFERROR(K706*C706,0)</f>
        <v>5876.1120000000001</v>
      </c>
      <c r="S706" s="28">
        <f t="shared" si="323"/>
        <v>0</v>
      </c>
      <c r="T706" s="28">
        <f t="shared" si="324"/>
        <v>0</v>
      </c>
      <c r="U706" s="28">
        <f t="shared" si="327"/>
        <v>0</v>
      </c>
      <c r="V706" s="28">
        <f t="shared" si="325"/>
        <v>0</v>
      </c>
      <c r="W706" s="118"/>
      <c r="X706" s="143">
        <f t="shared" si="326"/>
        <v>18.527000000000001</v>
      </c>
      <c r="Y706" s="121">
        <f>交易记录!AG13</f>
        <v>0.42800000000000005</v>
      </c>
      <c r="Z706" s="121">
        <f>交易记录!AG44</f>
        <v>372</v>
      </c>
      <c r="AA706" s="30">
        <f t="shared" ref="AA706:AA745" si="339">IFERROR((Z706-G706)*Y706,0)</f>
        <v>0</v>
      </c>
      <c r="AB706" s="124">
        <f>交易记录!AG77</f>
        <v>0</v>
      </c>
      <c r="AC706" s="124">
        <f>交易记录!AG108</f>
        <v>0</v>
      </c>
      <c r="AD706" s="30">
        <f t="shared" si="328"/>
        <v>0</v>
      </c>
      <c r="AE706" s="121">
        <f>交易记录!AG141</f>
        <v>0</v>
      </c>
      <c r="AF706" s="121">
        <f>交易记录!AG172</f>
        <v>0</v>
      </c>
      <c r="AG706" s="30">
        <f t="shared" si="329"/>
        <v>0</v>
      </c>
      <c r="AH706" s="124">
        <f>交易记录!AG205</f>
        <v>0</v>
      </c>
      <c r="AI706" s="124">
        <f>交易记录!AG236</f>
        <v>0</v>
      </c>
      <c r="AJ706" s="30">
        <f t="shared" si="330"/>
        <v>0</v>
      </c>
      <c r="AK706" s="121">
        <f>交易记录!AG269</f>
        <v>0</v>
      </c>
      <c r="AL706" s="121">
        <f>交易记录!AG300</f>
        <v>0</v>
      </c>
      <c r="AM706" s="30">
        <f t="shared" si="331"/>
        <v>0</v>
      </c>
      <c r="AN706" s="124">
        <f>交易记录!AG333</f>
        <v>0</v>
      </c>
      <c r="AO706" s="124">
        <f>交易记录!AG364</f>
        <v>0</v>
      </c>
      <c r="AP706" s="30">
        <f t="shared" si="332"/>
        <v>0</v>
      </c>
      <c r="AQ706" s="121">
        <f>交易记录!AG397</f>
        <v>0</v>
      </c>
      <c r="AR706" s="121">
        <f>交易记录!AG428</f>
        <v>0</v>
      </c>
      <c r="AS706" s="30">
        <f t="shared" si="333"/>
        <v>0</v>
      </c>
      <c r="AT706" s="124">
        <f>交易记录!AG461</f>
        <v>0</v>
      </c>
      <c r="AU706" s="124">
        <f>交易记录!AG492</f>
        <v>0</v>
      </c>
      <c r="AV706" s="30">
        <f t="shared" ref="AV706:AV745" si="340">IFERROR((AU706-$G706)*AT706,0)</f>
        <v>0</v>
      </c>
      <c r="AW706" s="121">
        <f>交易记录!AG525</f>
        <v>0</v>
      </c>
      <c r="AX706" s="121">
        <f>交易记录!AG556</f>
        <v>0</v>
      </c>
      <c r="AY706" s="30">
        <f t="shared" ref="AY706:AY745" si="341">IFERROR((AX706-$G706)*AW706,0)</f>
        <v>0</v>
      </c>
      <c r="AZ706" s="124">
        <f>交易记录!AG589</f>
        <v>0</v>
      </c>
      <c r="BA706" s="124">
        <f>交易记录!AG620</f>
        <v>0</v>
      </c>
      <c r="BB706" s="30">
        <f t="shared" ref="BB706:BB745" si="342">IFERROR((BA706-$G706)*AZ706,0)</f>
        <v>0</v>
      </c>
      <c r="BC706" s="121">
        <f>交易记录!AG653</f>
        <v>0</v>
      </c>
      <c r="BD706" s="121">
        <f>交易记录!AG684</f>
        <v>0</v>
      </c>
      <c r="BE706" s="30">
        <f t="shared" ref="BE706:BE745" si="343">IFERROR((BD706-$G706)*BC706,0)</f>
        <v>0</v>
      </c>
      <c r="BF706" s="124">
        <f>交易记录!AG717</f>
        <v>0</v>
      </c>
      <c r="BG706" s="124">
        <f>交易记录!AG748</f>
        <v>0</v>
      </c>
      <c r="BH706" s="30">
        <f t="shared" ref="BH706:BH745" si="344">IFERROR((BG706-$G706)*BF706,0)</f>
        <v>0</v>
      </c>
      <c r="BI706" s="121">
        <f>交易记录!AG781</f>
        <v>0</v>
      </c>
      <c r="BJ706" s="121">
        <f>交易记录!AG812</f>
        <v>0</v>
      </c>
      <c r="BK706" s="30">
        <f t="shared" ref="BK706:BK745" si="345">IFERROR((BJ706-$G706)*BI706,0)</f>
        <v>0</v>
      </c>
      <c r="BL706" s="124">
        <f>交易记录!AG845</f>
        <v>0</v>
      </c>
      <c r="BM706" s="124">
        <f>交易记录!AG876</f>
        <v>0</v>
      </c>
      <c r="BN706" s="30">
        <f t="shared" ref="BN706:BN745" si="346">IFERROR((BM706-$G706)*BL706,0)</f>
        <v>0</v>
      </c>
      <c r="BO706" s="121">
        <f>交易记录!AG909</f>
        <v>0</v>
      </c>
      <c r="BP706" s="121">
        <f>交易记录!AG940</f>
        <v>0</v>
      </c>
      <c r="BQ706" s="30">
        <f t="shared" ref="BQ706:BQ745" si="347">IFERROR((BP706-$G706)*BO706,0)</f>
        <v>0</v>
      </c>
    </row>
    <row r="707" spans="1:69" ht="15">
      <c r="A707" s="125">
        <f>'维护-日期'!A$32</f>
        <v>46295</v>
      </c>
      <c r="B707" s="7" t="s">
        <v>15</v>
      </c>
      <c r="C707" s="144">
        <f t="shared" ref="C707:C745" si="348">D707</f>
        <v>19.308</v>
      </c>
      <c r="D707" s="144">
        <f>ROUND(INDEX(持仓数据!$C$3:$AG$26,MATCH('计算过程-数据汇总'!B707,持仓数据!$B$3:$B$26,0),MATCH('计算过程-数据汇总'!A707,'维护-日期'!$B$2:$AF$2,0)),3)</f>
        <v>19.308</v>
      </c>
      <c r="E707" s="98">
        <f t="shared" ref="E707:E745" si="349">D707*1</f>
        <v>19.308</v>
      </c>
      <c r="F707" s="22">
        <f>持仓数据!AF81</f>
        <v>0.46100000000000002</v>
      </c>
      <c r="G707" s="97">
        <v>372</v>
      </c>
      <c r="H707" s="97">
        <v>372</v>
      </c>
      <c r="I707" s="64">
        <v>0</v>
      </c>
      <c r="J707" s="64">
        <v>0</v>
      </c>
      <c r="K707" s="21">
        <f>IF(持仓数据!AF114="",0,持仓数据!AF114)</f>
        <v>372</v>
      </c>
      <c r="L707" s="21">
        <f t="shared" ref="L707:L745" si="350">I707*J707</f>
        <v>0</v>
      </c>
      <c r="M707" s="28">
        <f t="shared" si="334"/>
        <v>7182.576</v>
      </c>
      <c r="N707" s="28">
        <f t="shared" si="335"/>
        <v>0</v>
      </c>
      <c r="O707" s="28">
        <f t="shared" si="336"/>
        <v>0</v>
      </c>
      <c r="P707" s="28">
        <f t="shared" si="337"/>
        <v>0</v>
      </c>
      <c r="Q707" s="28">
        <f t="shared" ref="Q707:Q745" si="351">IFERROR(IF(ABS((E707-C707)/C707)&gt;0.2,IF(SUM(N707:O707)&lt;0,ABS(G707-H707)*(ABS(C707-E707)-C707*0.2),0),0),IF(SUM(N707:O707)&lt;0,ABS(G707-H707)*(ABS(C707-E707)-C707*0.2),0))</f>
        <v>0</v>
      </c>
      <c r="R707" s="28">
        <f t="shared" si="338"/>
        <v>7182.576</v>
      </c>
      <c r="S707" s="28">
        <f t="shared" ref="S707:S745" si="352">IFERROR((D707-E707)*(K707-G707),0)</f>
        <v>0</v>
      </c>
      <c r="T707" s="28">
        <f t="shared" ref="T707:T745" si="353">IFERROR((F707-D707)*(K707-G707),0)</f>
        <v>0</v>
      </c>
      <c r="U707" s="28">
        <f t="shared" si="327"/>
        <v>0</v>
      </c>
      <c r="V707" s="28">
        <f t="shared" ref="V707:V745" si="354">IFERROR((E707-D707)*(K707-H707),0)</f>
        <v>0</v>
      </c>
      <c r="W707" s="118"/>
      <c r="X707" s="143">
        <f t="shared" ref="X707:X745" si="355">ROUND(D707*1.2-SUM(Y707,AB707,AE707,AH707,AK707,AN707,AQ707,AT707,AW707,AZ707,BC707,BF707,BI707,BL707,BO707),3)</f>
        <v>22.709</v>
      </c>
      <c r="Y707" s="121">
        <f>交易记录!AG14</f>
        <v>0.46100000000000002</v>
      </c>
      <c r="Z707" s="121">
        <f>交易记录!AG45</f>
        <v>372</v>
      </c>
      <c r="AA707" s="30">
        <f t="shared" si="339"/>
        <v>0</v>
      </c>
      <c r="AB707" s="124">
        <f>交易记录!AG78</f>
        <v>0</v>
      </c>
      <c r="AC707" s="124">
        <f>交易记录!AG109</f>
        <v>0</v>
      </c>
      <c r="AD707" s="30">
        <f t="shared" si="328"/>
        <v>0</v>
      </c>
      <c r="AE707" s="121">
        <f>交易记录!AG142</f>
        <v>0</v>
      </c>
      <c r="AF707" s="121">
        <f>交易记录!AG173</f>
        <v>0</v>
      </c>
      <c r="AG707" s="30">
        <f t="shared" si="329"/>
        <v>0</v>
      </c>
      <c r="AH707" s="124">
        <f>交易记录!AG206</f>
        <v>0</v>
      </c>
      <c r="AI707" s="124">
        <f>交易记录!AG237</f>
        <v>0</v>
      </c>
      <c r="AJ707" s="30">
        <f t="shared" si="330"/>
        <v>0</v>
      </c>
      <c r="AK707" s="121">
        <f>交易记录!AG270</f>
        <v>0</v>
      </c>
      <c r="AL707" s="121">
        <f>交易记录!AG301</f>
        <v>0</v>
      </c>
      <c r="AM707" s="30">
        <f t="shared" si="331"/>
        <v>0</v>
      </c>
      <c r="AN707" s="124">
        <f>交易记录!AG334</f>
        <v>0</v>
      </c>
      <c r="AO707" s="124">
        <f>交易记录!AG365</f>
        <v>0</v>
      </c>
      <c r="AP707" s="30">
        <f t="shared" si="332"/>
        <v>0</v>
      </c>
      <c r="AQ707" s="121">
        <f>交易记录!AG398</f>
        <v>0</v>
      </c>
      <c r="AR707" s="121">
        <f>交易记录!AG429</f>
        <v>0</v>
      </c>
      <c r="AS707" s="30">
        <f t="shared" si="333"/>
        <v>0</v>
      </c>
      <c r="AT707" s="124">
        <f>交易记录!AG462</f>
        <v>0</v>
      </c>
      <c r="AU707" s="124">
        <f>交易记录!AG493</f>
        <v>0</v>
      </c>
      <c r="AV707" s="30">
        <f t="shared" si="340"/>
        <v>0</v>
      </c>
      <c r="AW707" s="121">
        <f>交易记录!AG526</f>
        <v>0</v>
      </c>
      <c r="AX707" s="121">
        <f>交易记录!AG557</f>
        <v>0</v>
      </c>
      <c r="AY707" s="30">
        <f t="shared" si="341"/>
        <v>0</v>
      </c>
      <c r="AZ707" s="124">
        <f>交易记录!AG590</f>
        <v>0</v>
      </c>
      <c r="BA707" s="124">
        <f>交易记录!AG621</f>
        <v>0</v>
      </c>
      <c r="BB707" s="30">
        <f t="shared" si="342"/>
        <v>0</v>
      </c>
      <c r="BC707" s="121">
        <f>交易记录!AG654</f>
        <v>0</v>
      </c>
      <c r="BD707" s="121">
        <f>交易记录!AG685</f>
        <v>0</v>
      </c>
      <c r="BE707" s="30">
        <f t="shared" si="343"/>
        <v>0</v>
      </c>
      <c r="BF707" s="124">
        <f>交易记录!AG718</f>
        <v>0</v>
      </c>
      <c r="BG707" s="124">
        <f>交易记录!AG749</f>
        <v>0</v>
      </c>
      <c r="BH707" s="30">
        <f t="shared" si="344"/>
        <v>0</v>
      </c>
      <c r="BI707" s="121">
        <f>交易记录!AG782</f>
        <v>0</v>
      </c>
      <c r="BJ707" s="121">
        <f>交易记录!AG813</f>
        <v>0</v>
      </c>
      <c r="BK707" s="30">
        <f t="shared" si="345"/>
        <v>0</v>
      </c>
      <c r="BL707" s="124">
        <f>交易记录!AG846</f>
        <v>0</v>
      </c>
      <c r="BM707" s="124">
        <f>交易记录!AG877</f>
        <v>0</v>
      </c>
      <c r="BN707" s="30">
        <f t="shared" si="346"/>
        <v>0</v>
      </c>
      <c r="BO707" s="121">
        <f>交易记录!AG910</f>
        <v>0</v>
      </c>
      <c r="BP707" s="121">
        <f>交易记录!AG941</f>
        <v>0</v>
      </c>
      <c r="BQ707" s="30">
        <f t="shared" si="347"/>
        <v>0</v>
      </c>
    </row>
    <row r="708" spans="1:69" ht="15">
      <c r="A708" s="125">
        <f>'维护-日期'!A$32</f>
        <v>46295</v>
      </c>
      <c r="B708" s="7" t="s">
        <v>16</v>
      </c>
      <c r="C708" s="144">
        <f t="shared" si="348"/>
        <v>21.01</v>
      </c>
      <c r="D708" s="144">
        <f>ROUND(INDEX(持仓数据!$C$3:$AG$26,MATCH('计算过程-数据汇总'!B708,持仓数据!$B$3:$B$26,0),MATCH('计算过程-数据汇总'!A708,'维护-日期'!$B$2:$AF$2,0)),3)</f>
        <v>21.01</v>
      </c>
      <c r="E708" s="98">
        <f t="shared" si="349"/>
        <v>21.01</v>
      </c>
      <c r="F708" s="22">
        <f>持仓数据!AF82</f>
        <v>0.46700000000000003</v>
      </c>
      <c r="G708" s="97">
        <v>372</v>
      </c>
      <c r="H708" s="97">
        <v>372</v>
      </c>
      <c r="I708" s="64">
        <v>0</v>
      </c>
      <c r="J708" s="64">
        <v>0</v>
      </c>
      <c r="K708" s="21">
        <f>IF(持仓数据!AF115="",0,持仓数据!AF115)</f>
        <v>372</v>
      </c>
      <c r="L708" s="21">
        <f t="shared" si="350"/>
        <v>0</v>
      </c>
      <c r="M708" s="28">
        <f t="shared" si="334"/>
        <v>7815.72</v>
      </c>
      <c r="N708" s="28">
        <f t="shared" si="335"/>
        <v>0</v>
      </c>
      <c r="O708" s="28">
        <f t="shared" si="336"/>
        <v>0</v>
      </c>
      <c r="P708" s="28">
        <f t="shared" si="337"/>
        <v>0</v>
      </c>
      <c r="Q708" s="28">
        <f t="shared" si="351"/>
        <v>0</v>
      </c>
      <c r="R708" s="28">
        <f t="shared" si="338"/>
        <v>7815.72</v>
      </c>
      <c r="S708" s="28">
        <f t="shared" si="352"/>
        <v>0</v>
      </c>
      <c r="T708" s="28">
        <f t="shared" si="353"/>
        <v>0</v>
      </c>
      <c r="U708" s="28">
        <f t="shared" ref="U708:U745" si="356">IFERROR((D708-C708)*(K708-H708),0)</f>
        <v>0</v>
      </c>
      <c r="V708" s="28">
        <f t="shared" si="354"/>
        <v>0</v>
      </c>
      <c r="W708" s="118"/>
      <c r="X708" s="143">
        <f t="shared" si="355"/>
        <v>24.745000000000001</v>
      </c>
      <c r="Y708" s="121">
        <f>交易记录!AG15</f>
        <v>0.46700000000000003</v>
      </c>
      <c r="Z708" s="121">
        <f>交易记录!AG46</f>
        <v>372</v>
      </c>
      <c r="AA708" s="30">
        <f t="shared" si="339"/>
        <v>0</v>
      </c>
      <c r="AB708" s="124">
        <f>交易记录!AG79</f>
        <v>0</v>
      </c>
      <c r="AC708" s="124">
        <f>交易记录!AG110</f>
        <v>0</v>
      </c>
      <c r="AD708" s="30">
        <f t="shared" si="328"/>
        <v>0</v>
      </c>
      <c r="AE708" s="121">
        <f>交易记录!AG143</f>
        <v>0</v>
      </c>
      <c r="AF708" s="121">
        <f>交易记录!AG174</f>
        <v>0</v>
      </c>
      <c r="AG708" s="30">
        <f t="shared" si="329"/>
        <v>0</v>
      </c>
      <c r="AH708" s="124">
        <f>交易记录!AG207</f>
        <v>0</v>
      </c>
      <c r="AI708" s="124">
        <f>交易记录!AG238</f>
        <v>0</v>
      </c>
      <c r="AJ708" s="30">
        <f t="shared" si="330"/>
        <v>0</v>
      </c>
      <c r="AK708" s="121">
        <f>交易记录!AG271</f>
        <v>0</v>
      </c>
      <c r="AL708" s="121">
        <f>交易记录!AG302</f>
        <v>0</v>
      </c>
      <c r="AM708" s="30">
        <f t="shared" si="331"/>
        <v>0</v>
      </c>
      <c r="AN708" s="124">
        <f>交易记录!AG335</f>
        <v>0</v>
      </c>
      <c r="AO708" s="124">
        <f>交易记录!AG366</f>
        <v>0</v>
      </c>
      <c r="AP708" s="30">
        <f t="shared" si="332"/>
        <v>0</v>
      </c>
      <c r="AQ708" s="121">
        <f>交易记录!AG399</f>
        <v>0</v>
      </c>
      <c r="AR708" s="121">
        <f>交易记录!AG430</f>
        <v>0</v>
      </c>
      <c r="AS708" s="30">
        <f t="shared" si="333"/>
        <v>0</v>
      </c>
      <c r="AT708" s="124">
        <f>交易记录!AG463</f>
        <v>0</v>
      </c>
      <c r="AU708" s="124">
        <f>交易记录!AG494</f>
        <v>0</v>
      </c>
      <c r="AV708" s="30">
        <f t="shared" si="340"/>
        <v>0</v>
      </c>
      <c r="AW708" s="121">
        <f>交易记录!AG527</f>
        <v>0</v>
      </c>
      <c r="AX708" s="121">
        <f>交易记录!AG558</f>
        <v>0</v>
      </c>
      <c r="AY708" s="30">
        <f t="shared" si="341"/>
        <v>0</v>
      </c>
      <c r="AZ708" s="124">
        <f>交易记录!AG591</f>
        <v>0</v>
      </c>
      <c r="BA708" s="124">
        <f>交易记录!AG622</f>
        <v>0</v>
      </c>
      <c r="BB708" s="30">
        <f t="shared" si="342"/>
        <v>0</v>
      </c>
      <c r="BC708" s="121">
        <f>交易记录!AG655</f>
        <v>0</v>
      </c>
      <c r="BD708" s="121">
        <f>交易记录!AG686</f>
        <v>0</v>
      </c>
      <c r="BE708" s="30">
        <f t="shared" si="343"/>
        <v>0</v>
      </c>
      <c r="BF708" s="124">
        <f>交易记录!AG719</f>
        <v>0</v>
      </c>
      <c r="BG708" s="124">
        <f>交易记录!AG750</f>
        <v>0</v>
      </c>
      <c r="BH708" s="30">
        <f t="shared" si="344"/>
        <v>0</v>
      </c>
      <c r="BI708" s="121">
        <f>交易记录!AG783</f>
        <v>0</v>
      </c>
      <c r="BJ708" s="121">
        <f>交易记录!AG814</f>
        <v>0</v>
      </c>
      <c r="BK708" s="30">
        <f t="shared" si="345"/>
        <v>0</v>
      </c>
      <c r="BL708" s="124">
        <f>交易记录!AG847</f>
        <v>0</v>
      </c>
      <c r="BM708" s="124">
        <f>交易记录!AG878</f>
        <v>0</v>
      </c>
      <c r="BN708" s="30">
        <f t="shared" si="346"/>
        <v>0</v>
      </c>
      <c r="BO708" s="121">
        <f>交易记录!AG911</f>
        <v>0</v>
      </c>
      <c r="BP708" s="121">
        <f>交易记录!AG942</f>
        <v>0</v>
      </c>
      <c r="BQ708" s="30">
        <f t="shared" si="347"/>
        <v>0</v>
      </c>
    </row>
    <row r="709" spans="1:69" ht="15">
      <c r="A709" s="125">
        <f>'维护-日期'!A$32</f>
        <v>46295</v>
      </c>
      <c r="B709" s="7" t="s">
        <v>17</v>
      </c>
      <c r="C709" s="144">
        <f t="shared" si="348"/>
        <v>21.329000000000001</v>
      </c>
      <c r="D709" s="144">
        <f>ROUND(INDEX(持仓数据!$C$3:$AG$26,MATCH('计算过程-数据汇总'!B709,持仓数据!$B$3:$B$26,0),MATCH('计算过程-数据汇总'!A709,'维护-日期'!$B$2:$AF$2,0)),3)</f>
        <v>21.329000000000001</v>
      </c>
      <c r="E709" s="98">
        <f t="shared" si="349"/>
        <v>21.329000000000001</v>
      </c>
      <c r="F709" s="22">
        <f>持仓数据!AF83</f>
        <v>0.32100000000000001</v>
      </c>
      <c r="G709" s="97">
        <v>372</v>
      </c>
      <c r="H709" s="97">
        <v>372</v>
      </c>
      <c r="I709" s="64">
        <v>0</v>
      </c>
      <c r="J709" s="64">
        <v>0</v>
      </c>
      <c r="K709" s="21">
        <f>IF(持仓数据!AF116="",0,持仓数据!AF116)</f>
        <v>372</v>
      </c>
      <c r="L709" s="21">
        <f t="shared" si="350"/>
        <v>0</v>
      </c>
      <c r="M709" s="28">
        <f t="shared" si="334"/>
        <v>7934.3879999999999</v>
      </c>
      <c r="N709" s="28">
        <f t="shared" si="335"/>
        <v>0</v>
      </c>
      <c r="O709" s="28">
        <f t="shared" si="336"/>
        <v>0</v>
      </c>
      <c r="P709" s="28">
        <f t="shared" si="337"/>
        <v>0</v>
      </c>
      <c r="Q709" s="28">
        <f t="shared" si="351"/>
        <v>0</v>
      </c>
      <c r="R709" s="28">
        <f t="shared" si="338"/>
        <v>7934.3879999999999</v>
      </c>
      <c r="S709" s="28">
        <f t="shared" si="352"/>
        <v>0</v>
      </c>
      <c r="T709" s="28">
        <f t="shared" si="353"/>
        <v>0</v>
      </c>
      <c r="U709" s="28">
        <f t="shared" si="356"/>
        <v>0</v>
      </c>
      <c r="V709" s="28">
        <f t="shared" si="354"/>
        <v>0</v>
      </c>
      <c r="W709" s="118"/>
      <c r="X709" s="143">
        <f t="shared" si="355"/>
        <v>25.274000000000001</v>
      </c>
      <c r="Y709" s="121">
        <f>交易记录!AG16</f>
        <v>0.32100000000000001</v>
      </c>
      <c r="Z709" s="121">
        <f>交易记录!AG47</f>
        <v>372</v>
      </c>
      <c r="AA709" s="30">
        <f t="shared" si="339"/>
        <v>0</v>
      </c>
      <c r="AB709" s="124">
        <f>交易记录!AG80</f>
        <v>0</v>
      </c>
      <c r="AC709" s="124">
        <f>交易记录!AG111</f>
        <v>0</v>
      </c>
      <c r="AD709" s="30">
        <f t="shared" si="328"/>
        <v>0</v>
      </c>
      <c r="AE709" s="121">
        <f>交易记录!AG144</f>
        <v>0</v>
      </c>
      <c r="AF709" s="121">
        <f>交易记录!AG175</f>
        <v>0</v>
      </c>
      <c r="AG709" s="30">
        <f t="shared" si="329"/>
        <v>0</v>
      </c>
      <c r="AH709" s="124">
        <f>交易记录!AG208</f>
        <v>0</v>
      </c>
      <c r="AI709" s="124">
        <f>交易记录!AG239</f>
        <v>0</v>
      </c>
      <c r="AJ709" s="30">
        <f t="shared" si="330"/>
        <v>0</v>
      </c>
      <c r="AK709" s="121">
        <f>交易记录!AG272</f>
        <v>0</v>
      </c>
      <c r="AL709" s="121">
        <f>交易记录!AG303</f>
        <v>0</v>
      </c>
      <c r="AM709" s="30">
        <f t="shared" si="331"/>
        <v>0</v>
      </c>
      <c r="AN709" s="124">
        <f>交易记录!AG336</f>
        <v>0</v>
      </c>
      <c r="AO709" s="124">
        <f>交易记录!AG367</f>
        <v>0</v>
      </c>
      <c r="AP709" s="30">
        <f t="shared" si="332"/>
        <v>0</v>
      </c>
      <c r="AQ709" s="121">
        <f>交易记录!AG400</f>
        <v>0</v>
      </c>
      <c r="AR709" s="121">
        <f>交易记录!AG431</f>
        <v>0</v>
      </c>
      <c r="AS709" s="30">
        <f t="shared" si="333"/>
        <v>0</v>
      </c>
      <c r="AT709" s="124">
        <f>交易记录!AG464</f>
        <v>0</v>
      </c>
      <c r="AU709" s="124">
        <f>交易记录!AG495</f>
        <v>0</v>
      </c>
      <c r="AV709" s="30">
        <f t="shared" si="340"/>
        <v>0</v>
      </c>
      <c r="AW709" s="121">
        <f>交易记录!AG528</f>
        <v>0</v>
      </c>
      <c r="AX709" s="121">
        <f>交易记录!AG559</f>
        <v>0</v>
      </c>
      <c r="AY709" s="30">
        <f t="shared" si="341"/>
        <v>0</v>
      </c>
      <c r="AZ709" s="124">
        <f>交易记录!AG592</f>
        <v>0</v>
      </c>
      <c r="BA709" s="124">
        <f>交易记录!AG623</f>
        <v>0</v>
      </c>
      <c r="BB709" s="30">
        <f t="shared" si="342"/>
        <v>0</v>
      </c>
      <c r="BC709" s="121">
        <f>交易记录!AG656</f>
        <v>0</v>
      </c>
      <c r="BD709" s="121">
        <f>交易记录!AG687</f>
        <v>0</v>
      </c>
      <c r="BE709" s="30">
        <f t="shared" si="343"/>
        <v>0</v>
      </c>
      <c r="BF709" s="124">
        <f>交易记录!AG720</f>
        <v>0</v>
      </c>
      <c r="BG709" s="124">
        <f>交易记录!AG751</f>
        <v>0</v>
      </c>
      <c r="BH709" s="30">
        <f t="shared" si="344"/>
        <v>0</v>
      </c>
      <c r="BI709" s="121">
        <f>交易记录!AG784</f>
        <v>0</v>
      </c>
      <c r="BJ709" s="121">
        <f>交易记录!AG815</f>
        <v>0</v>
      </c>
      <c r="BK709" s="30">
        <f t="shared" si="345"/>
        <v>0</v>
      </c>
      <c r="BL709" s="124">
        <f>交易记录!AG848</f>
        <v>0</v>
      </c>
      <c r="BM709" s="124">
        <f>交易记录!AG879</f>
        <v>0</v>
      </c>
      <c r="BN709" s="30">
        <f t="shared" si="346"/>
        <v>0</v>
      </c>
      <c r="BO709" s="121">
        <f>交易记录!AG912</f>
        <v>0</v>
      </c>
      <c r="BP709" s="121">
        <f>交易记录!AG943</f>
        <v>0</v>
      </c>
      <c r="BQ709" s="30">
        <f t="shared" si="347"/>
        <v>0</v>
      </c>
    </row>
    <row r="710" spans="1:69" ht="15">
      <c r="A710" s="125">
        <f>'维护-日期'!A$32</f>
        <v>46295</v>
      </c>
      <c r="B710" s="7" t="s">
        <v>18</v>
      </c>
      <c r="C710" s="144">
        <f t="shared" si="348"/>
        <v>22.643999999999998</v>
      </c>
      <c r="D710" s="144">
        <f>ROUND(INDEX(持仓数据!$C$3:$AG$26,MATCH('计算过程-数据汇总'!B710,持仓数据!$B$3:$B$26,0),MATCH('计算过程-数据汇总'!A710,'维护-日期'!$B$2:$AF$2,0)),3)</f>
        <v>22.643999999999998</v>
      </c>
      <c r="E710" s="98">
        <f t="shared" si="349"/>
        <v>22.643999999999998</v>
      </c>
      <c r="F710" s="22">
        <f>持仓数据!AF84</f>
        <v>7.8E-2</v>
      </c>
      <c r="G710" s="97">
        <v>372</v>
      </c>
      <c r="H710" s="97">
        <v>372</v>
      </c>
      <c r="I710" s="64">
        <v>0</v>
      </c>
      <c r="J710" s="64">
        <v>0</v>
      </c>
      <c r="K710" s="21">
        <f>IF(持仓数据!AF117="",0,持仓数据!AF117)</f>
        <v>372</v>
      </c>
      <c r="L710" s="21">
        <f t="shared" si="350"/>
        <v>0</v>
      </c>
      <c r="M710" s="28">
        <f t="shared" si="334"/>
        <v>8423.5679999999993</v>
      </c>
      <c r="N710" s="28">
        <f t="shared" si="335"/>
        <v>0</v>
      </c>
      <c r="O710" s="28">
        <f t="shared" si="336"/>
        <v>0</v>
      </c>
      <c r="P710" s="28">
        <f t="shared" si="337"/>
        <v>0</v>
      </c>
      <c r="Q710" s="28">
        <f t="shared" si="351"/>
        <v>0</v>
      </c>
      <c r="R710" s="28">
        <f t="shared" si="338"/>
        <v>8423.5679999999993</v>
      </c>
      <c r="S710" s="28">
        <f t="shared" si="352"/>
        <v>0</v>
      </c>
      <c r="T710" s="28">
        <f t="shared" si="353"/>
        <v>0</v>
      </c>
      <c r="U710" s="28">
        <f t="shared" si="356"/>
        <v>0</v>
      </c>
      <c r="V710" s="28">
        <f t="shared" si="354"/>
        <v>0</v>
      </c>
      <c r="W710" s="118"/>
      <c r="X710" s="143">
        <f t="shared" si="355"/>
        <v>27.094999999999999</v>
      </c>
      <c r="Y710" s="121">
        <f>交易记录!AG17</f>
        <v>7.8E-2</v>
      </c>
      <c r="Z710" s="121">
        <f>交易记录!AG48</f>
        <v>372</v>
      </c>
      <c r="AA710" s="30">
        <f t="shared" si="339"/>
        <v>0</v>
      </c>
      <c r="AB710" s="124">
        <f>交易记录!AG81</f>
        <v>0</v>
      </c>
      <c r="AC710" s="124">
        <f>交易记录!AG112</f>
        <v>0</v>
      </c>
      <c r="AD710" s="30">
        <f t="shared" si="328"/>
        <v>0</v>
      </c>
      <c r="AE710" s="121">
        <f>交易记录!AG145</f>
        <v>0</v>
      </c>
      <c r="AF710" s="121">
        <f>交易记录!AG176</f>
        <v>0</v>
      </c>
      <c r="AG710" s="30">
        <f t="shared" si="329"/>
        <v>0</v>
      </c>
      <c r="AH710" s="124">
        <f>交易记录!AG209</f>
        <v>0</v>
      </c>
      <c r="AI710" s="124">
        <f>交易记录!AG240</f>
        <v>0</v>
      </c>
      <c r="AJ710" s="30">
        <f t="shared" si="330"/>
        <v>0</v>
      </c>
      <c r="AK710" s="121">
        <f>交易记录!AG273</f>
        <v>0</v>
      </c>
      <c r="AL710" s="121">
        <f>交易记录!AG304</f>
        <v>0</v>
      </c>
      <c r="AM710" s="30">
        <f t="shared" si="331"/>
        <v>0</v>
      </c>
      <c r="AN710" s="124">
        <f>交易记录!AG337</f>
        <v>0</v>
      </c>
      <c r="AO710" s="124">
        <f>交易记录!AG368</f>
        <v>0</v>
      </c>
      <c r="AP710" s="30">
        <f t="shared" si="332"/>
        <v>0</v>
      </c>
      <c r="AQ710" s="121">
        <f>交易记录!AG401</f>
        <v>0</v>
      </c>
      <c r="AR710" s="121">
        <f>交易记录!AG432</f>
        <v>0</v>
      </c>
      <c r="AS710" s="30">
        <f t="shared" si="333"/>
        <v>0</v>
      </c>
      <c r="AT710" s="124">
        <f>交易记录!AG465</f>
        <v>0</v>
      </c>
      <c r="AU710" s="124">
        <f>交易记录!AG496</f>
        <v>0</v>
      </c>
      <c r="AV710" s="30">
        <f t="shared" si="340"/>
        <v>0</v>
      </c>
      <c r="AW710" s="121">
        <f>交易记录!AG529</f>
        <v>0</v>
      </c>
      <c r="AX710" s="121">
        <f>交易记录!AG560</f>
        <v>0</v>
      </c>
      <c r="AY710" s="30">
        <f t="shared" si="341"/>
        <v>0</v>
      </c>
      <c r="AZ710" s="124">
        <f>交易记录!AG593</f>
        <v>0</v>
      </c>
      <c r="BA710" s="124">
        <f>交易记录!AG624</f>
        <v>0</v>
      </c>
      <c r="BB710" s="30">
        <f t="shared" si="342"/>
        <v>0</v>
      </c>
      <c r="BC710" s="121">
        <f>交易记录!AG657</f>
        <v>0</v>
      </c>
      <c r="BD710" s="121">
        <f>交易记录!AG688</f>
        <v>0</v>
      </c>
      <c r="BE710" s="30">
        <f t="shared" si="343"/>
        <v>0</v>
      </c>
      <c r="BF710" s="124">
        <f>交易记录!AG721</f>
        <v>0</v>
      </c>
      <c r="BG710" s="124">
        <f>交易记录!AG752</f>
        <v>0</v>
      </c>
      <c r="BH710" s="30">
        <f t="shared" si="344"/>
        <v>0</v>
      </c>
      <c r="BI710" s="121">
        <f>交易记录!AG785</f>
        <v>0</v>
      </c>
      <c r="BJ710" s="121">
        <f>交易记录!AG816</f>
        <v>0</v>
      </c>
      <c r="BK710" s="30">
        <f t="shared" si="345"/>
        <v>0</v>
      </c>
      <c r="BL710" s="124">
        <f>交易记录!AG849</f>
        <v>0</v>
      </c>
      <c r="BM710" s="124">
        <f>交易记录!AG880</f>
        <v>0</v>
      </c>
      <c r="BN710" s="30">
        <f t="shared" si="346"/>
        <v>0</v>
      </c>
      <c r="BO710" s="121">
        <f>交易记录!AG913</f>
        <v>0</v>
      </c>
      <c r="BP710" s="121">
        <f>交易记录!AG944</f>
        <v>0</v>
      </c>
      <c r="BQ710" s="30">
        <f t="shared" si="347"/>
        <v>0</v>
      </c>
    </row>
    <row r="711" spans="1:69" ht="15">
      <c r="A711" s="125">
        <f>'维护-日期'!A$32</f>
        <v>46295</v>
      </c>
      <c r="B711" s="7" t="s">
        <v>19</v>
      </c>
      <c r="C711" s="144">
        <f t="shared" si="348"/>
        <v>22.904</v>
      </c>
      <c r="D711" s="144">
        <f>ROUND(INDEX(持仓数据!$C$3:$AG$26,MATCH('计算过程-数据汇总'!B711,持仓数据!$B$3:$B$26,0),MATCH('计算过程-数据汇总'!A711,'维护-日期'!$B$2:$AF$2,0)),3)</f>
        <v>22.904</v>
      </c>
      <c r="E711" s="98">
        <f t="shared" si="349"/>
        <v>22.904</v>
      </c>
      <c r="F711" s="22">
        <f>持仓数据!AF85</f>
        <v>0.19500000000000001</v>
      </c>
      <c r="G711" s="97">
        <v>372</v>
      </c>
      <c r="H711" s="97">
        <v>372</v>
      </c>
      <c r="I711" s="64">
        <v>0</v>
      </c>
      <c r="J711" s="64">
        <v>0</v>
      </c>
      <c r="K711" s="21">
        <f>IF(持仓数据!AF118="",0,持仓数据!AF118)</f>
        <v>372</v>
      </c>
      <c r="L711" s="21">
        <f t="shared" si="350"/>
        <v>0</v>
      </c>
      <c r="M711" s="28">
        <f t="shared" si="334"/>
        <v>8520.2880000000005</v>
      </c>
      <c r="N711" s="28">
        <f t="shared" si="335"/>
        <v>0</v>
      </c>
      <c r="O711" s="28">
        <f t="shared" si="336"/>
        <v>0</v>
      </c>
      <c r="P711" s="28">
        <f t="shared" si="337"/>
        <v>0</v>
      </c>
      <c r="Q711" s="28">
        <f t="shared" si="351"/>
        <v>0</v>
      </c>
      <c r="R711" s="28">
        <f t="shared" si="338"/>
        <v>8520.2880000000005</v>
      </c>
      <c r="S711" s="28">
        <f t="shared" si="352"/>
        <v>0</v>
      </c>
      <c r="T711" s="28">
        <f t="shared" si="353"/>
        <v>0</v>
      </c>
      <c r="U711" s="28">
        <f t="shared" si="356"/>
        <v>0</v>
      </c>
      <c r="V711" s="28">
        <f t="shared" si="354"/>
        <v>0</v>
      </c>
      <c r="W711" s="118"/>
      <c r="X711" s="143">
        <f t="shared" si="355"/>
        <v>27.29</v>
      </c>
      <c r="Y711" s="121">
        <f>交易记录!AG18</f>
        <v>0.19500000000000001</v>
      </c>
      <c r="Z711" s="121">
        <f>交易记录!AG49</f>
        <v>372</v>
      </c>
      <c r="AA711" s="30">
        <f t="shared" si="339"/>
        <v>0</v>
      </c>
      <c r="AB711" s="124">
        <f>交易记录!AG82</f>
        <v>0</v>
      </c>
      <c r="AC711" s="124">
        <f>交易记录!AG113</f>
        <v>0</v>
      </c>
      <c r="AD711" s="30">
        <f t="shared" si="328"/>
        <v>0</v>
      </c>
      <c r="AE711" s="121">
        <f>交易记录!AG146</f>
        <v>0</v>
      </c>
      <c r="AF711" s="121">
        <f>交易记录!AG177</f>
        <v>0</v>
      </c>
      <c r="AG711" s="30">
        <f t="shared" si="329"/>
        <v>0</v>
      </c>
      <c r="AH711" s="124">
        <f>交易记录!AG210</f>
        <v>0</v>
      </c>
      <c r="AI711" s="124">
        <f>交易记录!AG241</f>
        <v>0</v>
      </c>
      <c r="AJ711" s="30">
        <f t="shared" si="330"/>
        <v>0</v>
      </c>
      <c r="AK711" s="121">
        <f>交易记录!AG274</f>
        <v>0</v>
      </c>
      <c r="AL711" s="121">
        <f>交易记录!AG305</f>
        <v>0</v>
      </c>
      <c r="AM711" s="30">
        <f t="shared" si="331"/>
        <v>0</v>
      </c>
      <c r="AN711" s="124">
        <f>交易记录!AG338</f>
        <v>0</v>
      </c>
      <c r="AO711" s="124">
        <f>交易记录!AG369</f>
        <v>0</v>
      </c>
      <c r="AP711" s="30">
        <f t="shared" si="332"/>
        <v>0</v>
      </c>
      <c r="AQ711" s="121">
        <f>交易记录!AG402</f>
        <v>0</v>
      </c>
      <c r="AR711" s="121">
        <f>交易记录!AG433</f>
        <v>0</v>
      </c>
      <c r="AS711" s="30">
        <f t="shared" si="333"/>
        <v>0</v>
      </c>
      <c r="AT711" s="124">
        <f>交易记录!AG466</f>
        <v>0</v>
      </c>
      <c r="AU711" s="124">
        <f>交易记录!AG497</f>
        <v>0</v>
      </c>
      <c r="AV711" s="30">
        <f t="shared" si="340"/>
        <v>0</v>
      </c>
      <c r="AW711" s="121">
        <f>交易记录!AG530</f>
        <v>0</v>
      </c>
      <c r="AX711" s="121">
        <f>交易记录!AG561</f>
        <v>0</v>
      </c>
      <c r="AY711" s="30">
        <f t="shared" si="341"/>
        <v>0</v>
      </c>
      <c r="AZ711" s="124">
        <f>交易记录!AG594</f>
        <v>0</v>
      </c>
      <c r="BA711" s="124">
        <f>交易记录!AG625</f>
        <v>0</v>
      </c>
      <c r="BB711" s="30">
        <f t="shared" si="342"/>
        <v>0</v>
      </c>
      <c r="BC711" s="121">
        <f>交易记录!AG658</f>
        <v>0</v>
      </c>
      <c r="BD711" s="121">
        <f>交易记录!AG689</f>
        <v>0</v>
      </c>
      <c r="BE711" s="30">
        <f t="shared" si="343"/>
        <v>0</v>
      </c>
      <c r="BF711" s="124">
        <f>交易记录!AG722</f>
        <v>0</v>
      </c>
      <c r="BG711" s="124">
        <f>交易记录!AG753</f>
        <v>0</v>
      </c>
      <c r="BH711" s="30">
        <f t="shared" si="344"/>
        <v>0</v>
      </c>
      <c r="BI711" s="121">
        <f>交易记录!AG786</f>
        <v>0</v>
      </c>
      <c r="BJ711" s="121">
        <f>交易记录!AG817</f>
        <v>0</v>
      </c>
      <c r="BK711" s="30">
        <f t="shared" si="345"/>
        <v>0</v>
      </c>
      <c r="BL711" s="124">
        <f>交易记录!AG850</f>
        <v>0</v>
      </c>
      <c r="BM711" s="124">
        <f>交易记录!AG881</f>
        <v>0</v>
      </c>
      <c r="BN711" s="30">
        <f t="shared" si="346"/>
        <v>0</v>
      </c>
      <c r="BO711" s="121">
        <f>交易记录!AG914</f>
        <v>0</v>
      </c>
      <c r="BP711" s="121">
        <f>交易记录!AG945</f>
        <v>0</v>
      </c>
      <c r="BQ711" s="30">
        <f t="shared" si="347"/>
        <v>0</v>
      </c>
    </row>
    <row r="712" spans="1:69" ht="15">
      <c r="A712" s="125">
        <f>'维护-日期'!A$32</f>
        <v>46295</v>
      </c>
      <c r="B712" s="7" t="s">
        <v>20</v>
      </c>
      <c r="C712" s="144">
        <f t="shared" si="348"/>
        <v>22.071000000000002</v>
      </c>
      <c r="D712" s="144">
        <f>ROUND(INDEX(持仓数据!$C$3:$AG$26,MATCH('计算过程-数据汇总'!B712,持仓数据!$B$3:$B$26,0),MATCH('计算过程-数据汇总'!A712,'维护-日期'!$B$2:$AF$2,0)),3)</f>
        <v>22.071000000000002</v>
      </c>
      <c r="E712" s="98">
        <f t="shared" si="349"/>
        <v>22.071000000000002</v>
      </c>
      <c r="F712" s="22">
        <f>持仓数据!AF86</f>
        <v>0.34599999999999997</v>
      </c>
      <c r="G712" s="97">
        <v>372</v>
      </c>
      <c r="H712" s="97">
        <v>372</v>
      </c>
      <c r="I712" s="64">
        <v>0</v>
      </c>
      <c r="J712" s="64">
        <v>0</v>
      </c>
      <c r="K712" s="21">
        <f>IF(持仓数据!AF119="",0,持仓数据!AF119)</f>
        <v>372</v>
      </c>
      <c r="L712" s="21">
        <f t="shared" si="350"/>
        <v>0</v>
      </c>
      <c r="M712" s="28">
        <f t="shared" si="334"/>
        <v>8210.4120000000003</v>
      </c>
      <c r="N712" s="28">
        <f t="shared" si="335"/>
        <v>0</v>
      </c>
      <c r="O712" s="28">
        <f t="shared" si="336"/>
        <v>0</v>
      </c>
      <c r="P712" s="28">
        <f t="shared" si="337"/>
        <v>0</v>
      </c>
      <c r="Q712" s="28">
        <f t="shared" si="351"/>
        <v>0</v>
      </c>
      <c r="R712" s="28">
        <f t="shared" si="338"/>
        <v>8210.4120000000003</v>
      </c>
      <c r="S712" s="28">
        <f t="shared" si="352"/>
        <v>0</v>
      </c>
      <c r="T712" s="28">
        <f t="shared" si="353"/>
        <v>0</v>
      </c>
      <c r="U712" s="28">
        <f t="shared" si="356"/>
        <v>0</v>
      </c>
      <c r="V712" s="28">
        <f t="shared" si="354"/>
        <v>0</v>
      </c>
      <c r="W712" s="118"/>
      <c r="X712" s="143">
        <f t="shared" si="355"/>
        <v>26.138999999999999</v>
      </c>
      <c r="Y712" s="121">
        <f>交易记录!AG19</f>
        <v>0.34599999999999997</v>
      </c>
      <c r="Z712" s="121">
        <f>交易记录!AG50</f>
        <v>372</v>
      </c>
      <c r="AA712" s="30">
        <f t="shared" si="339"/>
        <v>0</v>
      </c>
      <c r="AB712" s="124">
        <f>交易记录!AG83</f>
        <v>0</v>
      </c>
      <c r="AC712" s="124">
        <f>交易记录!AG114</f>
        <v>0</v>
      </c>
      <c r="AD712" s="30">
        <f t="shared" si="328"/>
        <v>0</v>
      </c>
      <c r="AE712" s="121">
        <f>交易记录!AG147</f>
        <v>0</v>
      </c>
      <c r="AF712" s="121">
        <f>交易记录!AG178</f>
        <v>0</v>
      </c>
      <c r="AG712" s="30">
        <f t="shared" si="329"/>
        <v>0</v>
      </c>
      <c r="AH712" s="124">
        <f>交易记录!AG211</f>
        <v>0</v>
      </c>
      <c r="AI712" s="124">
        <f>交易记录!AG242</f>
        <v>0</v>
      </c>
      <c r="AJ712" s="30">
        <f t="shared" si="330"/>
        <v>0</v>
      </c>
      <c r="AK712" s="121">
        <f>交易记录!AG275</f>
        <v>0</v>
      </c>
      <c r="AL712" s="121">
        <f>交易记录!AG306</f>
        <v>0</v>
      </c>
      <c r="AM712" s="30">
        <f t="shared" si="331"/>
        <v>0</v>
      </c>
      <c r="AN712" s="124">
        <f>交易记录!AG339</f>
        <v>0</v>
      </c>
      <c r="AO712" s="124">
        <f>交易记录!AG370</f>
        <v>0</v>
      </c>
      <c r="AP712" s="30">
        <f t="shared" si="332"/>
        <v>0</v>
      </c>
      <c r="AQ712" s="121">
        <f>交易记录!AG403</f>
        <v>0</v>
      </c>
      <c r="AR712" s="121">
        <f>交易记录!AG434</f>
        <v>0</v>
      </c>
      <c r="AS712" s="30">
        <f t="shared" si="333"/>
        <v>0</v>
      </c>
      <c r="AT712" s="124">
        <f>交易记录!AG467</f>
        <v>0</v>
      </c>
      <c r="AU712" s="124">
        <f>交易记录!AG498</f>
        <v>0</v>
      </c>
      <c r="AV712" s="30">
        <f t="shared" si="340"/>
        <v>0</v>
      </c>
      <c r="AW712" s="121">
        <f>交易记录!AG531</f>
        <v>0</v>
      </c>
      <c r="AX712" s="121">
        <f>交易记录!AG562</f>
        <v>0</v>
      </c>
      <c r="AY712" s="30">
        <f t="shared" si="341"/>
        <v>0</v>
      </c>
      <c r="AZ712" s="124">
        <f>交易记录!AG595</f>
        <v>0</v>
      </c>
      <c r="BA712" s="124">
        <f>交易记录!AG626</f>
        <v>0</v>
      </c>
      <c r="BB712" s="30">
        <f t="shared" si="342"/>
        <v>0</v>
      </c>
      <c r="BC712" s="121">
        <f>交易记录!AG659</f>
        <v>0</v>
      </c>
      <c r="BD712" s="121">
        <f>交易记录!AG690</f>
        <v>0</v>
      </c>
      <c r="BE712" s="30">
        <f t="shared" si="343"/>
        <v>0</v>
      </c>
      <c r="BF712" s="124">
        <f>交易记录!AG723</f>
        <v>0</v>
      </c>
      <c r="BG712" s="124">
        <f>交易记录!AG754</f>
        <v>0</v>
      </c>
      <c r="BH712" s="30">
        <f t="shared" si="344"/>
        <v>0</v>
      </c>
      <c r="BI712" s="121">
        <f>交易记录!AG787</f>
        <v>0</v>
      </c>
      <c r="BJ712" s="121">
        <f>交易记录!AG818</f>
        <v>0</v>
      </c>
      <c r="BK712" s="30">
        <f t="shared" si="345"/>
        <v>0</v>
      </c>
      <c r="BL712" s="124">
        <f>交易记录!AG851</f>
        <v>0</v>
      </c>
      <c r="BM712" s="124">
        <f>交易记录!AG882</f>
        <v>0</v>
      </c>
      <c r="BN712" s="30">
        <f t="shared" si="346"/>
        <v>0</v>
      </c>
      <c r="BO712" s="121">
        <f>交易记录!AG915</f>
        <v>0</v>
      </c>
      <c r="BP712" s="121">
        <f>交易记录!AG946</f>
        <v>0</v>
      </c>
      <c r="BQ712" s="30">
        <f t="shared" si="347"/>
        <v>0</v>
      </c>
    </row>
    <row r="713" spans="1:69" ht="15">
      <c r="A713" s="125">
        <f>'维护-日期'!A$32</f>
        <v>46295</v>
      </c>
      <c r="B713" s="7" t="s">
        <v>21</v>
      </c>
      <c r="C713" s="144">
        <f t="shared" si="348"/>
        <v>22.087</v>
      </c>
      <c r="D713" s="144">
        <f>ROUND(INDEX(持仓数据!$C$3:$AG$26,MATCH('计算过程-数据汇总'!B713,持仓数据!$B$3:$B$26,0),MATCH('计算过程-数据汇总'!A713,'维护-日期'!$B$2:$AF$2,0)),3)</f>
        <v>22.087</v>
      </c>
      <c r="E713" s="98">
        <f t="shared" si="349"/>
        <v>22.087</v>
      </c>
      <c r="F713" s="22">
        <f>持仓数据!AF87</f>
        <v>0.38</v>
      </c>
      <c r="G713" s="97">
        <v>372</v>
      </c>
      <c r="H713" s="97">
        <v>372</v>
      </c>
      <c r="I713" s="64">
        <v>0</v>
      </c>
      <c r="J713" s="64">
        <v>0</v>
      </c>
      <c r="K713" s="21">
        <f>IF(持仓数据!AF120="",0,持仓数据!AF120)</f>
        <v>372.00000000000006</v>
      </c>
      <c r="L713" s="21">
        <f t="shared" si="350"/>
        <v>0</v>
      </c>
      <c r="M713" s="28">
        <f t="shared" si="334"/>
        <v>8216.3639999999996</v>
      </c>
      <c r="N713" s="28">
        <f t="shared" si="335"/>
        <v>0</v>
      </c>
      <c r="O713" s="28">
        <f t="shared" si="336"/>
        <v>0</v>
      </c>
      <c r="P713" s="28">
        <f t="shared" si="337"/>
        <v>2.1600499167107046E-14</v>
      </c>
      <c r="Q713" s="28">
        <f t="shared" si="351"/>
        <v>0</v>
      </c>
      <c r="R713" s="28">
        <f t="shared" si="338"/>
        <v>8216.3640000000014</v>
      </c>
      <c r="S713" s="28">
        <f t="shared" si="352"/>
        <v>0</v>
      </c>
      <c r="T713" s="28">
        <f t="shared" si="353"/>
        <v>-1.2339000932115596E-12</v>
      </c>
      <c r="U713" s="28">
        <f t="shared" si="356"/>
        <v>0</v>
      </c>
      <c r="V713" s="28">
        <f t="shared" si="354"/>
        <v>0</v>
      </c>
      <c r="W713" s="118"/>
      <c r="X713" s="143">
        <f t="shared" si="355"/>
        <v>26.123999999999999</v>
      </c>
      <c r="Y713" s="121">
        <f>交易记录!AG20</f>
        <v>0.38</v>
      </c>
      <c r="Z713" s="121">
        <f>交易记录!AG51</f>
        <v>372</v>
      </c>
      <c r="AA713" s="30">
        <f t="shared" si="339"/>
        <v>0</v>
      </c>
      <c r="AB713" s="124">
        <f>交易记录!AG84</f>
        <v>0</v>
      </c>
      <c r="AC713" s="124">
        <f>交易记录!AG115</f>
        <v>0</v>
      </c>
      <c r="AD713" s="30">
        <f t="shared" si="328"/>
        <v>0</v>
      </c>
      <c r="AE713" s="121">
        <f>交易记录!AG148</f>
        <v>0</v>
      </c>
      <c r="AF713" s="121">
        <f>交易记录!AG179</f>
        <v>0</v>
      </c>
      <c r="AG713" s="30">
        <f t="shared" si="329"/>
        <v>0</v>
      </c>
      <c r="AH713" s="124">
        <f>交易记录!AG212</f>
        <v>0</v>
      </c>
      <c r="AI713" s="124">
        <f>交易记录!AG243</f>
        <v>0</v>
      </c>
      <c r="AJ713" s="30">
        <f t="shared" si="330"/>
        <v>0</v>
      </c>
      <c r="AK713" s="121">
        <f>交易记录!AG276</f>
        <v>0</v>
      </c>
      <c r="AL713" s="121">
        <f>交易记录!AG307</f>
        <v>0</v>
      </c>
      <c r="AM713" s="30">
        <f t="shared" si="331"/>
        <v>0</v>
      </c>
      <c r="AN713" s="124">
        <f>交易记录!AG340</f>
        <v>0</v>
      </c>
      <c r="AO713" s="124">
        <f>交易记录!AG371</f>
        <v>0</v>
      </c>
      <c r="AP713" s="30">
        <f t="shared" si="332"/>
        <v>0</v>
      </c>
      <c r="AQ713" s="121">
        <f>交易记录!AG404</f>
        <v>0</v>
      </c>
      <c r="AR713" s="121">
        <f>交易记录!AG435</f>
        <v>0</v>
      </c>
      <c r="AS713" s="30">
        <f t="shared" si="333"/>
        <v>0</v>
      </c>
      <c r="AT713" s="124">
        <f>交易记录!AG468</f>
        <v>0</v>
      </c>
      <c r="AU713" s="124">
        <f>交易记录!AG499</f>
        <v>0</v>
      </c>
      <c r="AV713" s="30">
        <f t="shared" si="340"/>
        <v>0</v>
      </c>
      <c r="AW713" s="121">
        <f>交易记录!AG532</f>
        <v>0</v>
      </c>
      <c r="AX713" s="121">
        <f>交易记录!AG563</f>
        <v>0</v>
      </c>
      <c r="AY713" s="30">
        <f t="shared" si="341"/>
        <v>0</v>
      </c>
      <c r="AZ713" s="124">
        <f>交易记录!AG596</f>
        <v>0</v>
      </c>
      <c r="BA713" s="124">
        <f>交易记录!AG627</f>
        <v>0</v>
      </c>
      <c r="BB713" s="30">
        <f t="shared" si="342"/>
        <v>0</v>
      </c>
      <c r="BC713" s="121">
        <f>交易记录!AG660</f>
        <v>0</v>
      </c>
      <c r="BD713" s="121">
        <f>交易记录!AG691</f>
        <v>0</v>
      </c>
      <c r="BE713" s="30">
        <f t="shared" si="343"/>
        <v>0</v>
      </c>
      <c r="BF713" s="124">
        <f>交易记录!AG724</f>
        <v>0</v>
      </c>
      <c r="BG713" s="124">
        <f>交易记录!AG755</f>
        <v>0</v>
      </c>
      <c r="BH713" s="30">
        <f t="shared" si="344"/>
        <v>0</v>
      </c>
      <c r="BI713" s="121">
        <f>交易记录!AG788</f>
        <v>0</v>
      </c>
      <c r="BJ713" s="121">
        <f>交易记录!AG819</f>
        <v>0</v>
      </c>
      <c r="BK713" s="30">
        <f t="shared" si="345"/>
        <v>0</v>
      </c>
      <c r="BL713" s="124">
        <f>交易记录!AG852</f>
        <v>0</v>
      </c>
      <c r="BM713" s="124">
        <f>交易记录!AG883</f>
        <v>0</v>
      </c>
      <c r="BN713" s="30">
        <f t="shared" si="346"/>
        <v>0</v>
      </c>
      <c r="BO713" s="121">
        <f>交易记录!AG916</f>
        <v>0</v>
      </c>
      <c r="BP713" s="121">
        <f>交易记录!AG947</f>
        <v>0</v>
      </c>
      <c r="BQ713" s="30">
        <f t="shared" si="347"/>
        <v>0</v>
      </c>
    </row>
    <row r="714" spans="1:69" ht="15">
      <c r="A714" s="125">
        <f>'维护-日期'!A$32</f>
        <v>46295</v>
      </c>
      <c r="B714" s="7" t="s">
        <v>22</v>
      </c>
      <c r="C714" s="144">
        <f t="shared" si="348"/>
        <v>23.077999999999999</v>
      </c>
      <c r="D714" s="144">
        <f>ROUND(INDEX(持仓数据!$C$3:$AG$26,MATCH('计算过程-数据汇总'!B714,持仓数据!$B$3:$B$26,0),MATCH('计算过程-数据汇总'!A714,'维护-日期'!$B$2:$AF$2,0)),3)</f>
        <v>23.077999999999999</v>
      </c>
      <c r="E714" s="98">
        <f t="shared" si="349"/>
        <v>23.077999999999999</v>
      </c>
      <c r="F714" s="22">
        <f>持仓数据!AF88</f>
        <v>0.58600000000000008</v>
      </c>
      <c r="G714" s="97">
        <v>372</v>
      </c>
      <c r="H714" s="97">
        <v>372</v>
      </c>
      <c r="I714" s="64">
        <v>0</v>
      </c>
      <c r="J714" s="64">
        <v>0</v>
      </c>
      <c r="K714" s="21">
        <f>IF(持仓数据!AF121="",0,持仓数据!AF121)</f>
        <v>372</v>
      </c>
      <c r="L714" s="21">
        <f t="shared" si="350"/>
        <v>0</v>
      </c>
      <c r="M714" s="28">
        <f t="shared" si="334"/>
        <v>8585.0159999999996</v>
      </c>
      <c r="N714" s="28">
        <f t="shared" si="335"/>
        <v>0</v>
      </c>
      <c r="O714" s="28">
        <f t="shared" si="336"/>
        <v>0</v>
      </c>
      <c r="P714" s="28">
        <f t="shared" si="337"/>
        <v>0</v>
      </c>
      <c r="Q714" s="28">
        <f t="shared" si="351"/>
        <v>0</v>
      </c>
      <c r="R714" s="28">
        <f t="shared" si="338"/>
        <v>8585.0159999999996</v>
      </c>
      <c r="S714" s="28">
        <f t="shared" si="352"/>
        <v>0</v>
      </c>
      <c r="T714" s="28">
        <f t="shared" si="353"/>
        <v>0</v>
      </c>
      <c r="U714" s="28">
        <f t="shared" si="356"/>
        <v>0</v>
      </c>
      <c r="V714" s="28">
        <f t="shared" si="354"/>
        <v>0</v>
      </c>
      <c r="W714" s="118"/>
      <c r="X714" s="143">
        <f t="shared" si="355"/>
        <v>27.108000000000001</v>
      </c>
      <c r="Y714" s="121">
        <f>交易记录!AG21</f>
        <v>0.58600000000000008</v>
      </c>
      <c r="Z714" s="121">
        <f>交易记录!AG52</f>
        <v>372</v>
      </c>
      <c r="AA714" s="30">
        <f t="shared" si="339"/>
        <v>0</v>
      </c>
      <c r="AB714" s="124">
        <f>交易记录!AG85</f>
        <v>0</v>
      </c>
      <c r="AC714" s="124">
        <f>交易记录!AG116</f>
        <v>0</v>
      </c>
      <c r="AD714" s="30">
        <f t="shared" si="328"/>
        <v>0</v>
      </c>
      <c r="AE714" s="121">
        <f>交易记录!AG149</f>
        <v>0</v>
      </c>
      <c r="AF714" s="121">
        <f>交易记录!AG180</f>
        <v>0</v>
      </c>
      <c r="AG714" s="30">
        <f t="shared" si="329"/>
        <v>0</v>
      </c>
      <c r="AH714" s="124">
        <f>交易记录!AG213</f>
        <v>0</v>
      </c>
      <c r="AI714" s="124">
        <f>交易记录!AG244</f>
        <v>0</v>
      </c>
      <c r="AJ714" s="30">
        <f t="shared" si="330"/>
        <v>0</v>
      </c>
      <c r="AK714" s="121">
        <f>交易记录!AG277</f>
        <v>0</v>
      </c>
      <c r="AL714" s="121">
        <f>交易记录!AG308</f>
        <v>0</v>
      </c>
      <c r="AM714" s="30">
        <f t="shared" si="331"/>
        <v>0</v>
      </c>
      <c r="AN714" s="124">
        <f>交易记录!AG341</f>
        <v>0</v>
      </c>
      <c r="AO714" s="124">
        <f>交易记录!AG372</f>
        <v>0</v>
      </c>
      <c r="AP714" s="30">
        <f t="shared" si="332"/>
        <v>0</v>
      </c>
      <c r="AQ714" s="121">
        <f>交易记录!AG405</f>
        <v>0</v>
      </c>
      <c r="AR714" s="121">
        <f>交易记录!AG436</f>
        <v>0</v>
      </c>
      <c r="AS714" s="30">
        <f t="shared" si="333"/>
        <v>0</v>
      </c>
      <c r="AT714" s="124">
        <f>交易记录!AG469</f>
        <v>0</v>
      </c>
      <c r="AU714" s="124">
        <f>交易记录!AG500</f>
        <v>0</v>
      </c>
      <c r="AV714" s="30">
        <f t="shared" si="340"/>
        <v>0</v>
      </c>
      <c r="AW714" s="121">
        <f>交易记录!AG533</f>
        <v>0</v>
      </c>
      <c r="AX714" s="121">
        <f>交易记录!AG564</f>
        <v>0</v>
      </c>
      <c r="AY714" s="30">
        <f t="shared" si="341"/>
        <v>0</v>
      </c>
      <c r="AZ714" s="124">
        <f>交易记录!AG597</f>
        <v>0</v>
      </c>
      <c r="BA714" s="124">
        <f>交易记录!AG628</f>
        <v>0</v>
      </c>
      <c r="BB714" s="30">
        <f t="shared" si="342"/>
        <v>0</v>
      </c>
      <c r="BC714" s="121">
        <f>交易记录!AG661</f>
        <v>0</v>
      </c>
      <c r="BD714" s="121">
        <f>交易记录!AG692</f>
        <v>0</v>
      </c>
      <c r="BE714" s="30">
        <f t="shared" si="343"/>
        <v>0</v>
      </c>
      <c r="BF714" s="124">
        <f>交易记录!AG725</f>
        <v>0</v>
      </c>
      <c r="BG714" s="124">
        <f>交易记录!AG756</f>
        <v>0</v>
      </c>
      <c r="BH714" s="30">
        <f t="shared" si="344"/>
        <v>0</v>
      </c>
      <c r="BI714" s="121">
        <f>交易记录!AG789</f>
        <v>0</v>
      </c>
      <c r="BJ714" s="121">
        <f>交易记录!AG820</f>
        <v>0</v>
      </c>
      <c r="BK714" s="30">
        <f t="shared" si="345"/>
        <v>0</v>
      </c>
      <c r="BL714" s="124">
        <f>交易记录!AG853</f>
        <v>0</v>
      </c>
      <c r="BM714" s="124">
        <f>交易记录!AG884</f>
        <v>0</v>
      </c>
      <c r="BN714" s="30">
        <f t="shared" si="346"/>
        <v>0</v>
      </c>
      <c r="BO714" s="121">
        <f>交易记录!AG917</f>
        <v>0</v>
      </c>
      <c r="BP714" s="121">
        <f>交易记录!AG948</f>
        <v>0</v>
      </c>
      <c r="BQ714" s="30">
        <f t="shared" si="347"/>
        <v>0</v>
      </c>
    </row>
    <row r="715" spans="1:69" ht="15">
      <c r="A715" s="125">
        <f>'维护-日期'!A$32</f>
        <v>46295</v>
      </c>
      <c r="B715" s="7" t="s">
        <v>23</v>
      </c>
      <c r="C715" s="144">
        <f t="shared" si="348"/>
        <v>23.443000000000001</v>
      </c>
      <c r="D715" s="144">
        <f>ROUND(INDEX(持仓数据!$C$3:$AG$26,MATCH('计算过程-数据汇总'!B715,持仓数据!$B$3:$B$26,0),MATCH('计算过程-数据汇总'!A715,'维护-日期'!$B$2:$AF$2,0)),3)</f>
        <v>23.443000000000001</v>
      </c>
      <c r="E715" s="98">
        <f t="shared" si="349"/>
        <v>23.443000000000001</v>
      </c>
      <c r="F715" s="22">
        <f>持仓数据!AF89</f>
        <v>0.63300000000000001</v>
      </c>
      <c r="G715" s="97">
        <v>372</v>
      </c>
      <c r="H715" s="97">
        <v>372</v>
      </c>
      <c r="I715" s="64">
        <v>0</v>
      </c>
      <c r="J715" s="64">
        <v>0</v>
      </c>
      <c r="K715" s="21">
        <f>IF(持仓数据!AF122="",0,持仓数据!AF122)</f>
        <v>372</v>
      </c>
      <c r="L715" s="21">
        <f t="shared" si="350"/>
        <v>0</v>
      </c>
      <c r="M715" s="28">
        <f t="shared" si="334"/>
        <v>8720.7960000000003</v>
      </c>
      <c r="N715" s="28">
        <f t="shared" si="335"/>
        <v>0</v>
      </c>
      <c r="O715" s="28">
        <f t="shared" si="336"/>
        <v>0</v>
      </c>
      <c r="P715" s="28">
        <f t="shared" si="337"/>
        <v>0</v>
      </c>
      <c r="Q715" s="28">
        <f t="shared" si="351"/>
        <v>0</v>
      </c>
      <c r="R715" s="28">
        <f t="shared" si="338"/>
        <v>8720.7960000000003</v>
      </c>
      <c r="S715" s="28">
        <f t="shared" si="352"/>
        <v>0</v>
      </c>
      <c r="T715" s="28">
        <f t="shared" si="353"/>
        <v>0</v>
      </c>
      <c r="U715" s="28">
        <f t="shared" si="356"/>
        <v>0</v>
      </c>
      <c r="V715" s="28">
        <f t="shared" si="354"/>
        <v>0</v>
      </c>
      <c r="W715" s="118"/>
      <c r="X715" s="143">
        <f t="shared" si="355"/>
        <v>27.498999999999999</v>
      </c>
      <c r="Y715" s="121">
        <f>交易记录!AG22</f>
        <v>0.63300000000000001</v>
      </c>
      <c r="Z715" s="121">
        <f>交易记录!AG53</f>
        <v>372</v>
      </c>
      <c r="AA715" s="30">
        <f t="shared" si="339"/>
        <v>0</v>
      </c>
      <c r="AB715" s="124">
        <f>交易记录!AG86</f>
        <v>0</v>
      </c>
      <c r="AC715" s="124">
        <f>交易记录!AG117</f>
        <v>0</v>
      </c>
      <c r="AD715" s="30">
        <f t="shared" si="328"/>
        <v>0</v>
      </c>
      <c r="AE715" s="121">
        <f>交易记录!AG150</f>
        <v>0</v>
      </c>
      <c r="AF715" s="121">
        <f>交易记录!AG181</f>
        <v>0</v>
      </c>
      <c r="AG715" s="30">
        <f t="shared" si="329"/>
        <v>0</v>
      </c>
      <c r="AH715" s="124">
        <f>交易记录!AG214</f>
        <v>0</v>
      </c>
      <c r="AI715" s="124">
        <f>交易记录!AG245</f>
        <v>0</v>
      </c>
      <c r="AJ715" s="30">
        <f t="shared" si="330"/>
        <v>0</v>
      </c>
      <c r="AK715" s="121">
        <f>交易记录!AG278</f>
        <v>0</v>
      </c>
      <c r="AL715" s="121">
        <f>交易记录!AG309</f>
        <v>0</v>
      </c>
      <c r="AM715" s="30">
        <f t="shared" si="331"/>
        <v>0</v>
      </c>
      <c r="AN715" s="124">
        <f>交易记录!AG342</f>
        <v>0</v>
      </c>
      <c r="AO715" s="124">
        <f>交易记录!AG373</f>
        <v>0</v>
      </c>
      <c r="AP715" s="30">
        <f t="shared" si="332"/>
        <v>0</v>
      </c>
      <c r="AQ715" s="121">
        <f>交易记录!AG406</f>
        <v>0</v>
      </c>
      <c r="AR715" s="121">
        <f>交易记录!AG437</f>
        <v>0</v>
      </c>
      <c r="AS715" s="30">
        <f t="shared" si="333"/>
        <v>0</v>
      </c>
      <c r="AT715" s="124">
        <f>交易记录!AG470</f>
        <v>0</v>
      </c>
      <c r="AU715" s="124">
        <f>交易记录!AG501</f>
        <v>0</v>
      </c>
      <c r="AV715" s="30">
        <f t="shared" si="340"/>
        <v>0</v>
      </c>
      <c r="AW715" s="121">
        <f>交易记录!AG534</f>
        <v>0</v>
      </c>
      <c r="AX715" s="121">
        <f>交易记录!AG565</f>
        <v>0</v>
      </c>
      <c r="AY715" s="30">
        <f t="shared" si="341"/>
        <v>0</v>
      </c>
      <c r="AZ715" s="124">
        <f>交易记录!AG598</f>
        <v>0</v>
      </c>
      <c r="BA715" s="124">
        <f>交易记录!AG629</f>
        <v>0</v>
      </c>
      <c r="BB715" s="30">
        <f t="shared" si="342"/>
        <v>0</v>
      </c>
      <c r="BC715" s="121">
        <f>交易记录!AG662</f>
        <v>0</v>
      </c>
      <c r="BD715" s="121">
        <f>交易记录!AG693</f>
        <v>0</v>
      </c>
      <c r="BE715" s="30">
        <f t="shared" si="343"/>
        <v>0</v>
      </c>
      <c r="BF715" s="124">
        <f>交易记录!AG726</f>
        <v>0</v>
      </c>
      <c r="BG715" s="124">
        <f>交易记录!AG757</f>
        <v>0</v>
      </c>
      <c r="BH715" s="30">
        <f t="shared" si="344"/>
        <v>0</v>
      </c>
      <c r="BI715" s="121">
        <f>交易记录!AG790</f>
        <v>0</v>
      </c>
      <c r="BJ715" s="121">
        <f>交易记录!AG821</f>
        <v>0</v>
      </c>
      <c r="BK715" s="30">
        <f t="shared" si="345"/>
        <v>0</v>
      </c>
      <c r="BL715" s="124">
        <f>交易记录!AG854</f>
        <v>0</v>
      </c>
      <c r="BM715" s="124">
        <f>交易记录!AG885</f>
        <v>0</v>
      </c>
      <c r="BN715" s="30">
        <f t="shared" si="346"/>
        <v>0</v>
      </c>
      <c r="BO715" s="121">
        <f>交易记录!AG918</f>
        <v>0</v>
      </c>
      <c r="BP715" s="121">
        <f>交易记录!AG949</f>
        <v>0</v>
      </c>
      <c r="BQ715" s="30">
        <f t="shared" si="347"/>
        <v>0</v>
      </c>
    </row>
    <row r="716" spans="1:69" ht="15">
      <c r="A716" s="125">
        <f>'维护-日期'!A$32</f>
        <v>46295</v>
      </c>
      <c r="B716" s="7" t="s">
        <v>24</v>
      </c>
      <c r="C716" s="144">
        <f t="shared" si="348"/>
        <v>23.85</v>
      </c>
      <c r="D716" s="144">
        <f>ROUND(INDEX(持仓数据!$C$3:$AG$26,MATCH('计算过程-数据汇总'!B716,持仓数据!$B$3:$B$26,0),MATCH('计算过程-数据汇总'!A716,'维护-日期'!$B$2:$AF$2,0)),3)</f>
        <v>23.85</v>
      </c>
      <c r="E716" s="98">
        <f t="shared" si="349"/>
        <v>23.85</v>
      </c>
      <c r="F716" s="22">
        <f>持仓数据!AF90</f>
        <v>0.45400000000000001</v>
      </c>
      <c r="G716" s="97">
        <v>372</v>
      </c>
      <c r="H716" s="97">
        <v>372</v>
      </c>
      <c r="I716" s="64">
        <v>0</v>
      </c>
      <c r="J716" s="64">
        <v>0</v>
      </c>
      <c r="K716" s="21">
        <f>IF(持仓数据!AF123="",0,持仓数据!AF123)</f>
        <v>372</v>
      </c>
      <c r="L716" s="21">
        <f t="shared" si="350"/>
        <v>0</v>
      </c>
      <c r="M716" s="28">
        <f t="shared" si="334"/>
        <v>8872.2000000000007</v>
      </c>
      <c r="N716" s="28">
        <f t="shared" si="335"/>
        <v>0</v>
      </c>
      <c r="O716" s="28">
        <f>IFERROR((E716-D716)*(G716-H716),0)</f>
        <v>0</v>
      </c>
      <c r="P716" s="28">
        <f t="shared" si="337"/>
        <v>0</v>
      </c>
      <c r="Q716" s="28">
        <f t="shared" si="351"/>
        <v>0</v>
      </c>
      <c r="R716" s="28">
        <f t="shared" si="338"/>
        <v>8872.2000000000007</v>
      </c>
      <c r="S716" s="28">
        <f t="shared" si="352"/>
        <v>0</v>
      </c>
      <c r="T716" s="28">
        <f t="shared" si="353"/>
        <v>0</v>
      </c>
      <c r="U716" s="28">
        <f t="shared" si="356"/>
        <v>0</v>
      </c>
      <c r="V716" s="28">
        <f t="shared" si="354"/>
        <v>0</v>
      </c>
      <c r="W716" s="118"/>
      <c r="X716" s="143">
        <f t="shared" si="355"/>
        <v>28.166</v>
      </c>
      <c r="Y716" s="121">
        <f>交易记录!AG23</f>
        <v>0.45400000000000001</v>
      </c>
      <c r="Z716" s="121">
        <f>交易记录!AG54</f>
        <v>372</v>
      </c>
      <c r="AA716" s="30">
        <f t="shared" si="339"/>
        <v>0</v>
      </c>
      <c r="AB716" s="124">
        <f>交易记录!AG87</f>
        <v>0</v>
      </c>
      <c r="AC716" s="124">
        <f>交易记录!AG118</f>
        <v>0</v>
      </c>
      <c r="AD716" s="30">
        <f t="shared" si="328"/>
        <v>0</v>
      </c>
      <c r="AE716" s="121">
        <f>交易记录!AG151</f>
        <v>0</v>
      </c>
      <c r="AF716" s="121">
        <f>交易记录!AG182</f>
        <v>0</v>
      </c>
      <c r="AG716" s="30">
        <f t="shared" si="329"/>
        <v>0</v>
      </c>
      <c r="AH716" s="124">
        <f>交易记录!AG215</f>
        <v>0</v>
      </c>
      <c r="AI716" s="124">
        <f>交易记录!AG246</f>
        <v>0</v>
      </c>
      <c r="AJ716" s="30">
        <f t="shared" si="330"/>
        <v>0</v>
      </c>
      <c r="AK716" s="121">
        <f>交易记录!AG279</f>
        <v>0</v>
      </c>
      <c r="AL716" s="121">
        <f>交易记录!AG310</f>
        <v>0</v>
      </c>
      <c r="AM716" s="30">
        <f t="shared" si="331"/>
        <v>0</v>
      </c>
      <c r="AN716" s="124">
        <f>交易记录!AG343</f>
        <v>0</v>
      </c>
      <c r="AO716" s="124">
        <f>交易记录!AG374</f>
        <v>0</v>
      </c>
      <c r="AP716" s="30">
        <f t="shared" si="332"/>
        <v>0</v>
      </c>
      <c r="AQ716" s="121">
        <f>交易记录!AG407</f>
        <v>0</v>
      </c>
      <c r="AR716" s="121">
        <f>交易记录!AG438</f>
        <v>0</v>
      </c>
      <c r="AS716" s="30">
        <f t="shared" si="333"/>
        <v>0</v>
      </c>
      <c r="AT716" s="124">
        <f>交易记录!AG471</f>
        <v>0</v>
      </c>
      <c r="AU716" s="124">
        <f>交易记录!AG502</f>
        <v>0</v>
      </c>
      <c r="AV716" s="30">
        <f t="shared" si="340"/>
        <v>0</v>
      </c>
      <c r="AW716" s="121">
        <f>交易记录!AG535</f>
        <v>0</v>
      </c>
      <c r="AX716" s="121">
        <f>交易记录!AG566</f>
        <v>0</v>
      </c>
      <c r="AY716" s="30">
        <f t="shared" si="341"/>
        <v>0</v>
      </c>
      <c r="AZ716" s="124">
        <f>交易记录!AG599</f>
        <v>0</v>
      </c>
      <c r="BA716" s="124">
        <f>交易记录!AG630</f>
        <v>0</v>
      </c>
      <c r="BB716" s="30">
        <f t="shared" si="342"/>
        <v>0</v>
      </c>
      <c r="BC716" s="121">
        <f>交易记录!AG663</f>
        <v>0</v>
      </c>
      <c r="BD716" s="121">
        <f>交易记录!AG694</f>
        <v>0</v>
      </c>
      <c r="BE716" s="30">
        <f t="shared" si="343"/>
        <v>0</v>
      </c>
      <c r="BF716" s="124">
        <f>交易记录!AG727</f>
        <v>0</v>
      </c>
      <c r="BG716" s="124">
        <f>交易记录!AG758</f>
        <v>0</v>
      </c>
      <c r="BH716" s="30">
        <f t="shared" si="344"/>
        <v>0</v>
      </c>
      <c r="BI716" s="121">
        <f>交易记录!AG791</f>
        <v>0</v>
      </c>
      <c r="BJ716" s="121">
        <f>交易记录!AG822</f>
        <v>0</v>
      </c>
      <c r="BK716" s="30">
        <f t="shared" si="345"/>
        <v>0</v>
      </c>
      <c r="BL716" s="124">
        <f>交易记录!AG855</f>
        <v>0</v>
      </c>
      <c r="BM716" s="124">
        <f>交易记录!AG886</f>
        <v>0</v>
      </c>
      <c r="BN716" s="30">
        <f t="shared" si="346"/>
        <v>0</v>
      </c>
      <c r="BO716" s="121">
        <f>交易记录!AG919</f>
        <v>0</v>
      </c>
      <c r="BP716" s="121">
        <f>交易记录!AG950</f>
        <v>0</v>
      </c>
      <c r="BQ716" s="30">
        <f t="shared" si="347"/>
        <v>0</v>
      </c>
    </row>
    <row r="717" spans="1:69" ht="15">
      <c r="A717" s="125">
        <f>'维护-日期'!A$32</f>
        <v>46295</v>
      </c>
      <c r="B717" s="7" t="s">
        <v>25</v>
      </c>
      <c r="C717" s="144">
        <f t="shared" si="348"/>
        <v>24.105</v>
      </c>
      <c r="D717" s="144">
        <f>ROUND(INDEX(持仓数据!$C$3:$AG$26,MATCH('计算过程-数据汇总'!B717,持仓数据!$B$3:$B$26,0),MATCH('计算过程-数据汇总'!A717,'维护-日期'!$B$2:$AF$2,0)),3)</f>
        <v>24.105</v>
      </c>
      <c r="E717" s="98">
        <f t="shared" si="349"/>
        <v>24.105</v>
      </c>
      <c r="F717" s="22">
        <f>持仓数据!AF91</f>
        <v>1.1160000000000001</v>
      </c>
      <c r="G717" s="97">
        <v>372</v>
      </c>
      <c r="H717" s="97">
        <v>372</v>
      </c>
      <c r="I717" s="64">
        <v>0</v>
      </c>
      <c r="J717" s="64">
        <v>0</v>
      </c>
      <c r="K717" s="21">
        <f>IF(持仓数据!AF124="",0,持仓数据!AF124)</f>
        <v>372</v>
      </c>
      <c r="L717" s="21">
        <f t="shared" si="350"/>
        <v>0</v>
      </c>
      <c r="M717" s="28">
        <f t="shared" si="334"/>
        <v>8967.06</v>
      </c>
      <c r="N717" s="28">
        <f t="shared" si="335"/>
        <v>0</v>
      </c>
      <c r="O717" s="28">
        <f t="shared" si="336"/>
        <v>0</v>
      </c>
      <c r="P717" s="28">
        <f t="shared" si="337"/>
        <v>0</v>
      </c>
      <c r="Q717" s="28">
        <f t="shared" si="351"/>
        <v>0</v>
      </c>
      <c r="R717" s="28">
        <f t="shared" si="338"/>
        <v>8967.06</v>
      </c>
      <c r="S717" s="28">
        <f t="shared" si="352"/>
        <v>0</v>
      </c>
      <c r="T717" s="28">
        <f t="shared" si="353"/>
        <v>0</v>
      </c>
      <c r="U717" s="28">
        <f t="shared" si="356"/>
        <v>0</v>
      </c>
      <c r="V717" s="28">
        <f t="shared" si="354"/>
        <v>0</v>
      </c>
      <c r="W717" s="118"/>
      <c r="X717" s="143">
        <f t="shared" si="355"/>
        <v>27.81</v>
      </c>
      <c r="Y717" s="121">
        <f>交易记录!AG24</f>
        <v>1.1160000000000001</v>
      </c>
      <c r="Z717" s="121">
        <f>交易记录!AG55</f>
        <v>372</v>
      </c>
      <c r="AA717" s="30">
        <f t="shared" si="339"/>
        <v>0</v>
      </c>
      <c r="AB717" s="124">
        <f>交易记录!AG88</f>
        <v>0</v>
      </c>
      <c r="AC717" s="124">
        <f>交易记录!AG119</f>
        <v>0</v>
      </c>
      <c r="AD717" s="30">
        <f t="shared" si="328"/>
        <v>0</v>
      </c>
      <c r="AE717" s="121">
        <f>交易记录!AG152</f>
        <v>0</v>
      </c>
      <c r="AF717" s="121">
        <f>交易记录!AG183</f>
        <v>0</v>
      </c>
      <c r="AG717" s="30">
        <f t="shared" si="329"/>
        <v>0</v>
      </c>
      <c r="AH717" s="124">
        <f>交易记录!AG216</f>
        <v>0</v>
      </c>
      <c r="AI717" s="124">
        <f>交易记录!AG247</f>
        <v>0</v>
      </c>
      <c r="AJ717" s="30">
        <f t="shared" si="330"/>
        <v>0</v>
      </c>
      <c r="AK717" s="121">
        <f>交易记录!AG280</f>
        <v>0</v>
      </c>
      <c r="AL717" s="121">
        <f>交易记录!AG311</f>
        <v>0</v>
      </c>
      <c r="AM717" s="30">
        <f t="shared" si="331"/>
        <v>0</v>
      </c>
      <c r="AN717" s="124">
        <f>交易记录!AG344</f>
        <v>0</v>
      </c>
      <c r="AO717" s="124">
        <f>交易记录!AG375</f>
        <v>0</v>
      </c>
      <c r="AP717" s="30">
        <f t="shared" si="332"/>
        <v>0</v>
      </c>
      <c r="AQ717" s="121">
        <f>交易记录!AG408</f>
        <v>0</v>
      </c>
      <c r="AR717" s="121">
        <f>交易记录!AG439</f>
        <v>0</v>
      </c>
      <c r="AS717" s="30">
        <f t="shared" si="333"/>
        <v>0</v>
      </c>
      <c r="AT717" s="124">
        <f>交易记录!AG472</f>
        <v>0</v>
      </c>
      <c r="AU717" s="124">
        <f>交易记录!AG503</f>
        <v>0</v>
      </c>
      <c r="AV717" s="30">
        <f t="shared" si="340"/>
        <v>0</v>
      </c>
      <c r="AW717" s="121">
        <f>交易记录!AG536</f>
        <v>0</v>
      </c>
      <c r="AX717" s="121">
        <f>交易记录!AG567</f>
        <v>0</v>
      </c>
      <c r="AY717" s="30">
        <f t="shared" si="341"/>
        <v>0</v>
      </c>
      <c r="AZ717" s="124">
        <f>交易记录!AG600</f>
        <v>0</v>
      </c>
      <c r="BA717" s="124">
        <f>交易记录!AG631</f>
        <v>0</v>
      </c>
      <c r="BB717" s="30">
        <f t="shared" si="342"/>
        <v>0</v>
      </c>
      <c r="BC717" s="121">
        <f>交易记录!AG664</f>
        <v>0</v>
      </c>
      <c r="BD717" s="121">
        <f>交易记录!AG695</f>
        <v>0</v>
      </c>
      <c r="BE717" s="30">
        <f t="shared" si="343"/>
        <v>0</v>
      </c>
      <c r="BF717" s="124">
        <f>交易记录!AG728</f>
        <v>0</v>
      </c>
      <c r="BG717" s="124">
        <f>交易记录!AG759</f>
        <v>0</v>
      </c>
      <c r="BH717" s="30">
        <f t="shared" si="344"/>
        <v>0</v>
      </c>
      <c r="BI717" s="121">
        <f>交易记录!AG792</f>
        <v>0</v>
      </c>
      <c r="BJ717" s="121">
        <f>交易记录!AG823</f>
        <v>0</v>
      </c>
      <c r="BK717" s="30">
        <f t="shared" si="345"/>
        <v>0</v>
      </c>
      <c r="BL717" s="124">
        <f>交易记录!AG856</f>
        <v>0</v>
      </c>
      <c r="BM717" s="124">
        <f>交易记录!AG887</f>
        <v>0</v>
      </c>
      <c r="BN717" s="30">
        <f t="shared" si="346"/>
        <v>0</v>
      </c>
      <c r="BO717" s="121">
        <f>交易记录!AG920</f>
        <v>0</v>
      </c>
      <c r="BP717" s="121">
        <f>交易记录!AG951</f>
        <v>0</v>
      </c>
      <c r="BQ717" s="30">
        <f t="shared" si="347"/>
        <v>0</v>
      </c>
    </row>
    <row r="718" spans="1:69" ht="15">
      <c r="A718" s="125">
        <f>'维护-日期'!A$32</f>
        <v>46295</v>
      </c>
      <c r="B718" s="7" t="s">
        <v>26</v>
      </c>
      <c r="C718" s="144">
        <f t="shared" si="348"/>
        <v>24.047999999999998</v>
      </c>
      <c r="D718" s="144">
        <f>ROUND(INDEX(持仓数据!$C$3:$AG$26,MATCH('计算过程-数据汇总'!B718,持仓数据!$B$3:$B$26,0),MATCH('计算过程-数据汇总'!A718,'维护-日期'!$B$2:$AF$2,0)),3)</f>
        <v>24.047999999999998</v>
      </c>
      <c r="E718" s="98">
        <f t="shared" si="349"/>
        <v>24.047999999999998</v>
      </c>
      <c r="F718" s="22">
        <f>持仓数据!AF92</f>
        <v>1</v>
      </c>
      <c r="G718" s="97">
        <v>372</v>
      </c>
      <c r="H718" s="97">
        <v>372</v>
      </c>
      <c r="I718" s="64">
        <v>0</v>
      </c>
      <c r="J718" s="64">
        <v>0</v>
      </c>
      <c r="K718" s="21">
        <f>IF(持仓数据!AF125="",0,持仓数据!AF125)</f>
        <v>372</v>
      </c>
      <c r="L718" s="21">
        <f t="shared" si="350"/>
        <v>0</v>
      </c>
      <c r="M718" s="28">
        <f t="shared" si="334"/>
        <v>8945.8559999999998</v>
      </c>
      <c r="N718" s="28">
        <f t="shared" si="335"/>
        <v>0</v>
      </c>
      <c r="O718" s="28">
        <f t="shared" si="336"/>
        <v>0</v>
      </c>
      <c r="P718" s="28">
        <f t="shared" si="337"/>
        <v>0</v>
      </c>
      <c r="Q718" s="28">
        <f t="shared" si="351"/>
        <v>0</v>
      </c>
      <c r="R718" s="28">
        <f t="shared" si="338"/>
        <v>8945.8559999999998</v>
      </c>
      <c r="S718" s="28">
        <f t="shared" si="352"/>
        <v>0</v>
      </c>
      <c r="T718" s="28">
        <f t="shared" si="353"/>
        <v>0</v>
      </c>
      <c r="U718" s="28">
        <f t="shared" si="356"/>
        <v>0</v>
      </c>
      <c r="V718" s="28">
        <f t="shared" si="354"/>
        <v>0</v>
      </c>
      <c r="W718" s="118"/>
      <c r="X718" s="143">
        <f t="shared" si="355"/>
        <v>27.858000000000001</v>
      </c>
      <c r="Y718" s="121">
        <f>交易记录!AG25</f>
        <v>1</v>
      </c>
      <c r="Z718" s="121">
        <f>交易记录!AG56</f>
        <v>372</v>
      </c>
      <c r="AA718" s="30">
        <f t="shared" si="339"/>
        <v>0</v>
      </c>
      <c r="AB718" s="124">
        <f>交易记录!AG89</f>
        <v>0</v>
      </c>
      <c r="AC718" s="124">
        <f>交易记录!AG120</f>
        <v>0</v>
      </c>
      <c r="AD718" s="30">
        <f t="shared" si="328"/>
        <v>0</v>
      </c>
      <c r="AE718" s="121">
        <f>交易记录!AG153</f>
        <v>0</v>
      </c>
      <c r="AF718" s="121">
        <f>交易记录!AG184</f>
        <v>0</v>
      </c>
      <c r="AG718" s="30">
        <f t="shared" si="329"/>
        <v>0</v>
      </c>
      <c r="AH718" s="124">
        <f>交易记录!AG217</f>
        <v>0</v>
      </c>
      <c r="AI718" s="124">
        <f>交易记录!AG248</f>
        <v>0</v>
      </c>
      <c r="AJ718" s="30">
        <f t="shared" si="330"/>
        <v>0</v>
      </c>
      <c r="AK718" s="121">
        <f>交易记录!AG281</f>
        <v>0</v>
      </c>
      <c r="AL718" s="121">
        <f>交易记录!AG312</f>
        <v>0</v>
      </c>
      <c r="AM718" s="30">
        <f t="shared" si="331"/>
        <v>0</v>
      </c>
      <c r="AN718" s="124">
        <f>交易记录!AG345</f>
        <v>0</v>
      </c>
      <c r="AO718" s="124">
        <f>交易记录!AG376</f>
        <v>0</v>
      </c>
      <c r="AP718" s="30">
        <f t="shared" si="332"/>
        <v>0</v>
      </c>
      <c r="AQ718" s="121">
        <f>交易记录!AG409</f>
        <v>0</v>
      </c>
      <c r="AR718" s="121">
        <f>交易记录!AG440</f>
        <v>0</v>
      </c>
      <c r="AS718" s="30">
        <f t="shared" si="333"/>
        <v>0</v>
      </c>
      <c r="AT718" s="124">
        <f>交易记录!AG473</f>
        <v>0</v>
      </c>
      <c r="AU718" s="124">
        <f>交易记录!AG504</f>
        <v>0</v>
      </c>
      <c r="AV718" s="30">
        <f t="shared" si="340"/>
        <v>0</v>
      </c>
      <c r="AW718" s="121">
        <f>交易记录!AG537</f>
        <v>0</v>
      </c>
      <c r="AX718" s="121">
        <f>交易记录!AG568</f>
        <v>0</v>
      </c>
      <c r="AY718" s="30">
        <f t="shared" si="341"/>
        <v>0</v>
      </c>
      <c r="AZ718" s="124">
        <f>交易记录!AG601</f>
        <v>0</v>
      </c>
      <c r="BA718" s="124">
        <f>交易记录!AG632</f>
        <v>0</v>
      </c>
      <c r="BB718" s="30">
        <f t="shared" si="342"/>
        <v>0</v>
      </c>
      <c r="BC718" s="121">
        <f>交易记录!AG665</f>
        <v>0</v>
      </c>
      <c r="BD718" s="121">
        <f>交易记录!AG696</f>
        <v>0</v>
      </c>
      <c r="BE718" s="30">
        <f t="shared" si="343"/>
        <v>0</v>
      </c>
      <c r="BF718" s="124">
        <f>交易记录!AG729</f>
        <v>0</v>
      </c>
      <c r="BG718" s="124">
        <f>交易记录!AG760</f>
        <v>0</v>
      </c>
      <c r="BH718" s="30">
        <f t="shared" si="344"/>
        <v>0</v>
      </c>
      <c r="BI718" s="121">
        <f>交易记录!AG793</f>
        <v>0</v>
      </c>
      <c r="BJ718" s="121">
        <f>交易记录!AG824</f>
        <v>0</v>
      </c>
      <c r="BK718" s="30">
        <f t="shared" si="345"/>
        <v>0</v>
      </c>
      <c r="BL718" s="124">
        <f>交易记录!AG857</f>
        <v>0</v>
      </c>
      <c r="BM718" s="124">
        <f>交易记录!AG888</f>
        <v>0</v>
      </c>
      <c r="BN718" s="30">
        <f t="shared" si="346"/>
        <v>0</v>
      </c>
      <c r="BO718" s="121">
        <f>交易记录!AG921</f>
        <v>0</v>
      </c>
      <c r="BP718" s="121">
        <f>交易记录!AG952</f>
        <v>0</v>
      </c>
      <c r="BQ718" s="30">
        <f t="shared" si="347"/>
        <v>0</v>
      </c>
    </row>
    <row r="719" spans="1:69" ht="15">
      <c r="A719" s="125">
        <f>'维护-日期'!A$32</f>
        <v>46295</v>
      </c>
      <c r="B719" s="7" t="s">
        <v>27</v>
      </c>
      <c r="C719" s="144">
        <f t="shared" si="348"/>
        <v>22.594000000000001</v>
      </c>
      <c r="D719" s="144">
        <f>ROUND(INDEX(持仓数据!$C$3:$AG$26,MATCH('计算过程-数据汇总'!B719,持仓数据!$B$3:$B$26,0),MATCH('计算过程-数据汇总'!A719,'维护-日期'!$B$2:$AF$2,0)),3)</f>
        <v>22.594000000000001</v>
      </c>
      <c r="E719" s="98">
        <f t="shared" si="349"/>
        <v>22.594000000000001</v>
      </c>
      <c r="F719" s="22">
        <f>持仓数据!AF93</f>
        <v>0.95199999999999996</v>
      </c>
      <c r="G719" s="97">
        <v>372</v>
      </c>
      <c r="H719" s="97">
        <v>372</v>
      </c>
      <c r="I719" s="64">
        <v>0</v>
      </c>
      <c r="J719" s="64">
        <v>0</v>
      </c>
      <c r="K719" s="21">
        <f>IF(持仓数据!AF126="",0,持仓数据!AF126)</f>
        <v>372</v>
      </c>
      <c r="L719" s="21">
        <f t="shared" si="350"/>
        <v>0</v>
      </c>
      <c r="M719" s="28">
        <f t="shared" si="334"/>
        <v>8404.9680000000008</v>
      </c>
      <c r="N719" s="28">
        <f t="shared" si="335"/>
        <v>0</v>
      </c>
      <c r="O719" s="28">
        <f t="shared" si="336"/>
        <v>0</v>
      </c>
      <c r="P719" s="28">
        <f t="shared" si="337"/>
        <v>0</v>
      </c>
      <c r="Q719" s="28">
        <f t="shared" si="351"/>
        <v>0</v>
      </c>
      <c r="R719" s="28">
        <f t="shared" si="338"/>
        <v>8404.9680000000008</v>
      </c>
      <c r="S719" s="28">
        <f t="shared" si="352"/>
        <v>0</v>
      </c>
      <c r="T719" s="28">
        <f t="shared" si="353"/>
        <v>0</v>
      </c>
      <c r="U719" s="28">
        <f t="shared" si="356"/>
        <v>0</v>
      </c>
      <c r="V719" s="28">
        <f t="shared" si="354"/>
        <v>0</v>
      </c>
      <c r="W719" s="118"/>
      <c r="X719" s="143">
        <f t="shared" si="355"/>
        <v>26.161000000000001</v>
      </c>
      <c r="Y719" s="121">
        <f>交易记录!AG26</f>
        <v>0.95199999999999996</v>
      </c>
      <c r="Z719" s="121">
        <f>交易记录!AG57</f>
        <v>372</v>
      </c>
      <c r="AA719" s="30">
        <f t="shared" si="339"/>
        <v>0</v>
      </c>
      <c r="AB719" s="124">
        <f>交易记录!AG90</f>
        <v>0</v>
      </c>
      <c r="AC719" s="124">
        <f>交易记录!AG121</f>
        <v>0</v>
      </c>
      <c r="AD719" s="30">
        <f t="shared" si="328"/>
        <v>0</v>
      </c>
      <c r="AE719" s="121">
        <f>交易记录!AG154</f>
        <v>0</v>
      </c>
      <c r="AF719" s="121">
        <f>交易记录!AG185</f>
        <v>0</v>
      </c>
      <c r="AG719" s="30">
        <f t="shared" si="329"/>
        <v>0</v>
      </c>
      <c r="AH719" s="124">
        <f>交易记录!AG218</f>
        <v>0</v>
      </c>
      <c r="AI719" s="124">
        <f>交易记录!AG249</f>
        <v>0</v>
      </c>
      <c r="AJ719" s="30">
        <f t="shared" si="330"/>
        <v>0</v>
      </c>
      <c r="AK719" s="121">
        <f>交易记录!AG282</f>
        <v>0</v>
      </c>
      <c r="AL719" s="121">
        <f>交易记录!AG313</f>
        <v>0</v>
      </c>
      <c r="AM719" s="30">
        <f t="shared" si="331"/>
        <v>0</v>
      </c>
      <c r="AN719" s="124">
        <f>交易记录!AG346</f>
        <v>0</v>
      </c>
      <c r="AO719" s="124">
        <f>交易记录!AG377</f>
        <v>0</v>
      </c>
      <c r="AP719" s="30">
        <f t="shared" si="332"/>
        <v>0</v>
      </c>
      <c r="AQ719" s="121">
        <f>交易记录!AG410</f>
        <v>0</v>
      </c>
      <c r="AR719" s="121">
        <f>交易记录!AG441</f>
        <v>0</v>
      </c>
      <c r="AS719" s="30">
        <f t="shared" si="333"/>
        <v>0</v>
      </c>
      <c r="AT719" s="124">
        <f>交易记录!AG474</f>
        <v>0</v>
      </c>
      <c r="AU719" s="124">
        <f>交易记录!AG505</f>
        <v>0</v>
      </c>
      <c r="AV719" s="30">
        <f t="shared" si="340"/>
        <v>0</v>
      </c>
      <c r="AW719" s="121">
        <f>交易记录!AG538</f>
        <v>0</v>
      </c>
      <c r="AX719" s="121">
        <f>交易记录!AG569</f>
        <v>0</v>
      </c>
      <c r="AY719" s="30">
        <f t="shared" si="341"/>
        <v>0</v>
      </c>
      <c r="AZ719" s="124">
        <f>交易记录!AG602</f>
        <v>0</v>
      </c>
      <c r="BA719" s="124">
        <f>交易记录!AG633</f>
        <v>0</v>
      </c>
      <c r="BB719" s="30">
        <f t="shared" si="342"/>
        <v>0</v>
      </c>
      <c r="BC719" s="121">
        <f>交易记录!AG666</f>
        <v>0</v>
      </c>
      <c r="BD719" s="121">
        <f>交易记录!AG697</f>
        <v>0</v>
      </c>
      <c r="BE719" s="30">
        <f t="shared" si="343"/>
        <v>0</v>
      </c>
      <c r="BF719" s="124">
        <f>交易记录!AG730</f>
        <v>0</v>
      </c>
      <c r="BG719" s="124">
        <f>交易记录!AG761</f>
        <v>0</v>
      </c>
      <c r="BH719" s="30">
        <f t="shared" si="344"/>
        <v>0</v>
      </c>
      <c r="BI719" s="121">
        <f>交易记录!AG794</f>
        <v>0</v>
      </c>
      <c r="BJ719" s="121">
        <f>交易记录!AG825</f>
        <v>0</v>
      </c>
      <c r="BK719" s="30">
        <f t="shared" si="345"/>
        <v>0</v>
      </c>
      <c r="BL719" s="124">
        <f>交易记录!AG858</f>
        <v>0</v>
      </c>
      <c r="BM719" s="124">
        <f>交易记录!AG889</f>
        <v>0</v>
      </c>
      <c r="BN719" s="30">
        <f t="shared" si="346"/>
        <v>0</v>
      </c>
      <c r="BO719" s="121">
        <f>交易记录!AG922</f>
        <v>0</v>
      </c>
      <c r="BP719" s="121">
        <f>交易记录!AG953</f>
        <v>0</v>
      </c>
      <c r="BQ719" s="30">
        <f t="shared" si="347"/>
        <v>0</v>
      </c>
    </row>
    <row r="720" spans="1:69" ht="15">
      <c r="A720" s="125">
        <f>'维护-日期'!A$32</f>
        <v>46295</v>
      </c>
      <c r="B720" s="7" t="s">
        <v>28</v>
      </c>
      <c r="C720" s="144">
        <f t="shared" si="348"/>
        <v>19.387</v>
      </c>
      <c r="D720" s="144">
        <f>ROUND(INDEX(持仓数据!$C$3:$AG$26,MATCH('计算过程-数据汇总'!B720,持仓数据!$B$3:$B$26,0),MATCH('计算过程-数据汇总'!A720,'维护-日期'!$B$2:$AF$2,0)),3)</f>
        <v>19.387</v>
      </c>
      <c r="E720" s="98">
        <f t="shared" si="349"/>
        <v>19.387</v>
      </c>
      <c r="F720" s="22">
        <f>持仓数据!AF94</f>
        <v>0.84300000000000008</v>
      </c>
      <c r="G720" s="97">
        <v>372</v>
      </c>
      <c r="H720" s="97">
        <v>372</v>
      </c>
      <c r="I720" s="64">
        <v>0</v>
      </c>
      <c r="J720" s="64">
        <v>0</v>
      </c>
      <c r="K720" s="21">
        <f>IF(持仓数据!AF127="",0,持仓数据!AF127)</f>
        <v>371.99999999999994</v>
      </c>
      <c r="L720" s="21">
        <f t="shared" si="350"/>
        <v>0</v>
      </c>
      <c r="M720" s="28">
        <f t="shared" si="334"/>
        <v>7211.9639999999999</v>
      </c>
      <c r="N720" s="28">
        <f t="shared" si="335"/>
        <v>0</v>
      </c>
      <c r="O720" s="28">
        <f t="shared" si="336"/>
        <v>0</v>
      </c>
      <c r="P720" s="28">
        <f t="shared" si="337"/>
        <v>-4.7919002099661161E-14</v>
      </c>
      <c r="Q720" s="28">
        <f t="shared" si="351"/>
        <v>0</v>
      </c>
      <c r="R720" s="28">
        <f t="shared" si="338"/>
        <v>7211.963999999999</v>
      </c>
      <c r="S720" s="28">
        <f t="shared" si="352"/>
        <v>0</v>
      </c>
      <c r="T720" s="28">
        <f t="shared" si="353"/>
        <v>1.0541043593548239E-12</v>
      </c>
      <c r="U720" s="28">
        <f t="shared" si="356"/>
        <v>0</v>
      </c>
      <c r="V720" s="28">
        <f t="shared" si="354"/>
        <v>0</v>
      </c>
      <c r="W720" s="118"/>
      <c r="X720" s="143">
        <f t="shared" si="355"/>
        <v>22.420999999999999</v>
      </c>
      <c r="Y720" s="121">
        <f>交易记录!AG27</f>
        <v>0.84300000000000008</v>
      </c>
      <c r="Z720" s="121">
        <f>交易记录!AG58</f>
        <v>372</v>
      </c>
      <c r="AA720" s="30">
        <f t="shared" si="339"/>
        <v>0</v>
      </c>
      <c r="AB720" s="124">
        <f>交易记录!AG91</f>
        <v>0</v>
      </c>
      <c r="AC720" s="124">
        <f>交易记录!AG122</f>
        <v>0</v>
      </c>
      <c r="AD720" s="30">
        <f t="shared" si="328"/>
        <v>0</v>
      </c>
      <c r="AE720" s="121">
        <f>交易记录!AG155</f>
        <v>0</v>
      </c>
      <c r="AF720" s="121">
        <f>交易记录!AG186</f>
        <v>0</v>
      </c>
      <c r="AG720" s="30">
        <f t="shared" si="329"/>
        <v>0</v>
      </c>
      <c r="AH720" s="124">
        <f>交易记录!AG219</f>
        <v>0</v>
      </c>
      <c r="AI720" s="124">
        <f>交易记录!AG250</f>
        <v>0</v>
      </c>
      <c r="AJ720" s="30">
        <f t="shared" si="330"/>
        <v>0</v>
      </c>
      <c r="AK720" s="121">
        <f>交易记录!AG283</f>
        <v>0</v>
      </c>
      <c r="AL720" s="121">
        <f>交易记录!AG314</f>
        <v>0</v>
      </c>
      <c r="AM720" s="30">
        <f t="shared" si="331"/>
        <v>0</v>
      </c>
      <c r="AN720" s="124">
        <f>交易记录!AG347</f>
        <v>0</v>
      </c>
      <c r="AO720" s="124">
        <f>交易记录!AG378</f>
        <v>0</v>
      </c>
      <c r="AP720" s="30">
        <f t="shared" si="332"/>
        <v>0</v>
      </c>
      <c r="AQ720" s="121">
        <f>交易记录!AG411</f>
        <v>0</v>
      </c>
      <c r="AR720" s="121">
        <f>交易记录!AG442</f>
        <v>0</v>
      </c>
      <c r="AS720" s="30">
        <f t="shared" si="333"/>
        <v>0</v>
      </c>
      <c r="AT720" s="124">
        <f>交易记录!AG475</f>
        <v>0</v>
      </c>
      <c r="AU720" s="124">
        <f>交易记录!AG506</f>
        <v>0</v>
      </c>
      <c r="AV720" s="30">
        <f t="shared" si="340"/>
        <v>0</v>
      </c>
      <c r="AW720" s="121">
        <f>交易记录!AG539</f>
        <v>0</v>
      </c>
      <c r="AX720" s="121">
        <f>交易记录!AG570</f>
        <v>0</v>
      </c>
      <c r="AY720" s="30">
        <f t="shared" si="341"/>
        <v>0</v>
      </c>
      <c r="AZ720" s="124">
        <f>交易记录!AG603</f>
        <v>0</v>
      </c>
      <c r="BA720" s="124">
        <f>交易记录!AG634</f>
        <v>0</v>
      </c>
      <c r="BB720" s="30">
        <f t="shared" si="342"/>
        <v>0</v>
      </c>
      <c r="BC720" s="121">
        <f>交易记录!AG667</f>
        <v>0</v>
      </c>
      <c r="BD720" s="121">
        <f>交易记录!AG698</f>
        <v>0</v>
      </c>
      <c r="BE720" s="30">
        <f t="shared" si="343"/>
        <v>0</v>
      </c>
      <c r="BF720" s="124">
        <f>交易记录!AG731</f>
        <v>0</v>
      </c>
      <c r="BG720" s="124">
        <f>交易记录!AG762</f>
        <v>0</v>
      </c>
      <c r="BH720" s="30">
        <f t="shared" si="344"/>
        <v>0</v>
      </c>
      <c r="BI720" s="121">
        <f>交易记录!AG795</f>
        <v>0</v>
      </c>
      <c r="BJ720" s="121">
        <f>交易记录!AG826</f>
        <v>0</v>
      </c>
      <c r="BK720" s="30">
        <f t="shared" si="345"/>
        <v>0</v>
      </c>
      <c r="BL720" s="124">
        <f>交易记录!AG859</f>
        <v>0</v>
      </c>
      <c r="BM720" s="124">
        <f>交易记录!AG890</f>
        <v>0</v>
      </c>
      <c r="BN720" s="30">
        <f t="shared" si="346"/>
        <v>0</v>
      </c>
      <c r="BO720" s="121">
        <f>交易记录!AG923</f>
        <v>0</v>
      </c>
      <c r="BP720" s="121">
        <f>交易记录!AG954</f>
        <v>0</v>
      </c>
      <c r="BQ720" s="30">
        <f t="shared" si="347"/>
        <v>0</v>
      </c>
    </row>
    <row r="721" spans="1:69" ht="15">
      <c r="A721" s="125">
        <f>'维护-日期'!A$32</f>
        <v>46295</v>
      </c>
      <c r="B721" s="7" t="s">
        <v>29</v>
      </c>
      <c r="C721" s="144">
        <f t="shared" si="348"/>
        <v>16.963000000000001</v>
      </c>
      <c r="D721" s="144">
        <f>ROUND(INDEX(持仓数据!$C$3:$AG$26,MATCH('计算过程-数据汇总'!B721,持仓数据!$B$3:$B$26,0),MATCH('计算过程-数据汇总'!A721,'维护-日期'!$B$2:$AF$2,0)),3)</f>
        <v>16.963000000000001</v>
      </c>
      <c r="E721" s="98">
        <f t="shared" si="349"/>
        <v>16.963000000000001</v>
      </c>
      <c r="F721" s="22">
        <f>持仓数据!AF95</f>
        <v>0.33299999999999996</v>
      </c>
      <c r="G721" s="97">
        <v>372</v>
      </c>
      <c r="H721" s="97">
        <v>372</v>
      </c>
      <c r="I721" s="64">
        <v>0</v>
      </c>
      <c r="J721" s="64">
        <v>0</v>
      </c>
      <c r="K721" s="21">
        <f>IF(持仓数据!AF128="",0,持仓数据!AF128)</f>
        <v>372</v>
      </c>
      <c r="L721" s="21">
        <f t="shared" si="350"/>
        <v>0</v>
      </c>
      <c r="M721" s="28">
        <f t="shared" si="334"/>
        <v>6310.2360000000008</v>
      </c>
      <c r="N721" s="28">
        <f t="shared" si="335"/>
        <v>0</v>
      </c>
      <c r="O721" s="28">
        <f t="shared" si="336"/>
        <v>0</v>
      </c>
      <c r="P721" s="28">
        <f t="shared" si="337"/>
        <v>0</v>
      </c>
      <c r="Q721" s="28">
        <f t="shared" si="351"/>
        <v>0</v>
      </c>
      <c r="R721" s="28">
        <f t="shared" si="338"/>
        <v>6310.2360000000008</v>
      </c>
      <c r="S721" s="28">
        <f t="shared" si="352"/>
        <v>0</v>
      </c>
      <c r="T721" s="28">
        <f t="shared" si="353"/>
        <v>0</v>
      </c>
      <c r="U721" s="28">
        <f t="shared" si="356"/>
        <v>0</v>
      </c>
      <c r="V721" s="28">
        <f t="shared" si="354"/>
        <v>0</v>
      </c>
      <c r="W721" s="118"/>
      <c r="X721" s="143">
        <f t="shared" si="355"/>
        <v>20.023</v>
      </c>
      <c r="Y721" s="121">
        <f>交易记录!AG28</f>
        <v>0.33299999999999996</v>
      </c>
      <c r="Z721" s="121">
        <f>交易记录!AG59</f>
        <v>372</v>
      </c>
      <c r="AA721" s="30">
        <f t="shared" si="339"/>
        <v>0</v>
      </c>
      <c r="AB721" s="124">
        <f>交易记录!AG92</f>
        <v>0</v>
      </c>
      <c r="AC721" s="124">
        <f>交易记录!AG123</f>
        <v>0</v>
      </c>
      <c r="AD721" s="30">
        <f t="shared" si="328"/>
        <v>0</v>
      </c>
      <c r="AE721" s="121">
        <f>交易记录!AG156</f>
        <v>0</v>
      </c>
      <c r="AF721" s="121">
        <f>交易记录!AG187</f>
        <v>0</v>
      </c>
      <c r="AG721" s="30">
        <f t="shared" si="329"/>
        <v>0</v>
      </c>
      <c r="AH721" s="124">
        <f>交易记录!AG220</f>
        <v>0</v>
      </c>
      <c r="AI721" s="124">
        <f>交易记录!AG251</f>
        <v>0</v>
      </c>
      <c r="AJ721" s="30">
        <f t="shared" si="330"/>
        <v>0</v>
      </c>
      <c r="AK721" s="121">
        <f>交易记录!AG284</f>
        <v>0</v>
      </c>
      <c r="AL721" s="121">
        <f>交易记录!AG315</f>
        <v>0</v>
      </c>
      <c r="AM721" s="30">
        <f t="shared" si="331"/>
        <v>0</v>
      </c>
      <c r="AN721" s="124">
        <f>交易记录!AG348</f>
        <v>0</v>
      </c>
      <c r="AO721" s="124">
        <f>交易记录!AG379</f>
        <v>0</v>
      </c>
      <c r="AP721" s="30">
        <f t="shared" si="332"/>
        <v>0</v>
      </c>
      <c r="AQ721" s="121">
        <f>交易记录!AG412</f>
        <v>0</v>
      </c>
      <c r="AR721" s="121">
        <f>交易记录!AG443</f>
        <v>0</v>
      </c>
      <c r="AS721" s="30">
        <f t="shared" si="333"/>
        <v>0</v>
      </c>
      <c r="AT721" s="124">
        <f>交易记录!AG476</f>
        <v>0</v>
      </c>
      <c r="AU721" s="124">
        <f>交易记录!AG507</f>
        <v>0</v>
      </c>
      <c r="AV721" s="30">
        <f t="shared" si="340"/>
        <v>0</v>
      </c>
      <c r="AW721" s="121">
        <f>交易记录!AG540</f>
        <v>0</v>
      </c>
      <c r="AX721" s="121">
        <f>交易记录!AG571</f>
        <v>0</v>
      </c>
      <c r="AY721" s="30">
        <f t="shared" si="341"/>
        <v>0</v>
      </c>
      <c r="AZ721" s="124">
        <f>交易记录!AG604</f>
        <v>0</v>
      </c>
      <c r="BA721" s="124">
        <f>交易记录!AG635</f>
        <v>0</v>
      </c>
      <c r="BB721" s="30">
        <f t="shared" si="342"/>
        <v>0</v>
      </c>
      <c r="BC721" s="121">
        <f>交易记录!AG668</f>
        <v>0</v>
      </c>
      <c r="BD721" s="121">
        <f>交易记录!AG699</f>
        <v>0</v>
      </c>
      <c r="BE721" s="30">
        <f t="shared" si="343"/>
        <v>0</v>
      </c>
      <c r="BF721" s="124">
        <f>交易记录!AG732</f>
        <v>0</v>
      </c>
      <c r="BG721" s="124">
        <f>交易记录!AG763</f>
        <v>0</v>
      </c>
      <c r="BH721" s="30">
        <f t="shared" si="344"/>
        <v>0</v>
      </c>
      <c r="BI721" s="121">
        <f>交易记录!AG796</f>
        <v>0</v>
      </c>
      <c r="BJ721" s="121">
        <f>交易记录!AG827</f>
        <v>0</v>
      </c>
      <c r="BK721" s="30">
        <f t="shared" si="345"/>
        <v>0</v>
      </c>
      <c r="BL721" s="124">
        <f>交易记录!AG860</f>
        <v>0</v>
      </c>
      <c r="BM721" s="124">
        <f>交易记录!AG891</f>
        <v>0</v>
      </c>
      <c r="BN721" s="30">
        <f t="shared" si="346"/>
        <v>0</v>
      </c>
      <c r="BO721" s="121">
        <f>交易记录!AG924</f>
        <v>0</v>
      </c>
      <c r="BP721" s="121">
        <f>交易记录!AG955</f>
        <v>0</v>
      </c>
      <c r="BQ721" s="30">
        <f t="shared" si="347"/>
        <v>0</v>
      </c>
    </row>
    <row r="722" spans="1:69" ht="15">
      <c r="A722" s="125">
        <f>'维护-日期'!A$33</f>
        <v>0</v>
      </c>
      <c r="B722" s="7" t="s">
        <v>6</v>
      </c>
      <c r="C722" s="144">
        <f t="shared" si="348"/>
        <v>16.655999999999999</v>
      </c>
      <c r="D722" s="144">
        <f>ROUND(INDEX(持仓数据!$C$3:$AG$26,MATCH('计算过程-数据汇总'!B722,持仓数据!$B$3:$B$26,0),MATCH('计算过程-数据汇总'!A722,'维护-日期'!$B$2:$AF$2,0)),3)</f>
        <v>16.655999999999999</v>
      </c>
      <c r="E722" s="98">
        <f t="shared" si="349"/>
        <v>16.655999999999999</v>
      </c>
      <c r="F722" s="22">
        <f>持仓数据!AG72</f>
        <v>0.39700000000000002</v>
      </c>
      <c r="G722" s="97">
        <v>372</v>
      </c>
      <c r="H722" s="97">
        <v>372</v>
      </c>
      <c r="I722" s="64">
        <v>0</v>
      </c>
      <c r="J722" s="64">
        <v>0</v>
      </c>
      <c r="K722" s="21">
        <f>IF(持仓数据!AG105="",0,持仓数据!AG105)</f>
        <v>372</v>
      </c>
      <c r="L722" s="21">
        <f t="shared" si="350"/>
        <v>0</v>
      </c>
      <c r="M722" s="28">
        <f t="shared" si="334"/>
        <v>6196.0319999999992</v>
      </c>
      <c r="N722" s="28">
        <f t="shared" si="335"/>
        <v>0</v>
      </c>
      <c r="O722" s="28">
        <f t="shared" si="336"/>
        <v>0</v>
      </c>
      <c r="P722" s="28">
        <f t="shared" si="337"/>
        <v>0</v>
      </c>
      <c r="Q722" s="28">
        <f t="shared" si="351"/>
        <v>0</v>
      </c>
      <c r="R722" s="28">
        <f t="shared" si="338"/>
        <v>6196.0319999999992</v>
      </c>
      <c r="S722" s="28">
        <f t="shared" si="352"/>
        <v>0</v>
      </c>
      <c r="T722" s="28">
        <f t="shared" si="353"/>
        <v>0</v>
      </c>
      <c r="U722" s="28">
        <f t="shared" si="356"/>
        <v>0</v>
      </c>
      <c r="V722" s="28">
        <f t="shared" si="354"/>
        <v>0</v>
      </c>
      <c r="W722" s="118"/>
      <c r="X722" s="143">
        <f t="shared" si="355"/>
        <v>19.59</v>
      </c>
      <c r="Y722" s="121">
        <f>交易记录!AH5</f>
        <v>0.39700000000000002</v>
      </c>
      <c r="Z722" s="121">
        <f>交易记录!AH36</f>
        <v>372</v>
      </c>
      <c r="AA722" s="30">
        <f t="shared" si="339"/>
        <v>0</v>
      </c>
      <c r="AB722" s="124">
        <f>交易记录!AH69</f>
        <v>0</v>
      </c>
      <c r="AC722" s="124">
        <f>交易记录!AH100</f>
        <v>0</v>
      </c>
      <c r="AD722" s="30">
        <f t="shared" si="328"/>
        <v>0</v>
      </c>
      <c r="AE722" s="121">
        <f>交易记录!AH133</f>
        <v>0</v>
      </c>
      <c r="AF722" s="121">
        <f>交易记录!AH164</f>
        <v>0</v>
      </c>
      <c r="AG722" s="30">
        <f t="shared" si="329"/>
        <v>0</v>
      </c>
      <c r="AH722" s="124">
        <f>交易记录!AH197</f>
        <v>0</v>
      </c>
      <c r="AI722" s="124">
        <f>交易记录!AH228</f>
        <v>0</v>
      </c>
      <c r="AJ722" s="30">
        <f t="shared" si="330"/>
        <v>0</v>
      </c>
      <c r="AK722" s="121">
        <f>交易记录!AH261</f>
        <v>0</v>
      </c>
      <c r="AL722" s="121">
        <f>交易记录!AH292</f>
        <v>0</v>
      </c>
      <c r="AM722" s="30">
        <f t="shared" si="331"/>
        <v>0</v>
      </c>
      <c r="AN722" s="124">
        <f>交易记录!AH325</f>
        <v>0</v>
      </c>
      <c r="AO722" s="124">
        <f>交易记录!AH356</f>
        <v>0</v>
      </c>
      <c r="AP722" s="30">
        <f t="shared" si="332"/>
        <v>0</v>
      </c>
      <c r="AQ722" s="121">
        <f>交易记录!AH389</f>
        <v>0</v>
      </c>
      <c r="AR722" s="121">
        <f>交易记录!AH420</f>
        <v>0</v>
      </c>
      <c r="AS722" s="30">
        <f t="shared" si="333"/>
        <v>0</v>
      </c>
      <c r="AT722" s="124">
        <f>交易记录!AH453</f>
        <v>0</v>
      </c>
      <c r="AU722" s="124">
        <f>交易记录!AH484</f>
        <v>0</v>
      </c>
      <c r="AV722" s="30">
        <f t="shared" si="340"/>
        <v>0</v>
      </c>
      <c r="AW722" s="121">
        <f>交易记录!AH517</f>
        <v>0</v>
      </c>
      <c r="AX722" s="121">
        <f>交易记录!AH548</f>
        <v>0</v>
      </c>
      <c r="AY722" s="30">
        <f t="shared" si="341"/>
        <v>0</v>
      </c>
      <c r="AZ722" s="124">
        <f>交易记录!AH581</f>
        <v>0</v>
      </c>
      <c r="BA722" s="124">
        <f>交易记录!AH612</f>
        <v>0</v>
      </c>
      <c r="BB722" s="30">
        <f t="shared" si="342"/>
        <v>0</v>
      </c>
      <c r="BC722" s="121">
        <f>交易记录!AH645</f>
        <v>0</v>
      </c>
      <c r="BD722" s="121">
        <f>交易记录!AH676</f>
        <v>0</v>
      </c>
      <c r="BE722" s="30">
        <f t="shared" si="343"/>
        <v>0</v>
      </c>
      <c r="BF722" s="124">
        <f>交易记录!AH709</f>
        <v>0</v>
      </c>
      <c r="BG722" s="124">
        <f>交易记录!AH740</f>
        <v>0</v>
      </c>
      <c r="BH722" s="30">
        <f t="shared" si="344"/>
        <v>0</v>
      </c>
      <c r="BI722" s="121">
        <f>交易记录!AH773</f>
        <v>0</v>
      </c>
      <c r="BJ722" s="121">
        <f>交易记录!AH804</f>
        <v>0</v>
      </c>
      <c r="BK722" s="30">
        <f t="shared" si="345"/>
        <v>0</v>
      </c>
      <c r="BL722" s="124">
        <f>交易记录!AH837</f>
        <v>0</v>
      </c>
      <c r="BM722" s="124">
        <f>交易记录!AH868</f>
        <v>0</v>
      </c>
      <c r="BN722" s="30">
        <f t="shared" si="346"/>
        <v>0</v>
      </c>
      <c r="BO722" s="121">
        <f>交易记录!AH901</f>
        <v>0</v>
      </c>
      <c r="BP722" s="121">
        <f>交易记录!AH932</f>
        <v>0</v>
      </c>
      <c r="BQ722" s="30">
        <f t="shared" si="347"/>
        <v>0</v>
      </c>
    </row>
    <row r="723" spans="1:69" ht="15">
      <c r="A723" s="125">
        <f>'维护-日期'!A$33</f>
        <v>0</v>
      </c>
      <c r="B723" s="7" t="s">
        <v>7</v>
      </c>
      <c r="C723" s="144">
        <f t="shared" si="348"/>
        <v>15.792</v>
      </c>
      <c r="D723" s="144">
        <f>ROUND(INDEX(持仓数据!$C$3:$AG$26,MATCH('计算过程-数据汇总'!B723,持仓数据!$B$3:$B$26,0),MATCH('计算过程-数据汇总'!A723,'维护-日期'!$B$2:$AF$2,0)),3)</f>
        <v>15.792</v>
      </c>
      <c r="E723" s="98">
        <f t="shared" si="349"/>
        <v>15.792</v>
      </c>
      <c r="F723" s="22">
        <f>持仓数据!AG73</f>
        <v>0.26500000000000001</v>
      </c>
      <c r="G723" s="97">
        <v>372</v>
      </c>
      <c r="H723" s="97">
        <v>372</v>
      </c>
      <c r="I723" s="64">
        <v>0</v>
      </c>
      <c r="J723" s="64">
        <v>0</v>
      </c>
      <c r="K723" s="21">
        <f>IF(持仓数据!AG106="",0,持仓数据!AG106)</f>
        <v>372</v>
      </c>
      <c r="L723" s="21">
        <f t="shared" si="350"/>
        <v>0</v>
      </c>
      <c r="M723" s="28">
        <f t="shared" si="334"/>
        <v>5874.6239999999998</v>
      </c>
      <c r="N723" s="28">
        <f t="shared" si="335"/>
        <v>0</v>
      </c>
      <c r="O723" s="28">
        <f t="shared" si="336"/>
        <v>0</v>
      </c>
      <c r="P723" s="28">
        <f t="shared" si="337"/>
        <v>0</v>
      </c>
      <c r="Q723" s="28">
        <f t="shared" si="351"/>
        <v>0</v>
      </c>
      <c r="R723" s="28">
        <f t="shared" si="338"/>
        <v>5874.6239999999998</v>
      </c>
      <c r="S723" s="28">
        <f t="shared" si="352"/>
        <v>0</v>
      </c>
      <c r="T723" s="28">
        <f t="shared" si="353"/>
        <v>0</v>
      </c>
      <c r="U723" s="28">
        <f t="shared" si="356"/>
        <v>0</v>
      </c>
      <c r="V723" s="28">
        <f t="shared" si="354"/>
        <v>0</v>
      </c>
      <c r="W723" s="118"/>
      <c r="X723" s="143">
        <f t="shared" si="355"/>
        <v>18.684999999999999</v>
      </c>
      <c r="Y723" s="121">
        <f>交易记录!AH6</f>
        <v>0.26500000000000001</v>
      </c>
      <c r="Z723" s="121">
        <f>交易记录!AH37</f>
        <v>372</v>
      </c>
      <c r="AA723" s="30">
        <f t="shared" si="339"/>
        <v>0</v>
      </c>
      <c r="AB723" s="124">
        <f>交易记录!AH70</f>
        <v>0</v>
      </c>
      <c r="AC723" s="124">
        <f>交易记录!AH101</f>
        <v>0</v>
      </c>
      <c r="AD723" s="30">
        <f t="shared" si="328"/>
        <v>0</v>
      </c>
      <c r="AE723" s="121">
        <f>交易记录!AH134</f>
        <v>0</v>
      </c>
      <c r="AF723" s="121">
        <f>交易记录!AH165</f>
        <v>0</v>
      </c>
      <c r="AG723" s="30">
        <f t="shared" si="329"/>
        <v>0</v>
      </c>
      <c r="AH723" s="124">
        <f>交易记录!AH198</f>
        <v>0</v>
      </c>
      <c r="AI723" s="124">
        <f>交易记录!AH229</f>
        <v>0</v>
      </c>
      <c r="AJ723" s="30">
        <f t="shared" si="330"/>
        <v>0</v>
      </c>
      <c r="AK723" s="121">
        <f>交易记录!AH262</f>
        <v>0</v>
      </c>
      <c r="AL723" s="121">
        <f>交易记录!AH293</f>
        <v>0</v>
      </c>
      <c r="AM723" s="30">
        <f t="shared" si="331"/>
        <v>0</v>
      </c>
      <c r="AN723" s="124">
        <f>交易记录!AH326</f>
        <v>0</v>
      </c>
      <c r="AO723" s="124">
        <f>交易记录!AH357</f>
        <v>0</v>
      </c>
      <c r="AP723" s="30">
        <f t="shared" si="332"/>
        <v>0</v>
      </c>
      <c r="AQ723" s="121">
        <f>交易记录!AH390</f>
        <v>0</v>
      </c>
      <c r="AR723" s="121">
        <f>交易记录!AH421</f>
        <v>0</v>
      </c>
      <c r="AS723" s="30">
        <f t="shared" si="333"/>
        <v>0</v>
      </c>
      <c r="AT723" s="124">
        <f>交易记录!AH454</f>
        <v>0</v>
      </c>
      <c r="AU723" s="124">
        <f>交易记录!AH485</f>
        <v>0</v>
      </c>
      <c r="AV723" s="30">
        <f t="shared" si="340"/>
        <v>0</v>
      </c>
      <c r="AW723" s="121">
        <f>交易记录!AH518</f>
        <v>0</v>
      </c>
      <c r="AX723" s="121">
        <f>交易记录!AH549</f>
        <v>0</v>
      </c>
      <c r="AY723" s="30">
        <f t="shared" si="341"/>
        <v>0</v>
      </c>
      <c r="AZ723" s="124">
        <f>交易记录!AH582</f>
        <v>0</v>
      </c>
      <c r="BA723" s="124">
        <f>交易记录!AH613</f>
        <v>0</v>
      </c>
      <c r="BB723" s="30">
        <f t="shared" si="342"/>
        <v>0</v>
      </c>
      <c r="BC723" s="121">
        <f>交易记录!AH646</f>
        <v>0</v>
      </c>
      <c r="BD723" s="121">
        <f>交易记录!AH677</f>
        <v>0</v>
      </c>
      <c r="BE723" s="30">
        <f t="shared" si="343"/>
        <v>0</v>
      </c>
      <c r="BF723" s="124">
        <f>交易记录!AH710</f>
        <v>0</v>
      </c>
      <c r="BG723" s="124">
        <f>交易记录!AH741</f>
        <v>0</v>
      </c>
      <c r="BH723" s="30">
        <f t="shared" si="344"/>
        <v>0</v>
      </c>
      <c r="BI723" s="121">
        <f>交易记录!AH774</f>
        <v>0</v>
      </c>
      <c r="BJ723" s="121">
        <f>交易记录!AH805</f>
        <v>0</v>
      </c>
      <c r="BK723" s="30">
        <f t="shared" si="345"/>
        <v>0</v>
      </c>
      <c r="BL723" s="124">
        <f>交易记录!AH838</f>
        <v>0</v>
      </c>
      <c r="BM723" s="124">
        <f>交易记录!AH869</f>
        <v>0</v>
      </c>
      <c r="BN723" s="30">
        <f t="shared" si="346"/>
        <v>0</v>
      </c>
      <c r="BO723" s="121">
        <f>交易记录!AH902</f>
        <v>0</v>
      </c>
      <c r="BP723" s="121">
        <f>交易记录!AH933</f>
        <v>0</v>
      </c>
      <c r="BQ723" s="30">
        <f t="shared" si="347"/>
        <v>0</v>
      </c>
    </row>
    <row r="724" spans="1:69" ht="15">
      <c r="A724" s="125">
        <f>'维护-日期'!A$33</f>
        <v>0</v>
      </c>
      <c r="B724" s="7" t="s">
        <v>8</v>
      </c>
      <c r="C724" s="144">
        <f t="shared" si="348"/>
        <v>14.821999999999999</v>
      </c>
      <c r="D724" s="144">
        <f>ROUND(INDEX(持仓数据!$C$3:$AG$26,MATCH('计算过程-数据汇总'!B724,持仓数据!$B$3:$B$26,0),MATCH('计算过程-数据汇总'!A724,'维护-日期'!$B$2:$AF$2,0)),3)</f>
        <v>14.821999999999999</v>
      </c>
      <c r="E724" s="98">
        <f t="shared" si="349"/>
        <v>14.821999999999999</v>
      </c>
      <c r="F724" s="22">
        <f>持仓数据!AG74</f>
        <v>0.24199999999999999</v>
      </c>
      <c r="G724" s="97">
        <v>372</v>
      </c>
      <c r="H724" s="97">
        <v>372</v>
      </c>
      <c r="I724" s="64">
        <v>0</v>
      </c>
      <c r="J724" s="64">
        <v>0</v>
      </c>
      <c r="K724" s="21">
        <f>IF(持仓数据!AG107="",0,持仓数据!AG107)</f>
        <v>372</v>
      </c>
      <c r="L724" s="21">
        <f t="shared" si="350"/>
        <v>0</v>
      </c>
      <c r="M724" s="28">
        <f t="shared" si="334"/>
        <v>5513.7839999999997</v>
      </c>
      <c r="N724" s="28">
        <f t="shared" si="335"/>
        <v>0</v>
      </c>
      <c r="O724" s="28">
        <f t="shared" si="336"/>
        <v>0</v>
      </c>
      <c r="P724" s="28">
        <f t="shared" si="337"/>
        <v>0</v>
      </c>
      <c r="Q724" s="28">
        <f t="shared" si="351"/>
        <v>0</v>
      </c>
      <c r="R724" s="28">
        <f t="shared" si="338"/>
        <v>5513.7839999999997</v>
      </c>
      <c r="S724" s="28">
        <f t="shared" si="352"/>
        <v>0</v>
      </c>
      <c r="T724" s="28">
        <f t="shared" si="353"/>
        <v>0</v>
      </c>
      <c r="U724" s="28">
        <f t="shared" si="356"/>
        <v>0</v>
      </c>
      <c r="V724" s="28">
        <f t="shared" si="354"/>
        <v>0</v>
      </c>
      <c r="W724" s="118"/>
      <c r="X724" s="143">
        <f t="shared" si="355"/>
        <v>17.544</v>
      </c>
      <c r="Y724" s="121">
        <f>交易记录!AH7</f>
        <v>0.24199999999999999</v>
      </c>
      <c r="Z724" s="121">
        <f>交易记录!AH38</f>
        <v>372</v>
      </c>
      <c r="AA724" s="30">
        <f t="shared" si="339"/>
        <v>0</v>
      </c>
      <c r="AB724" s="124">
        <f>交易记录!AH71</f>
        <v>0</v>
      </c>
      <c r="AC724" s="124">
        <f>交易记录!AH102</f>
        <v>0</v>
      </c>
      <c r="AD724" s="30">
        <f t="shared" si="328"/>
        <v>0</v>
      </c>
      <c r="AE724" s="121">
        <f>交易记录!AH135</f>
        <v>0</v>
      </c>
      <c r="AF724" s="121">
        <f>交易记录!AH166</f>
        <v>0</v>
      </c>
      <c r="AG724" s="30">
        <f t="shared" si="329"/>
        <v>0</v>
      </c>
      <c r="AH724" s="124">
        <f>交易记录!AH199</f>
        <v>0</v>
      </c>
      <c r="AI724" s="124">
        <f>交易记录!AH230</f>
        <v>0</v>
      </c>
      <c r="AJ724" s="30">
        <f t="shared" si="330"/>
        <v>0</v>
      </c>
      <c r="AK724" s="121">
        <f>交易记录!AH263</f>
        <v>0</v>
      </c>
      <c r="AL724" s="121">
        <f>交易记录!AH294</f>
        <v>0</v>
      </c>
      <c r="AM724" s="30">
        <f t="shared" si="331"/>
        <v>0</v>
      </c>
      <c r="AN724" s="124">
        <f>交易记录!AH327</f>
        <v>0</v>
      </c>
      <c r="AO724" s="124">
        <f>交易记录!AH358</f>
        <v>0</v>
      </c>
      <c r="AP724" s="30">
        <f t="shared" si="332"/>
        <v>0</v>
      </c>
      <c r="AQ724" s="121">
        <f>交易记录!AH391</f>
        <v>0</v>
      </c>
      <c r="AR724" s="121">
        <f>交易记录!AH422</f>
        <v>0</v>
      </c>
      <c r="AS724" s="30">
        <f t="shared" si="333"/>
        <v>0</v>
      </c>
      <c r="AT724" s="124">
        <f>交易记录!AH455</f>
        <v>0</v>
      </c>
      <c r="AU724" s="124">
        <f>交易记录!AH486</f>
        <v>0</v>
      </c>
      <c r="AV724" s="30">
        <f t="shared" si="340"/>
        <v>0</v>
      </c>
      <c r="AW724" s="121">
        <f>交易记录!AH519</f>
        <v>0</v>
      </c>
      <c r="AX724" s="121">
        <f>交易记录!AH550</f>
        <v>0</v>
      </c>
      <c r="AY724" s="30">
        <f t="shared" si="341"/>
        <v>0</v>
      </c>
      <c r="AZ724" s="124">
        <f>交易记录!AH583</f>
        <v>0</v>
      </c>
      <c r="BA724" s="124">
        <f>交易记录!AH614</f>
        <v>0</v>
      </c>
      <c r="BB724" s="30">
        <f t="shared" si="342"/>
        <v>0</v>
      </c>
      <c r="BC724" s="121">
        <f>交易记录!AH647</f>
        <v>0</v>
      </c>
      <c r="BD724" s="121">
        <f>交易记录!AH678</f>
        <v>0</v>
      </c>
      <c r="BE724" s="30">
        <f t="shared" si="343"/>
        <v>0</v>
      </c>
      <c r="BF724" s="124">
        <f>交易记录!AH711</f>
        <v>0</v>
      </c>
      <c r="BG724" s="124">
        <f>交易记录!AH742</f>
        <v>0</v>
      </c>
      <c r="BH724" s="30">
        <f t="shared" si="344"/>
        <v>0</v>
      </c>
      <c r="BI724" s="121">
        <f>交易记录!AH775</f>
        <v>0</v>
      </c>
      <c r="BJ724" s="121">
        <f>交易记录!AH806</f>
        <v>0</v>
      </c>
      <c r="BK724" s="30">
        <f t="shared" si="345"/>
        <v>0</v>
      </c>
      <c r="BL724" s="124">
        <f>交易记录!AH839</f>
        <v>0</v>
      </c>
      <c r="BM724" s="124">
        <f>交易记录!AH870</f>
        <v>0</v>
      </c>
      <c r="BN724" s="30">
        <f t="shared" si="346"/>
        <v>0</v>
      </c>
      <c r="BO724" s="121">
        <f>交易记录!AH903</f>
        <v>0</v>
      </c>
      <c r="BP724" s="121">
        <f>交易记录!AH934</f>
        <v>0</v>
      </c>
      <c r="BQ724" s="30">
        <f t="shared" si="347"/>
        <v>0</v>
      </c>
    </row>
    <row r="725" spans="1:69" ht="15">
      <c r="A725" s="125">
        <f>'维护-日期'!A$33</f>
        <v>0</v>
      </c>
      <c r="B725" s="7" t="s">
        <v>9</v>
      </c>
      <c r="C725" s="144">
        <f t="shared" si="348"/>
        <v>13.817</v>
      </c>
      <c r="D725" s="144">
        <f>ROUND(INDEX(持仓数据!$C$3:$AG$26,MATCH('计算过程-数据汇总'!B725,持仓数据!$B$3:$B$26,0),MATCH('计算过程-数据汇总'!A725,'维护-日期'!$B$2:$AF$2,0)),3)</f>
        <v>13.817</v>
      </c>
      <c r="E725" s="98">
        <f t="shared" si="349"/>
        <v>13.817</v>
      </c>
      <c r="F725" s="22">
        <f>持仓数据!AG75</f>
        <v>0.09</v>
      </c>
      <c r="G725" s="97">
        <v>372</v>
      </c>
      <c r="H725" s="97">
        <v>372</v>
      </c>
      <c r="I725" s="64">
        <v>0</v>
      </c>
      <c r="J725" s="64">
        <v>0</v>
      </c>
      <c r="K725" s="21">
        <f>IF(持仓数据!AG108="",0,持仓数据!AG108)</f>
        <v>372</v>
      </c>
      <c r="L725" s="21">
        <f t="shared" si="350"/>
        <v>0</v>
      </c>
      <c r="M725" s="28">
        <f t="shared" si="334"/>
        <v>5139.924</v>
      </c>
      <c r="N725" s="28">
        <f t="shared" si="335"/>
        <v>0</v>
      </c>
      <c r="O725" s="28">
        <f t="shared" si="336"/>
        <v>0</v>
      </c>
      <c r="P725" s="28">
        <f t="shared" si="337"/>
        <v>0</v>
      </c>
      <c r="Q725" s="28">
        <f t="shared" si="351"/>
        <v>0</v>
      </c>
      <c r="R725" s="28">
        <f t="shared" si="338"/>
        <v>5139.924</v>
      </c>
      <c r="S725" s="28">
        <f t="shared" si="352"/>
        <v>0</v>
      </c>
      <c r="T725" s="28">
        <f t="shared" si="353"/>
        <v>0</v>
      </c>
      <c r="U725" s="28">
        <f t="shared" si="356"/>
        <v>0</v>
      </c>
      <c r="V725" s="28">
        <f t="shared" si="354"/>
        <v>0</v>
      </c>
      <c r="W725" s="118"/>
      <c r="X725" s="143">
        <f t="shared" si="355"/>
        <v>16.489999999999998</v>
      </c>
      <c r="Y725" s="121">
        <f>交易记录!AH8</f>
        <v>0.09</v>
      </c>
      <c r="Z725" s="121">
        <f>交易记录!AH39</f>
        <v>372</v>
      </c>
      <c r="AA725" s="30">
        <f t="shared" si="339"/>
        <v>0</v>
      </c>
      <c r="AB725" s="124">
        <f>交易记录!AH72</f>
        <v>0</v>
      </c>
      <c r="AC725" s="124">
        <f>交易记录!AH103</f>
        <v>0</v>
      </c>
      <c r="AD725" s="30">
        <f t="shared" si="328"/>
        <v>0</v>
      </c>
      <c r="AE725" s="121">
        <f>交易记录!AH136</f>
        <v>0</v>
      </c>
      <c r="AF725" s="121">
        <f>交易记录!AH167</f>
        <v>0</v>
      </c>
      <c r="AG725" s="30">
        <f t="shared" si="329"/>
        <v>0</v>
      </c>
      <c r="AH725" s="124">
        <f>交易记录!AH200</f>
        <v>0</v>
      </c>
      <c r="AI725" s="124">
        <f>交易记录!AH231</f>
        <v>0</v>
      </c>
      <c r="AJ725" s="30">
        <f t="shared" si="330"/>
        <v>0</v>
      </c>
      <c r="AK725" s="121">
        <f>交易记录!AH264</f>
        <v>0</v>
      </c>
      <c r="AL725" s="121">
        <f>交易记录!AH295</f>
        <v>0</v>
      </c>
      <c r="AM725" s="30">
        <f t="shared" si="331"/>
        <v>0</v>
      </c>
      <c r="AN725" s="124">
        <f>交易记录!AH328</f>
        <v>0</v>
      </c>
      <c r="AO725" s="124">
        <f>交易记录!AH359</f>
        <v>0</v>
      </c>
      <c r="AP725" s="30">
        <f t="shared" si="332"/>
        <v>0</v>
      </c>
      <c r="AQ725" s="121">
        <f>交易记录!AH392</f>
        <v>0</v>
      </c>
      <c r="AR725" s="121">
        <f>交易记录!AH423</f>
        <v>0</v>
      </c>
      <c r="AS725" s="30">
        <f t="shared" si="333"/>
        <v>0</v>
      </c>
      <c r="AT725" s="124">
        <f>交易记录!AH456</f>
        <v>0</v>
      </c>
      <c r="AU725" s="124">
        <f>交易记录!AH487</f>
        <v>0</v>
      </c>
      <c r="AV725" s="30">
        <f t="shared" si="340"/>
        <v>0</v>
      </c>
      <c r="AW725" s="121">
        <f>交易记录!AH520</f>
        <v>0</v>
      </c>
      <c r="AX725" s="121">
        <f>交易记录!AH551</f>
        <v>0</v>
      </c>
      <c r="AY725" s="30">
        <f t="shared" si="341"/>
        <v>0</v>
      </c>
      <c r="AZ725" s="124">
        <f>交易记录!AH584</f>
        <v>0</v>
      </c>
      <c r="BA725" s="124">
        <f>交易记录!AH615</f>
        <v>0</v>
      </c>
      <c r="BB725" s="30">
        <f t="shared" si="342"/>
        <v>0</v>
      </c>
      <c r="BC725" s="121">
        <f>交易记录!AH648</f>
        <v>0</v>
      </c>
      <c r="BD725" s="121">
        <f>交易记录!AH679</f>
        <v>0</v>
      </c>
      <c r="BE725" s="30">
        <f t="shared" si="343"/>
        <v>0</v>
      </c>
      <c r="BF725" s="124">
        <f>交易记录!AH712</f>
        <v>0</v>
      </c>
      <c r="BG725" s="124">
        <f>交易记录!AH743</f>
        <v>0</v>
      </c>
      <c r="BH725" s="30">
        <f t="shared" si="344"/>
        <v>0</v>
      </c>
      <c r="BI725" s="121">
        <f>交易记录!AH776</f>
        <v>0</v>
      </c>
      <c r="BJ725" s="121">
        <f>交易记录!AH807</f>
        <v>0</v>
      </c>
      <c r="BK725" s="30">
        <f t="shared" si="345"/>
        <v>0</v>
      </c>
      <c r="BL725" s="124">
        <f>交易记录!AH840</f>
        <v>0</v>
      </c>
      <c r="BM725" s="124">
        <f>交易记录!AH871</f>
        <v>0</v>
      </c>
      <c r="BN725" s="30">
        <f t="shared" si="346"/>
        <v>0</v>
      </c>
      <c r="BO725" s="121">
        <f>交易记录!AH904</f>
        <v>0</v>
      </c>
      <c r="BP725" s="121">
        <f>交易记录!AH935</f>
        <v>0</v>
      </c>
      <c r="BQ725" s="30">
        <f t="shared" si="347"/>
        <v>0</v>
      </c>
    </row>
    <row r="726" spans="1:69" ht="15">
      <c r="A726" s="125">
        <f>'维护-日期'!A$33</f>
        <v>0</v>
      </c>
      <c r="B726" s="7" t="s">
        <v>10</v>
      </c>
      <c r="C726" s="144">
        <f t="shared" si="348"/>
        <v>13.388</v>
      </c>
      <c r="D726" s="144">
        <f>ROUND(INDEX(持仓数据!$C$3:$AG$26,MATCH('计算过程-数据汇总'!B726,持仓数据!$B$3:$B$26,0),MATCH('计算过程-数据汇总'!A726,'维护-日期'!$B$2:$AF$2,0)),3)</f>
        <v>13.388</v>
      </c>
      <c r="E726" s="98">
        <f t="shared" si="349"/>
        <v>13.388</v>
      </c>
      <c r="F726" s="22">
        <f>持仓数据!AG76</f>
        <v>8.6999999999999994E-2</v>
      </c>
      <c r="G726" s="97">
        <v>372</v>
      </c>
      <c r="H726" s="97">
        <v>372</v>
      </c>
      <c r="I726" s="64">
        <v>0</v>
      </c>
      <c r="J726" s="64">
        <v>0</v>
      </c>
      <c r="K726" s="21">
        <f>IF(持仓数据!AG109="",0,持仓数据!AG109)</f>
        <v>372</v>
      </c>
      <c r="L726" s="21">
        <f t="shared" si="350"/>
        <v>0</v>
      </c>
      <c r="M726" s="28">
        <f t="shared" si="334"/>
        <v>4980.3360000000002</v>
      </c>
      <c r="N726" s="28">
        <f t="shared" si="335"/>
        <v>0</v>
      </c>
      <c r="O726" s="28">
        <f t="shared" si="336"/>
        <v>0</v>
      </c>
      <c r="P726" s="28">
        <f t="shared" si="337"/>
        <v>0</v>
      </c>
      <c r="Q726" s="28">
        <f t="shared" si="351"/>
        <v>0</v>
      </c>
      <c r="R726" s="28">
        <f t="shared" si="338"/>
        <v>4980.3360000000002</v>
      </c>
      <c r="S726" s="28">
        <f t="shared" si="352"/>
        <v>0</v>
      </c>
      <c r="T726" s="28">
        <f t="shared" si="353"/>
        <v>0</v>
      </c>
      <c r="U726" s="28">
        <f t="shared" si="356"/>
        <v>0</v>
      </c>
      <c r="V726" s="28">
        <f t="shared" si="354"/>
        <v>0</v>
      </c>
      <c r="W726" s="118"/>
      <c r="X726" s="143">
        <f t="shared" si="355"/>
        <v>15.978999999999999</v>
      </c>
      <c r="Y726" s="121">
        <f>交易记录!AH9</f>
        <v>8.6999999999999994E-2</v>
      </c>
      <c r="Z726" s="121">
        <f>交易记录!AH40</f>
        <v>372</v>
      </c>
      <c r="AA726" s="30">
        <f t="shared" si="339"/>
        <v>0</v>
      </c>
      <c r="AB726" s="124">
        <f>交易记录!AH73</f>
        <v>0</v>
      </c>
      <c r="AC726" s="124">
        <f>交易记录!AH104</f>
        <v>0</v>
      </c>
      <c r="AD726" s="30">
        <f t="shared" si="328"/>
        <v>0</v>
      </c>
      <c r="AE726" s="121">
        <f>交易记录!AH137</f>
        <v>0</v>
      </c>
      <c r="AF726" s="121">
        <f>交易记录!AH168</f>
        <v>0</v>
      </c>
      <c r="AG726" s="30">
        <f t="shared" si="329"/>
        <v>0</v>
      </c>
      <c r="AH726" s="124">
        <f>交易记录!AH201</f>
        <v>0</v>
      </c>
      <c r="AI726" s="124">
        <f>交易记录!AH232</f>
        <v>0</v>
      </c>
      <c r="AJ726" s="30">
        <f t="shared" si="330"/>
        <v>0</v>
      </c>
      <c r="AK726" s="121">
        <f>交易记录!AH265</f>
        <v>0</v>
      </c>
      <c r="AL726" s="121">
        <f>交易记录!AH296</f>
        <v>0</v>
      </c>
      <c r="AM726" s="30">
        <f t="shared" si="331"/>
        <v>0</v>
      </c>
      <c r="AN726" s="124">
        <f>交易记录!AH329</f>
        <v>0</v>
      </c>
      <c r="AO726" s="124">
        <f>交易记录!AH360</f>
        <v>0</v>
      </c>
      <c r="AP726" s="30">
        <f t="shared" si="332"/>
        <v>0</v>
      </c>
      <c r="AQ726" s="121">
        <f>交易记录!AH393</f>
        <v>0</v>
      </c>
      <c r="AR726" s="121">
        <f>交易记录!AH424</f>
        <v>0</v>
      </c>
      <c r="AS726" s="30">
        <f t="shared" si="333"/>
        <v>0</v>
      </c>
      <c r="AT726" s="124">
        <f>交易记录!AH457</f>
        <v>0</v>
      </c>
      <c r="AU726" s="124">
        <f>交易记录!AH488</f>
        <v>0</v>
      </c>
      <c r="AV726" s="30">
        <f t="shared" si="340"/>
        <v>0</v>
      </c>
      <c r="AW726" s="121">
        <f>交易记录!AH521</f>
        <v>0</v>
      </c>
      <c r="AX726" s="121">
        <f>交易记录!AH552</f>
        <v>0</v>
      </c>
      <c r="AY726" s="30">
        <f t="shared" si="341"/>
        <v>0</v>
      </c>
      <c r="AZ726" s="124">
        <f>交易记录!AH585</f>
        <v>0</v>
      </c>
      <c r="BA726" s="124">
        <f>交易记录!AH616</f>
        <v>0</v>
      </c>
      <c r="BB726" s="30">
        <f t="shared" si="342"/>
        <v>0</v>
      </c>
      <c r="BC726" s="121">
        <f>交易记录!AH649</f>
        <v>0</v>
      </c>
      <c r="BD726" s="121">
        <f>交易记录!AH680</f>
        <v>0</v>
      </c>
      <c r="BE726" s="30">
        <f t="shared" si="343"/>
        <v>0</v>
      </c>
      <c r="BF726" s="124">
        <f>交易记录!AH713</f>
        <v>0</v>
      </c>
      <c r="BG726" s="124">
        <f>交易记录!AH744</f>
        <v>0</v>
      </c>
      <c r="BH726" s="30">
        <f t="shared" si="344"/>
        <v>0</v>
      </c>
      <c r="BI726" s="121">
        <f>交易记录!AH777</f>
        <v>0</v>
      </c>
      <c r="BJ726" s="121">
        <f>交易记录!AH808</f>
        <v>0</v>
      </c>
      <c r="BK726" s="30">
        <f t="shared" si="345"/>
        <v>0</v>
      </c>
      <c r="BL726" s="124">
        <f>交易记录!AH841</f>
        <v>0</v>
      </c>
      <c r="BM726" s="124">
        <f>交易记录!AH872</f>
        <v>0</v>
      </c>
      <c r="BN726" s="30">
        <f t="shared" si="346"/>
        <v>0</v>
      </c>
      <c r="BO726" s="121">
        <f>交易记录!AH905</f>
        <v>0</v>
      </c>
      <c r="BP726" s="121">
        <f>交易记录!AH936</f>
        <v>0</v>
      </c>
      <c r="BQ726" s="30">
        <f t="shared" si="347"/>
        <v>0</v>
      </c>
    </row>
    <row r="727" spans="1:69" ht="15">
      <c r="A727" s="125">
        <f>'维护-日期'!A$33</f>
        <v>0</v>
      </c>
      <c r="B727" s="7" t="s">
        <v>11</v>
      </c>
      <c r="C727" s="144">
        <f t="shared" si="348"/>
        <v>13.087</v>
      </c>
      <c r="D727" s="144">
        <f>ROUND(INDEX(持仓数据!$C$3:$AG$26,MATCH('计算过程-数据汇总'!B727,持仓数据!$B$3:$B$26,0),MATCH('计算过程-数据汇总'!A727,'维护-日期'!$B$2:$AF$2,0)),3)</f>
        <v>13.087</v>
      </c>
      <c r="E727" s="98">
        <f t="shared" si="349"/>
        <v>13.087</v>
      </c>
      <c r="F727" s="22">
        <f>持仓数据!AG77</f>
        <v>8.6999999999999994E-2</v>
      </c>
      <c r="G727" s="97">
        <v>372</v>
      </c>
      <c r="H727" s="97">
        <v>372</v>
      </c>
      <c r="I727" s="64">
        <v>0</v>
      </c>
      <c r="J727" s="64">
        <v>0</v>
      </c>
      <c r="K727" s="21">
        <f>IF(持仓数据!AG110="",0,持仓数据!AG110)</f>
        <v>372</v>
      </c>
      <c r="L727" s="21">
        <f t="shared" si="350"/>
        <v>0</v>
      </c>
      <c r="M727" s="28">
        <f t="shared" si="334"/>
        <v>4868.3639999999996</v>
      </c>
      <c r="N727" s="28">
        <f t="shared" si="335"/>
        <v>0</v>
      </c>
      <c r="O727" s="28">
        <f t="shared" si="336"/>
        <v>0</v>
      </c>
      <c r="P727" s="28">
        <f t="shared" si="337"/>
        <v>0</v>
      </c>
      <c r="Q727" s="28">
        <f t="shared" si="351"/>
        <v>0</v>
      </c>
      <c r="R727" s="28">
        <f t="shared" si="338"/>
        <v>4868.3639999999996</v>
      </c>
      <c r="S727" s="28">
        <f t="shared" si="352"/>
        <v>0</v>
      </c>
      <c r="T727" s="28">
        <f t="shared" si="353"/>
        <v>0</v>
      </c>
      <c r="U727" s="28">
        <f t="shared" si="356"/>
        <v>0</v>
      </c>
      <c r="V727" s="28">
        <f t="shared" si="354"/>
        <v>0</v>
      </c>
      <c r="W727" s="118"/>
      <c r="X727" s="143">
        <f t="shared" si="355"/>
        <v>15.617000000000001</v>
      </c>
      <c r="Y727" s="121">
        <f>交易记录!AH10</f>
        <v>8.6999999999999994E-2</v>
      </c>
      <c r="Z727" s="121">
        <f>交易记录!AH41</f>
        <v>372</v>
      </c>
      <c r="AA727" s="30">
        <f t="shared" si="339"/>
        <v>0</v>
      </c>
      <c r="AB727" s="124">
        <f>交易记录!AH74</f>
        <v>0</v>
      </c>
      <c r="AC727" s="124">
        <f>交易记录!AH105</f>
        <v>0</v>
      </c>
      <c r="AD727" s="30">
        <f t="shared" si="328"/>
        <v>0</v>
      </c>
      <c r="AE727" s="121">
        <f>交易记录!AH138</f>
        <v>0</v>
      </c>
      <c r="AF727" s="121">
        <f>交易记录!AH169</f>
        <v>0</v>
      </c>
      <c r="AG727" s="30">
        <f t="shared" si="329"/>
        <v>0</v>
      </c>
      <c r="AH727" s="124">
        <f>交易记录!AH202</f>
        <v>0</v>
      </c>
      <c r="AI727" s="124">
        <f>交易记录!AH233</f>
        <v>0</v>
      </c>
      <c r="AJ727" s="30">
        <f t="shared" si="330"/>
        <v>0</v>
      </c>
      <c r="AK727" s="121">
        <f>交易记录!AH266</f>
        <v>0</v>
      </c>
      <c r="AL727" s="121">
        <f>交易记录!AH297</f>
        <v>0</v>
      </c>
      <c r="AM727" s="30">
        <f t="shared" si="331"/>
        <v>0</v>
      </c>
      <c r="AN727" s="124">
        <f>交易记录!AH330</f>
        <v>0</v>
      </c>
      <c r="AO727" s="124">
        <f>交易记录!AH361</f>
        <v>0</v>
      </c>
      <c r="AP727" s="30">
        <f t="shared" si="332"/>
        <v>0</v>
      </c>
      <c r="AQ727" s="121">
        <f>交易记录!AH394</f>
        <v>0</v>
      </c>
      <c r="AR727" s="121">
        <f>交易记录!AH425</f>
        <v>0</v>
      </c>
      <c r="AS727" s="30">
        <f t="shared" si="333"/>
        <v>0</v>
      </c>
      <c r="AT727" s="124">
        <f>交易记录!AH458</f>
        <v>0</v>
      </c>
      <c r="AU727" s="124">
        <f>交易记录!AH489</f>
        <v>0</v>
      </c>
      <c r="AV727" s="30">
        <f t="shared" si="340"/>
        <v>0</v>
      </c>
      <c r="AW727" s="121">
        <f>交易记录!AH522</f>
        <v>0</v>
      </c>
      <c r="AX727" s="121">
        <f>交易记录!AH553</f>
        <v>0</v>
      </c>
      <c r="AY727" s="30">
        <f t="shared" si="341"/>
        <v>0</v>
      </c>
      <c r="AZ727" s="124">
        <f>交易记录!AH586</f>
        <v>0</v>
      </c>
      <c r="BA727" s="124">
        <f>交易记录!AH617</f>
        <v>0</v>
      </c>
      <c r="BB727" s="30">
        <f t="shared" si="342"/>
        <v>0</v>
      </c>
      <c r="BC727" s="121">
        <f>交易记录!AH650</f>
        <v>0</v>
      </c>
      <c r="BD727" s="121">
        <f>交易记录!AH681</f>
        <v>0</v>
      </c>
      <c r="BE727" s="30">
        <f t="shared" si="343"/>
        <v>0</v>
      </c>
      <c r="BF727" s="124">
        <f>交易记录!AH714</f>
        <v>0</v>
      </c>
      <c r="BG727" s="124">
        <f>交易记录!AH745</f>
        <v>0</v>
      </c>
      <c r="BH727" s="30">
        <f t="shared" si="344"/>
        <v>0</v>
      </c>
      <c r="BI727" s="121">
        <f>交易记录!AH778</f>
        <v>0</v>
      </c>
      <c r="BJ727" s="121">
        <f>交易记录!AH809</f>
        <v>0</v>
      </c>
      <c r="BK727" s="30">
        <f t="shared" si="345"/>
        <v>0</v>
      </c>
      <c r="BL727" s="124">
        <f>交易记录!AH842</f>
        <v>0</v>
      </c>
      <c r="BM727" s="124">
        <f>交易记录!AH873</f>
        <v>0</v>
      </c>
      <c r="BN727" s="30">
        <f t="shared" si="346"/>
        <v>0</v>
      </c>
      <c r="BO727" s="121">
        <f>交易记录!AH906</f>
        <v>0</v>
      </c>
      <c r="BP727" s="121">
        <f>交易记录!AH937</f>
        <v>0</v>
      </c>
      <c r="BQ727" s="30">
        <f t="shared" si="347"/>
        <v>0</v>
      </c>
    </row>
    <row r="728" spans="1:69" ht="15">
      <c r="A728" s="125">
        <f>'维护-日期'!A$33</f>
        <v>0</v>
      </c>
      <c r="B728" s="7" t="s">
        <v>12</v>
      </c>
      <c r="C728" s="144">
        <f t="shared" si="348"/>
        <v>12.95</v>
      </c>
      <c r="D728" s="144">
        <f>ROUND(INDEX(持仓数据!$C$3:$AG$26,MATCH('计算过程-数据汇总'!B728,持仓数据!$B$3:$B$26,0),MATCH('计算过程-数据汇总'!A728,'维护-日期'!$B$2:$AF$2,0)),3)</f>
        <v>12.95</v>
      </c>
      <c r="E728" s="98">
        <f t="shared" si="349"/>
        <v>12.95</v>
      </c>
      <c r="F728" s="22">
        <f>持仓数据!AG78</f>
        <v>0.14499999999999999</v>
      </c>
      <c r="G728" s="97">
        <v>372</v>
      </c>
      <c r="H728" s="97">
        <v>372</v>
      </c>
      <c r="I728" s="64">
        <v>0</v>
      </c>
      <c r="J728" s="64">
        <v>0</v>
      </c>
      <c r="K728" s="21">
        <f>IF(持仓数据!AG111="",0,持仓数据!AG111)</f>
        <v>372</v>
      </c>
      <c r="L728" s="21">
        <f t="shared" si="350"/>
        <v>0</v>
      </c>
      <c r="M728" s="28">
        <f t="shared" si="334"/>
        <v>4817.3999999999996</v>
      </c>
      <c r="N728" s="28">
        <f t="shared" si="335"/>
        <v>0</v>
      </c>
      <c r="O728" s="28">
        <f t="shared" si="336"/>
        <v>0</v>
      </c>
      <c r="P728" s="28">
        <f t="shared" si="337"/>
        <v>0</v>
      </c>
      <c r="Q728" s="28">
        <f t="shared" si="351"/>
        <v>0</v>
      </c>
      <c r="R728" s="28">
        <f t="shared" si="338"/>
        <v>4817.3999999999996</v>
      </c>
      <c r="S728" s="28">
        <f t="shared" si="352"/>
        <v>0</v>
      </c>
      <c r="T728" s="28">
        <f t="shared" si="353"/>
        <v>0</v>
      </c>
      <c r="U728" s="28">
        <f t="shared" si="356"/>
        <v>0</v>
      </c>
      <c r="V728" s="28">
        <f t="shared" si="354"/>
        <v>0</v>
      </c>
      <c r="W728" s="118"/>
      <c r="X728" s="143">
        <f t="shared" si="355"/>
        <v>15.395</v>
      </c>
      <c r="Y728" s="121">
        <f>交易记录!AH11</f>
        <v>0.14499999999999999</v>
      </c>
      <c r="Z728" s="121">
        <f>交易记录!AH42</f>
        <v>372</v>
      </c>
      <c r="AA728" s="30">
        <f t="shared" si="339"/>
        <v>0</v>
      </c>
      <c r="AB728" s="124">
        <f>交易记录!AH75</f>
        <v>0</v>
      </c>
      <c r="AC728" s="124">
        <f>交易记录!AH106</f>
        <v>0</v>
      </c>
      <c r="AD728" s="30">
        <f t="shared" si="328"/>
        <v>0</v>
      </c>
      <c r="AE728" s="121">
        <f>交易记录!AH139</f>
        <v>0</v>
      </c>
      <c r="AF728" s="121">
        <f>交易记录!AH170</f>
        <v>0</v>
      </c>
      <c r="AG728" s="30">
        <f t="shared" si="329"/>
        <v>0</v>
      </c>
      <c r="AH728" s="124">
        <f>交易记录!AH203</f>
        <v>0</v>
      </c>
      <c r="AI728" s="124">
        <f>交易记录!AH234</f>
        <v>0</v>
      </c>
      <c r="AJ728" s="30">
        <f t="shared" si="330"/>
        <v>0</v>
      </c>
      <c r="AK728" s="121">
        <f>交易记录!AH267</f>
        <v>0</v>
      </c>
      <c r="AL728" s="121">
        <f>交易记录!AH298</f>
        <v>0</v>
      </c>
      <c r="AM728" s="30">
        <f t="shared" si="331"/>
        <v>0</v>
      </c>
      <c r="AN728" s="124">
        <f>交易记录!AH331</f>
        <v>0</v>
      </c>
      <c r="AO728" s="124">
        <f>交易记录!AH362</f>
        <v>0</v>
      </c>
      <c r="AP728" s="30">
        <f t="shared" si="332"/>
        <v>0</v>
      </c>
      <c r="AQ728" s="121">
        <f>交易记录!AH395</f>
        <v>0</v>
      </c>
      <c r="AR728" s="121">
        <f>交易记录!AH426</f>
        <v>0</v>
      </c>
      <c r="AS728" s="30">
        <f t="shared" si="333"/>
        <v>0</v>
      </c>
      <c r="AT728" s="124">
        <f>交易记录!AH459</f>
        <v>0</v>
      </c>
      <c r="AU728" s="124">
        <f>交易记录!AH490</f>
        <v>0</v>
      </c>
      <c r="AV728" s="30">
        <f t="shared" si="340"/>
        <v>0</v>
      </c>
      <c r="AW728" s="121">
        <f>交易记录!AH523</f>
        <v>0</v>
      </c>
      <c r="AX728" s="121">
        <f>交易记录!AH554</f>
        <v>0</v>
      </c>
      <c r="AY728" s="30">
        <f t="shared" si="341"/>
        <v>0</v>
      </c>
      <c r="AZ728" s="124">
        <f>交易记录!AH587</f>
        <v>0</v>
      </c>
      <c r="BA728" s="124">
        <f>交易记录!AH618</f>
        <v>0</v>
      </c>
      <c r="BB728" s="30">
        <f t="shared" si="342"/>
        <v>0</v>
      </c>
      <c r="BC728" s="121">
        <f>交易记录!AH651</f>
        <v>0</v>
      </c>
      <c r="BD728" s="121">
        <f>交易记录!AH682</f>
        <v>0</v>
      </c>
      <c r="BE728" s="30">
        <f t="shared" si="343"/>
        <v>0</v>
      </c>
      <c r="BF728" s="124">
        <f>交易记录!AH715</f>
        <v>0</v>
      </c>
      <c r="BG728" s="124">
        <f>交易记录!AH746</f>
        <v>0</v>
      </c>
      <c r="BH728" s="30">
        <f t="shared" si="344"/>
        <v>0</v>
      </c>
      <c r="BI728" s="121">
        <f>交易记录!AH779</f>
        <v>0</v>
      </c>
      <c r="BJ728" s="121">
        <f>交易记录!AH810</f>
        <v>0</v>
      </c>
      <c r="BK728" s="30">
        <f t="shared" si="345"/>
        <v>0</v>
      </c>
      <c r="BL728" s="124">
        <f>交易记录!AH843</f>
        <v>0</v>
      </c>
      <c r="BM728" s="124">
        <f>交易记录!AH874</f>
        <v>0</v>
      </c>
      <c r="BN728" s="30">
        <f t="shared" si="346"/>
        <v>0</v>
      </c>
      <c r="BO728" s="121">
        <f>交易记录!AH907</f>
        <v>0</v>
      </c>
      <c r="BP728" s="121">
        <f>交易记录!AH938</f>
        <v>0</v>
      </c>
      <c r="BQ728" s="30">
        <f t="shared" si="347"/>
        <v>0</v>
      </c>
    </row>
    <row r="729" spans="1:69" ht="15">
      <c r="A729" s="125">
        <f>'维护-日期'!A$33</f>
        <v>0</v>
      </c>
      <c r="B729" s="7" t="s">
        <v>13</v>
      </c>
      <c r="C729" s="144">
        <f t="shared" si="348"/>
        <v>13.266999999999999</v>
      </c>
      <c r="D729" s="144">
        <f>ROUND(INDEX(持仓数据!$C$3:$AG$26,MATCH('计算过程-数据汇总'!B729,持仓数据!$B$3:$B$26,0),MATCH('计算过程-数据汇总'!A729,'维护-日期'!$B$2:$AF$2,0)),3)</f>
        <v>13.266999999999999</v>
      </c>
      <c r="E729" s="98">
        <f t="shared" si="349"/>
        <v>13.266999999999999</v>
      </c>
      <c r="F729" s="22">
        <f>持仓数据!AG79</f>
        <v>0.307</v>
      </c>
      <c r="G729" s="97">
        <v>372</v>
      </c>
      <c r="H729" s="97">
        <v>372</v>
      </c>
      <c r="I729" s="64">
        <v>0</v>
      </c>
      <c r="J729" s="64">
        <v>0</v>
      </c>
      <c r="K729" s="21">
        <f>IF(持仓数据!AG112="",0,持仓数据!AG112)</f>
        <v>372</v>
      </c>
      <c r="L729" s="21">
        <f t="shared" si="350"/>
        <v>0</v>
      </c>
      <c r="M729" s="28">
        <f t="shared" si="334"/>
        <v>4935.3239999999996</v>
      </c>
      <c r="N729" s="28">
        <f t="shared" si="335"/>
        <v>0</v>
      </c>
      <c r="O729" s="28">
        <f t="shared" si="336"/>
        <v>0</v>
      </c>
      <c r="P729" s="28">
        <f t="shared" si="337"/>
        <v>0</v>
      </c>
      <c r="Q729" s="28">
        <f t="shared" si="351"/>
        <v>0</v>
      </c>
      <c r="R729" s="28">
        <f t="shared" si="338"/>
        <v>4935.3239999999996</v>
      </c>
      <c r="S729" s="28">
        <f t="shared" si="352"/>
        <v>0</v>
      </c>
      <c r="T729" s="28">
        <f t="shared" si="353"/>
        <v>0</v>
      </c>
      <c r="U729" s="28">
        <f t="shared" si="356"/>
        <v>0</v>
      </c>
      <c r="V729" s="28">
        <f t="shared" si="354"/>
        <v>0</v>
      </c>
      <c r="W729" s="118"/>
      <c r="X729" s="143">
        <f t="shared" si="355"/>
        <v>15.613</v>
      </c>
      <c r="Y729" s="121">
        <f>交易记录!AH12</f>
        <v>0.307</v>
      </c>
      <c r="Z729" s="121">
        <f>交易记录!AH43</f>
        <v>372</v>
      </c>
      <c r="AA729" s="30">
        <f t="shared" si="339"/>
        <v>0</v>
      </c>
      <c r="AB729" s="124">
        <f>交易记录!AH76</f>
        <v>0</v>
      </c>
      <c r="AC729" s="124">
        <f>交易记录!AH107</f>
        <v>0</v>
      </c>
      <c r="AD729" s="30">
        <f t="shared" si="328"/>
        <v>0</v>
      </c>
      <c r="AE729" s="121">
        <f>交易记录!AH140</f>
        <v>0</v>
      </c>
      <c r="AF729" s="121">
        <f>交易记录!AH171</f>
        <v>0</v>
      </c>
      <c r="AG729" s="30">
        <f t="shared" si="329"/>
        <v>0</v>
      </c>
      <c r="AH729" s="124">
        <f>交易记录!AH204</f>
        <v>0</v>
      </c>
      <c r="AI729" s="124">
        <f>交易记录!AH235</f>
        <v>0</v>
      </c>
      <c r="AJ729" s="30">
        <f t="shared" si="330"/>
        <v>0</v>
      </c>
      <c r="AK729" s="121">
        <f>交易记录!AH268</f>
        <v>0</v>
      </c>
      <c r="AL729" s="121">
        <f>交易记录!AH299</f>
        <v>0</v>
      </c>
      <c r="AM729" s="30">
        <f t="shared" si="331"/>
        <v>0</v>
      </c>
      <c r="AN729" s="124">
        <f>交易记录!AH332</f>
        <v>0</v>
      </c>
      <c r="AO729" s="124">
        <f>交易记录!AH363</f>
        <v>0</v>
      </c>
      <c r="AP729" s="30">
        <f t="shared" si="332"/>
        <v>0</v>
      </c>
      <c r="AQ729" s="121">
        <f>交易记录!AH396</f>
        <v>0</v>
      </c>
      <c r="AR729" s="121">
        <f>交易记录!AH427</f>
        <v>0</v>
      </c>
      <c r="AS729" s="30">
        <f t="shared" si="333"/>
        <v>0</v>
      </c>
      <c r="AT729" s="124">
        <f>交易记录!AH460</f>
        <v>0</v>
      </c>
      <c r="AU729" s="124">
        <f>交易记录!AH491</f>
        <v>0</v>
      </c>
      <c r="AV729" s="30">
        <f t="shared" si="340"/>
        <v>0</v>
      </c>
      <c r="AW729" s="121">
        <f>交易记录!AH524</f>
        <v>0</v>
      </c>
      <c r="AX729" s="121">
        <f>交易记录!AH555</f>
        <v>0</v>
      </c>
      <c r="AY729" s="30">
        <f t="shared" si="341"/>
        <v>0</v>
      </c>
      <c r="AZ729" s="124">
        <f>交易记录!AH588</f>
        <v>0</v>
      </c>
      <c r="BA729" s="124">
        <f>交易记录!AH619</f>
        <v>0</v>
      </c>
      <c r="BB729" s="30">
        <f t="shared" si="342"/>
        <v>0</v>
      </c>
      <c r="BC729" s="121">
        <f>交易记录!AH652</f>
        <v>0</v>
      </c>
      <c r="BD729" s="121">
        <f>交易记录!AH683</f>
        <v>0</v>
      </c>
      <c r="BE729" s="30">
        <f t="shared" si="343"/>
        <v>0</v>
      </c>
      <c r="BF729" s="124">
        <f>交易记录!AH716</f>
        <v>0</v>
      </c>
      <c r="BG729" s="124">
        <f>交易记录!AH747</f>
        <v>0</v>
      </c>
      <c r="BH729" s="30">
        <f t="shared" si="344"/>
        <v>0</v>
      </c>
      <c r="BI729" s="121">
        <f>交易记录!AH780</f>
        <v>0</v>
      </c>
      <c r="BJ729" s="121">
        <f>交易记录!AH811</f>
        <v>0</v>
      </c>
      <c r="BK729" s="30">
        <f t="shared" si="345"/>
        <v>0</v>
      </c>
      <c r="BL729" s="124">
        <f>交易记录!AH844</f>
        <v>0</v>
      </c>
      <c r="BM729" s="124">
        <f>交易记录!AH875</f>
        <v>0</v>
      </c>
      <c r="BN729" s="30">
        <f t="shared" si="346"/>
        <v>0</v>
      </c>
      <c r="BO729" s="121">
        <f>交易记录!AH908</f>
        <v>0</v>
      </c>
      <c r="BP729" s="121">
        <f>交易记录!AH939</f>
        <v>0</v>
      </c>
      <c r="BQ729" s="30">
        <f t="shared" si="347"/>
        <v>0</v>
      </c>
    </row>
    <row r="730" spans="1:69" ht="15">
      <c r="A730" s="125">
        <f>'维护-日期'!A$33</f>
        <v>0</v>
      </c>
      <c r="B730" s="7" t="s">
        <v>14</v>
      </c>
      <c r="C730" s="144">
        <f t="shared" si="348"/>
        <v>15.795999999999999</v>
      </c>
      <c r="D730" s="144">
        <f>ROUND(INDEX(持仓数据!$C$3:$AG$26,MATCH('计算过程-数据汇总'!B730,持仓数据!$B$3:$B$26,0),MATCH('计算过程-数据汇总'!A730,'维护-日期'!$B$2:$AF$2,0)),3)</f>
        <v>15.795999999999999</v>
      </c>
      <c r="E730" s="98">
        <f t="shared" si="349"/>
        <v>15.795999999999999</v>
      </c>
      <c r="F730" s="22">
        <f>持仓数据!AG80</f>
        <v>0.42800000000000005</v>
      </c>
      <c r="G730" s="97">
        <v>372</v>
      </c>
      <c r="H730" s="97">
        <v>372</v>
      </c>
      <c r="I730" s="64">
        <v>0</v>
      </c>
      <c r="J730" s="64">
        <v>0</v>
      </c>
      <c r="K730" s="21">
        <f>IF(持仓数据!AG113="",0,持仓数据!AG113)</f>
        <v>372</v>
      </c>
      <c r="L730" s="21">
        <f t="shared" si="350"/>
        <v>0</v>
      </c>
      <c r="M730" s="28">
        <f t="shared" si="334"/>
        <v>5876.1120000000001</v>
      </c>
      <c r="N730" s="28">
        <f t="shared" si="335"/>
        <v>0</v>
      </c>
      <c r="O730" s="28">
        <f t="shared" si="336"/>
        <v>0</v>
      </c>
      <c r="P730" s="28">
        <f t="shared" si="337"/>
        <v>0</v>
      </c>
      <c r="Q730" s="28">
        <f t="shared" si="351"/>
        <v>0</v>
      </c>
      <c r="R730" s="28">
        <f t="shared" si="338"/>
        <v>5876.1120000000001</v>
      </c>
      <c r="S730" s="28">
        <f t="shared" si="352"/>
        <v>0</v>
      </c>
      <c r="T730" s="28">
        <f t="shared" si="353"/>
        <v>0</v>
      </c>
      <c r="U730" s="28">
        <f t="shared" si="356"/>
        <v>0</v>
      </c>
      <c r="V730" s="28">
        <f t="shared" si="354"/>
        <v>0</v>
      </c>
      <c r="W730" s="118"/>
      <c r="X730" s="143">
        <f t="shared" si="355"/>
        <v>18.527000000000001</v>
      </c>
      <c r="Y730" s="121">
        <f>交易记录!AH13</f>
        <v>0.42800000000000005</v>
      </c>
      <c r="Z730" s="121">
        <f>交易记录!AH44</f>
        <v>372</v>
      </c>
      <c r="AA730" s="30">
        <f t="shared" si="339"/>
        <v>0</v>
      </c>
      <c r="AB730" s="124">
        <f>交易记录!AH77</f>
        <v>0</v>
      </c>
      <c r="AC730" s="124">
        <f>交易记录!AH108</f>
        <v>0</v>
      </c>
      <c r="AD730" s="30">
        <f t="shared" si="328"/>
        <v>0</v>
      </c>
      <c r="AE730" s="121">
        <f>交易记录!AH141</f>
        <v>0</v>
      </c>
      <c r="AF730" s="121">
        <f>交易记录!AH172</f>
        <v>0</v>
      </c>
      <c r="AG730" s="30">
        <f t="shared" si="329"/>
        <v>0</v>
      </c>
      <c r="AH730" s="124">
        <f>交易记录!AH205</f>
        <v>0</v>
      </c>
      <c r="AI730" s="124">
        <f>交易记录!AH236</f>
        <v>0</v>
      </c>
      <c r="AJ730" s="30">
        <f t="shared" si="330"/>
        <v>0</v>
      </c>
      <c r="AK730" s="121">
        <f>交易记录!AH269</f>
        <v>0</v>
      </c>
      <c r="AL730" s="121">
        <f>交易记录!AH300</f>
        <v>0</v>
      </c>
      <c r="AM730" s="30">
        <f t="shared" si="331"/>
        <v>0</v>
      </c>
      <c r="AN730" s="124">
        <f>交易记录!AH333</f>
        <v>0</v>
      </c>
      <c r="AO730" s="124">
        <f>交易记录!AH364</f>
        <v>0</v>
      </c>
      <c r="AP730" s="30">
        <f t="shared" si="332"/>
        <v>0</v>
      </c>
      <c r="AQ730" s="121">
        <f>交易记录!AH397</f>
        <v>0</v>
      </c>
      <c r="AR730" s="121">
        <f>交易记录!AH428</f>
        <v>0</v>
      </c>
      <c r="AS730" s="30">
        <f t="shared" si="333"/>
        <v>0</v>
      </c>
      <c r="AT730" s="124">
        <f>交易记录!AH461</f>
        <v>0</v>
      </c>
      <c r="AU730" s="124">
        <f>交易记录!AH492</f>
        <v>0</v>
      </c>
      <c r="AV730" s="30">
        <f t="shared" si="340"/>
        <v>0</v>
      </c>
      <c r="AW730" s="121">
        <f>交易记录!AH525</f>
        <v>0</v>
      </c>
      <c r="AX730" s="121">
        <f>交易记录!AH556</f>
        <v>0</v>
      </c>
      <c r="AY730" s="30">
        <f t="shared" si="341"/>
        <v>0</v>
      </c>
      <c r="AZ730" s="124">
        <f>交易记录!AH589</f>
        <v>0</v>
      </c>
      <c r="BA730" s="124">
        <f>交易记录!AH620</f>
        <v>0</v>
      </c>
      <c r="BB730" s="30">
        <f t="shared" si="342"/>
        <v>0</v>
      </c>
      <c r="BC730" s="121">
        <f>交易记录!AH653</f>
        <v>0</v>
      </c>
      <c r="BD730" s="121">
        <f>交易记录!AH684</f>
        <v>0</v>
      </c>
      <c r="BE730" s="30">
        <f t="shared" si="343"/>
        <v>0</v>
      </c>
      <c r="BF730" s="124">
        <f>交易记录!AH717</f>
        <v>0</v>
      </c>
      <c r="BG730" s="124">
        <f>交易记录!AH748</f>
        <v>0</v>
      </c>
      <c r="BH730" s="30">
        <f t="shared" si="344"/>
        <v>0</v>
      </c>
      <c r="BI730" s="121">
        <f>交易记录!AH781</f>
        <v>0</v>
      </c>
      <c r="BJ730" s="121">
        <f>交易记录!AH812</f>
        <v>0</v>
      </c>
      <c r="BK730" s="30">
        <f t="shared" si="345"/>
        <v>0</v>
      </c>
      <c r="BL730" s="124">
        <f>交易记录!AH845</f>
        <v>0</v>
      </c>
      <c r="BM730" s="124">
        <f>交易记录!AH876</f>
        <v>0</v>
      </c>
      <c r="BN730" s="30">
        <f t="shared" si="346"/>
        <v>0</v>
      </c>
      <c r="BO730" s="121">
        <f>交易记录!AH909</f>
        <v>0</v>
      </c>
      <c r="BP730" s="121">
        <f>交易记录!AH940</f>
        <v>0</v>
      </c>
      <c r="BQ730" s="30">
        <f t="shared" si="347"/>
        <v>0</v>
      </c>
    </row>
    <row r="731" spans="1:69" ht="15">
      <c r="A731" s="125">
        <f>'维护-日期'!A$33</f>
        <v>0</v>
      </c>
      <c r="B731" s="7" t="s">
        <v>15</v>
      </c>
      <c r="C731" s="144">
        <f t="shared" si="348"/>
        <v>19.308</v>
      </c>
      <c r="D731" s="144">
        <f>ROUND(INDEX(持仓数据!$C$3:$AG$26,MATCH('计算过程-数据汇总'!B731,持仓数据!$B$3:$B$26,0),MATCH('计算过程-数据汇总'!A731,'维护-日期'!$B$2:$AF$2,0)),3)</f>
        <v>19.308</v>
      </c>
      <c r="E731" s="98">
        <f t="shared" si="349"/>
        <v>19.308</v>
      </c>
      <c r="F731" s="22">
        <f>持仓数据!AG81</f>
        <v>0.46100000000000002</v>
      </c>
      <c r="G731" s="97">
        <v>372</v>
      </c>
      <c r="H731" s="97">
        <v>372</v>
      </c>
      <c r="I731" s="64">
        <v>0</v>
      </c>
      <c r="J731" s="64">
        <v>0</v>
      </c>
      <c r="K731" s="21">
        <f>IF(持仓数据!AG114="",0,持仓数据!AG114)</f>
        <v>372</v>
      </c>
      <c r="L731" s="21">
        <f t="shared" si="350"/>
        <v>0</v>
      </c>
      <c r="M731" s="28">
        <f t="shared" si="334"/>
        <v>7182.576</v>
      </c>
      <c r="N731" s="28">
        <f t="shared" si="335"/>
        <v>0</v>
      </c>
      <c r="O731" s="28">
        <f t="shared" si="336"/>
        <v>0</v>
      </c>
      <c r="P731" s="28">
        <f t="shared" si="337"/>
        <v>0</v>
      </c>
      <c r="Q731" s="28">
        <f t="shared" si="351"/>
        <v>0</v>
      </c>
      <c r="R731" s="28">
        <f t="shared" si="338"/>
        <v>7182.576</v>
      </c>
      <c r="S731" s="28">
        <f t="shared" si="352"/>
        <v>0</v>
      </c>
      <c r="T731" s="28">
        <f t="shared" si="353"/>
        <v>0</v>
      </c>
      <c r="U731" s="28">
        <f t="shared" si="356"/>
        <v>0</v>
      </c>
      <c r="V731" s="28">
        <f t="shared" si="354"/>
        <v>0</v>
      </c>
      <c r="W731" s="118"/>
      <c r="X731" s="143">
        <f t="shared" si="355"/>
        <v>22.709</v>
      </c>
      <c r="Y731" s="121">
        <f>交易记录!AH14</f>
        <v>0.46100000000000002</v>
      </c>
      <c r="Z731" s="121">
        <f>交易记录!AH45</f>
        <v>372</v>
      </c>
      <c r="AA731" s="30">
        <f t="shared" si="339"/>
        <v>0</v>
      </c>
      <c r="AB731" s="124">
        <f>交易记录!AH78</f>
        <v>0</v>
      </c>
      <c r="AC731" s="124">
        <f>交易记录!AH109</f>
        <v>0</v>
      </c>
      <c r="AD731" s="30">
        <f t="shared" ref="AD731:AD745" si="357">IFERROR((AC731-$G731)*AB731,0)</f>
        <v>0</v>
      </c>
      <c r="AE731" s="121">
        <f>交易记录!AH142</f>
        <v>0</v>
      </c>
      <c r="AF731" s="121">
        <f>交易记录!AH173</f>
        <v>0</v>
      </c>
      <c r="AG731" s="30">
        <f t="shared" ref="AG731:AG745" si="358">IFERROR((AF731-$G731)*AE731,0)</f>
        <v>0</v>
      </c>
      <c r="AH731" s="124">
        <f>交易记录!AH206</f>
        <v>0</v>
      </c>
      <c r="AI731" s="124">
        <f>交易记录!AH237</f>
        <v>0</v>
      </c>
      <c r="AJ731" s="30">
        <f t="shared" ref="AJ731:AJ745" si="359">IFERROR((AI731-$G731)*AH731,0)</f>
        <v>0</v>
      </c>
      <c r="AK731" s="121">
        <f>交易记录!AH270</f>
        <v>0</v>
      </c>
      <c r="AL731" s="121">
        <f>交易记录!AH301</f>
        <v>0</v>
      </c>
      <c r="AM731" s="30">
        <f t="shared" ref="AM731:AM745" si="360">IFERROR((AL731-$G731)*AK731,0)</f>
        <v>0</v>
      </c>
      <c r="AN731" s="124">
        <f>交易记录!AH334</f>
        <v>0</v>
      </c>
      <c r="AO731" s="124">
        <f>交易记录!AH365</f>
        <v>0</v>
      </c>
      <c r="AP731" s="30">
        <f t="shared" ref="AP731:AP745" si="361">IFERROR((AO731-$G731)*AN731,0)</f>
        <v>0</v>
      </c>
      <c r="AQ731" s="121">
        <f>交易记录!AH398</f>
        <v>0</v>
      </c>
      <c r="AR731" s="121">
        <f>交易记录!AH429</f>
        <v>0</v>
      </c>
      <c r="AS731" s="30">
        <f t="shared" ref="AS731:AS745" si="362">IFERROR((AR731-$G731)*AQ731,0)</f>
        <v>0</v>
      </c>
      <c r="AT731" s="124">
        <f>交易记录!AH462</f>
        <v>0</v>
      </c>
      <c r="AU731" s="124">
        <f>交易记录!AH493</f>
        <v>0</v>
      </c>
      <c r="AV731" s="30">
        <f t="shared" si="340"/>
        <v>0</v>
      </c>
      <c r="AW731" s="121">
        <f>交易记录!AH526</f>
        <v>0</v>
      </c>
      <c r="AX731" s="121">
        <f>交易记录!AH557</f>
        <v>0</v>
      </c>
      <c r="AY731" s="30">
        <f t="shared" si="341"/>
        <v>0</v>
      </c>
      <c r="AZ731" s="124">
        <f>交易记录!AH590</f>
        <v>0</v>
      </c>
      <c r="BA731" s="124">
        <f>交易记录!AH621</f>
        <v>0</v>
      </c>
      <c r="BB731" s="30">
        <f t="shared" si="342"/>
        <v>0</v>
      </c>
      <c r="BC731" s="121">
        <f>交易记录!AH654</f>
        <v>0</v>
      </c>
      <c r="BD731" s="121">
        <f>交易记录!AH685</f>
        <v>0</v>
      </c>
      <c r="BE731" s="30">
        <f t="shared" si="343"/>
        <v>0</v>
      </c>
      <c r="BF731" s="124">
        <f>交易记录!AH718</f>
        <v>0</v>
      </c>
      <c r="BG731" s="124">
        <f>交易记录!AH749</f>
        <v>0</v>
      </c>
      <c r="BH731" s="30">
        <f t="shared" si="344"/>
        <v>0</v>
      </c>
      <c r="BI731" s="121">
        <f>交易记录!AH782</f>
        <v>0</v>
      </c>
      <c r="BJ731" s="121">
        <f>交易记录!AH813</f>
        <v>0</v>
      </c>
      <c r="BK731" s="30">
        <f t="shared" si="345"/>
        <v>0</v>
      </c>
      <c r="BL731" s="124">
        <f>交易记录!AH846</f>
        <v>0</v>
      </c>
      <c r="BM731" s="124">
        <f>交易记录!AH877</f>
        <v>0</v>
      </c>
      <c r="BN731" s="30">
        <f t="shared" si="346"/>
        <v>0</v>
      </c>
      <c r="BO731" s="121">
        <f>交易记录!AH910</f>
        <v>0</v>
      </c>
      <c r="BP731" s="121">
        <f>交易记录!AH941</f>
        <v>0</v>
      </c>
      <c r="BQ731" s="30">
        <f t="shared" si="347"/>
        <v>0</v>
      </c>
    </row>
    <row r="732" spans="1:69" ht="15">
      <c r="A732" s="125">
        <f>'维护-日期'!A$33</f>
        <v>0</v>
      </c>
      <c r="B732" s="7" t="s">
        <v>16</v>
      </c>
      <c r="C732" s="144">
        <f t="shared" si="348"/>
        <v>21.01</v>
      </c>
      <c r="D732" s="144">
        <f>ROUND(INDEX(持仓数据!$C$3:$AG$26,MATCH('计算过程-数据汇总'!B732,持仓数据!$B$3:$B$26,0),MATCH('计算过程-数据汇总'!A732,'维护-日期'!$B$2:$AF$2,0)),3)</f>
        <v>21.01</v>
      </c>
      <c r="E732" s="98">
        <f t="shared" si="349"/>
        <v>21.01</v>
      </c>
      <c r="F732" s="22">
        <f>持仓数据!AG82</f>
        <v>0.46700000000000003</v>
      </c>
      <c r="G732" s="97">
        <v>372</v>
      </c>
      <c r="H732" s="97">
        <v>372</v>
      </c>
      <c r="I732" s="64">
        <v>0</v>
      </c>
      <c r="J732" s="64">
        <v>0</v>
      </c>
      <c r="K732" s="21">
        <f>IF(持仓数据!AG115="",0,持仓数据!AG115)</f>
        <v>372</v>
      </c>
      <c r="L732" s="21">
        <f t="shared" si="350"/>
        <v>0</v>
      </c>
      <c r="M732" s="28">
        <f t="shared" si="334"/>
        <v>7815.72</v>
      </c>
      <c r="N732" s="28">
        <f t="shared" si="335"/>
        <v>0</v>
      </c>
      <c r="O732" s="28">
        <f t="shared" si="336"/>
        <v>0</v>
      </c>
      <c r="P732" s="28">
        <f t="shared" si="337"/>
        <v>0</v>
      </c>
      <c r="Q732" s="28">
        <f t="shared" si="351"/>
        <v>0</v>
      </c>
      <c r="R732" s="28">
        <f t="shared" si="338"/>
        <v>7815.72</v>
      </c>
      <c r="S732" s="28">
        <f t="shared" si="352"/>
        <v>0</v>
      </c>
      <c r="T732" s="28">
        <f t="shared" si="353"/>
        <v>0</v>
      </c>
      <c r="U732" s="28">
        <f t="shared" si="356"/>
        <v>0</v>
      </c>
      <c r="V732" s="28">
        <f t="shared" si="354"/>
        <v>0</v>
      </c>
      <c r="W732" s="118"/>
      <c r="X732" s="143">
        <f t="shared" si="355"/>
        <v>24.745000000000001</v>
      </c>
      <c r="Y732" s="121">
        <f>交易记录!AH15</f>
        <v>0.46700000000000003</v>
      </c>
      <c r="Z732" s="121">
        <f>交易记录!AH46</f>
        <v>372</v>
      </c>
      <c r="AA732" s="30">
        <f t="shared" si="339"/>
        <v>0</v>
      </c>
      <c r="AB732" s="124">
        <f>交易记录!AH79</f>
        <v>0</v>
      </c>
      <c r="AC732" s="124">
        <f>交易记录!AH110</f>
        <v>0</v>
      </c>
      <c r="AD732" s="30">
        <f t="shared" si="357"/>
        <v>0</v>
      </c>
      <c r="AE732" s="121">
        <f>交易记录!AH143</f>
        <v>0</v>
      </c>
      <c r="AF732" s="121">
        <f>交易记录!AH174</f>
        <v>0</v>
      </c>
      <c r="AG732" s="30">
        <f t="shared" si="358"/>
        <v>0</v>
      </c>
      <c r="AH732" s="124">
        <f>交易记录!AH207</f>
        <v>0</v>
      </c>
      <c r="AI732" s="124">
        <f>交易记录!AH238</f>
        <v>0</v>
      </c>
      <c r="AJ732" s="30">
        <f t="shared" si="359"/>
        <v>0</v>
      </c>
      <c r="AK732" s="121">
        <f>交易记录!AH271</f>
        <v>0</v>
      </c>
      <c r="AL732" s="121">
        <f>交易记录!AH302</f>
        <v>0</v>
      </c>
      <c r="AM732" s="30">
        <f t="shared" si="360"/>
        <v>0</v>
      </c>
      <c r="AN732" s="124">
        <f>交易记录!AH335</f>
        <v>0</v>
      </c>
      <c r="AO732" s="124">
        <f>交易记录!AH366</f>
        <v>0</v>
      </c>
      <c r="AP732" s="30">
        <f t="shared" si="361"/>
        <v>0</v>
      </c>
      <c r="AQ732" s="121">
        <f>交易记录!AH399</f>
        <v>0</v>
      </c>
      <c r="AR732" s="121">
        <f>交易记录!AH430</f>
        <v>0</v>
      </c>
      <c r="AS732" s="30">
        <f t="shared" si="362"/>
        <v>0</v>
      </c>
      <c r="AT732" s="124">
        <f>交易记录!AH463</f>
        <v>0</v>
      </c>
      <c r="AU732" s="124">
        <f>交易记录!AH494</f>
        <v>0</v>
      </c>
      <c r="AV732" s="30">
        <f t="shared" si="340"/>
        <v>0</v>
      </c>
      <c r="AW732" s="121">
        <f>交易记录!AH527</f>
        <v>0</v>
      </c>
      <c r="AX732" s="121">
        <f>交易记录!AH558</f>
        <v>0</v>
      </c>
      <c r="AY732" s="30">
        <f t="shared" si="341"/>
        <v>0</v>
      </c>
      <c r="AZ732" s="124">
        <f>交易记录!AH591</f>
        <v>0</v>
      </c>
      <c r="BA732" s="124">
        <f>交易记录!AH622</f>
        <v>0</v>
      </c>
      <c r="BB732" s="30">
        <f t="shared" si="342"/>
        <v>0</v>
      </c>
      <c r="BC732" s="121">
        <f>交易记录!AH655</f>
        <v>0</v>
      </c>
      <c r="BD732" s="121">
        <f>交易记录!AH686</f>
        <v>0</v>
      </c>
      <c r="BE732" s="30">
        <f t="shared" si="343"/>
        <v>0</v>
      </c>
      <c r="BF732" s="124">
        <f>交易记录!AH719</f>
        <v>0</v>
      </c>
      <c r="BG732" s="124">
        <f>交易记录!AH750</f>
        <v>0</v>
      </c>
      <c r="BH732" s="30">
        <f t="shared" si="344"/>
        <v>0</v>
      </c>
      <c r="BI732" s="121">
        <f>交易记录!AH783</f>
        <v>0</v>
      </c>
      <c r="BJ732" s="121">
        <f>交易记录!AH814</f>
        <v>0</v>
      </c>
      <c r="BK732" s="30">
        <f t="shared" si="345"/>
        <v>0</v>
      </c>
      <c r="BL732" s="124">
        <f>交易记录!AH847</f>
        <v>0</v>
      </c>
      <c r="BM732" s="124">
        <f>交易记录!AH878</f>
        <v>0</v>
      </c>
      <c r="BN732" s="30">
        <f t="shared" si="346"/>
        <v>0</v>
      </c>
      <c r="BO732" s="121">
        <f>交易记录!AH911</f>
        <v>0</v>
      </c>
      <c r="BP732" s="121">
        <f>交易记录!AH942</f>
        <v>0</v>
      </c>
      <c r="BQ732" s="30">
        <f t="shared" si="347"/>
        <v>0</v>
      </c>
    </row>
    <row r="733" spans="1:69" ht="15">
      <c r="A733" s="125">
        <f>'维护-日期'!A$33</f>
        <v>0</v>
      </c>
      <c r="B733" s="7" t="s">
        <v>17</v>
      </c>
      <c r="C733" s="144">
        <f t="shared" si="348"/>
        <v>21.329000000000001</v>
      </c>
      <c r="D733" s="144">
        <f>ROUND(INDEX(持仓数据!$C$3:$AG$26,MATCH('计算过程-数据汇总'!B733,持仓数据!$B$3:$B$26,0),MATCH('计算过程-数据汇总'!A733,'维护-日期'!$B$2:$AF$2,0)),3)</f>
        <v>21.329000000000001</v>
      </c>
      <c r="E733" s="98">
        <f t="shared" si="349"/>
        <v>21.329000000000001</v>
      </c>
      <c r="F733" s="22">
        <f>持仓数据!AG83</f>
        <v>0.32100000000000001</v>
      </c>
      <c r="G733" s="97">
        <v>372</v>
      </c>
      <c r="H733" s="97">
        <v>372</v>
      </c>
      <c r="I733" s="64">
        <v>0</v>
      </c>
      <c r="J733" s="64">
        <v>0</v>
      </c>
      <c r="K733" s="21">
        <f>IF(持仓数据!AG116="",0,持仓数据!AG116)</f>
        <v>372</v>
      </c>
      <c r="L733" s="21">
        <f t="shared" si="350"/>
        <v>0</v>
      </c>
      <c r="M733" s="28">
        <f t="shared" si="334"/>
        <v>7934.3879999999999</v>
      </c>
      <c r="N733" s="28">
        <f t="shared" si="335"/>
        <v>0</v>
      </c>
      <c r="O733" s="28">
        <f t="shared" si="336"/>
        <v>0</v>
      </c>
      <c r="P733" s="28">
        <f t="shared" si="337"/>
        <v>0</v>
      </c>
      <c r="Q733" s="28">
        <f t="shared" si="351"/>
        <v>0</v>
      </c>
      <c r="R733" s="28">
        <f t="shared" si="338"/>
        <v>7934.3879999999999</v>
      </c>
      <c r="S733" s="28">
        <f t="shared" si="352"/>
        <v>0</v>
      </c>
      <c r="T733" s="28">
        <f t="shared" si="353"/>
        <v>0</v>
      </c>
      <c r="U733" s="28">
        <f t="shared" si="356"/>
        <v>0</v>
      </c>
      <c r="V733" s="28">
        <f t="shared" si="354"/>
        <v>0</v>
      </c>
      <c r="W733" s="118"/>
      <c r="X733" s="143">
        <f t="shared" si="355"/>
        <v>25.274000000000001</v>
      </c>
      <c r="Y733" s="121">
        <f>交易记录!AH16</f>
        <v>0.32100000000000001</v>
      </c>
      <c r="Z733" s="121">
        <f>交易记录!AH47</f>
        <v>372</v>
      </c>
      <c r="AA733" s="30">
        <f t="shared" si="339"/>
        <v>0</v>
      </c>
      <c r="AB733" s="124">
        <f>交易记录!AH80</f>
        <v>0</v>
      </c>
      <c r="AC733" s="124">
        <f>交易记录!AH111</f>
        <v>0</v>
      </c>
      <c r="AD733" s="30">
        <f t="shared" si="357"/>
        <v>0</v>
      </c>
      <c r="AE733" s="121">
        <f>交易记录!AH144</f>
        <v>0</v>
      </c>
      <c r="AF733" s="121">
        <f>交易记录!AH175</f>
        <v>0</v>
      </c>
      <c r="AG733" s="30">
        <f t="shared" si="358"/>
        <v>0</v>
      </c>
      <c r="AH733" s="124">
        <f>交易记录!AH208</f>
        <v>0</v>
      </c>
      <c r="AI733" s="124">
        <f>交易记录!AH239</f>
        <v>0</v>
      </c>
      <c r="AJ733" s="30">
        <f t="shared" si="359"/>
        <v>0</v>
      </c>
      <c r="AK733" s="121">
        <f>交易记录!AH272</f>
        <v>0</v>
      </c>
      <c r="AL733" s="121">
        <f>交易记录!AH303</f>
        <v>0</v>
      </c>
      <c r="AM733" s="30">
        <f t="shared" si="360"/>
        <v>0</v>
      </c>
      <c r="AN733" s="124">
        <f>交易记录!AH336</f>
        <v>0</v>
      </c>
      <c r="AO733" s="124">
        <f>交易记录!AH367</f>
        <v>0</v>
      </c>
      <c r="AP733" s="30">
        <f t="shared" si="361"/>
        <v>0</v>
      </c>
      <c r="AQ733" s="121">
        <f>交易记录!AH400</f>
        <v>0</v>
      </c>
      <c r="AR733" s="121">
        <f>交易记录!AH431</f>
        <v>0</v>
      </c>
      <c r="AS733" s="30">
        <f t="shared" si="362"/>
        <v>0</v>
      </c>
      <c r="AT733" s="124">
        <f>交易记录!AH464</f>
        <v>0</v>
      </c>
      <c r="AU733" s="124">
        <f>交易记录!AH495</f>
        <v>0</v>
      </c>
      <c r="AV733" s="30">
        <f t="shared" si="340"/>
        <v>0</v>
      </c>
      <c r="AW733" s="121">
        <f>交易记录!AH528</f>
        <v>0</v>
      </c>
      <c r="AX733" s="121">
        <f>交易记录!AH559</f>
        <v>0</v>
      </c>
      <c r="AY733" s="30">
        <f t="shared" si="341"/>
        <v>0</v>
      </c>
      <c r="AZ733" s="124">
        <f>交易记录!AH592</f>
        <v>0</v>
      </c>
      <c r="BA733" s="124">
        <f>交易记录!AH623</f>
        <v>0</v>
      </c>
      <c r="BB733" s="30">
        <f t="shared" si="342"/>
        <v>0</v>
      </c>
      <c r="BC733" s="121">
        <f>交易记录!AH656</f>
        <v>0</v>
      </c>
      <c r="BD733" s="121">
        <f>交易记录!AH687</f>
        <v>0</v>
      </c>
      <c r="BE733" s="30">
        <f t="shared" si="343"/>
        <v>0</v>
      </c>
      <c r="BF733" s="124">
        <f>交易记录!AH720</f>
        <v>0</v>
      </c>
      <c r="BG733" s="124">
        <f>交易记录!AH751</f>
        <v>0</v>
      </c>
      <c r="BH733" s="30">
        <f t="shared" si="344"/>
        <v>0</v>
      </c>
      <c r="BI733" s="121">
        <f>交易记录!AH784</f>
        <v>0</v>
      </c>
      <c r="BJ733" s="121">
        <f>交易记录!AH815</f>
        <v>0</v>
      </c>
      <c r="BK733" s="30">
        <f t="shared" si="345"/>
        <v>0</v>
      </c>
      <c r="BL733" s="124">
        <f>交易记录!AH848</f>
        <v>0</v>
      </c>
      <c r="BM733" s="124">
        <f>交易记录!AH879</f>
        <v>0</v>
      </c>
      <c r="BN733" s="30">
        <f t="shared" si="346"/>
        <v>0</v>
      </c>
      <c r="BO733" s="121">
        <f>交易记录!AH912</f>
        <v>0</v>
      </c>
      <c r="BP733" s="121">
        <f>交易记录!AH943</f>
        <v>0</v>
      </c>
      <c r="BQ733" s="30">
        <f t="shared" si="347"/>
        <v>0</v>
      </c>
    </row>
    <row r="734" spans="1:69" ht="15">
      <c r="A734" s="125">
        <f>'维护-日期'!A$33</f>
        <v>0</v>
      </c>
      <c r="B734" s="7" t="s">
        <v>18</v>
      </c>
      <c r="C734" s="144">
        <f t="shared" si="348"/>
        <v>22.643999999999998</v>
      </c>
      <c r="D734" s="144">
        <f>ROUND(INDEX(持仓数据!$C$3:$AG$26,MATCH('计算过程-数据汇总'!B734,持仓数据!$B$3:$B$26,0),MATCH('计算过程-数据汇总'!A734,'维护-日期'!$B$2:$AF$2,0)),3)</f>
        <v>22.643999999999998</v>
      </c>
      <c r="E734" s="98">
        <f t="shared" si="349"/>
        <v>22.643999999999998</v>
      </c>
      <c r="F734" s="22">
        <f>持仓数据!AG84</f>
        <v>7.8E-2</v>
      </c>
      <c r="G734" s="97">
        <v>372</v>
      </c>
      <c r="H734" s="97">
        <v>372</v>
      </c>
      <c r="I734" s="64">
        <v>0</v>
      </c>
      <c r="J734" s="64">
        <v>0</v>
      </c>
      <c r="K734" s="21">
        <f>IF(持仓数据!AG117="",0,持仓数据!AG117)</f>
        <v>372</v>
      </c>
      <c r="L734" s="21">
        <f t="shared" si="350"/>
        <v>0</v>
      </c>
      <c r="M734" s="28">
        <f t="shared" si="334"/>
        <v>8423.5679999999993</v>
      </c>
      <c r="N734" s="28">
        <f t="shared" si="335"/>
        <v>0</v>
      </c>
      <c r="O734" s="28">
        <f t="shared" si="336"/>
        <v>0</v>
      </c>
      <c r="P734" s="28">
        <f t="shared" si="337"/>
        <v>0</v>
      </c>
      <c r="Q734" s="28">
        <f t="shared" si="351"/>
        <v>0</v>
      </c>
      <c r="R734" s="28">
        <f t="shared" si="338"/>
        <v>8423.5679999999993</v>
      </c>
      <c r="S734" s="28">
        <f t="shared" si="352"/>
        <v>0</v>
      </c>
      <c r="T734" s="28">
        <f t="shared" si="353"/>
        <v>0</v>
      </c>
      <c r="U734" s="28">
        <f t="shared" si="356"/>
        <v>0</v>
      </c>
      <c r="V734" s="28">
        <f t="shared" si="354"/>
        <v>0</v>
      </c>
      <c r="W734" s="118"/>
      <c r="X734" s="143">
        <f t="shared" si="355"/>
        <v>27.094999999999999</v>
      </c>
      <c r="Y734" s="121">
        <f>交易记录!AH17</f>
        <v>7.8E-2</v>
      </c>
      <c r="Z734" s="121">
        <f>交易记录!AH48</f>
        <v>372</v>
      </c>
      <c r="AA734" s="30">
        <f t="shared" si="339"/>
        <v>0</v>
      </c>
      <c r="AB734" s="124">
        <f>交易记录!AH81</f>
        <v>0</v>
      </c>
      <c r="AC734" s="124">
        <f>交易记录!AH112</f>
        <v>0</v>
      </c>
      <c r="AD734" s="30">
        <f t="shared" si="357"/>
        <v>0</v>
      </c>
      <c r="AE734" s="121">
        <f>交易记录!AH145</f>
        <v>0</v>
      </c>
      <c r="AF734" s="121">
        <f>交易记录!AH176</f>
        <v>0</v>
      </c>
      <c r="AG734" s="30">
        <f t="shared" si="358"/>
        <v>0</v>
      </c>
      <c r="AH734" s="124">
        <f>交易记录!AH209</f>
        <v>0</v>
      </c>
      <c r="AI734" s="124">
        <f>交易记录!AH240</f>
        <v>0</v>
      </c>
      <c r="AJ734" s="30">
        <f t="shared" si="359"/>
        <v>0</v>
      </c>
      <c r="AK734" s="121">
        <f>交易记录!AH273</f>
        <v>0</v>
      </c>
      <c r="AL734" s="121">
        <f>交易记录!AH304</f>
        <v>0</v>
      </c>
      <c r="AM734" s="30">
        <f t="shared" si="360"/>
        <v>0</v>
      </c>
      <c r="AN734" s="124">
        <f>交易记录!AH337</f>
        <v>0</v>
      </c>
      <c r="AO734" s="124">
        <f>交易记录!AH368</f>
        <v>0</v>
      </c>
      <c r="AP734" s="30">
        <f t="shared" si="361"/>
        <v>0</v>
      </c>
      <c r="AQ734" s="121">
        <f>交易记录!AH401</f>
        <v>0</v>
      </c>
      <c r="AR734" s="121">
        <f>交易记录!AH432</f>
        <v>0</v>
      </c>
      <c r="AS734" s="30">
        <f t="shared" si="362"/>
        <v>0</v>
      </c>
      <c r="AT734" s="124">
        <f>交易记录!AH465</f>
        <v>0</v>
      </c>
      <c r="AU734" s="124">
        <f>交易记录!AH496</f>
        <v>0</v>
      </c>
      <c r="AV734" s="30">
        <f t="shared" si="340"/>
        <v>0</v>
      </c>
      <c r="AW734" s="121">
        <f>交易记录!AH529</f>
        <v>0</v>
      </c>
      <c r="AX734" s="121">
        <f>交易记录!AH560</f>
        <v>0</v>
      </c>
      <c r="AY734" s="30">
        <f t="shared" si="341"/>
        <v>0</v>
      </c>
      <c r="AZ734" s="124">
        <f>交易记录!AH593</f>
        <v>0</v>
      </c>
      <c r="BA734" s="124">
        <f>交易记录!AH624</f>
        <v>0</v>
      </c>
      <c r="BB734" s="30">
        <f t="shared" si="342"/>
        <v>0</v>
      </c>
      <c r="BC734" s="121">
        <f>交易记录!AH657</f>
        <v>0</v>
      </c>
      <c r="BD734" s="121">
        <f>交易记录!AH688</f>
        <v>0</v>
      </c>
      <c r="BE734" s="30">
        <f t="shared" si="343"/>
        <v>0</v>
      </c>
      <c r="BF734" s="124">
        <f>交易记录!AH721</f>
        <v>0</v>
      </c>
      <c r="BG734" s="124">
        <f>交易记录!AH752</f>
        <v>0</v>
      </c>
      <c r="BH734" s="30">
        <f t="shared" si="344"/>
        <v>0</v>
      </c>
      <c r="BI734" s="121">
        <f>交易记录!AH785</f>
        <v>0</v>
      </c>
      <c r="BJ734" s="121">
        <f>交易记录!AH816</f>
        <v>0</v>
      </c>
      <c r="BK734" s="30">
        <f t="shared" si="345"/>
        <v>0</v>
      </c>
      <c r="BL734" s="124">
        <f>交易记录!AH849</f>
        <v>0</v>
      </c>
      <c r="BM734" s="124">
        <f>交易记录!AH880</f>
        <v>0</v>
      </c>
      <c r="BN734" s="30">
        <f t="shared" si="346"/>
        <v>0</v>
      </c>
      <c r="BO734" s="121">
        <f>交易记录!AH913</f>
        <v>0</v>
      </c>
      <c r="BP734" s="121">
        <f>交易记录!AH944</f>
        <v>0</v>
      </c>
      <c r="BQ734" s="30">
        <f t="shared" si="347"/>
        <v>0</v>
      </c>
    </row>
    <row r="735" spans="1:69" ht="15">
      <c r="A735" s="125">
        <f>'维护-日期'!A$33</f>
        <v>0</v>
      </c>
      <c r="B735" s="7" t="s">
        <v>19</v>
      </c>
      <c r="C735" s="144">
        <f t="shared" si="348"/>
        <v>22.904</v>
      </c>
      <c r="D735" s="144">
        <f>ROUND(INDEX(持仓数据!$C$3:$AG$26,MATCH('计算过程-数据汇总'!B735,持仓数据!$B$3:$B$26,0),MATCH('计算过程-数据汇总'!A735,'维护-日期'!$B$2:$AF$2,0)),3)</f>
        <v>22.904</v>
      </c>
      <c r="E735" s="98">
        <f t="shared" si="349"/>
        <v>22.904</v>
      </c>
      <c r="F735" s="22">
        <f>持仓数据!AG85</f>
        <v>0.19500000000000001</v>
      </c>
      <c r="G735" s="97">
        <v>372</v>
      </c>
      <c r="H735" s="97">
        <v>372</v>
      </c>
      <c r="I735" s="64">
        <v>0</v>
      </c>
      <c r="J735" s="64">
        <v>0</v>
      </c>
      <c r="K735" s="21">
        <f>IF(持仓数据!AG118="",0,持仓数据!AG118)</f>
        <v>372</v>
      </c>
      <c r="L735" s="21">
        <f t="shared" si="350"/>
        <v>0</v>
      </c>
      <c r="M735" s="28">
        <f t="shared" si="334"/>
        <v>8520.2880000000005</v>
      </c>
      <c r="N735" s="28">
        <f t="shared" si="335"/>
        <v>0</v>
      </c>
      <c r="O735" s="28">
        <f t="shared" si="336"/>
        <v>0</v>
      </c>
      <c r="P735" s="28">
        <f t="shared" si="337"/>
        <v>0</v>
      </c>
      <c r="Q735" s="28">
        <f t="shared" si="351"/>
        <v>0</v>
      </c>
      <c r="R735" s="28">
        <f t="shared" si="338"/>
        <v>8520.2880000000005</v>
      </c>
      <c r="S735" s="28">
        <f t="shared" si="352"/>
        <v>0</v>
      </c>
      <c r="T735" s="28">
        <f t="shared" si="353"/>
        <v>0</v>
      </c>
      <c r="U735" s="28">
        <f t="shared" si="356"/>
        <v>0</v>
      </c>
      <c r="V735" s="28">
        <f t="shared" si="354"/>
        <v>0</v>
      </c>
      <c r="W735" s="118"/>
      <c r="X735" s="143">
        <f t="shared" si="355"/>
        <v>27.29</v>
      </c>
      <c r="Y735" s="121">
        <f>交易记录!AH18</f>
        <v>0.19500000000000001</v>
      </c>
      <c r="Z735" s="121">
        <f>交易记录!AH49</f>
        <v>372</v>
      </c>
      <c r="AA735" s="30">
        <f t="shared" si="339"/>
        <v>0</v>
      </c>
      <c r="AB735" s="124">
        <f>交易记录!AH82</f>
        <v>0</v>
      </c>
      <c r="AC735" s="124">
        <f>交易记录!AH113</f>
        <v>0</v>
      </c>
      <c r="AD735" s="30">
        <f t="shared" si="357"/>
        <v>0</v>
      </c>
      <c r="AE735" s="121">
        <f>交易记录!AH146</f>
        <v>0</v>
      </c>
      <c r="AF735" s="121">
        <f>交易记录!AH177</f>
        <v>0</v>
      </c>
      <c r="AG735" s="30">
        <f t="shared" si="358"/>
        <v>0</v>
      </c>
      <c r="AH735" s="124">
        <f>交易记录!AH210</f>
        <v>0</v>
      </c>
      <c r="AI735" s="124">
        <f>交易记录!AH241</f>
        <v>0</v>
      </c>
      <c r="AJ735" s="30">
        <f t="shared" si="359"/>
        <v>0</v>
      </c>
      <c r="AK735" s="121">
        <f>交易记录!AH274</f>
        <v>0</v>
      </c>
      <c r="AL735" s="121">
        <f>交易记录!AH305</f>
        <v>0</v>
      </c>
      <c r="AM735" s="30">
        <f t="shared" si="360"/>
        <v>0</v>
      </c>
      <c r="AN735" s="124">
        <f>交易记录!AH338</f>
        <v>0</v>
      </c>
      <c r="AO735" s="124">
        <f>交易记录!AH369</f>
        <v>0</v>
      </c>
      <c r="AP735" s="30">
        <f t="shared" si="361"/>
        <v>0</v>
      </c>
      <c r="AQ735" s="121">
        <f>交易记录!AH402</f>
        <v>0</v>
      </c>
      <c r="AR735" s="121">
        <f>交易记录!AH433</f>
        <v>0</v>
      </c>
      <c r="AS735" s="30">
        <f t="shared" si="362"/>
        <v>0</v>
      </c>
      <c r="AT735" s="124">
        <f>交易记录!AH466</f>
        <v>0</v>
      </c>
      <c r="AU735" s="124">
        <f>交易记录!AH497</f>
        <v>0</v>
      </c>
      <c r="AV735" s="30">
        <f t="shared" si="340"/>
        <v>0</v>
      </c>
      <c r="AW735" s="121">
        <f>交易记录!AH530</f>
        <v>0</v>
      </c>
      <c r="AX735" s="121">
        <f>交易记录!AH561</f>
        <v>0</v>
      </c>
      <c r="AY735" s="30">
        <f t="shared" si="341"/>
        <v>0</v>
      </c>
      <c r="AZ735" s="124">
        <f>交易记录!AH594</f>
        <v>0</v>
      </c>
      <c r="BA735" s="124">
        <f>交易记录!AH625</f>
        <v>0</v>
      </c>
      <c r="BB735" s="30">
        <f t="shared" si="342"/>
        <v>0</v>
      </c>
      <c r="BC735" s="121">
        <f>交易记录!AH658</f>
        <v>0</v>
      </c>
      <c r="BD735" s="121">
        <f>交易记录!AH689</f>
        <v>0</v>
      </c>
      <c r="BE735" s="30">
        <f t="shared" si="343"/>
        <v>0</v>
      </c>
      <c r="BF735" s="124">
        <f>交易记录!AH722</f>
        <v>0</v>
      </c>
      <c r="BG735" s="124">
        <f>交易记录!AH753</f>
        <v>0</v>
      </c>
      <c r="BH735" s="30">
        <f t="shared" si="344"/>
        <v>0</v>
      </c>
      <c r="BI735" s="121">
        <f>交易记录!AH786</f>
        <v>0</v>
      </c>
      <c r="BJ735" s="121">
        <f>交易记录!AH817</f>
        <v>0</v>
      </c>
      <c r="BK735" s="30">
        <f t="shared" si="345"/>
        <v>0</v>
      </c>
      <c r="BL735" s="124">
        <f>交易记录!AH850</f>
        <v>0</v>
      </c>
      <c r="BM735" s="124">
        <f>交易记录!AH881</f>
        <v>0</v>
      </c>
      <c r="BN735" s="30">
        <f t="shared" si="346"/>
        <v>0</v>
      </c>
      <c r="BO735" s="121">
        <f>交易记录!AH914</f>
        <v>0</v>
      </c>
      <c r="BP735" s="121">
        <f>交易记录!AH945</f>
        <v>0</v>
      </c>
      <c r="BQ735" s="30">
        <f t="shared" si="347"/>
        <v>0</v>
      </c>
    </row>
    <row r="736" spans="1:69" ht="15">
      <c r="A736" s="125">
        <f>'维护-日期'!A$33</f>
        <v>0</v>
      </c>
      <c r="B736" s="7" t="s">
        <v>20</v>
      </c>
      <c r="C736" s="144">
        <f t="shared" si="348"/>
        <v>22.071000000000002</v>
      </c>
      <c r="D736" s="144">
        <f>ROUND(INDEX(持仓数据!$C$3:$AG$26,MATCH('计算过程-数据汇总'!B736,持仓数据!$B$3:$B$26,0),MATCH('计算过程-数据汇总'!A736,'维护-日期'!$B$2:$AF$2,0)),3)</f>
        <v>22.071000000000002</v>
      </c>
      <c r="E736" s="98">
        <f t="shared" si="349"/>
        <v>22.071000000000002</v>
      </c>
      <c r="F736" s="22">
        <f>持仓数据!AG86</f>
        <v>0.34599999999999997</v>
      </c>
      <c r="G736" s="97">
        <v>372</v>
      </c>
      <c r="H736" s="97">
        <v>372</v>
      </c>
      <c r="I736" s="64">
        <v>0</v>
      </c>
      <c r="J736" s="64">
        <v>0</v>
      </c>
      <c r="K736" s="21">
        <f>IF(持仓数据!AG119="",0,持仓数据!AG119)</f>
        <v>372</v>
      </c>
      <c r="L736" s="21">
        <f t="shared" si="350"/>
        <v>0</v>
      </c>
      <c r="M736" s="28">
        <f t="shared" si="334"/>
        <v>8210.4120000000003</v>
      </c>
      <c r="N736" s="28">
        <f t="shared" si="335"/>
        <v>0</v>
      </c>
      <c r="O736" s="28">
        <f t="shared" si="336"/>
        <v>0</v>
      </c>
      <c r="P736" s="28">
        <f t="shared" si="337"/>
        <v>0</v>
      </c>
      <c r="Q736" s="28">
        <f t="shared" si="351"/>
        <v>0</v>
      </c>
      <c r="R736" s="28">
        <f t="shared" si="338"/>
        <v>8210.4120000000003</v>
      </c>
      <c r="S736" s="28">
        <f t="shared" si="352"/>
        <v>0</v>
      </c>
      <c r="T736" s="28">
        <f t="shared" si="353"/>
        <v>0</v>
      </c>
      <c r="U736" s="28">
        <f t="shared" si="356"/>
        <v>0</v>
      </c>
      <c r="V736" s="28">
        <f t="shared" si="354"/>
        <v>0</v>
      </c>
      <c r="W736" s="118"/>
      <c r="X736" s="143">
        <f t="shared" si="355"/>
        <v>26.138999999999999</v>
      </c>
      <c r="Y736" s="121">
        <f>交易记录!AH19</f>
        <v>0.34599999999999997</v>
      </c>
      <c r="Z736" s="121">
        <f>交易记录!AH50</f>
        <v>372</v>
      </c>
      <c r="AA736" s="30">
        <f t="shared" si="339"/>
        <v>0</v>
      </c>
      <c r="AB736" s="124">
        <f>交易记录!AH83</f>
        <v>0</v>
      </c>
      <c r="AC736" s="124">
        <f>交易记录!AH114</f>
        <v>0</v>
      </c>
      <c r="AD736" s="30">
        <f t="shared" si="357"/>
        <v>0</v>
      </c>
      <c r="AE736" s="121">
        <f>交易记录!AH147</f>
        <v>0</v>
      </c>
      <c r="AF736" s="121">
        <f>交易记录!AH178</f>
        <v>0</v>
      </c>
      <c r="AG736" s="30">
        <f t="shared" si="358"/>
        <v>0</v>
      </c>
      <c r="AH736" s="124">
        <f>交易记录!AH211</f>
        <v>0</v>
      </c>
      <c r="AI736" s="124">
        <f>交易记录!AH242</f>
        <v>0</v>
      </c>
      <c r="AJ736" s="30">
        <f t="shared" si="359"/>
        <v>0</v>
      </c>
      <c r="AK736" s="121">
        <f>交易记录!AH275</f>
        <v>0</v>
      </c>
      <c r="AL736" s="121">
        <f>交易记录!AH306</f>
        <v>0</v>
      </c>
      <c r="AM736" s="30">
        <f t="shared" si="360"/>
        <v>0</v>
      </c>
      <c r="AN736" s="124">
        <f>交易记录!AH339</f>
        <v>0</v>
      </c>
      <c r="AO736" s="124">
        <f>交易记录!AH370</f>
        <v>0</v>
      </c>
      <c r="AP736" s="30">
        <f t="shared" si="361"/>
        <v>0</v>
      </c>
      <c r="AQ736" s="121">
        <f>交易记录!AH403</f>
        <v>0</v>
      </c>
      <c r="AR736" s="121">
        <f>交易记录!AH434</f>
        <v>0</v>
      </c>
      <c r="AS736" s="30">
        <f t="shared" si="362"/>
        <v>0</v>
      </c>
      <c r="AT736" s="124">
        <f>交易记录!AH467</f>
        <v>0</v>
      </c>
      <c r="AU736" s="124">
        <f>交易记录!AH498</f>
        <v>0</v>
      </c>
      <c r="AV736" s="30">
        <f t="shared" si="340"/>
        <v>0</v>
      </c>
      <c r="AW736" s="121">
        <f>交易记录!AH531</f>
        <v>0</v>
      </c>
      <c r="AX736" s="121">
        <f>交易记录!AH562</f>
        <v>0</v>
      </c>
      <c r="AY736" s="30">
        <f t="shared" si="341"/>
        <v>0</v>
      </c>
      <c r="AZ736" s="124">
        <f>交易记录!AH595</f>
        <v>0</v>
      </c>
      <c r="BA736" s="124">
        <f>交易记录!AH626</f>
        <v>0</v>
      </c>
      <c r="BB736" s="30">
        <f t="shared" si="342"/>
        <v>0</v>
      </c>
      <c r="BC736" s="121">
        <f>交易记录!AH659</f>
        <v>0</v>
      </c>
      <c r="BD736" s="121">
        <f>交易记录!AH690</f>
        <v>0</v>
      </c>
      <c r="BE736" s="30">
        <f t="shared" si="343"/>
        <v>0</v>
      </c>
      <c r="BF736" s="124">
        <f>交易记录!AH723</f>
        <v>0</v>
      </c>
      <c r="BG736" s="124">
        <f>交易记录!AH754</f>
        <v>0</v>
      </c>
      <c r="BH736" s="30">
        <f t="shared" si="344"/>
        <v>0</v>
      </c>
      <c r="BI736" s="121">
        <f>交易记录!AH787</f>
        <v>0</v>
      </c>
      <c r="BJ736" s="121">
        <f>交易记录!AH818</f>
        <v>0</v>
      </c>
      <c r="BK736" s="30">
        <f t="shared" si="345"/>
        <v>0</v>
      </c>
      <c r="BL736" s="124">
        <f>交易记录!AH851</f>
        <v>0</v>
      </c>
      <c r="BM736" s="124">
        <f>交易记录!AH882</f>
        <v>0</v>
      </c>
      <c r="BN736" s="30">
        <f t="shared" si="346"/>
        <v>0</v>
      </c>
      <c r="BO736" s="121">
        <f>交易记录!AH915</f>
        <v>0</v>
      </c>
      <c r="BP736" s="121">
        <f>交易记录!AH946</f>
        <v>0</v>
      </c>
      <c r="BQ736" s="30">
        <f t="shared" si="347"/>
        <v>0</v>
      </c>
    </row>
    <row r="737" spans="1:69" ht="15">
      <c r="A737" s="125">
        <f>'维护-日期'!A$33</f>
        <v>0</v>
      </c>
      <c r="B737" s="7" t="s">
        <v>21</v>
      </c>
      <c r="C737" s="144">
        <f t="shared" si="348"/>
        <v>22.087</v>
      </c>
      <c r="D737" s="144">
        <f>ROUND(INDEX(持仓数据!$C$3:$AG$26,MATCH('计算过程-数据汇总'!B737,持仓数据!$B$3:$B$26,0),MATCH('计算过程-数据汇总'!A737,'维护-日期'!$B$2:$AF$2,0)),3)</f>
        <v>22.087</v>
      </c>
      <c r="E737" s="98">
        <f t="shared" si="349"/>
        <v>22.087</v>
      </c>
      <c r="F737" s="22">
        <f>持仓数据!AG87</f>
        <v>0.38</v>
      </c>
      <c r="G737" s="97">
        <v>372</v>
      </c>
      <c r="H737" s="97">
        <v>372</v>
      </c>
      <c r="I737" s="64">
        <v>0</v>
      </c>
      <c r="J737" s="64">
        <v>0</v>
      </c>
      <c r="K737" s="21">
        <f>IF(持仓数据!AG120="",0,持仓数据!AG120)</f>
        <v>372.00000000000006</v>
      </c>
      <c r="L737" s="21">
        <f t="shared" si="350"/>
        <v>0</v>
      </c>
      <c r="M737" s="28">
        <f t="shared" si="334"/>
        <v>8216.3639999999996</v>
      </c>
      <c r="N737" s="28">
        <f t="shared" si="335"/>
        <v>0</v>
      </c>
      <c r="O737" s="28">
        <f t="shared" si="336"/>
        <v>0</v>
      </c>
      <c r="P737" s="28">
        <f t="shared" si="337"/>
        <v>2.1600499167107046E-14</v>
      </c>
      <c r="Q737" s="28">
        <f t="shared" si="351"/>
        <v>0</v>
      </c>
      <c r="R737" s="28">
        <f t="shared" si="338"/>
        <v>8216.3640000000014</v>
      </c>
      <c r="S737" s="28">
        <f t="shared" si="352"/>
        <v>0</v>
      </c>
      <c r="T737" s="28">
        <f t="shared" si="353"/>
        <v>-1.2339000932115596E-12</v>
      </c>
      <c r="U737" s="28">
        <f t="shared" si="356"/>
        <v>0</v>
      </c>
      <c r="V737" s="28">
        <f t="shared" si="354"/>
        <v>0</v>
      </c>
      <c r="W737" s="118"/>
      <c r="X737" s="143">
        <f t="shared" si="355"/>
        <v>26.123999999999999</v>
      </c>
      <c r="Y737" s="121">
        <f>交易记录!AH20</f>
        <v>0.38</v>
      </c>
      <c r="Z737" s="121">
        <f>交易记录!AH51</f>
        <v>372</v>
      </c>
      <c r="AA737" s="30">
        <f t="shared" si="339"/>
        <v>0</v>
      </c>
      <c r="AB737" s="124">
        <f>交易记录!AH84</f>
        <v>0</v>
      </c>
      <c r="AC737" s="124">
        <f>交易记录!AH115</f>
        <v>0</v>
      </c>
      <c r="AD737" s="30">
        <f t="shared" si="357"/>
        <v>0</v>
      </c>
      <c r="AE737" s="121">
        <f>交易记录!AH148</f>
        <v>0</v>
      </c>
      <c r="AF737" s="121">
        <f>交易记录!AH179</f>
        <v>0</v>
      </c>
      <c r="AG737" s="30">
        <f t="shared" si="358"/>
        <v>0</v>
      </c>
      <c r="AH737" s="124">
        <f>交易记录!AH212</f>
        <v>0</v>
      </c>
      <c r="AI737" s="124">
        <f>交易记录!AH243</f>
        <v>0</v>
      </c>
      <c r="AJ737" s="30">
        <f t="shared" si="359"/>
        <v>0</v>
      </c>
      <c r="AK737" s="121">
        <f>交易记录!AH276</f>
        <v>0</v>
      </c>
      <c r="AL737" s="121">
        <f>交易记录!AH307</f>
        <v>0</v>
      </c>
      <c r="AM737" s="30">
        <f t="shared" si="360"/>
        <v>0</v>
      </c>
      <c r="AN737" s="124">
        <f>交易记录!AH340</f>
        <v>0</v>
      </c>
      <c r="AO737" s="124">
        <f>交易记录!AH371</f>
        <v>0</v>
      </c>
      <c r="AP737" s="30">
        <f t="shared" si="361"/>
        <v>0</v>
      </c>
      <c r="AQ737" s="121">
        <f>交易记录!AH404</f>
        <v>0</v>
      </c>
      <c r="AR737" s="121">
        <f>交易记录!AH435</f>
        <v>0</v>
      </c>
      <c r="AS737" s="30">
        <f t="shared" si="362"/>
        <v>0</v>
      </c>
      <c r="AT737" s="124">
        <f>交易记录!AH468</f>
        <v>0</v>
      </c>
      <c r="AU737" s="124">
        <f>交易记录!AH499</f>
        <v>0</v>
      </c>
      <c r="AV737" s="30">
        <f t="shared" si="340"/>
        <v>0</v>
      </c>
      <c r="AW737" s="121">
        <f>交易记录!AH532</f>
        <v>0</v>
      </c>
      <c r="AX737" s="121">
        <f>交易记录!AH563</f>
        <v>0</v>
      </c>
      <c r="AY737" s="30">
        <f t="shared" si="341"/>
        <v>0</v>
      </c>
      <c r="AZ737" s="124">
        <f>交易记录!AH596</f>
        <v>0</v>
      </c>
      <c r="BA737" s="124">
        <f>交易记录!AH627</f>
        <v>0</v>
      </c>
      <c r="BB737" s="30">
        <f t="shared" si="342"/>
        <v>0</v>
      </c>
      <c r="BC737" s="121">
        <f>交易记录!AH660</f>
        <v>0</v>
      </c>
      <c r="BD737" s="121">
        <f>交易记录!AH691</f>
        <v>0</v>
      </c>
      <c r="BE737" s="30">
        <f t="shared" si="343"/>
        <v>0</v>
      </c>
      <c r="BF737" s="124">
        <f>交易记录!AH724</f>
        <v>0</v>
      </c>
      <c r="BG737" s="124">
        <f>交易记录!AH755</f>
        <v>0</v>
      </c>
      <c r="BH737" s="30">
        <f t="shared" si="344"/>
        <v>0</v>
      </c>
      <c r="BI737" s="121">
        <f>交易记录!AH788</f>
        <v>0</v>
      </c>
      <c r="BJ737" s="121">
        <f>交易记录!AH819</f>
        <v>0</v>
      </c>
      <c r="BK737" s="30">
        <f t="shared" si="345"/>
        <v>0</v>
      </c>
      <c r="BL737" s="124">
        <f>交易记录!AH852</f>
        <v>0</v>
      </c>
      <c r="BM737" s="124">
        <f>交易记录!AH883</f>
        <v>0</v>
      </c>
      <c r="BN737" s="30">
        <f t="shared" si="346"/>
        <v>0</v>
      </c>
      <c r="BO737" s="121">
        <f>交易记录!AH916</f>
        <v>0</v>
      </c>
      <c r="BP737" s="121">
        <f>交易记录!AH947</f>
        <v>0</v>
      </c>
      <c r="BQ737" s="30">
        <f t="shared" si="347"/>
        <v>0</v>
      </c>
    </row>
    <row r="738" spans="1:69" ht="15">
      <c r="A738" s="125">
        <f>'维护-日期'!A$33</f>
        <v>0</v>
      </c>
      <c r="B738" s="7" t="s">
        <v>22</v>
      </c>
      <c r="C738" s="144">
        <f t="shared" si="348"/>
        <v>23.077999999999999</v>
      </c>
      <c r="D738" s="144">
        <f>ROUND(INDEX(持仓数据!$C$3:$AG$26,MATCH('计算过程-数据汇总'!B738,持仓数据!$B$3:$B$26,0),MATCH('计算过程-数据汇总'!A738,'维护-日期'!$B$2:$AF$2,0)),3)</f>
        <v>23.077999999999999</v>
      </c>
      <c r="E738" s="98">
        <f t="shared" si="349"/>
        <v>23.077999999999999</v>
      </c>
      <c r="F738" s="22">
        <f>持仓数据!AG88</f>
        <v>0.58600000000000008</v>
      </c>
      <c r="G738" s="97">
        <v>372</v>
      </c>
      <c r="H738" s="97">
        <v>372</v>
      </c>
      <c r="I738" s="64">
        <v>0</v>
      </c>
      <c r="J738" s="64">
        <v>0</v>
      </c>
      <c r="K738" s="21">
        <f>IF(持仓数据!AG121="",0,持仓数据!AG121)</f>
        <v>372</v>
      </c>
      <c r="L738" s="21">
        <f t="shared" si="350"/>
        <v>0</v>
      </c>
      <c r="M738" s="28">
        <f t="shared" si="334"/>
        <v>8585.0159999999996</v>
      </c>
      <c r="N738" s="28">
        <f t="shared" si="335"/>
        <v>0</v>
      </c>
      <c r="O738" s="28">
        <f t="shared" si="336"/>
        <v>0</v>
      </c>
      <c r="P738" s="28">
        <f t="shared" si="337"/>
        <v>0</v>
      </c>
      <c r="Q738" s="28">
        <f t="shared" si="351"/>
        <v>0</v>
      </c>
      <c r="R738" s="28">
        <f t="shared" si="338"/>
        <v>8585.0159999999996</v>
      </c>
      <c r="S738" s="28">
        <f t="shared" si="352"/>
        <v>0</v>
      </c>
      <c r="T738" s="28">
        <f t="shared" si="353"/>
        <v>0</v>
      </c>
      <c r="U738" s="28">
        <f t="shared" si="356"/>
        <v>0</v>
      </c>
      <c r="V738" s="28">
        <f t="shared" si="354"/>
        <v>0</v>
      </c>
      <c r="W738" s="118"/>
      <c r="X738" s="143">
        <f t="shared" si="355"/>
        <v>27.108000000000001</v>
      </c>
      <c r="Y738" s="121">
        <f>交易记录!AH21</f>
        <v>0.58600000000000008</v>
      </c>
      <c r="Z738" s="121">
        <f>交易记录!AH52</f>
        <v>372</v>
      </c>
      <c r="AA738" s="30">
        <f t="shared" si="339"/>
        <v>0</v>
      </c>
      <c r="AB738" s="124">
        <f>交易记录!AH85</f>
        <v>0</v>
      </c>
      <c r="AC738" s="124">
        <f>交易记录!AH116</f>
        <v>0</v>
      </c>
      <c r="AD738" s="30">
        <f t="shared" si="357"/>
        <v>0</v>
      </c>
      <c r="AE738" s="121">
        <f>交易记录!AH149</f>
        <v>0</v>
      </c>
      <c r="AF738" s="121">
        <f>交易记录!AH180</f>
        <v>0</v>
      </c>
      <c r="AG738" s="30">
        <f t="shared" si="358"/>
        <v>0</v>
      </c>
      <c r="AH738" s="124">
        <f>交易记录!AH213</f>
        <v>0</v>
      </c>
      <c r="AI738" s="124">
        <f>交易记录!AH244</f>
        <v>0</v>
      </c>
      <c r="AJ738" s="30">
        <f t="shared" si="359"/>
        <v>0</v>
      </c>
      <c r="AK738" s="121">
        <f>交易记录!AH277</f>
        <v>0</v>
      </c>
      <c r="AL738" s="121">
        <f>交易记录!AH308</f>
        <v>0</v>
      </c>
      <c r="AM738" s="30">
        <f t="shared" si="360"/>
        <v>0</v>
      </c>
      <c r="AN738" s="124">
        <f>交易记录!AH341</f>
        <v>0</v>
      </c>
      <c r="AO738" s="124">
        <f>交易记录!AH372</f>
        <v>0</v>
      </c>
      <c r="AP738" s="30">
        <f t="shared" si="361"/>
        <v>0</v>
      </c>
      <c r="AQ738" s="121">
        <f>交易记录!AH405</f>
        <v>0</v>
      </c>
      <c r="AR738" s="121">
        <f>交易记录!AH436</f>
        <v>0</v>
      </c>
      <c r="AS738" s="30">
        <f t="shared" si="362"/>
        <v>0</v>
      </c>
      <c r="AT738" s="124">
        <f>交易记录!AH469</f>
        <v>0</v>
      </c>
      <c r="AU738" s="124">
        <f>交易记录!AH500</f>
        <v>0</v>
      </c>
      <c r="AV738" s="30">
        <f t="shared" si="340"/>
        <v>0</v>
      </c>
      <c r="AW738" s="121">
        <f>交易记录!AH533</f>
        <v>0</v>
      </c>
      <c r="AX738" s="121">
        <f>交易记录!AH564</f>
        <v>0</v>
      </c>
      <c r="AY738" s="30">
        <f t="shared" si="341"/>
        <v>0</v>
      </c>
      <c r="AZ738" s="124">
        <f>交易记录!AH597</f>
        <v>0</v>
      </c>
      <c r="BA738" s="124">
        <f>交易记录!AH628</f>
        <v>0</v>
      </c>
      <c r="BB738" s="30">
        <f t="shared" si="342"/>
        <v>0</v>
      </c>
      <c r="BC738" s="121">
        <f>交易记录!AH661</f>
        <v>0</v>
      </c>
      <c r="BD738" s="121">
        <f>交易记录!AH692</f>
        <v>0</v>
      </c>
      <c r="BE738" s="30">
        <f t="shared" si="343"/>
        <v>0</v>
      </c>
      <c r="BF738" s="124">
        <f>交易记录!AH725</f>
        <v>0</v>
      </c>
      <c r="BG738" s="124">
        <f>交易记录!AH756</f>
        <v>0</v>
      </c>
      <c r="BH738" s="30">
        <f t="shared" si="344"/>
        <v>0</v>
      </c>
      <c r="BI738" s="121">
        <f>交易记录!AH789</f>
        <v>0</v>
      </c>
      <c r="BJ738" s="121">
        <f>交易记录!AH820</f>
        <v>0</v>
      </c>
      <c r="BK738" s="30">
        <f t="shared" si="345"/>
        <v>0</v>
      </c>
      <c r="BL738" s="124">
        <f>交易记录!AH853</f>
        <v>0</v>
      </c>
      <c r="BM738" s="124">
        <f>交易记录!AH884</f>
        <v>0</v>
      </c>
      <c r="BN738" s="30">
        <f t="shared" si="346"/>
        <v>0</v>
      </c>
      <c r="BO738" s="121">
        <f>交易记录!AH917</f>
        <v>0</v>
      </c>
      <c r="BP738" s="121">
        <f>交易记录!AH948</f>
        <v>0</v>
      </c>
      <c r="BQ738" s="30">
        <f t="shared" si="347"/>
        <v>0</v>
      </c>
    </row>
    <row r="739" spans="1:69" ht="15">
      <c r="A739" s="125">
        <f>'维护-日期'!A$33</f>
        <v>0</v>
      </c>
      <c r="B739" s="7" t="s">
        <v>23</v>
      </c>
      <c r="C739" s="144">
        <f t="shared" si="348"/>
        <v>23.443000000000001</v>
      </c>
      <c r="D739" s="144">
        <f>ROUND(INDEX(持仓数据!$C$3:$AG$26,MATCH('计算过程-数据汇总'!B739,持仓数据!$B$3:$B$26,0),MATCH('计算过程-数据汇总'!A739,'维护-日期'!$B$2:$AF$2,0)),3)</f>
        <v>23.443000000000001</v>
      </c>
      <c r="E739" s="98">
        <f t="shared" si="349"/>
        <v>23.443000000000001</v>
      </c>
      <c r="F739" s="22">
        <f>持仓数据!AG89</f>
        <v>0.63300000000000001</v>
      </c>
      <c r="G739" s="97">
        <v>372</v>
      </c>
      <c r="H739" s="97">
        <v>372</v>
      </c>
      <c r="I739" s="64">
        <v>0</v>
      </c>
      <c r="J739" s="64">
        <v>0</v>
      </c>
      <c r="K739" s="21">
        <f>IF(持仓数据!AG122="",0,持仓数据!AG122)</f>
        <v>372</v>
      </c>
      <c r="L739" s="21">
        <f t="shared" si="350"/>
        <v>0</v>
      </c>
      <c r="M739" s="28">
        <f t="shared" si="334"/>
        <v>8720.7960000000003</v>
      </c>
      <c r="N739" s="28">
        <f t="shared" si="335"/>
        <v>0</v>
      </c>
      <c r="O739" s="28">
        <f t="shared" si="336"/>
        <v>0</v>
      </c>
      <c r="P739" s="28">
        <f t="shared" si="337"/>
        <v>0</v>
      </c>
      <c r="Q739" s="28">
        <f t="shared" si="351"/>
        <v>0</v>
      </c>
      <c r="R739" s="28">
        <f t="shared" si="338"/>
        <v>8720.7960000000003</v>
      </c>
      <c r="S739" s="28">
        <f t="shared" si="352"/>
        <v>0</v>
      </c>
      <c r="T739" s="28">
        <f t="shared" si="353"/>
        <v>0</v>
      </c>
      <c r="U739" s="28">
        <f t="shared" si="356"/>
        <v>0</v>
      </c>
      <c r="V739" s="28">
        <f t="shared" si="354"/>
        <v>0</v>
      </c>
      <c r="W739" s="118"/>
      <c r="X739" s="143">
        <f t="shared" si="355"/>
        <v>27.498999999999999</v>
      </c>
      <c r="Y739" s="121">
        <f>交易记录!AH22</f>
        <v>0.63300000000000001</v>
      </c>
      <c r="Z739" s="121">
        <f>交易记录!AH53</f>
        <v>372</v>
      </c>
      <c r="AA739" s="30">
        <f t="shared" si="339"/>
        <v>0</v>
      </c>
      <c r="AB739" s="124">
        <f>交易记录!AH86</f>
        <v>0</v>
      </c>
      <c r="AC739" s="124">
        <f>交易记录!AH117</f>
        <v>0</v>
      </c>
      <c r="AD739" s="30">
        <f t="shared" si="357"/>
        <v>0</v>
      </c>
      <c r="AE739" s="121">
        <f>交易记录!AH150</f>
        <v>0</v>
      </c>
      <c r="AF739" s="121">
        <f>交易记录!AH181</f>
        <v>0</v>
      </c>
      <c r="AG739" s="30">
        <f t="shared" si="358"/>
        <v>0</v>
      </c>
      <c r="AH739" s="124">
        <f>交易记录!AH214</f>
        <v>0</v>
      </c>
      <c r="AI739" s="124">
        <f>交易记录!AH245</f>
        <v>0</v>
      </c>
      <c r="AJ739" s="30">
        <f t="shared" si="359"/>
        <v>0</v>
      </c>
      <c r="AK739" s="121">
        <f>交易记录!AH278</f>
        <v>0</v>
      </c>
      <c r="AL739" s="121">
        <f>交易记录!AH309</f>
        <v>0</v>
      </c>
      <c r="AM739" s="30">
        <f t="shared" si="360"/>
        <v>0</v>
      </c>
      <c r="AN739" s="124">
        <f>交易记录!AH342</f>
        <v>0</v>
      </c>
      <c r="AO739" s="124">
        <f>交易记录!AH373</f>
        <v>0</v>
      </c>
      <c r="AP739" s="30">
        <f t="shared" si="361"/>
        <v>0</v>
      </c>
      <c r="AQ739" s="121">
        <f>交易记录!AH406</f>
        <v>0</v>
      </c>
      <c r="AR739" s="121">
        <f>交易记录!AH437</f>
        <v>0</v>
      </c>
      <c r="AS739" s="30">
        <f t="shared" si="362"/>
        <v>0</v>
      </c>
      <c r="AT739" s="124">
        <f>交易记录!AH470</f>
        <v>0</v>
      </c>
      <c r="AU739" s="124">
        <f>交易记录!AH501</f>
        <v>0</v>
      </c>
      <c r="AV739" s="30">
        <f t="shared" si="340"/>
        <v>0</v>
      </c>
      <c r="AW739" s="121">
        <f>交易记录!AH534</f>
        <v>0</v>
      </c>
      <c r="AX739" s="121">
        <f>交易记录!AH565</f>
        <v>0</v>
      </c>
      <c r="AY739" s="30">
        <f t="shared" si="341"/>
        <v>0</v>
      </c>
      <c r="AZ739" s="124">
        <f>交易记录!AH598</f>
        <v>0</v>
      </c>
      <c r="BA739" s="124">
        <f>交易记录!AH629</f>
        <v>0</v>
      </c>
      <c r="BB739" s="30">
        <f t="shared" si="342"/>
        <v>0</v>
      </c>
      <c r="BC739" s="121">
        <f>交易记录!AH662</f>
        <v>0</v>
      </c>
      <c r="BD739" s="121">
        <f>交易记录!AH693</f>
        <v>0</v>
      </c>
      <c r="BE739" s="30">
        <f t="shared" si="343"/>
        <v>0</v>
      </c>
      <c r="BF739" s="124">
        <f>交易记录!AH726</f>
        <v>0</v>
      </c>
      <c r="BG739" s="124">
        <f>交易记录!AH757</f>
        <v>0</v>
      </c>
      <c r="BH739" s="30">
        <f t="shared" si="344"/>
        <v>0</v>
      </c>
      <c r="BI739" s="121">
        <f>交易记录!AH790</f>
        <v>0</v>
      </c>
      <c r="BJ739" s="121">
        <f>交易记录!AH821</f>
        <v>0</v>
      </c>
      <c r="BK739" s="30">
        <f t="shared" si="345"/>
        <v>0</v>
      </c>
      <c r="BL739" s="124">
        <f>交易记录!AH854</f>
        <v>0</v>
      </c>
      <c r="BM739" s="124">
        <f>交易记录!AH885</f>
        <v>0</v>
      </c>
      <c r="BN739" s="30">
        <f t="shared" si="346"/>
        <v>0</v>
      </c>
      <c r="BO739" s="121">
        <f>交易记录!AH918</f>
        <v>0</v>
      </c>
      <c r="BP739" s="121">
        <f>交易记录!AH949</f>
        <v>0</v>
      </c>
      <c r="BQ739" s="30">
        <f t="shared" si="347"/>
        <v>0</v>
      </c>
    </row>
    <row r="740" spans="1:69" ht="15">
      <c r="A740" s="125">
        <f>'维护-日期'!A$33</f>
        <v>0</v>
      </c>
      <c r="B740" s="7" t="s">
        <v>24</v>
      </c>
      <c r="C740" s="144">
        <f t="shared" si="348"/>
        <v>23.85</v>
      </c>
      <c r="D740" s="144">
        <f>ROUND(INDEX(持仓数据!$C$3:$AG$26,MATCH('计算过程-数据汇总'!B740,持仓数据!$B$3:$B$26,0),MATCH('计算过程-数据汇总'!A740,'维护-日期'!$B$2:$AF$2,0)),3)</f>
        <v>23.85</v>
      </c>
      <c r="E740" s="98">
        <f t="shared" si="349"/>
        <v>23.85</v>
      </c>
      <c r="F740" s="22">
        <f>持仓数据!AG90</f>
        <v>0.45400000000000001</v>
      </c>
      <c r="G740" s="97">
        <v>372</v>
      </c>
      <c r="H740" s="97">
        <v>372</v>
      </c>
      <c r="I740" s="64">
        <v>0</v>
      </c>
      <c r="J740" s="64">
        <v>0</v>
      </c>
      <c r="K740" s="21">
        <f>IF(持仓数据!AG123="",0,持仓数据!AG123)</f>
        <v>372</v>
      </c>
      <c r="L740" s="21">
        <f t="shared" si="350"/>
        <v>0</v>
      </c>
      <c r="M740" s="28">
        <f t="shared" si="334"/>
        <v>8872.2000000000007</v>
      </c>
      <c r="N740" s="28">
        <f t="shared" si="335"/>
        <v>0</v>
      </c>
      <c r="O740" s="28">
        <f t="shared" si="336"/>
        <v>0</v>
      </c>
      <c r="P740" s="28">
        <f t="shared" si="337"/>
        <v>0</v>
      </c>
      <c r="Q740" s="28">
        <f t="shared" si="351"/>
        <v>0</v>
      </c>
      <c r="R740" s="28">
        <f t="shared" si="338"/>
        <v>8872.2000000000007</v>
      </c>
      <c r="S740" s="28">
        <f t="shared" si="352"/>
        <v>0</v>
      </c>
      <c r="T740" s="28">
        <f t="shared" si="353"/>
        <v>0</v>
      </c>
      <c r="U740" s="28">
        <f t="shared" si="356"/>
        <v>0</v>
      </c>
      <c r="V740" s="28">
        <f t="shared" si="354"/>
        <v>0</v>
      </c>
      <c r="W740" s="118"/>
      <c r="X740" s="143">
        <f t="shared" si="355"/>
        <v>28.166</v>
      </c>
      <c r="Y740" s="121">
        <f>交易记录!AH23</f>
        <v>0.45400000000000001</v>
      </c>
      <c r="Z740" s="121">
        <f>交易记录!AH54</f>
        <v>372</v>
      </c>
      <c r="AA740" s="30">
        <f t="shared" si="339"/>
        <v>0</v>
      </c>
      <c r="AB740" s="124">
        <f>交易记录!AH87</f>
        <v>0</v>
      </c>
      <c r="AC740" s="124">
        <f>交易记录!AH118</f>
        <v>0</v>
      </c>
      <c r="AD740" s="30">
        <f t="shared" si="357"/>
        <v>0</v>
      </c>
      <c r="AE740" s="121">
        <f>交易记录!AH151</f>
        <v>0</v>
      </c>
      <c r="AF740" s="121">
        <f>交易记录!AH182</f>
        <v>0</v>
      </c>
      <c r="AG740" s="30">
        <f t="shared" si="358"/>
        <v>0</v>
      </c>
      <c r="AH740" s="124">
        <f>交易记录!AH215</f>
        <v>0</v>
      </c>
      <c r="AI740" s="124">
        <f>交易记录!AH246</f>
        <v>0</v>
      </c>
      <c r="AJ740" s="30">
        <f t="shared" si="359"/>
        <v>0</v>
      </c>
      <c r="AK740" s="121">
        <f>交易记录!AH279</f>
        <v>0</v>
      </c>
      <c r="AL740" s="121">
        <f>交易记录!AH310</f>
        <v>0</v>
      </c>
      <c r="AM740" s="30">
        <f t="shared" si="360"/>
        <v>0</v>
      </c>
      <c r="AN740" s="124">
        <f>交易记录!AH343</f>
        <v>0</v>
      </c>
      <c r="AO740" s="124">
        <f>交易记录!AH374</f>
        <v>0</v>
      </c>
      <c r="AP740" s="30">
        <f t="shared" si="361"/>
        <v>0</v>
      </c>
      <c r="AQ740" s="121">
        <f>交易记录!AH407</f>
        <v>0</v>
      </c>
      <c r="AR740" s="121">
        <f>交易记录!AH438</f>
        <v>0</v>
      </c>
      <c r="AS740" s="30">
        <f t="shared" si="362"/>
        <v>0</v>
      </c>
      <c r="AT740" s="124">
        <f>交易记录!AH471</f>
        <v>0</v>
      </c>
      <c r="AU740" s="124">
        <f>交易记录!AH502</f>
        <v>0</v>
      </c>
      <c r="AV740" s="30">
        <f t="shared" si="340"/>
        <v>0</v>
      </c>
      <c r="AW740" s="121">
        <f>交易记录!AH535</f>
        <v>0</v>
      </c>
      <c r="AX740" s="121">
        <f>交易记录!AH566</f>
        <v>0</v>
      </c>
      <c r="AY740" s="30">
        <f t="shared" si="341"/>
        <v>0</v>
      </c>
      <c r="AZ740" s="124">
        <f>交易记录!AH599</f>
        <v>0</v>
      </c>
      <c r="BA740" s="124">
        <f>交易记录!AH630</f>
        <v>0</v>
      </c>
      <c r="BB740" s="30">
        <f t="shared" si="342"/>
        <v>0</v>
      </c>
      <c r="BC740" s="121">
        <f>交易记录!AH663</f>
        <v>0</v>
      </c>
      <c r="BD740" s="121">
        <f>交易记录!AH694</f>
        <v>0</v>
      </c>
      <c r="BE740" s="30">
        <f t="shared" si="343"/>
        <v>0</v>
      </c>
      <c r="BF740" s="124">
        <f>交易记录!AH727</f>
        <v>0</v>
      </c>
      <c r="BG740" s="124">
        <f>交易记录!AH758</f>
        <v>0</v>
      </c>
      <c r="BH740" s="30">
        <f t="shared" si="344"/>
        <v>0</v>
      </c>
      <c r="BI740" s="121">
        <f>交易记录!AH791</f>
        <v>0</v>
      </c>
      <c r="BJ740" s="121">
        <f>交易记录!AH822</f>
        <v>0</v>
      </c>
      <c r="BK740" s="30">
        <f t="shared" si="345"/>
        <v>0</v>
      </c>
      <c r="BL740" s="124">
        <f>交易记录!AH855</f>
        <v>0</v>
      </c>
      <c r="BM740" s="124">
        <f>交易记录!AH886</f>
        <v>0</v>
      </c>
      <c r="BN740" s="30">
        <f t="shared" si="346"/>
        <v>0</v>
      </c>
      <c r="BO740" s="121">
        <f>交易记录!AH919</f>
        <v>0</v>
      </c>
      <c r="BP740" s="121">
        <f>交易记录!AH950</f>
        <v>0</v>
      </c>
      <c r="BQ740" s="30">
        <f t="shared" si="347"/>
        <v>0</v>
      </c>
    </row>
    <row r="741" spans="1:69" ht="15">
      <c r="A741" s="125">
        <f>'维护-日期'!A$33</f>
        <v>0</v>
      </c>
      <c r="B741" s="7" t="s">
        <v>25</v>
      </c>
      <c r="C741" s="144">
        <f t="shared" si="348"/>
        <v>24.105</v>
      </c>
      <c r="D741" s="144">
        <f>ROUND(INDEX(持仓数据!$C$3:$AG$26,MATCH('计算过程-数据汇总'!B741,持仓数据!$B$3:$B$26,0),MATCH('计算过程-数据汇总'!A741,'维护-日期'!$B$2:$AF$2,0)),3)</f>
        <v>24.105</v>
      </c>
      <c r="E741" s="98">
        <f t="shared" si="349"/>
        <v>24.105</v>
      </c>
      <c r="F741" s="22">
        <f>持仓数据!AG91</f>
        <v>1.1160000000000001</v>
      </c>
      <c r="G741" s="97">
        <v>372</v>
      </c>
      <c r="H741" s="97">
        <v>372</v>
      </c>
      <c r="I741" s="64">
        <v>0</v>
      </c>
      <c r="J741" s="64">
        <v>0</v>
      </c>
      <c r="K741" s="21">
        <f>IF(持仓数据!AG124="",0,持仓数据!AG124)</f>
        <v>372</v>
      </c>
      <c r="L741" s="21">
        <f t="shared" si="350"/>
        <v>0</v>
      </c>
      <c r="M741" s="28">
        <f t="shared" si="334"/>
        <v>8967.06</v>
      </c>
      <c r="N741" s="28">
        <f t="shared" si="335"/>
        <v>0</v>
      </c>
      <c r="O741" s="28">
        <f t="shared" si="336"/>
        <v>0</v>
      </c>
      <c r="P741" s="28">
        <f t="shared" si="337"/>
        <v>0</v>
      </c>
      <c r="Q741" s="28">
        <f t="shared" si="351"/>
        <v>0</v>
      </c>
      <c r="R741" s="28">
        <f t="shared" si="338"/>
        <v>8967.06</v>
      </c>
      <c r="S741" s="28">
        <f t="shared" si="352"/>
        <v>0</v>
      </c>
      <c r="T741" s="28">
        <f t="shared" si="353"/>
        <v>0</v>
      </c>
      <c r="U741" s="28">
        <f t="shared" si="356"/>
        <v>0</v>
      </c>
      <c r="V741" s="28">
        <f t="shared" si="354"/>
        <v>0</v>
      </c>
      <c r="W741" s="118"/>
      <c r="X741" s="143">
        <f t="shared" si="355"/>
        <v>27.81</v>
      </c>
      <c r="Y741" s="121">
        <f>交易记录!AH24</f>
        <v>1.1160000000000001</v>
      </c>
      <c r="Z741" s="121">
        <f>交易记录!AH55</f>
        <v>372</v>
      </c>
      <c r="AA741" s="30">
        <f t="shared" si="339"/>
        <v>0</v>
      </c>
      <c r="AB741" s="124">
        <f>交易记录!AH88</f>
        <v>0</v>
      </c>
      <c r="AC741" s="124">
        <f>交易记录!AH119</f>
        <v>0</v>
      </c>
      <c r="AD741" s="30">
        <f t="shared" si="357"/>
        <v>0</v>
      </c>
      <c r="AE741" s="121">
        <f>交易记录!AH152</f>
        <v>0</v>
      </c>
      <c r="AF741" s="121">
        <f>交易记录!AH183</f>
        <v>0</v>
      </c>
      <c r="AG741" s="30">
        <f t="shared" si="358"/>
        <v>0</v>
      </c>
      <c r="AH741" s="124">
        <f>交易记录!AH216</f>
        <v>0</v>
      </c>
      <c r="AI741" s="124">
        <f>交易记录!AH247</f>
        <v>0</v>
      </c>
      <c r="AJ741" s="30">
        <f t="shared" si="359"/>
        <v>0</v>
      </c>
      <c r="AK741" s="121">
        <f>交易记录!AH280</f>
        <v>0</v>
      </c>
      <c r="AL741" s="121">
        <f>交易记录!AH311</f>
        <v>0</v>
      </c>
      <c r="AM741" s="30">
        <f t="shared" si="360"/>
        <v>0</v>
      </c>
      <c r="AN741" s="124">
        <f>交易记录!AH344</f>
        <v>0</v>
      </c>
      <c r="AO741" s="124">
        <f>交易记录!AH375</f>
        <v>0</v>
      </c>
      <c r="AP741" s="30">
        <f t="shared" si="361"/>
        <v>0</v>
      </c>
      <c r="AQ741" s="121">
        <f>交易记录!AH408</f>
        <v>0</v>
      </c>
      <c r="AR741" s="121">
        <f>交易记录!AH439</f>
        <v>0</v>
      </c>
      <c r="AS741" s="30">
        <f t="shared" si="362"/>
        <v>0</v>
      </c>
      <c r="AT741" s="124">
        <f>交易记录!AH472</f>
        <v>0</v>
      </c>
      <c r="AU741" s="124">
        <f>交易记录!AH503</f>
        <v>0</v>
      </c>
      <c r="AV741" s="30">
        <f t="shared" si="340"/>
        <v>0</v>
      </c>
      <c r="AW741" s="121">
        <f>交易记录!AH536</f>
        <v>0</v>
      </c>
      <c r="AX741" s="121">
        <f>交易记录!AH567</f>
        <v>0</v>
      </c>
      <c r="AY741" s="30">
        <f t="shared" si="341"/>
        <v>0</v>
      </c>
      <c r="AZ741" s="124">
        <f>交易记录!AH600</f>
        <v>0</v>
      </c>
      <c r="BA741" s="124">
        <f>交易记录!AH631</f>
        <v>0</v>
      </c>
      <c r="BB741" s="30">
        <f t="shared" si="342"/>
        <v>0</v>
      </c>
      <c r="BC741" s="121">
        <f>交易记录!AH664</f>
        <v>0</v>
      </c>
      <c r="BD741" s="121">
        <f>交易记录!AH695</f>
        <v>0</v>
      </c>
      <c r="BE741" s="30">
        <f t="shared" si="343"/>
        <v>0</v>
      </c>
      <c r="BF741" s="124">
        <f>交易记录!AH728</f>
        <v>0</v>
      </c>
      <c r="BG741" s="124">
        <f>交易记录!AH759</f>
        <v>0</v>
      </c>
      <c r="BH741" s="30">
        <f t="shared" si="344"/>
        <v>0</v>
      </c>
      <c r="BI741" s="121">
        <f>交易记录!AH792</f>
        <v>0</v>
      </c>
      <c r="BJ741" s="121">
        <f>交易记录!AH823</f>
        <v>0</v>
      </c>
      <c r="BK741" s="30">
        <f t="shared" si="345"/>
        <v>0</v>
      </c>
      <c r="BL741" s="124">
        <f>交易记录!AH856</f>
        <v>0</v>
      </c>
      <c r="BM741" s="124">
        <f>交易记录!AH887</f>
        <v>0</v>
      </c>
      <c r="BN741" s="30">
        <f t="shared" si="346"/>
        <v>0</v>
      </c>
      <c r="BO741" s="121">
        <f>交易记录!AH920</f>
        <v>0</v>
      </c>
      <c r="BP741" s="121">
        <f>交易记录!AH951</f>
        <v>0</v>
      </c>
      <c r="BQ741" s="30">
        <f t="shared" si="347"/>
        <v>0</v>
      </c>
    </row>
    <row r="742" spans="1:69" ht="15">
      <c r="A742" s="125">
        <f>'维护-日期'!A$33</f>
        <v>0</v>
      </c>
      <c r="B742" s="7" t="s">
        <v>26</v>
      </c>
      <c r="C742" s="144">
        <f t="shared" si="348"/>
        <v>24.047999999999998</v>
      </c>
      <c r="D742" s="144">
        <f>ROUND(INDEX(持仓数据!$C$3:$AG$26,MATCH('计算过程-数据汇总'!B742,持仓数据!$B$3:$B$26,0),MATCH('计算过程-数据汇总'!A742,'维护-日期'!$B$2:$AF$2,0)),3)</f>
        <v>24.047999999999998</v>
      </c>
      <c r="E742" s="98">
        <f t="shared" si="349"/>
        <v>24.047999999999998</v>
      </c>
      <c r="F742" s="22">
        <f>持仓数据!AG92</f>
        <v>1</v>
      </c>
      <c r="G742" s="97">
        <v>372</v>
      </c>
      <c r="H742" s="97">
        <v>372</v>
      </c>
      <c r="I742" s="64">
        <v>0</v>
      </c>
      <c r="J742" s="64">
        <v>0</v>
      </c>
      <c r="K742" s="21">
        <f>IF(持仓数据!AG125="",0,持仓数据!AG125)</f>
        <v>372</v>
      </c>
      <c r="L742" s="21">
        <f t="shared" si="350"/>
        <v>0</v>
      </c>
      <c r="M742" s="28">
        <f t="shared" si="334"/>
        <v>8945.8559999999998</v>
      </c>
      <c r="N742" s="28">
        <f t="shared" si="335"/>
        <v>0</v>
      </c>
      <c r="O742" s="28">
        <f t="shared" si="336"/>
        <v>0</v>
      </c>
      <c r="P742" s="28">
        <f t="shared" si="337"/>
        <v>0</v>
      </c>
      <c r="Q742" s="28">
        <f t="shared" si="351"/>
        <v>0</v>
      </c>
      <c r="R742" s="28">
        <f t="shared" si="338"/>
        <v>8945.8559999999998</v>
      </c>
      <c r="S742" s="28">
        <f t="shared" si="352"/>
        <v>0</v>
      </c>
      <c r="T742" s="28">
        <f t="shared" si="353"/>
        <v>0</v>
      </c>
      <c r="U742" s="28">
        <f t="shared" si="356"/>
        <v>0</v>
      </c>
      <c r="V742" s="28">
        <f t="shared" si="354"/>
        <v>0</v>
      </c>
      <c r="W742" s="118"/>
      <c r="X742" s="143">
        <f t="shared" si="355"/>
        <v>27.858000000000001</v>
      </c>
      <c r="Y742" s="121">
        <f>交易记录!AH25</f>
        <v>1</v>
      </c>
      <c r="Z742" s="121">
        <f>交易记录!AH56</f>
        <v>372</v>
      </c>
      <c r="AA742" s="30">
        <f t="shared" si="339"/>
        <v>0</v>
      </c>
      <c r="AB742" s="124">
        <f>交易记录!AH89</f>
        <v>0</v>
      </c>
      <c r="AC742" s="124">
        <f>交易记录!AH120</f>
        <v>0</v>
      </c>
      <c r="AD742" s="30">
        <f t="shared" si="357"/>
        <v>0</v>
      </c>
      <c r="AE742" s="121">
        <f>交易记录!AH153</f>
        <v>0</v>
      </c>
      <c r="AF742" s="121">
        <f>交易记录!AH184</f>
        <v>0</v>
      </c>
      <c r="AG742" s="30">
        <f t="shared" si="358"/>
        <v>0</v>
      </c>
      <c r="AH742" s="124">
        <f>交易记录!AH217</f>
        <v>0</v>
      </c>
      <c r="AI742" s="124">
        <f>交易记录!AH248</f>
        <v>0</v>
      </c>
      <c r="AJ742" s="30">
        <f t="shared" si="359"/>
        <v>0</v>
      </c>
      <c r="AK742" s="121">
        <f>交易记录!AH281</f>
        <v>0</v>
      </c>
      <c r="AL742" s="121">
        <f>交易记录!AH312</f>
        <v>0</v>
      </c>
      <c r="AM742" s="30">
        <f t="shared" si="360"/>
        <v>0</v>
      </c>
      <c r="AN742" s="124">
        <f>交易记录!AH345</f>
        <v>0</v>
      </c>
      <c r="AO742" s="124">
        <f>交易记录!AH376</f>
        <v>0</v>
      </c>
      <c r="AP742" s="30">
        <f t="shared" si="361"/>
        <v>0</v>
      </c>
      <c r="AQ742" s="121">
        <f>交易记录!AH409</f>
        <v>0</v>
      </c>
      <c r="AR742" s="121">
        <f>交易记录!AH440</f>
        <v>0</v>
      </c>
      <c r="AS742" s="30">
        <f t="shared" si="362"/>
        <v>0</v>
      </c>
      <c r="AT742" s="124">
        <f>交易记录!AH473</f>
        <v>0</v>
      </c>
      <c r="AU742" s="124">
        <f>交易记录!AH504</f>
        <v>0</v>
      </c>
      <c r="AV742" s="30">
        <f t="shared" si="340"/>
        <v>0</v>
      </c>
      <c r="AW742" s="121">
        <f>交易记录!AH537</f>
        <v>0</v>
      </c>
      <c r="AX742" s="121">
        <f>交易记录!AH568</f>
        <v>0</v>
      </c>
      <c r="AY742" s="30">
        <f t="shared" si="341"/>
        <v>0</v>
      </c>
      <c r="AZ742" s="124">
        <f>交易记录!AH601</f>
        <v>0</v>
      </c>
      <c r="BA742" s="124">
        <f>交易记录!AH632</f>
        <v>0</v>
      </c>
      <c r="BB742" s="30">
        <f t="shared" si="342"/>
        <v>0</v>
      </c>
      <c r="BC742" s="121">
        <f>交易记录!AH665</f>
        <v>0</v>
      </c>
      <c r="BD742" s="121">
        <f>交易记录!AH696</f>
        <v>0</v>
      </c>
      <c r="BE742" s="30">
        <f t="shared" si="343"/>
        <v>0</v>
      </c>
      <c r="BF742" s="124">
        <f>交易记录!AH729</f>
        <v>0</v>
      </c>
      <c r="BG742" s="124">
        <f>交易记录!AH760</f>
        <v>0</v>
      </c>
      <c r="BH742" s="30">
        <f t="shared" si="344"/>
        <v>0</v>
      </c>
      <c r="BI742" s="121">
        <f>交易记录!AH793</f>
        <v>0</v>
      </c>
      <c r="BJ742" s="121">
        <f>交易记录!AH824</f>
        <v>0</v>
      </c>
      <c r="BK742" s="30">
        <f t="shared" si="345"/>
        <v>0</v>
      </c>
      <c r="BL742" s="124">
        <f>交易记录!AH857</f>
        <v>0</v>
      </c>
      <c r="BM742" s="124">
        <f>交易记录!AH888</f>
        <v>0</v>
      </c>
      <c r="BN742" s="30">
        <f t="shared" si="346"/>
        <v>0</v>
      </c>
      <c r="BO742" s="121">
        <f>交易记录!AH921</f>
        <v>0</v>
      </c>
      <c r="BP742" s="121">
        <f>交易记录!AH952</f>
        <v>0</v>
      </c>
      <c r="BQ742" s="30">
        <f t="shared" si="347"/>
        <v>0</v>
      </c>
    </row>
    <row r="743" spans="1:69" ht="15">
      <c r="A743" s="125">
        <f>'维护-日期'!A$33</f>
        <v>0</v>
      </c>
      <c r="B743" s="7" t="s">
        <v>27</v>
      </c>
      <c r="C743" s="144">
        <f t="shared" si="348"/>
        <v>22.594000000000001</v>
      </c>
      <c r="D743" s="144">
        <f>ROUND(INDEX(持仓数据!$C$3:$AG$26,MATCH('计算过程-数据汇总'!B743,持仓数据!$B$3:$B$26,0),MATCH('计算过程-数据汇总'!A743,'维护-日期'!$B$2:$AF$2,0)),3)</f>
        <v>22.594000000000001</v>
      </c>
      <c r="E743" s="98">
        <f t="shared" si="349"/>
        <v>22.594000000000001</v>
      </c>
      <c r="F743" s="22">
        <f>持仓数据!AG93</f>
        <v>0.95199999999999996</v>
      </c>
      <c r="G743" s="97">
        <v>372</v>
      </c>
      <c r="H743" s="97">
        <v>372</v>
      </c>
      <c r="I743" s="64">
        <v>0</v>
      </c>
      <c r="J743" s="64">
        <v>0</v>
      </c>
      <c r="K743" s="21">
        <f>IF(持仓数据!AG126="",0,持仓数据!AG126)</f>
        <v>372</v>
      </c>
      <c r="L743" s="21">
        <f t="shared" si="350"/>
        <v>0</v>
      </c>
      <c r="M743" s="28">
        <f t="shared" si="334"/>
        <v>8404.9680000000008</v>
      </c>
      <c r="N743" s="28">
        <f t="shared" si="335"/>
        <v>0</v>
      </c>
      <c r="O743" s="28">
        <f t="shared" si="336"/>
        <v>0</v>
      </c>
      <c r="P743" s="28">
        <f t="shared" si="337"/>
        <v>0</v>
      </c>
      <c r="Q743" s="28">
        <f t="shared" si="351"/>
        <v>0</v>
      </c>
      <c r="R743" s="28">
        <f t="shared" si="338"/>
        <v>8404.9680000000008</v>
      </c>
      <c r="S743" s="28">
        <f t="shared" si="352"/>
        <v>0</v>
      </c>
      <c r="T743" s="28">
        <f t="shared" si="353"/>
        <v>0</v>
      </c>
      <c r="U743" s="28">
        <f t="shared" si="356"/>
        <v>0</v>
      </c>
      <c r="V743" s="28">
        <f t="shared" si="354"/>
        <v>0</v>
      </c>
      <c r="W743" s="118"/>
      <c r="X743" s="143">
        <f t="shared" si="355"/>
        <v>26.161000000000001</v>
      </c>
      <c r="Y743" s="121">
        <f>交易记录!AH26</f>
        <v>0.95199999999999996</v>
      </c>
      <c r="Z743" s="121">
        <f>交易记录!AH57</f>
        <v>372</v>
      </c>
      <c r="AA743" s="30">
        <f t="shared" si="339"/>
        <v>0</v>
      </c>
      <c r="AB743" s="124">
        <f>交易记录!AH90</f>
        <v>0</v>
      </c>
      <c r="AC743" s="124">
        <f>交易记录!AH121</f>
        <v>0</v>
      </c>
      <c r="AD743" s="30">
        <f t="shared" si="357"/>
        <v>0</v>
      </c>
      <c r="AE743" s="121">
        <f>交易记录!AH154</f>
        <v>0</v>
      </c>
      <c r="AF743" s="121">
        <f>交易记录!AH185</f>
        <v>0</v>
      </c>
      <c r="AG743" s="30">
        <f t="shared" si="358"/>
        <v>0</v>
      </c>
      <c r="AH743" s="124">
        <f>交易记录!AH218</f>
        <v>0</v>
      </c>
      <c r="AI743" s="124">
        <f>交易记录!AH249</f>
        <v>0</v>
      </c>
      <c r="AJ743" s="30">
        <f t="shared" si="359"/>
        <v>0</v>
      </c>
      <c r="AK743" s="121">
        <f>交易记录!AH282</f>
        <v>0</v>
      </c>
      <c r="AL743" s="121">
        <f>交易记录!AH313</f>
        <v>0</v>
      </c>
      <c r="AM743" s="30">
        <f t="shared" si="360"/>
        <v>0</v>
      </c>
      <c r="AN743" s="124">
        <f>交易记录!AH346</f>
        <v>0</v>
      </c>
      <c r="AO743" s="124">
        <f>交易记录!AH377</f>
        <v>0</v>
      </c>
      <c r="AP743" s="30">
        <f t="shared" si="361"/>
        <v>0</v>
      </c>
      <c r="AQ743" s="121">
        <f>交易记录!AH410</f>
        <v>0</v>
      </c>
      <c r="AR743" s="121">
        <f>交易记录!AH441</f>
        <v>0</v>
      </c>
      <c r="AS743" s="30">
        <f t="shared" si="362"/>
        <v>0</v>
      </c>
      <c r="AT743" s="124">
        <f>交易记录!AH474</f>
        <v>0</v>
      </c>
      <c r="AU743" s="124">
        <f>交易记录!AH505</f>
        <v>0</v>
      </c>
      <c r="AV743" s="30">
        <f t="shared" si="340"/>
        <v>0</v>
      </c>
      <c r="AW743" s="121">
        <f>交易记录!AH538</f>
        <v>0</v>
      </c>
      <c r="AX743" s="121">
        <f>交易记录!AH569</f>
        <v>0</v>
      </c>
      <c r="AY743" s="30">
        <f t="shared" si="341"/>
        <v>0</v>
      </c>
      <c r="AZ743" s="124">
        <f>交易记录!AH602</f>
        <v>0</v>
      </c>
      <c r="BA743" s="124">
        <f>交易记录!AH633</f>
        <v>0</v>
      </c>
      <c r="BB743" s="30">
        <f t="shared" si="342"/>
        <v>0</v>
      </c>
      <c r="BC743" s="121">
        <f>交易记录!AH666</f>
        <v>0</v>
      </c>
      <c r="BD743" s="121">
        <f>交易记录!AH697</f>
        <v>0</v>
      </c>
      <c r="BE743" s="30">
        <f t="shared" si="343"/>
        <v>0</v>
      </c>
      <c r="BF743" s="124">
        <f>交易记录!AH730</f>
        <v>0</v>
      </c>
      <c r="BG743" s="124">
        <f>交易记录!AH761</f>
        <v>0</v>
      </c>
      <c r="BH743" s="30">
        <f t="shared" si="344"/>
        <v>0</v>
      </c>
      <c r="BI743" s="121">
        <f>交易记录!AH794</f>
        <v>0</v>
      </c>
      <c r="BJ743" s="121">
        <f>交易记录!AH825</f>
        <v>0</v>
      </c>
      <c r="BK743" s="30">
        <f t="shared" si="345"/>
        <v>0</v>
      </c>
      <c r="BL743" s="124">
        <f>交易记录!AH858</f>
        <v>0</v>
      </c>
      <c r="BM743" s="124">
        <f>交易记录!AH889</f>
        <v>0</v>
      </c>
      <c r="BN743" s="30">
        <f t="shared" si="346"/>
        <v>0</v>
      </c>
      <c r="BO743" s="121">
        <f>交易记录!AH922</f>
        <v>0</v>
      </c>
      <c r="BP743" s="121">
        <f>交易记录!AH953</f>
        <v>0</v>
      </c>
      <c r="BQ743" s="30">
        <f t="shared" si="347"/>
        <v>0</v>
      </c>
    </row>
    <row r="744" spans="1:69" ht="15">
      <c r="A744" s="125">
        <f>'维护-日期'!A$33</f>
        <v>0</v>
      </c>
      <c r="B744" s="7" t="s">
        <v>28</v>
      </c>
      <c r="C744" s="144">
        <f t="shared" si="348"/>
        <v>19.387</v>
      </c>
      <c r="D744" s="144">
        <f>ROUND(INDEX(持仓数据!$C$3:$AG$26,MATCH('计算过程-数据汇总'!B744,持仓数据!$B$3:$B$26,0),MATCH('计算过程-数据汇总'!A744,'维护-日期'!$B$2:$AF$2,0)),3)</f>
        <v>19.387</v>
      </c>
      <c r="E744" s="98">
        <f t="shared" si="349"/>
        <v>19.387</v>
      </c>
      <c r="F744" s="22">
        <f>持仓数据!AG94</f>
        <v>0.84300000000000008</v>
      </c>
      <c r="G744" s="97">
        <v>372</v>
      </c>
      <c r="H744" s="97">
        <v>372</v>
      </c>
      <c r="I744" s="64">
        <v>0</v>
      </c>
      <c r="J744" s="64">
        <v>0</v>
      </c>
      <c r="K744" s="21">
        <f>IF(持仓数据!AG127="",0,持仓数据!AG127)</f>
        <v>371.99999999999994</v>
      </c>
      <c r="L744" s="21">
        <f t="shared" si="350"/>
        <v>0</v>
      </c>
      <c r="M744" s="28">
        <f t="shared" si="334"/>
        <v>7211.9639999999999</v>
      </c>
      <c r="N744" s="28">
        <f t="shared" si="335"/>
        <v>0</v>
      </c>
      <c r="O744" s="28">
        <f t="shared" si="336"/>
        <v>0</v>
      </c>
      <c r="P744" s="28">
        <f t="shared" si="337"/>
        <v>-4.7919002099661161E-14</v>
      </c>
      <c r="Q744" s="28">
        <f t="shared" si="351"/>
        <v>0</v>
      </c>
      <c r="R744" s="28">
        <f t="shared" si="338"/>
        <v>7211.963999999999</v>
      </c>
      <c r="S744" s="28">
        <f t="shared" si="352"/>
        <v>0</v>
      </c>
      <c r="T744" s="28">
        <f t="shared" si="353"/>
        <v>1.0541043593548239E-12</v>
      </c>
      <c r="U744" s="28">
        <f t="shared" si="356"/>
        <v>0</v>
      </c>
      <c r="V744" s="28">
        <f t="shared" si="354"/>
        <v>0</v>
      </c>
      <c r="W744" s="118"/>
      <c r="X744" s="143">
        <f t="shared" si="355"/>
        <v>22.420999999999999</v>
      </c>
      <c r="Y744" s="121">
        <f>交易记录!AH27</f>
        <v>0.84300000000000008</v>
      </c>
      <c r="Z744" s="121">
        <f>交易记录!AH58</f>
        <v>372</v>
      </c>
      <c r="AA744" s="30">
        <f t="shared" si="339"/>
        <v>0</v>
      </c>
      <c r="AB744" s="124">
        <f>交易记录!AH91</f>
        <v>0</v>
      </c>
      <c r="AC744" s="124">
        <f>交易记录!AH122</f>
        <v>0</v>
      </c>
      <c r="AD744" s="30">
        <f t="shared" si="357"/>
        <v>0</v>
      </c>
      <c r="AE744" s="121">
        <f>交易记录!AH155</f>
        <v>0</v>
      </c>
      <c r="AF744" s="121">
        <f>交易记录!AH186</f>
        <v>0</v>
      </c>
      <c r="AG744" s="30">
        <f t="shared" si="358"/>
        <v>0</v>
      </c>
      <c r="AH744" s="124">
        <f>交易记录!AH219</f>
        <v>0</v>
      </c>
      <c r="AI744" s="124">
        <f>交易记录!AH250</f>
        <v>0</v>
      </c>
      <c r="AJ744" s="30">
        <f t="shared" si="359"/>
        <v>0</v>
      </c>
      <c r="AK744" s="121">
        <f>交易记录!AH283</f>
        <v>0</v>
      </c>
      <c r="AL744" s="121">
        <f>交易记录!AH314</f>
        <v>0</v>
      </c>
      <c r="AM744" s="30">
        <f t="shared" si="360"/>
        <v>0</v>
      </c>
      <c r="AN744" s="124">
        <f>交易记录!AH347</f>
        <v>0</v>
      </c>
      <c r="AO744" s="124">
        <f>交易记录!AH378</f>
        <v>0</v>
      </c>
      <c r="AP744" s="30">
        <f t="shared" si="361"/>
        <v>0</v>
      </c>
      <c r="AQ744" s="121">
        <f>交易记录!AH411</f>
        <v>0</v>
      </c>
      <c r="AR744" s="121">
        <f>交易记录!AH442</f>
        <v>0</v>
      </c>
      <c r="AS744" s="30">
        <f t="shared" si="362"/>
        <v>0</v>
      </c>
      <c r="AT744" s="124">
        <f>交易记录!AH475</f>
        <v>0</v>
      </c>
      <c r="AU744" s="124">
        <f>交易记录!AH506</f>
        <v>0</v>
      </c>
      <c r="AV744" s="30">
        <f t="shared" si="340"/>
        <v>0</v>
      </c>
      <c r="AW744" s="121">
        <f>交易记录!AH539</f>
        <v>0</v>
      </c>
      <c r="AX744" s="121">
        <f>交易记录!AH570</f>
        <v>0</v>
      </c>
      <c r="AY744" s="30">
        <f t="shared" si="341"/>
        <v>0</v>
      </c>
      <c r="AZ744" s="124">
        <f>交易记录!AH603</f>
        <v>0</v>
      </c>
      <c r="BA744" s="124">
        <f>交易记录!AH634</f>
        <v>0</v>
      </c>
      <c r="BB744" s="30">
        <f t="shared" si="342"/>
        <v>0</v>
      </c>
      <c r="BC744" s="121">
        <f>交易记录!AH667</f>
        <v>0</v>
      </c>
      <c r="BD744" s="121">
        <f>交易记录!AH698</f>
        <v>0</v>
      </c>
      <c r="BE744" s="30">
        <f t="shared" si="343"/>
        <v>0</v>
      </c>
      <c r="BF744" s="124">
        <f>交易记录!AH731</f>
        <v>0</v>
      </c>
      <c r="BG744" s="124">
        <f>交易记录!AH762</f>
        <v>0</v>
      </c>
      <c r="BH744" s="30">
        <f t="shared" si="344"/>
        <v>0</v>
      </c>
      <c r="BI744" s="121">
        <f>交易记录!AH795</f>
        <v>0</v>
      </c>
      <c r="BJ744" s="121">
        <f>交易记录!AH826</f>
        <v>0</v>
      </c>
      <c r="BK744" s="30">
        <f t="shared" si="345"/>
        <v>0</v>
      </c>
      <c r="BL744" s="124">
        <f>交易记录!AH859</f>
        <v>0</v>
      </c>
      <c r="BM744" s="124">
        <f>交易记录!AH890</f>
        <v>0</v>
      </c>
      <c r="BN744" s="30">
        <f t="shared" si="346"/>
        <v>0</v>
      </c>
      <c r="BO744" s="121">
        <f>交易记录!AH923</f>
        <v>0</v>
      </c>
      <c r="BP744" s="121">
        <f>交易记录!AH954</f>
        <v>0</v>
      </c>
      <c r="BQ744" s="30">
        <f t="shared" si="347"/>
        <v>0</v>
      </c>
    </row>
    <row r="745" spans="1:69" ht="15">
      <c r="A745" s="125">
        <f>'维护-日期'!A$33</f>
        <v>0</v>
      </c>
      <c r="B745" s="7" t="s">
        <v>29</v>
      </c>
      <c r="C745" s="144">
        <f t="shared" si="348"/>
        <v>16.963000000000001</v>
      </c>
      <c r="D745" s="144">
        <f>ROUND(INDEX(持仓数据!$C$3:$AG$26,MATCH('计算过程-数据汇总'!B745,持仓数据!$B$3:$B$26,0),MATCH('计算过程-数据汇总'!A745,'维护-日期'!$B$2:$AF$2,0)),3)</f>
        <v>16.963000000000001</v>
      </c>
      <c r="E745" s="98">
        <f t="shared" si="349"/>
        <v>16.963000000000001</v>
      </c>
      <c r="F745" s="22">
        <f>持仓数据!AG95</f>
        <v>0.33299999999999996</v>
      </c>
      <c r="G745" s="97">
        <v>372</v>
      </c>
      <c r="H745" s="97">
        <v>372</v>
      </c>
      <c r="I745" s="64">
        <v>0</v>
      </c>
      <c r="J745" s="64">
        <v>0</v>
      </c>
      <c r="K745" s="21">
        <f>IF(持仓数据!AG128="",0,持仓数据!AG128)</f>
        <v>372</v>
      </c>
      <c r="L745" s="21">
        <f t="shared" si="350"/>
        <v>0</v>
      </c>
      <c r="M745" s="28">
        <f t="shared" si="334"/>
        <v>6310.2360000000008</v>
      </c>
      <c r="N745" s="28">
        <f t="shared" si="335"/>
        <v>0</v>
      </c>
      <c r="O745" s="28">
        <f t="shared" si="336"/>
        <v>0</v>
      </c>
      <c r="P745" s="28">
        <f t="shared" si="337"/>
        <v>0</v>
      </c>
      <c r="Q745" s="28">
        <f t="shared" si="351"/>
        <v>0</v>
      </c>
      <c r="R745" s="28">
        <f t="shared" si="338"/>
        <v>6310.2360000000008</v>
      </c>
      <c r="S745" s="28">
        <f t="shared" si="352"/>
        <v>0</v>
      </c>
      <c r="T745" s="28">
        <f t="shared" si="353"/>
        <v>0</v>
      </c>
      <c r="U745" s="28">
        <f t="shared" si="356"/>
        <v>0</v>
      </c>
      <c r="V745" s="28">
        <f t="shared" si="354"/>
        <v>0</v>
      </c>
      <c r="W745" s="118"/>
      <c r="X745" s="143">
        <f t="shared" si="355"/>
        <v>20.023</v>
      </c>
      <c r="Y745" s="121">
        <f>交易记录!AH28</f>
        <v>0.33299999999999996</v>
      </c>
      <c r="Z745" s="121">
        <f>交易记录!AH59</f>
        <v>372</v>
      </c>
      <c r="AA745" s="30">
        <f t="shared" si="339"/>
        <v>0</v>
      </c>
      <c r="AB745" s="124">
        <f>交易记录!AH92</f>
        <v>0</v>
      </c>
      <c r="AC745" s="124">
        <f>交易记录!AH123</f>
        <v>0</v>
      </c>
      <c r="AD745" s="30">
        <f t="shared" si="357"/>
        <v>0</v>
      </c>
      <c r="AE745" s="121">
        <f>交易记录!AH156</f>
        <v>0</v>
      </c>
      <c r="AF745" s="121">
        <f>交易记录!AH187</f>
        <v>0</v>
      </c>
      <c r="AG745" s="30">
        <f t="shared" si="358"/>
        <v>0</v>
      </c>
      <c r="AH745" s="124">
        <f>交易记录!AH220</f>
        <v>0</v>
      </c>
      <c r="AI745" s="124">
        <f>交易记录!AH251</f>
        <v>0</v>
      </c>
      <c r="AJ745" s="30">
        <f t="shared" si="359"/>
        <v>0</v>
      </c>
      <c r="AK745" s="121">
        <f>交易记录!AH284</f>
        <v>0</v>
      </c>
      <c r="AL745" s="121">
        <f>交易记录!AH315</f>
        <v>0</v>
      </c>
      <c r="AM745" s="30">
        <f t="shared" si="360"/>
        <v>0</v>
      </c>
      <c r="AN745" s="124">
        <f>交易记录!AH348</f>
        <v>0</v>
      </c>
      <c r="AO745" s="124">
        <f>交易记录!AH379</f>
        <v>0</v>
      </c>
      <c r="AP745" s="30">
        <f t="shared" si="361"/>
        <v>0</v>
      </c>
      <c r="AQ745" s="121">
        <f>交易记录!AH412</f>
        <v>0</v>
      </c>
      <c r="AR745" s="121">
        <f>交易记录!AH443</f>
        <v>0</v>
      </c>
      <c r="AS745" s="30">
        <f t="shared" si="362"/>
        <v>0</v>
      </c>
      <c r="AT745" s="124">
        <f>交易记录!AH476</f>
        <v>0</v>
      </c>
      <c r="AU745" s="124">
        <f>交易记录!AH507</f>
        <v>0</v>
      </c>
      <c r="AV745" s="30">
        <f t="shared" si="340"/>
        <v>0</v>
      </c>
      <c r="AW745" s="121">
        <f>交易记录!AH540</f>
        <v>0</v>
      </c>
      <c r="AX745" s="121">
        <f>交易记录!AH571</f>
        <v>0</v>
      </c>
      <c r="AY745" s="30">
        <f t="shared" si="341"/>
        <v>0</v>
      </c>
      <c r="AZ745" s="124">
        <f>交易记录!AH604</f>
        <v>0</v>
      </c>
      <c r="BA745" s="124">
        <f>交易记录!AH635</f>
        <v>0</v>
      </c>
      <c r="BB745" s="30">
        <f t="shared" si="342"/>
        <v>0</v>
      </c>
      <c r="BC745" s="121">
        <f>交易记录!AH668</f>
        <v>0</v>
      </c>
      <c r="BD745" s="121">
        <f>交易记录!AH699</f>
        <v>0</v>
      </c>
      <c r="BE745" s="30">
        <f t="shared" si="343"/>
        <v>0</v>
      </c>
      <c r="BF745" s="124">
        <f>交易记录!AH732</f>
        <v>0</v>
      </c>
      <c r="BG745" s="124">
        <f>交易记录!AH763</f>
        <v>0</v>
      </c>
      <c r="BH745" s="30">
        <f t="shared" si="344"/>
        <v>0</v>
      </c>
      <c r="BI745" s="121">
        <f>交易记录!AH796</f>
        <v>0</v>
      </c>
      <c r="BJ745" s="121">
        <f>交易记录!AH827</f>
        <v>0</v>
      </c>
      <c r="BK745" s="30">
        <f t="shared" si="345"/>
        <v>0</v>
      </c>
      <c r="BL745" s="124">
        <f>交易记录!AH860</f>
        <v>0</v>
      </c>
      <c r="BM745" s="124">
        <f>交易记录!AH891</f>
        <v>0</v>
      </c>
      <c r="BN745" s="30">
        <f t="shared" si="346"/>
        <v>0</v>
      </c>
      <c r="BO745" s="121">
        <f>交易记录!AH924</f>
        <v>0</v>
      </c>
      <c r="BP745" s="121">
        <f>交易记录!AH955</f>
        <v>0</v>
      </c>
      <c r="BQ745" s="30">
        <f t="shared" si="347"/>
        <v>0</v>
      </c>
    </row>
  </sheetData>
  <phoneticPr fontId="2" type="noConversion"/>
  <conditionalFormatting sqref="X2:X745">
    <cfRule type="cellIs" dxfId="7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B1:BT132"/>
  <sheetViews>
    <sheetView showGridLines="0" topLeftCell="A20" workbookViewId="0">
      <selection activeCell="I33" sqref="I33"/>
    </sheetView>
  </sheetViews>
  <sheetFormatPr defaultRowHeight="14.25"/>
  <cols>
    <col min="1" max="1" width="2.125" customWidth="1"/>
    <col min="2" max="2" width="15.5" customWidth="1"/>
    <col min="4" max="4" width="9.75" customWidth="1"/>
    <col min="38" max="38" width="3.125" customWidth="1"/>
    <col min="39" max="39" width="16" customWidth="1"/>
    <col min="41" max="70" width="8.875" customWidth="1"/>
    <col min="71" max="71" width="4.5" customWidth="1"/>
  </cols>
  <sheetData>
    <row r="1" spans="2:57" s="3" customFormat="1" ht="15.75">
      <c r="B1" s="148" t="s">
        <v>97</v>
      </c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50"/>
      <c r="AH1" s="25"/>
    </row>
    <row r="2" spans="2:57" ht="15">
      <c r="B2" s="4" t="s">
        <v>31</v>
      </c>
      <c r="C2" s="5" t="s">
        <v>32</v>
      </c>
      <c r="D2" s="6" t="s">
        <v>33</v>
      </c>
      <c r="E2" s="6" t="s">
        <v>34</v>
      </c>
      <c r="F2" s="6" t="s">
        <v>35</v>
      </c>
      <c r="G2" s="6" t="s">
        <v>36</v>
      </c>
      <c r="H2" s="6" t="s">
        <v>37</v>
      </c>
      <c r="I2" s="6" t="s">
        <v>38</v>
      </c>
      <c r="J2" s="6" t="s">
        <v>39</v>
      </c>
      <c r="K2" s="6" t="s">
        <v>40</v>
      </c>
      <c r="L2" s="6" t="s">
        <v>41</v>
      </c>
      <c r="M2" s="6" t="s">
        <v>42</v>
      </c>
      <c r="N2" s="6" t="s">
        <v>43</v>
      </c>
      <c r="O2" s="6" t="s">
        <v>44</v>
      </c>
      <c r="P2" s="6" t="s">
        <v>45</v>
      </c>
      <c r="Q2" s="6" t="s">
        <v>46</v>
      </c>
      <c r="R2" s="6" t="s">
        <v>47</v>
      </c>
      <c r="S2" s="6" t="s">
        <v>48</v>
      </c>
      <c r="T2" s="6" t="s">
        <v>49</v>
      </c>
      <c r="U2" s="6" t="s">
        <v>50</v>
      </c>
      <c r="V2" s="6" t="s">
        <v>51</v>
      </c>
      <c r="W2" s="6" t="s">
        <v>52</v>
      </c>
      <c r="X2" s="6" t="s">
        <v>53</v>
      </c>
      <c r="Y2" s="6" t="s">
        <v>54</v>
      </c>
      <c r="Z2" s="6" t="s">
        <v>55</v>
      </c>
      <c r="AA2" s="6" t="s">
        <v>56</v>
      </c>
      <c r="AB2" s="6" t="s">
        <v>57</v>
      </c>
      <c r="AC2" s="6" t="s">
        <v>58</v>
      </c>
      <c r="AD2" s="6" t="s">
        <v>59</v>
      </c>
      <c r="AE2" s="6" t="s">
        <v>60</v>
      </c>
      <c r="AF2" s="6" t="s">
        <v>61</v>
      </c>
      <c r="AG2" s="6" t="s">
        <v>62</v>
      </c>
      <c r="AH2" s="43" t="s">
        <v>83</v>
      </c>
      <c r="AI2" s="35"/>
      <c r="AJ2" s="45"/>
      <c r="AK2" s="45"/>
    </row>
    <row r="3" spans="2:57" ht="15">
      <c r="B3" s="7" t="s">
        <v>6</v>
      </c>
      <c r="C3" s="114">
        <v>16.655864285714287</v>
      </c>
      <c r="D3" s="114">
        <v>16.655864285714287</v>
      </c>
      <c r="E3" s="114">
        <v>16.655864285714287</v>
      </c>
      <c r="F3" s="114">
        <v>16.655864285714287</v>
      </c>
      <c r="G3" s="114">
        <v>16.931233333333335</v>
      </c>
      <c r="H3" s="114">
        <v>16.931233333333335</v>
      </c>
      <c r="I3" s="114">
        <v>16.655864285714287</v>
      </c>
      <c r="J3" s="114">
        <v>16.655864285714287</v>
      </c>
      <c r="K3" s="114">
        <v>16.655864285714287</v>
      </c>
      <c r="L3" s="114">
        <v>16.655864285714287</v>
      </c>
      <c r="M3" s="114">
        <v>16.655864285714287</v>
      </c>
      <c r="N3" s="114">
        <v>16.931233333333335</v>
      </c>
      <c r="O3" s="114">
        <v>16.931233333333335</v>
      </c>
      <c r="P3" s="114">
        <v>16.655864285714287</v>
      </c>
      <c r="Q3" s="114">
        <v>16.655864285714287</v>
      </c>
      <c r="R3" s="114">
        <v>16.655864285714287</v>
      </c>
      <c r="S3" s="114">
        <v>16.655864285714287</v>
      </c>
      <c r="T3" s="114">
        <v>16.655864285714287</v>
      </c>
      <c r="U3" s="114">
        <v>16.655864285714287</v>
      </c>
      <c r="V3" s="114">
        <v>16.931233333333335</v>
      </c>
      <c r="W3" s="114">
        <v>16.931233333333335</v>
      </c>
      <c r="X3" s="114">
        <v>16.655864285714287</v>
      </c>
      <c r="Y3" s="114">
        <v>16.655864285714287</v>
      </c>
      <c r="Z3" s="114">
        <v>16.655864285714287</v>
      </c>
      <c r="AA3" s="114">
        <v>16.655864285714287</v>
      </c>
      <c r="AB3" s="114">
        <v>16.655864285714287</v>
      </c>
      <c r="AC3" s="114">
        <v>16.931233333333335</v>
      </c>
      <c r="AD3" s="114">
        <v>16.931233333333335</v>
      </c>
      <c r="AE3" s="114">
        <v>16.655864285714287</v>
      </c>
      <c r="AF3" s="114">
        <v>16.655864285714287</v>
      </c>
      <c r="AG3" s="114">
        <v>16.655864285714287</v>
      </c>
      <c r="AH3" s="44">
        <f>SUM(C3:AG3)</f>
        <v>518.53474523809552</v>
      </c>
      <c r="AI3" s="44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</row>
    <row r="4" spans="2:57" ht="15">
      <c r="B4" s="7" t="s">
        <v>7</v>
      </c>
      <c r="C4" s="114">
        <v>15.792242857142854</v>
      </c>
      <c r="D4" s="114">
        <v>15.792242857142854</v>
      </c>
      <c r="E4" s="114">
        <v>15.792242857142854</v>
      </c>
      <c r="F4" s="114">
        <v>15.792242857142854</v>
      </c>
      <c r="G4" s="114">
        <v>15.778483333333334</v>
      </c>
      <c r="H4" s="114">
        <v>15.778483333333334</v>
      </c>
      <c r="I4" s="114">
        <v>15.792242857142854</v>
      </c>
      <c r="J4" s="114">
        <v>15.792242857142854</v>
      </c>
      <c r="K4" s="114">
        <v>15.792242857142854</v>
      </c>
      <c r="L4" s="114">
        <v>15.792242857142854</v>
      </c>
      <c r="M4" s="114">
        <v>15.792242857142854</v>
      </c>
      <c r="N4" s="114">
        <v>15.778483333333334</v>
      </c>
      <c r="O4" s="114">
        <v>15.778483333333334</v>
      </c>
      <c r="P4" s="114">
        <v>15.792242857142854</v>
      </c>
      <c r="Q4" s="114">
        <v>15.792242857142854</v>
      </c>
      <c r="R4" s="114">
        <v>15.792242857142854</v>
      </c>
      <c r="S4" s="114">
        <v>15.792242857142854</v>
      </c>
      <c r="T4" s="114">
        <v>15.792242857142854</v>
      </c>
      <c r="U4" s="114">
        <v>15.792242857142854</v>
      </c>
      <c r="V4" s="114">
        <v>15.778483333333334</v>
      </c>
      <c r="W4" s="114">
        <v>15.778483333333334</v>
      </c>
      <c r="X4" s="114">
        <v>15.792242857142854</v>
      </c>
      <c r="Y4" s="114">
        <v>15.792242857142854</v>
      </c>
      <c r="Z4" s="114">
        <v>15.792242857142854</v>
      </c>
      <c r="AA4" s="114">
        <v>15.792242857142854</v>
      </c>
      <c r="AB4" s="114">
        <v>15.792242857142854</v>
      </c>
      <c r="AC4" s="114">
        <v>15.778483333333334</v>
      </c>
      <c r="AD4" s="114">
        <v>15.778483333333334</v>
      </c>
      <c r="AE4" s="114">
        <v>15.792242857142854</v>
      </c>
      <c r="AF4" s="114">
        <v>15.792242857142854</v>
      </c>
      <c r="AG4" s="114">
        <v>15.792242857142854</v>
      </c>
      <c r="AH4" s="44">
        <f t="shared" ref="AH4:AH26" si="0">SUM(C4:AG4)</f>
        <v>489.44945238095249</v>
      </c>
      <c r="AI4" s="44"/>
      <c r="AJ4" s="26"/>
      <c r="AK4" s="26"/>
    </row>
    <row r="5" spans="2:57" ht="15">
      <c r="B5" s="7" t="s">
        <v>8</v>
      </c>
      <c r="C5" s="114">
        <v>14.8216</v>
      </c>
      <c r="D5" s="114">
        <v>14.8216</v>
      </c>
      <c r="E5" s="114">
        <v>14.8216</v>
      </c>
      <c r="F5" s="114">
        <v>14.8216</v>
      </c>
      <c r="G5" s="114">
        <v>14.812083333333334</v>
      </c>
      <c r="H5" s="114">
        <v>14.812083333333334</v>
      </c>
      <c r="I5" s="114">
        <v>14.8216</v>
      </c>
      <c r="J5" s="114">
        <v>14.8216</v>
      </c>
      <c r="K5" s="114">
        <v>14.8216</v>
      </c>
      <c r="L5" s="114">
        <v>14.8216</v>
      </c>
      <c r="M5" s="114">
        <v>14.8216</v>
      </c>
      <c r="N5" s="114">
        <v>14.812083333333334</v>
      </c>
      <c r="O5" s="114">
        <v>14.812083333333334</v>
      </c>
      <c r="P5" s="114">
        <v>14.8216</v>
      </c>
      <c r="Q5" s="114">
        <v>14.8216</v>
      </c>
      <c r="R5" s="114">
        <v>14.8216</v>
      </c>
      <c r="S5" s="114">
        <v>14.8216</v>
      </c>
      <c r="T5" s="114">
        <v>14.8216</v>
      </c>
      <c r="U5" s="114">
        <v>14.8216</v>
      </c>
      <c r="V5" s="114">
        <v>14.812083333333334</v>
      </c>
      <c r="W5" s="114">
        <v>14.812083333333334</v>
      </c>
      <c r="X5" s="114">
        <v>14.8216</v>
      </c>
      <c r="Y5" s="114">
        <v>14.8216</v>
      </c>
      <c r="Z5" s="114">
        <v>14.8216</v>
      </c>
      <c r="AA5" s="114">
        <v>14.8216</v>
      </c>
      <c r="AB5" s="114">
        <v>14.8216</v>
      </c>
      <c r="AC5" s="114">
        <v>14.812083333333334</v>
      </c>
      <c r="AD5" s="114">
        <v>14.812083333333334</v>
      </c>
      <c r="AE5" s="114">
        <v>14.8216</v>
      </c>
      <c r="AF5" s="114">
        <v>14.8216</v>
      </c>
      <c r="AG5" s="114">
        <v>14.8216</v>
      </c>
      <c r="AH5" s="44">
        <f t="shared" si="0"/>
        <v>459.39346666666665</v>
      </c>
      <c r="AI5" s="44"/>
      <c r="AJ5" s="26"/>
      <c r="AK5" s="26"/>
    </row>
    <row r="6" spans="2:57" ht="15">
      <c r="B6" s="7" t="s">
        <v>9</v>
      </c>
      <c r="C6" s="114">
        <v>13.8165</v>
      </c>
      <c r="D6" s="114">
        <v>13.8165</v>
      </c>
      <c r="E6" s="114">
        <v>13.8165</v>
      </c>
      <c r="F6" s="114">
        <v>13.8165</v>
      </c>
      <c r="G6" s="114">
        <v>13.836100000000002</v>
      </c>
      <c r="H6" s="114">
        <v>13.836100000000002</v>
      </c>
      <c r="I6" s="114">
        <v>13.8165</v>
      </c>
      <c r="J6" s="114">
        <v>13.8165</v>
      </c>
      <c r="K6" s="114">
        <v>13.8165</v>
      </c>
      <c r="L6" s="114">
        <v>13.8165</v>
      </c>
      <c r="M6" s="114">
        <v>13.8165</v>
      </c>
      <c r="N6" s="114">
        <v>13.836100000000002</v>
      </c>
      <c r="O6" s="114">
        <v>13.836100000000002</v>
      </c>
      <c r="P6" s="114">
        <v>13.8165</v>
      </c>
      <c r="Q6" s="114">
        <v>13.8165</v>
      </c>
      <c r="R6" s="114">
        <v>13.8165</v>
      </c>
      <c r="S6" s="114">
        <v>13.8165</v>
      </c>
      <c r="T6" s="114">
        <v>13.8165</v>
      </c>
      <c r="U6" s="114">
        <v>13.8165</v>
      </c>
      <c r="V6" s="114">
        <v>13.836100000000002</v>
      </c>
      <c r="W6" s="114">
        <v>13.836100000000002</v>
      </c>
      <c r="X6" s="114">
        <v>13.8165</v>
      </c>
      <c r="Y6" s="114">
        <v>13.8165</v>
      </c>
      <c r="Z6" s="114">
        <v>13.8165</v>
      </c>
      <c r="AA6" s="114">
        <v>13.8165</v>
      </c>
      <c r="AB6" s="114">
        <v>13.8165</v>
      </c>
      <c r="AC6" s="114">
        <v>13.836100000000002</v>
      </c>
      <c r="AD6" s="114">
        <v>13.836100000000002</v>
      </c>
      <c r="AE6" s="114">
        <v>13.8165</v>
      </c>
      <c r="AF6" s="114">
        <v>13.8165</v>
      </c>
      <c r="AG6" s="114">
        <v>13.8165</v>
      </c>
      <c r="AH6" s="44">
        <f t="shared" si="0"/>
        <v>428.46830000000006</v>
      </c>
      <c r="AI6" s="44"/>
      <c r="AJ6" s="26"/>
      <c r="AK6" s="26"/>
    </row>
    <row r="7" spans="2:57" ht="15">
      <c r="B7" s="7" t="s">
        <v>10</v>
      </c>
      <c r="C7" s="114">
        <v>13.388221428571429</v>
      </c>
      <c r="D7" s="114">
        <v>13.388221428571429</v>
      </c>
      <c r="E7" s="114">
        <v>13.388221428571429</v>
      </c>
      <c r="F7" s="114">
        <v>13.388221428571429</v>
      </c>
      <c r="G7" s="114">
        <v>13.279933333333332</v>
      </c>
      <c r="H7" s="114">
        <v>13.279933333333332</v>
      </c>
      <c r="I7" s="114">
        <v>13.388221428571429</v>
      </c>
      <c r="J7" s="114">
        <v>13.388221428571429</v>
      </c>
      <c r="K7" s="114">
        <v>13.388221428571429</v>
      </c>
      <c r="L7" s="114">
        <v>13.388221428571429</v>
      </c>
      <c r="M7" s="114">
        <v>13.388221428571429</v>
      </c>
      <c r="N7" s="114">
        <v>13.279933333333332</v>
      </c>
      <c r="O7" s="114">
        <v>13.279933333333332</v>
      </c>
      <c r="P7" s="114">
        <v>13.388221428571429</v>
      </c>
      <c r="Q7" s="114">
        <v>13.388221428571429</v>
      </c>
      <c r="R7" s="114">
        <v>13.388221428571429</v>
      </c>
      <c r="S7" s="114">
        <v>13.388221428571429</v>
      </c>
      <c r="T7" s="114">
        <v>13.388221428571429</v>
      </c>
      <c r="U7" s="114">
        <v>13.388221428571429</v>
      </c>
      <c r="V7" s="114">
        <v>13.279933333333332</v>
      </c>
      <c r="W7" s="114">
        <v>13.279933333333332</v>
      </c>
      <c r="X7" s="114">
        <v>13.388221428571429</v>
      </c>
      <c r="Y7" s="114">
        <v>13.388221428571429</v>
      </c>
      <c r="Z7" s="114">
        <v>13.388221428571429</v>
      </c>
      <c r="AA7" s="114">
        <v>13.388221428571429</v>
      </c>
      <c r="AB7" s="114">
        <v>13.388221428571429</v>
      </c>
      <c r="AC7" s="114">
        <v>13.279933333333332</v>
      </c>
      <c r="AD7" s="114">
        <v>13.279933333333332</v>
      </c>
      <c r="AE7" s="114">
        <v>13.388221428571429</v>
      </c>
      <c r="AF7" s="114">
        <v>13.388221428571429</v>
      </c>
      <c r="AG7" s="114">
        <v>13.388221428571429</v>
      </c>
      <c r="AH7" s="44">
        <f t="shared" si="0"/>
        <v>414.16855952380979</v>
      </c>
      <c r="AI7" s="44"/>
      <c r="AJ7" s="26"/>
      <c r="AK7" s="26"/>
    </row>
    <row r="8" spans="2:57" ht="15">
      <c r="B8" s="7" t="s">
        <v>11</v>
      </c>
      <c r="C8" s="114">
        <v>13.087235714285715</v>
      </c>
      <c r="D8" s="114">
        <v>13.087235714285715</v>
      </c>
      <c r="E8" s="114">
        <v>13.087235714285715</v>
      </c>
      <c r="F8" s="114">
        <v>13.087235714285715</v>
      </c>
      <c r="G8" s="114">
        <v>12.78745</v>
      </c>
      <c r="H8" s="114">
        <v>12.78745</v>
      </c>
      <c r="I8" s="114">
        <v>13.087235714285715</v>
      </c>
      <c r="J8" s="114">
        <v>13.087235714285715</v>
      </c>
      <c r="K8" s="114">
        <v>13.087235714285715</v>
      </c>
      <c r="L8" s="114">
        <v>13.087235714285715</v>
      </c>
      <c r="M8" s="114">
        <v>13.087235714285715</v>
      </c>
      <c r="N8" s="114">
        <v>12.78745</v>
      </c>
      <c r="O8" s="114">
        <v>12.78745</v>
      </c>
      <c r="P8" s="114">
        <v>13.087235714285715</v>
      </c>
      <c r="Q8" s="114">
        <v>13.087235714285715</v>
      </c>
      <c r="R8" s="114">
        <v>13.087235714285715</v>
      </c>
      <c r="S8" s="114">
        <v>13.087235714285715</v>
      </c>
      <c r="T8" s="114">
        <v>13.087235714285715</v>
      </c>
      <c r="U8" s="114">
        <v>13.087235714285715</v>
      </c>
      <c r="V8" s="114">
        <v>12.78745</v>
      </c>
      <c r="W8" s="114">
        <v>12.78745</v>
      </c>
      <c r="X8" s="114">
        <v>13.087235714285715</v>
      </c>
      <c r="Y8" s="114">
        <v>13.087235714285715</v>
      </c>
      <c r="Z8" s="114">
        <v>13.087235714285715</v>
      </c>
      <c r="AA8" s="114">
        <v>13.087235714285715</v>
      </c>
      <c r="AB8" s="114">
        <v>13.087235714285715</v>
      </c>
      <c r="AC8" s="114">
        <v>12.78745</v>
      </c>
      <c r="AD8" s="114">
        <v>12.78745</v>
      </c>
      <c r="AE8" s="114">
        <v>13.087235714285715</v>
      </c>
      <c r="AF8" s="114">
        <v>13.087235714285715</v>
      </c>
      <c r="AG8" s="114">
        <v>13.087235714285715</v>
      </c>
      <c r="AH8" s="44">
        <f t="shared" si="0"/>
        <v>403.30602142857151</v>
      </c>
      <c r="AI8" s="44"/>
      <c r="AJ8" s="26"/>
      <c r="AK8" s="26"/>
    </row>
    <row r="9" spans="2:57" ht="15">
      <c r="B9" s="7" t="s">
        <v>12</v>
      </c>
      <c r="C9" s="114">
        <v>12.94957142857143</v>
      </c>
      <c r="D9" s="114">
        <v>12.94957142857143</v>
      </c>
      <c r="E9" s="114">
        <v>12.94957142857143</v>
      </c>
      <c r="F9" s="114">
        <v>12.94957142857143</v>
      </c>
      <c r="G9" s="114">
        <v>12.549799999999999</v>
      </c>
      <c r="H9" s="114">
        <v>12.549799999999999</v>
      </c>
      <c r="I9" s="114">
        <v>12.94957142857143</v>
      </c>
      <c r="J9" s="114">
        <v>12.94957142857143</v>
      </c>
      <c r="K9" s="114">
        <v>12.94957142857143</v>
      </c>
      <c r="L9" s="114">
        <v>12.94957142857143</v>
      </c>
      <c r="M9" s="114">
        <v>12.94957142857143</v>
      </c>
      <c r="N9" s="114">
        <v>12.549799999999999</v>
      </c>
      <c r="O9" s="114">
        <v>12.549799999999999</v>
      </c>
      <c r="P9" s="114">
        <v>12.94957142857143</v>
      </c>
      <c r="Q9" s="114">
        <v>12.94957142857143</v>
      </c>
      <c r="R9" s="114">
        <v>12.94957142857143</v>
      </c>
      <c r="S9" s="114">
        <v>12.94957142857143</v>
      </c>
      <c r="T9" s="114">
        <v>12.94957142857143</v>
      </c>
      <c r="U9" s="114">
        <v>12.94957142857143</v>
      </c>
      <c r="V9" s="114">
        <v>12.549799999999999</v>
      </c>
      <c r="W9" s="114">
        <v>12.549799999999999</v>
      </c>
      <c r="X9" s="114">
        <v>12.94957142857143</v>
      </c>
      <c r="Y9" s="114">
        <v>12.94957142857143</v>
      </c>
      <c r="Z9" s="114">
        <v>12.94957142857143</v>
      </c>
      <c r="AA9" s="114">
        <v>12.94957142857143</v>
      </c>
      <c r="AB9" s="114">
        <v>12.94957142857143</v>
      </c>
      <c r="AC9" s="114">
        <v>12.549799999999999</v>
      </c>
      <c r="AD9" s="114">
        <v>12.549799999999999</v>
      </c>
      <c r="AE9" s="114">
        <v>12.94957142857143</v>
      </c>
      <c r="AF9" s="114">
        <v>12.94957142857143</v>
      </c>
      <c r="AG9" s="114">
        <v>12.94957142857143</v>
      </c>
      <c r="AH9" s="44">
        <f t="shared" si="0"/>
        <v>398.2385428571427</v>
      </c>
      <c r="AI9" s="44"/>
      <c r="AJ9" s="26"/>
      <c r="AK9" s="26"/>
    </row>
    <row r="10" spans="2:57" ht="15">
      <c r="B10" s="7" t="s">
        <v>13</v>
      </c>
      <c r="C10" s="114">
        <v>13.267157142857144</v>
      </c>
      <c r="D10" s="114">
        <v>13.267157142857144</v>
      </c>
      <c r="E10" s="114">
        <v>13.267157142857144</v>
      </c>
      <c r="F10" s="114">
        <v>13.267157142857144</v>
      </c>
      <c r="G10" s="114">
        <v>12.418983333333331</v>
      </c>
      <c r="H10" s="114">
        <v>12.418983333333331</v>
      </c>
      <c r="I10" s="114">
        <v>13.267157142857144</v>
      </c>
      <c r="J10" s="114">
        <v>13.267157142857144</v>
      </c>
      <c r="K10" s="114">
        <v>13.267157142857144</v>
      </c>
      <c r="L10" s="114">
        <v>13.267157142857144</v>
      </c>
      <c r="M10" s="114">
        <v>13.267157142857144</v>
      </c>
      <c r="N10" s="114">
        <v>12.418983333333331</v>
      </c>
      <c r="O10" s="114">
        <v>12.418983333333331</v>
      </c>
      <c r="P10" s="114">
        <v>13.267157142857144</v>
      </c>
      <c r="Q10" s="114">
        <v>13.267157142857144</v>
      </c>
      <c r="R10" s="114">
        <v>13.267157142857144</v>
      </c>
      <c r="S10" s="114">
        <v>13.267157142857144</v>
      </c>
      <c r="T10" s="114">
        <v>13.267157142857144</v>
      </c>
      <c r="U10" s="114">
        <v>13.267157142857144</v>
      </c>
      <c r="V10" s="114">
        <v>12.418983333333331</v>
      </c>
      <c r="W10" s="114">
        <v>12.418983333333331</v>
      </c>
      <c r="X10" s="114">
        <v>13.267157142857144</v>
      </c>
      <c r="Y10" s="114">
        <v>13.267157142857144</v>
      </c>
      <c r="Z10" s="114">
        <v>13.267157142857144</v>
      </c>
      <c r="AA10" s="114">
        <v>13.267157142857144</v>
      </c>
      <c r="AB10" s="114">
        <v>13.267157142857144</v>
      </c>
      <c r="AC10" s="114">
        <v>12.418983333333331</v>
      </c>
      <c r="AD10" s="114">
        <v>12.418983333333331</v>
      </c>
      <c r="AE10" s="114">
        <v>13.267157142857144</v>
      </c>
      <c r="AF10" s="114">
        <v>13.267157142857144</v>
      </c>
      <c r="AG10" s="114">
        <v>13.267157142857144</v>
      </c>
      <c r="AH10" s="44">
        <f t="shared" si="0"/>
        <v>404.49648095238126</v>
      </c>
      <c r="AI10" s="44"/>
      <c r="AJ10" s="26"/>
      <c r="AK10" s="26"/>
    </row>
    <row r="11" spans="2:57" ht="15">
      <c r="B11" s="7" t="s">
        <v>14</v>
      </c>
      <c r="C11" s="114">
        <v>15.795985714285715</v>
      </c>
      <c r="D11" s="114">
        <v>15.795985714285715</v>
      </c>
      <c r="E11" s="114">
        <v>15.795985714285715</v>
      </c>
      <c r="F11" s="114">
        <v>15.795985714285715</v>
      </c>
      <c r="G11" s="114">
        <v>13.659666666666666</v>
      </c>
      <c r="H11" s="114">
        <v>13.659666666666666</v>
      </c>
      <c r="I11" s="114">
        <v>15.795985714285715</v>
      </c>
      <c r="J11" s="114">
        <v>15.795985714285715</v>
      </c>
      <c r="K11" s="114">
        <v>15.795985714285715</v>
      </c>
      <c r="L11" s="114">
        <v>15.795985714285715</v>
      </c>
      <c r="M11" s="114">
        <v>15.795985714285715</v>
      </c>
      <c r="N11" s="114">
        <v>13.659666666666666</v>
      </c>
      <c r="O11" s="114">
        <v>13.659666666666666</v>
      </c>
      <c r="P11" s="114">
        <v>15.795985714285715</v>
      </c>
      <c r="Q11" s="114">
        <v>15.795985714285715</v>
      </c>
      <c r="R11" s="114">
        <v>15.795985714285715</v>
      </c>
      <c r="S11" s="114">
        <v>15.795985714285715</v>
      </c>
      <c r="T11" s="114">
        <v>15.795985714285715</v>
      </c>
      <c r="U11" s="114">
        <v>15.795985714285715</v>
      </c>
      <c r="V11" s="114">
        <v>13.659666666666666</v>
      </c>
      <c r="W11" s="114">
        <v>13.659666666666666</v>
      </c>
      <c r="X11" s="114">
        <v>15.795985714285715</v>
      </c>
      <c r="Y11" s="114">
        <v>15.795985714285715</v>
      </c>
      <c r="Z11" s="114">
        <v>15.795985714285715</v>
      </c>
      <c r="AA11" s="114">
        <v>15.795985714285715</v>
      </c>
      <c r="AB11" s="114">
        <v>15.795985714285715</v>
      </c>
      <c r="AC11" s="114">
        <v>13.659666666666666</v>
      </c>
      <c r="AD11" s="114">
        <v>13.659666666666666</v>
      </c>
      <c r="AE11" s="114">
        <v>15.795985714285715</v>
      </c>
      <c r="AF11" s="114">
        <v>15.795985714285715</v>
      </c>
      <c r="AG11" s="114">
        <v>15.795985714285715</v>
      </c>
      <c r="AH11" s="44">
        <f t="shared" si="0"/>
        <v>472.585004761905</v>
      </c>
      <c r="AI11" s="44"/>
      <c r="AJ11" s="26"/>
      <c r="AK11" s="26"/>
    </row>
    <row r="12" spans="2:57" ht="15">
      <c r="B12" s="7" t="s">
        <v>15</v>
      </c>
      <c r="C12" s="114">
        <v>19.308435714285714</v>
      </c>
      <c r="D12" s="114">
        <v>19.308435714285714</v>
      </c>
      <c r="E12" s="114">
        <v>19.308435714285714</v>
      </c>
      <c r="F12" s="114">
        <v>19.308435714285714</v>
      </c>
      <c r="G12" s="114">
        <v>16.832600000000003</v>
      </c>
      <c r="H12" s="114">
        <v>16.832600000000003</v>
      </c>
      <c r="I12" s="114">
        <v>19.308435714285714</v>
      </c>
      <c r="J12" s="114">
        <v>19.308435714285714</v>
      </c>
      <c r="K12" s="114">
        <v>19.308435714285714</v>
      </c>
      <c r="L12" s="114">
        <v>19.308435714285714</v>
      </c>
      <c r="M12" s="114">
        <v>19.308435714285714</v>
      </c>
      <c r="N12" s="114">
        <v>16.832600000000003</v>
      </c>
      <c r="O12" s="114">
        <v>16.832600000000003</v>
      </c>
      <c r="P12" s="114">
        <v>19.308435714285714</v>
      </c>
      <c r="Q12" s="114">
        <v>19.308435714285714</v>
      </c>
      <c r="R12" s="114">
        <v>19.308435714285714</v>
      </c>
      <c r="S12" s="114">
        <v>19.308435714285714</v>
      </c>
      <c r="T12" s="114">
        <v>19.308435714285714</v>
      </c>
      <c r="U12" s="114">
        <v>19.308435714285714</v>
      </c>
      <c r="V12" s="114">
        <v>16.832600000000003</v>
      </c>
      <c r="W12" s="114">
        <v>16.832600000000003</v>
      </c>
      <c r="X12" s="114">
        <v>19.308435714285714</v>
      </c>
      <c r="Y12" s="114">
        <v>19.308435714285714</v>
      </c>
      <c r="Z12" s="114">
        <v>19.308435714285714</v>
      </c>
      <c r="AA12" s="114">
        <v>19.308435714285714</v>
      </c>
      <c r="AB12" s="114">
        <v>19.308435714285714</v>
      </c>
      <c r="AC12" s="114">
        <v>16.832600000000003</v>
      </c>
      <c r="AD12" s="114">
        <v>16.832600000000003</v>
      </c>
      <c r="AE12" s="114">
        <v>19.308435714285714</v>
      </c>
      <c r="AF12" s="114">
        <v>19.308435714285714</v>
      </c>
      <c r="AG12" s="114">
        <v>19.308435714285714</v>
      </c>
      <c r="AH12" s="44">
        <f t="shared" si="0"/>
        <v>578.75482142857152</v>
      </c>
      <c r="AI12" s="44"/>
      <c r="AJ12" s="26"/>
      <c r="AK12" s="26"/>
    </row>
    <row r="13" spans="2:57" ht="15">
      <c r="B13" s="7" t="s">
        <v>16</v>
      </c>
      <c r="C13" s="114">
        <v>21.00977142857143</v>
      </c>
      <c r="D13" s="114">
        <v>21.00977142857143</v>
      </c>
      <c r="E13" s="114">
        <v>21.00977142857143</v>
      </c>
      <c r="F13" s="114">
        <v>21.00977142857143</v>
      </c>
      <c r="G13" s="114">
        <v>18.839383333333334</v>
      </c>
      <c r="H13" s="114">
        <v>18.839383333333334</v>
      </c>
      <c r="I13" s="114">
        <v>21.00977142857143</v>
      </c>
      <c r="J13" s="114">
        <v>21.00977142857143</v>
      </c>
      <c r="K13" s="114">
        <v>21.00977142857143</v>
      </c>
      <c r="L13" s="114">
        <v>21.00977142857143</v>
      </c>
      <c r="M13" s="114">
        <v>21.00977142857143</v>
      </c>
      <c r="N13" s="114">
        <v>18.839383333333334</v>
      </c>
      <c r="O13" s="114">
        <v>18.839383333333334</v>
      </c>
      <c r="P13" s="114">
        <v>21.00977142857143</v>
      </c>
      <c r="Q13" s="114">
        <v>21.00977142857143</v>
      </c>
      <c r="R13" s="114">
        <v>21.00977142857143</v>
      </c>
      <c r="S13" s="114">
        <v>21.00977142857143</v>
      </c>
      <c r="T13" s="114">
        <v>21.00977142857143</v>
      </c>
      <c r="U13" s="114">
        <v>21.00977142857143</v>
      </c>
      <c r="V13" s="114">
        <v>18.839383333333334</v>
      </c>
      <c r="W13" s="114">
        <v>18.839383333333334</v>
      </c>
      <c r="X13" s="114">
        <v>21.00977142857143</v>
      </c>
      <c r="Y13" s="114">
        <v>21.00977142857143</v>
      </c>
      <c r="Z13" s="114">
        <v>21.00977142857143</v>
      </c>
      <c r="AA13" s="114">
        <v>21.00977142857143</v>
      </c>
      <c r="AB13" s="114">
        <v>21.00977142857143</v>
      </c>
      <c r="AC13" s="114">
        <v>18.839383333333334</v>
      </c>
      <c r="AD13" s="114">
        <v>18.839383333333334</v>
      </c>
      <c r="AE13" s="114">
        <v>21.00977142857143</v>
      </c>
      <c r="AF13" s="114">
        <v>21.00977142857143</v>
      </c>
      <c r="AG13" s="114">
        <v>21.00977142857143</v>
      </c>
      <c r="AH13" s="44">
        <f t="shared" si="0"/>
        <v>633.93980952380934</v>
      </c>
      <c r="AI13" s="44"/>
      <c r="AJ13" s="26"/>
      <c r="AK13" s="26"/>
    </row>
    <row r="14" spans="2:57" ht="15">
      <c r="B14" s="7" t="s">
        <v>17</v>
      </c>
      <c r="C14" s="114">
        <v>21.329064285714288</v>
      </c>
      <c r="D14" s="114">
        <v>21.329064285714288</v>
      </c>
      <c r="E14" s="114">
        <v>21.329064285714288</v>
      </c>
      <c r="F14" s="114">
        <v>21.329064285714288</v>
      </c>
      <c r="G14" s="114">
        <v>19.346066666666669</v>
      </c>
      <c r="H14" s="114">
        <v>19.346066666666669</v>
      </c>
      <c r="I14" s="114">
        <v>21.329064285714288</v>
      </c>
      <c r="J14" s="114">
        <v>21.329064285714288</v>
      </c>
      <c r="K14" s="114">
        <v>21.329064285714288</v>
      </c>
      <c r="L14" s="114">
        <v>21.329064285714288</v>
      </c>
      <c r="M14" s="114">
        <v>21.329064285714288</v>
      </c>
      <c r="N14" s="114">
        <v>19.346066666666669</v>
      </c>
      <c r="O14" s="114">
        <v>19.346066666666669</v>
      </c>
      <c r="P14" s="114">
        <v>21.329064285714288</v>
      </c>
      <c r="Q14" s="114">
        <v>21.329064285714288</v>
      </c>
      <c r="R14" s="114">
        <v>21.329064285714288</v>
      </c>
      <c r="S14" s="114">
        <v>21.329064285714288</v>
      </c>
      <c r="T14" s="114">
        <v>21.329064285714288</v>
      </c>
      <c r="U14" s="114">
        <v>21.329064285714288</v>
      </c>
      <c r="V14" s="114">
        <v>19.346066666666669</v>
      </c>
      <c r="W14" s="114">
        <v>19.346066666666669</v>
      </c>
      <c r="X14" s="114">
        <v>21.329064285714288</v>
      </c>
      <c r="Y14" s="114">
        <v>21.329064285714288</v>
      </c>
      <c r="Z14" s="114">
        <v>21.329064285714288</v>
      </c>
      <c r="AA14" s="114">
        <v>21.329064285714288</v>
      </c>
      <c r="AB14" s="114">
        <v>21.329064285714288</v>
      </c>
      <c r="AC14" s="114">
        <v>19.346066666666669</v>
      </c>
      <c r="AD14" s="114">
        <v>19.346066666666669</v>
      </c>
      <c r="AE14" s="114">
        <v>21.329064285714288</v>
      </c>
      <c r="AF14" s="114">
        <v>21.329064285714288</v>
      </c>
      <c r="AG14" s="114">
        <v>21.329064285714288</v>
      </c>
      <c r="AH14" s="44">
        <f t="shared" si="0"/>
        <v>645.33701190476188</v>
      </c>
      <c r="AI14" s="44"/>
      <c r="AJ14" s="26"/>
      <c r="AK14" s="26"/>
    </row>
    <row r="15" spans="2:57" ht="15">
      <c r="B15" s="7" t="s">
        <v>18</v>
      </c>
      <c r="C15" s="114">
        <v>22.643750000000001</v>
      </c>
      <c r="D15" s="114">
        <v>22.643750000000001</v>
      </c>
      <c r="E15" s="114">
        <v>22.643750000000001</v>
      </c>
      <c r="F15" s="114">
        <v>22.643750000000001</v>
      </c>
      <c r="G15" s="114">
        <v>20.165866666666666</v>
      </c>
      <c r="H15" s="114">
        <v>20.165866666666666</v>
      </c>
      <c r="I15" s="114">
        <v>22.643750000000001</v>
      </c>
      <c r="J15" s="114">
        <v>22.643750000000001</v>
      </c>
      <c r="K15" s="114">
        <v>22.643750000000001</v>
      </c>
      <c r="L15" s="114">
        <v>22.643750000000001</v>
      </c>
      <c r="M15" s="114">
        <v>22.643750000000001</v>
      </c>
      <c r="N15" s="114">
        <v>20.165866666666666</v>
      </c>
      <c r="O15" s="114">
        <v>20.165866666666666</v>
      </c>
      <c r="P15" s="114">
        <v>22.643750000000001</v>
      </c>
      <c r="Q15" s="114">
        <v>22.643750000000001</v>
      </c>
      <c r="R15" s="114">
        <v>22.643750000000001</v>
      </c>
      <c r="S15" s="114">
        <v>22.643750000000001</v>
      </c>
      <c r="T15" s="114">
        <v>22.643750000000001</v>
      </c>
      <c r="U15" s="114">
        <v>22.643750000000001</v>
      </c>
      <c r="V15" s="114">
        <v>20.165866666666666</v>
      </c>
      <c r="W15" s="114">
        <v>20.165866666666666</v>
      </c>
      <c r="X15" s="114">
        <v>22.643750000000001</v>
      </c>
      <c r="Y15" s="114">
        <v>22.643750000000001</v>
      </c>
      <c r="Z15" s="114">
        <v>22.643750000000001</v>
      </c>
      <c r="AA15" s="114">
        <v>22.643750000000001</v>
      </c>
      <c r="AB15" s="114">
        <v>22.643750000000001</v>
      </c>
      <c r="AC15" s="114">
        <v>20.165866666666666</v>
      </c>
      <c r="AD15" s="114">
        <v>20.165866666666666</v>
      </c>
      <c r="AE15" s="114">
        <v>22.643750000000001</v>
      </c>
      <c r="AF15" s="114">
        <v>22.643750000000001</v>
      </c>
      <c r="AG15" s="114">
        <v>22.643750000000001</v>
      </c>
      <c r="AH15" s="44">
        <f t="shared" si="0"/>
        <v>682.13318333333336</v>
      </c>
      <c r="AI15" s="44"/>
      <c r="AJ15" s="26"/>
      <c r="AK15" s="26"/>
    </row>
    <row r="16" spans="2:57" ht="15">
      <c r="B16" s="7" t="s">
        <v>19</v>
      </c>
      <c r="C16" s="114">
        <v>22.90417857142857</v>
      </c>
      <c r="D16" s="114">
        <v>22.90417857142857</v>
      </c>
      <c r="E16" s="114">
        <v>22.90417857142857</v>
      </c>
      <c r="F16" s="114">
        <v>22.90417857142857</v>
      </c>
      <c r="G16" s="114">
        <v>21.004716666666667</v>
      </c>
      <c r="H16" s="114">
        <v>21.004716666666667</v>
      </c>
      <c r="I16" s="114">
        <v>22.90417857142857</v>
      </c>
      <c r="J16" s="114">
        <v>22.90417857142857</v>
      </c>
      <c r="K16" s="114">
        <v>22.90417857142857</v>
      </c>
      <c r="L16" s="114">
        <v>22.90417857142857</v>
      </c>
      <c r="M16" s="114">
        <v>22.90417857142857</v>
      </c>
      <c r="N16" s="114">
        <v>21.004716666666667</v>
      </c>
      <c r="O16" s="114">
        <v>21.004716666666667</v>
      </c>
      <c r="P16" s="114">
        <v>22.90417857142857</v>
      </c>
      <c r="Q16" s="114">
        <v>22.90417857142857</v>
      </c>
      <c r="R16" s="114">
        <v>22.90417857142857</v>
      </c>
      <c r="S16" s="114">
        <v>22.90417857142857</v>
      </c>
      <c r="T16" s="114">
        <v>22.90417857142857</v>
      </c>
      <c r="U16" s="114">
        <v>22.90417857142857</v>
      </c>
      <c r="V16" s="114">
        <v>21.004716666666667</v>
      </c>
      <c r="W16" s="114">
        <v>21.004716666666667</v>
      </c>
      <c r="X16" s="114">
        <v>22.90417857142857</v>
      </c>
      <c r="Y16" s="114">
        <v>22.90417857142857</v>
      </c>
      <c r="Z16" s="114">
        <v>22.90417857142857</v>
      </c>
      <c r="AA16" s="114">
        <v>22.90417857142857</v>
      </c>
      <c r="AB16" s="114">
        <v>22.90417857142857</v>
      </c>
      <c r="AC16" s="114">
        <v>21.004716666666667</v>
      </c>
      <c r="AD16" s="114">
        <v>21.004716666666667</v>
      </c>
      <c r="AE16" s="114">
        <v>22.90417857142857</v>
      </c>
      <c r="AF16" s="114">
        <v>22.90417857142857</v>
      </c>
      <c r="AG16" s="114">
        <v>22.90417857142857</v>
      </c>
      <c r="AH16" s="44">
        <f t="shared" si="0"/>
        <v>694.83384047619074</v>
      </c>
      <c r="AI16" s="44"/>
      <c r="AJ16" s="26"/>
      <c r="AK16" s="26"/>
    </row>
    <row r="17" spans="2:37" ht="15">
      <c r="B17" s="7" t="s">
        <v>20</v>
      </c>
      <c r="C17" s="114">
        <v>22.071407142857144</v>
      </c>
      <c r="D17" s="114">
        <v>22.071407142857144</v>
      </c>
      <c r="E17" s="114">
        <v>22.071407142857144</v>
      </c>
      <c r="F17" s="114">
        <v>22.071407142857144</v>
      </c>
      <c r="G17" s="114">
        <v>20.777050000000003</v>
      </c>
      <c r="H17" s="114">
        <v>20.777050000000003</v>
      </c>
      <c r="I17" s="114">
        <v>22.071407142857144</v>
      </c>
      <c r="J17" s="114">
        <v>22.071407142857144</v>
      </c>
      <c r="K17" s="114">
        <v>22.071407142857144</v>
      </c>
      <c r="L17" s="114">
        <v>22.071407142857144</v>
      </c>
      <c r="M17" s="114">
        <v>22.071407142857144</v>
      </c>
      <c r="N17" s="114">
        <v>20.777050000000003</v>
      </c>
      <c r="O17" s="114">
        <v>20.777050000000003</v>
      </c>
      <c r="P17" s="114">
        <v>22.071407142857144</v>
      </c>
      <c r="Q17" s="114">
        <v>22.071407142857144</v>
      </c>
      <c r="R17" s="114">
        <v>22.071407142857144</v>
      </c>
      <c r="S17" s="114">
        <v>22.071407142857144</v>
      </c>
      <c r="T17" s="114">
        <v>22.071407142857144</v>
      </c>
      <c r="U17" s="114">
        <v>22.071407142857144</v>
      </c>
      <c r="V17" s="114">
        <v>20.777050000000003</v>
      </c>
      <c r="W17" s="114">
        <v>20.777050000000003</v>
      </c>
      <c r="X17" s="114">
        <v>22.071407142857144</v>
      </c>
      <c r="Y17" s="114">
        <v>22.071407142857144</v>
      </c>
      <c r="Z17" s="114">
        <v>22.071407142857144</v>
      </c>
      <c r="AA17" s="114">
        <v>22.071407142857144</v>
      </c>
      <c r="AB17" s="114">
        <v>22.071407142857144</v>
      </c>
      <c r="AC17" s="114">
        <v>20.777050000000003</v>
      </c>
      <c r="AD17" s="114">
        <v>20.777050000000003</v>
      </c>
      <c r="AE17" s="114">
        <v>22.071407142857144</v>
      </c>
      <c r="AF17" s="114">
        <v>22.071407142857144</v>
      </c>
      <c r="AG17" s="114">
        <v>22.071407142857144</v>
      </c>
      <c r="AH17" s="44">
        <f t="shared" si="0"/>
        <v>673.85876428571476</v>
      </c>
      <c r="AI17" s="44"/>
      <c r="AJ17" s="26"/>
      <c r="AK17" s="26"/>
    </row>
    <row r="18" spans="2:37" ht="15">
      <c r="B18" s="7" t="s">
        <v>21</v>
      </c>
      <c r="C18" s="114">
        <v>22.086678571428571</v>
      </c>
      <c r="D18" s="114">
        <v>22.086678571428571</v>
      </c>
      <c r="E18" s="114">
        <v>22.086678571428571</v>
      </c>
      <c r="F18" s="114">
        <v>22.086678571428571</v>
      </c>
      <c r="G18" s="114">
        <v>20.858316666666667</v>
      </c>
      <c r="H18" s="114">
        <v>20.858316666666667</v>
      </c>
      <c r="I18" s="114">
        <v>22.086678571428571</v>
      </c>
      <c r="J18" s="114">
        <v>22.086678571428571</v>
      </c>
      <c r="K18" s="114">
        <v>22.086678571428571</v>
      </c>
      <c r="L18" s="114">
        <v>22.086678571428571</v>
      </c>
      <c r="M18" s="114">
        <v>22.086678571428571</v>
      </c>
      <c r="N18" s="114">
        <v>20.858316666666667</v>
      </c>
      <c r="O18" s="114">
        <v>20.858316666666667</v>
      </c>
      <c r="P18" s="114">
        <v>22.086678571428571</v>
      </c>
      <c r="Q18" s="114">
        <v>22.086678571428571</v>
      </c>
      <c r="R18" s="114">
        <v>22.086678571428571</v>
      </c>
      <c r="S18" s="114">
        <v>22.086678571428571</v>
      </c>
      <c r="T18" s="114">
        <v>22.086678571428571</v>
      </c>
      <c r="U18" s="114">
        <v>22.086678571428571</v>
      </c>
      <c r="V18" s="114">
        <v>20.858316666666667</v>
      </c>
      <c r="W18" s="114">
        <v>20.858316666666667</v>
      </c>
      <c r="X18" s="114">
        <v>22.086678571428571</v>
      </c>
      <c r="Y18" s="114">
        <v>22.086678571428571</v>
      </c>
      <c r="Z18" s="114">
        <v>22.086678571428571</v>
      </c>
      <c r="AA18" s="114">
        <v>22.086678571428571</v>
      </c>
      <c r="AB18" s="114">
        <v>22.086678571428571</v>
      </c>
      <c r="AC18" s="114">
        <v>20.858316666666667</v>
      </c>
      <c r="AD18" s="114">
        <v>20.858316666666667</v>
      </c>
      <c r="AE18" s="114">
        <v>22.086678571428571</v>
      </c>
      <c r="AF18" s="114">
        <v>22.086678571428571</v>
      </c>
      <c r="AG18" s="114">
        <v>22.086678571428571</v>
      </c>
      <c r="AH18" s="44">
        <f t="shared" si="0"/>
        <v>674.86014047619074</v>
      </c>
      <c r="AI18" s="44"/>
      <c r="AJ18" s="26"/>
      <c r="AK18" s="26"/>
    </row>
    <row r="19" spans="2:37" ht="15">
      <c r="B19" s="7" t="s">
        <v>22</v>
      </c>
      <c r="C19" s="114">
        <v>23.078378571428573</v>
      </c>
      <c r="D19" s="114">
        <v>23.078378571428573</v>
      </c>
      <c r="E19" s="114">
        <v>23.078378571428573</v>
      </c>
      <c r="F19" s="114">
        <v>23.078378571428573</v>
      </c>
      <c r="G19" s="114">
        <v>21.905716666666667</v>
      </c>
      <c r="H19" s="114">
        <v>21.905716666666667</v>
      </c>
      <c r="I19" s="114">
        <v>23.078378571428573</v>
      </c>
      <c r="J19" s="114">
        <v>23.078378571428573</v>
      </c>
      <c r="K19" s="114">
        <v>23.078378571428573</v>
      </c>
      <c r="L19" s="114">
        <v>23.078378571428573</v>
      </c>
      <c r="M19" s="114">
        <v>23.078378571428573</v>
      </c>
      <c r="N19" s="114">
        <v>21.905716666666667</v>
      </c>
      <c r="O19" s="114">
        <v>21.905716666666667</v>
      </c>
      <c r="P19" s="114">
        <v>23.078378571428573</v>
      </c>
      <c r="Q19" s="114">
        <v>23.078378571428573</v>
      </c>
      <c r="R19" s="114">
        <v>23.078378571428573</v>
      </c>
      <c r="S19" s="114">
        <v>23.078378571428573</v>
      </c>
      <c r="T19" s="114">
        <v>23.078378571428573</v>
      </c>
      <c r="U19" s="114">
        <v>23.078378571428573</v>
      </c>
      <c r="V19" s="114">
        <v>21.905716666666667</v>
      </c>
      <c r="W19" s="114">
        <v>21.905716666666667</v>
      </c>
      <c r="X19" s="114">
        <v>23.078378571428573</v>
      </c>
      <c r="Y19" s="114">
        <v>23.078378571428573</v>
      </c>
      <c r="Z19" s="114">
        <v>23.078378571428573</v>
      </c>
      <c r="AA19" s="114">
        <v>23.078378571428573</v>
      </c>
      <c r="AB19" s="114">
        <v>23.078378571428573</v>
      </c>
      <c r="AC19" s="114">
        <v>21.905716666666667</v>
      </c>
      <c r="AD19" s="114">
        <v>21.905716666666667</v>
      </c>
      <c r="AE19" s="114">
        <v>23.078378571428573</v>
      </c>
      <c r="AF19" s="114">
        <v>23.078378571428573</v>
      </c>
      <c r="AG19" s="114">
        <v>23.078378571428573</v>
      </c>
      <c r="AH19" s="44">
        <f t="shared" si="0"/>
        <v>706.04844047619076</v>
      </c>
      <c r="AI19" s="44"/>
      <c r="AJ19" s="26"/>
      <c r="AK19" s="26"/>
    </row>
    <row r="20" spans="2:37" ht="15">
      <c r="B20" s="7" t="s">
        <v>23</v>
      </c>
      <c r="C20" s="114">
        <v>23.443257142857142</v>
      </c>
      <c r="D20" s="114">
        <v>23.443257142857142</v>
      </c>
      <c r="E20" s="114">
        <v>23.443257142857142</v>
      </c>
      <c r="F20" s="114">
        <v>23.443257142857142</v>
      </c>
      <c r="G20" s="114">
        <v>22.690416666666668</v>
      </c>
      <c r="H20" s="114">
        <v>22.690416666666668</v>
      </c>
      <c r="I20" s="114">
        <v>23.443257142857142</v>
      </c>
      <c r="J20" s="114">
        <v>23.443257142857142</v>
      </c>
      <c r="K20" s="114">
        <v>23.443257142857142</v>
      </c>
      <c r="L20" s="114">
        <v>23.443257142857142</v>
      </c>
      <c r="M20" s="114">
        <v>23.443257142857142</v>
      </c>
      <c r="N20" s="114">
        <v>22.690416666666668</v>
      </c>
      <c r="O20" s="114">
        <v>22.690416666666668</v>
      </c>
      <c r="P20" s="114">
        <v>23.443257142857142</v>
      </c>
      <c r="Q20" s="114">
        <v>23.443257142857142</v>
      </c>
      <c r="R20" s="114">
        <v>23.443257142857142</v>
      </c>
      <c r="S20" s="114">
        <v>23.443257142857142</v>
      </c>
      <c r="T20" s="114">
        <v>23.443257142857142</v>
      </c>
      <c r="U20" s="114">
        <v>23.443257142857142</v>
      </c>
      <c r="V20" s="114">
        <v>22.690416666666668</v>
      </c>
      <c r="W20" s="114">
        <v>22.690416666666668</v>
      </c>
      <c r="X20" s="114">
        <v>23.443257142857142</v>
      </c>
      <c r="Y20" s="114">
        <v>23.443257142857142</v>
      </c>
      <c r="Z20" s="114">
        <v>23.443257142857142</v>
      </c>
      <c r="AA20" s="114">
        <v>23.443257142857142</v>
      </c>
      <c r="AB20" s="114">
        <v>23.443257142857142</v>
      </c>
      <c r="AC20" s="114">
        <v>22.690416666666668</v>
      </c>
      <c r="AD20" s="114">
        <v>22.690416666666668</v>
      </c>
      <c r="AE20" s="114">
        <v>23.443257142857142</v>
      </c>
      <c r="AF20" s="114">
        <v>23.443257142857142</v>
      </c>
      <c r="AG20" s="114">
        <v>23.443257142857142</v>
      </c>
      <c r="AH20" s="44">
        <f t="shared" si="0"/>
        <v>720.71824761904804</v>
      </c>
      <c r="AI20" s="44"/>
      <c r="AJ20" s="26"/>
      <c r="AK20" s="26"/>
    </row>
    <row r="21" spans="2:37" ht="15">
      <c r="B21" s="7" t="s">
        <v>24</v>
      </c>
      <c r="C21" s="114">
        <v>23.849550000000004</v>
      </c>
      <c r="D21" s="114">
        <v>23.849550000000004</v>
      </c>
      <c r="E21" s="114">
        <v>23.849550000000004</v>
      </c>
      <c r="F21" s="114">
        <v>23.849550000000004</v>
      </c>
      <c r="G21" s="114">
        <v>23.345816666666668</v>
      </c>
      <c r="H21" s="114">
        <v>23.345816666666668</v>
      </c>
      <c r="I21" s="114">
        <v>23.849550000000004</v>
      </c>
      <c r="J21" s="114">
        <v>23.849550000000004</v>
      </c>
      <c r="K21" s="114">
        <v>23.849550000000004</v>
      </c>
      <c r="L21" s="114">
        <v>23.849550000000004</v>
      </c>
      <c r="M21" s="114">
        <v>23.849550000000004</v>
      </c>
      <c r="N21" s="114">
        <v>23.345816666666668</v>
      </c>
      <c r="O21" s="114">
        <v>23.345816666666668</v>
      </c>
      <c r="P21" s="114">
        <v>23.849550000000004</v>
      </c>
      <c r="Q21" s="114">
        <v>23.849550000000004</v>
      </c>
      <c r="R21" s="114">
        <v>23.849550000000004</v>
      </c>
      <c r="S21" s="114">
        <v>23.849550000000004</v>
      </c>
      <c r="T21" s="114">
        <v>23.849550000000004</v>
      </c>
      <c r="U21" s="114">
        <v>23.849550000000004</v>
      </c>
      <c r="V21" s="114">
        <v>23.345816666666668</v>
      </c>
      <c r="W21" s="114">
        <v>23.345816666666668</v>
      </c>
      <c r="X21" s="114">
        <v>23.849550000000004</v>
      </c>
      <c r="Y21" s="114">
        <v>23.849550000000004</v>
      </c>
      <c r="Z21" s="114">
        <v>23.849550000000004</v>
      </c>
      <c r="AA21" s="114">
        <v>23.849550000000004</v>
      </c>
      <c r="AB21" s="114">
        <v>23.849550000000004</v>
      </c>
      <c r="AC21" s="114">
        <v>23.345816666666668</v>
      </c>
      <c r="AD21" s="114">
        <v>23.345816666666668</v>
      </c>
      <c r="AE21" s="114">
        <v>23.849550000000004</v>
      </c>
      <c r="AF21" s="114">
        <v>23.849550000000004</v>
      </c>
      <c r="AG21" s="114">
        <v>23.849550000000004</v>
      </c>
      <c r="AH21" s="44">
        <f t="shared" si="0"/>
        <v>735.30618333333371</v>
      </c>
      <c r="AI21" s="44"/>
      <c r="AJ21" s="26"/>
      <c r="AK21" s="26"/>
    </row>
    <row r="22" spans="2:37" ht="15">
      <c r="B22" s="7" t="s">
        <v>25</v>
      </c>
      <c r="C22" s="114">
        <v>24.104592857142855</v>
      </c>
      <c r="D22" s="114">
        <v>24.104592857142855</v>
      </c>
      <c r="E22" s="114">
        <v>24.104592857142855</v>
      </c>
      <c r="F22" s="114">
        <v>24.104592857142855</v>
      </c>
      <c r="G22" s="114">
        <v>23.771783333333332</v>
      </c>
      <c r="H22" s="114">
        <v>23.771783333333332</v>
      </c>
      <c r="I22" s="114">
        <v>24.104592857142855</v>
      </c>
      <c r="J22" s="114">
        <v>24.104592857142855</v>
      </c>
      <c r="K22" s="114">
        <v>24.104592857142855</v>
      </c>
      <c r="L22" s="114">
        <v>24.104592857142855</v>
      </c>
      <c r="M22" s="114">
        <v>24.104592857142855</v>
      </c>
      <c r="N22" s="114">
        <v>23.771783333333332</v>
      </c>
      <c r="O22" s="114">
        <v>23.771783333333332</v>
      </c>
      <c r="P22" s="114">
        <v>24.104592857142855</v>
      </c>
      <c r="Q22" s="114">
        <v>24.104592857142855</v>
      </c>
      <c r="R22" s="114">
        <v>24.104592857142855</v>
      </c>
      <c r="S22" s="114">
        <v>24.104592857142855</v>
      </c>
      <c r="T22" s="114">
        <v>24.104592857142855</v>
      </c>
      <c r="U22" s="114">
        <v>24.104592857142855</v>
      </c>
      <c r="V22" s="114">
        <v>23.771783333333332</v>
      </c>
      <c r="W22" s="114">
        <v>23.771783333333332</v>
      </c>
      <c r="X22" s="114">
        <v>24.104592857142855</v>
      </c>
      <c r="Y22" s="114">
        <v>24.104592857142855</v>
      </c>
      <c r="Z22" s="114">
        <v>24.104592857142855</v>
      </c>
      <c r="AA22" s="114">
        <v>24.104592857142855</v>
      </c>
      <c r="AB22" s="114">
        <v>24.104592857142855</v>
      </c>
      <c r="AC22" s="114">
        <v>23.771783333333332</v>
      </c>
      <c r="AD22" s="114">
        <v>23.771783333333332</v>
      </c>
      <c r="AE22" s="114">
        <v>24.104592857142855</v>
      </c>
      <c r="AF22" s="114">
        <v>24.104592857142855</v>
      </c>
      <c r="AG22" s="114">
        <v>24.104592857142855</v>
      </c>
      <c r="AH22" s="44">
        <f t="shared" si="0"/>
        <v>744.57990238095238</v>
      </c>
      <c r="AI22" s="44"/>
      <c r="AJ22" s="26"/>
      <c r="AK22" s="26"/>
    </row>
    <row r="23" spans="2:37" ht="15">
      <c r="B23" s="7" t="s">
        <v>26</v>
      </c>
      <c r="C23" s="114">
        <v>24.047907142857145</v>
      </c>
      <c r="D23" s="114">
        <v>24.047907142857145</v>
      </c>
      <c r="E23" s="114">
        <v>24.047907142857145</v>
      </c>
      <c r="F23" s="114">
        <v>24.047907142857145</v>
      </c>
      <c r="G23" s="114">
        <v>23.514883333333334</v>
      </c>
      <c r="H23" s="114">
        <v>23.514883333333334</v>
      </c>
      <c r="I23" s="114">
        <v>24.047907142857145</v>
      </c>
      <c r="J23" s="114">
        <v>24.047907142857145</v>
      </c>
      <c r="K23" s="114">
        <v>24.047907142857145</v>
      </c>
      <c r="L23" s="114">
        <v>24.047907142857145</v>
      </c>
      <c r="M23" s="114">
        <v>24.047907142857145</v>
      </c>
      <c r="N23" s="114">
        <v>23.514883333333334</v>
      </c>
      <c r="O23" s="114">
        <v>23.514883333333334</v>
      </c>
      <c r="P23" s="114">
        <v>24.047907142857145</v>
      </c>
      <c r="Q23" s="114">
        <v>24.047907142857145</v>
      </c>
      <c r="R23" s="114">
        <v>24.047907142857145</v>
      </c>
      <c r="S23" s="114">
        <v>24.047907142857145</v>
      </c>
      <c r="T23" s="114">
        <v>24.047907142857145</v>
      </c>
      <c r="U23" s="114">
        <v>24.047907142857145</v>
      </c>
      <c r="V23" s="114">
        <v>23.514883333333334</v>
      </c>
      <c r="W23" s="114">
        <v>23.514883333333334</v>
      </c>
      <c r="X23" s="114">
        <v>24.047907142857145</v>
      </c>
      <c r="Y23" s="114">
        <v>24.047907142857145</v>
      </c>
      <c r="Z23" s="114">
        <v>24.047907142857145</v>
      </c>
      <c r="AA23" s="114">
        <v>24.047907142857145</v>
      </c>
      <c r="AB23" s="114">
        <v>24.047907142857145</v>
      </c>
      <c r="AC23" s="114">
        <v>23.514883333333334</v>
      </c>
      <c r="AD23" s="114">
        <v>23.514883333333334</v>
      </c>
      <c r="AE23" s="114">
        <v>24.047907142857145</v>
      </c>
      <c r="AF23" s="114">
        <v>24.047907142857145</v>
      </c>
      <c r="AG23" s="114">
        <v>24.047907142857145</v>
      </c>
      <c r="AH23" s="44">
        <f t="shared" si="0"/>
        <v>741.22093095238131</v>
      </c>
      <c r="AI23" s="44"/>
      <c r="AJ23" s="26"/>
      <c r="AK23" s="26"/>
    </row>
    <row r="24" spans="2:37" ht="15">
      <c r="B24" s="7" t="s">
        <v>27</v>
      </c>
      <c r="C24" s="114">
        <v>22.59355</v>
      </c>
      <c r="D24" s="114">
        <v>22.59355</v>
      </c>
      <c r="E24" s="114">
        <v>22.59355</v>
      </c>
      <c r="F24" s="114">
        <v>22.59355</v>
      </c>
      <c r="G24" s="114">
        <v>22.122483333333335</v>
      </c>
      <c r="H24" s="114">
        <v>22.122483333333335</v>
      </c>
      <c r="I24" s="114">
        <v>22.59355</v>
      </c>
      <c r="J24" s="114">
        <v>22.59355</v>
      </c>
      <c r="K24" s="114">
        <v>22.59355</v>
      </c>
      <c r="L24" s="114">
        <v>22.59355</v>
      </c>
      <c r="M24" s="114">
        <v>22.59355</v>
      </c>
      <c r="N24" s="114">
        <v>22.122483333333335</v>
      </c>
      <c r="O24" s="114">
        <v>22.122483333333335</v>
      </c>
      <c r="P24" s="114">
        <v>22.59355</v>
      </c>
      <c r="Q24" s="114">
        <v>22.59355</v>
      </c>
      <c r="R24" s="114">
        <v>22.59355</v>
      </c>
      <c r="S24" s="114">
        <v>22.59355</v>
      </c>
      <c r="T24" s="114">
        <v>22.59355</v>
      </c>
      <c r="U24" s="114">
        <v>22.59355</v>
      </c>
      <c r="V24" s="114">
        <v>22.122483333333335</v>
      </c>
      <c r="W24" s="114">
        <v>22.122483333333335</v>
      </c>
      <c r="X24" s="114">
        <v>22.59355</v>
      </c>
      <c r="Y24" s="114">
        <v>22.59355</v>
      </c>
      <c r="Z24" s="114">
        <v>22.59355</v>
      </c>
      <c r="AA24" s="114">
        <v>22.59355</v>
      </c>
      <c r="AB24" s="114">
        <v>22.59355</v>
      </c>
      <c r="AC24" s="114">
        <v>22.122483333333335</v>
      </c>
      <c r="AD24" s="114">
        <v>22.122483333333335</v>
      </c>
      <c r="AE24" s="114">
        <v>22.59355</v>
      </c>
      <c r="AF24" s="114">
        <v>22.59355</v>
      </c>
      <c r="AG24" s="114">
        <v>22.59355</v>
      </c>
      <c r="AH24" s="44">
        <f t="shared" si="0"/>
        <v>696.63151666666681</v>
      </c>
      <c r="AI24" s="44"/>
      <c r="AJ24" s="26"/>
      <c r="AK24" s="26"/>
    </row>
    <row r="25" spans="2:37" ht="15">
      <c r="B25" s="7" t="s">
        <v>28</v>
      </c>
      <c r="C25" s="114">
        <v>19.386614285714291</v>
      </c>
      <c r="D25" s="114">
        <v>19.386614285714291</v>
      </c>
      <c r="E25" s="114">
        <v>19.386614285714291</v>
      </c>
      <c r="F25" s="114">
        <v>19.386614285714291</v>
      </c>
      <c r="G25" s="114">
        <v>19.262516666666667</v>
      </c>
      <c r="H25" s="114">
        <v>19.262516666666667</v>
      </c>
      <c r="I25" s="114">
        <v>19.386614285714291</v>
      </c>
      <c r="J25" s="114">
        <v>19.386614285714291</v>
      </c>
      <c r="K25" s="114">
        <v>19.386614285714291</v>
      </c>
      <c r="L25" s="114">
        <v>19.386614285714291</v>
      </c>
      <c r="M25" s="114">
        <v>19.386614285714291</v>
      </c>
      <c r="N25" s="114">
        <v>19.262516666666667</v>
      </c>
      <c r="O25" s="114">
        <v>19.262516666666667</v>
      </c>
      <c r="P25" s="114">
        <v>19.386614285714291</v>
      </c>
      <c r="Q25" s="114">
        <v>19.386614285714291</v>
      </c>
      <c r="R25" s="114">
        <v>19.386614285714291</v>
      </c>
      <c r="S25" s="114">
        <v>19.386614285714291</v>
      </c>
      <c r="T25" s="114">
        <v>19.386614285714291</v>
      </c>
      <c r="U25" s="114">
        <v>19.386614285714291</v>
      </c>
      <c r="V25" s="114">
        <v>19.262516666666667</v>
      </c>
      <c r="W25" s="114">
        <v>19.262516666666667</v>
      </c>
      <c r="X25" s="114">
        <v>19.386614285714291</v>
      </c>
      <c r="Y25" s="114">
        <v>19.386614285714291</v>
      </c>
      <c r="Z25" s="114">
        <v>19.386614285714291</v>
      </c>
      <c r="AA25" s="114">
        <v>19.386614285714291</v>
      </c>
      <c r="AB25" s="114">
        <v>19.386614285714291</v>
      </c>
      <c r="AC25" s="114">
        <v>19.262516666666667</v>
      </c>
      <c r="AD25" s="114">
        <v>19.262516666666667</v>
      </c>
      <c r="AE25" s="114">
        <v>19.386614285714291</v>
      </c>
      <c r="AF25" s="114">
        <v>19.386614285714291</v>
      </c>
      <c r="AG25" s="114">
        <v>19.386614285714291</v>
      </c>
      <c r="AH25" s="44">
        <f t="shared" si="0"/>
        <v>599.99226190476202</v>
      </c>
      <c r="AI25" s="44"/>
      <c r="AJ25" s="26"/>
      <c r="AK25" s="26"/>
    </row>
    <row r="26" spans="2:37" ht="15">
      <c r="B26" s="7" t="s">
        <v>29</v>
      </c>
      <c r="C26" s="114">
        <v>16.962764285714286</v>
      </c>
      <c r="D26" s="114">
        <v>16.962764285714286</v>
      </c>
      <c r="E26" s="114">
        <v>16.962764285714286</v>
      </c>
      <c r="F26" s="114">
        <v>16.962764285714286</v>
      </c>
      <c r="G26" s="114">
        <v>16.701183333333333</v>
      </c>
      <c r="H26" s="114">
        <v>16.701183333333333</v>
      </c>
      <c r="I26" s="114">
        <v>16.962764285714286</v>
      </c>
      <c r="J26" s="114">
        <v>16.962764285714286</v>
      </c>
      <c r="K26" s="114">
        <v>16.962764285714286</v>
      </c>
      <c r="L26" s="114">
        <v>16.962764285714286</v>
      </c>
      <c r="M26" s="114">
        <v>16.962764285714286</v>
      </c>
      <c r="N26" s="114">
        <v>16.701183333333333</v>
      </c>
      <c r="O26" s="114">
        <v>16.701183333333333</v>
      </c>
      <c r="P26" s="114">
        <v>16.962764285714286</v>
      </c>
      <c r="Q26" s="114">
        <v>16.962764285714286</v>
      </c>
      <c r="R26" s="114">
        <v>16.962764285714286</v>
      </c>
      <c r="S26" s="114">
        <v>16.962764285714286</v>
      </c>
      <c r="T26" s="114">
        <v>16.962764285714286</v>
      </c>
      <c r="U26" s="114">
        <v>16.962764285714286</v>
      </c>
      <c r="V26" s="114">
        <v>16.701183333333333</v>
      </c>
      <c r="W26" s="114">
        <v>16.701183333333333</v>
      </c>
      <c r="X26" s="114">
        <v>16.962764285714286</v>
      </c>
      <c r="Y26" s="114">
        <v>16.962764285714286</v>
      </c>
      <c r="Z26" s="114">
        <v>16.962764285714286</v>
      </c>
      <c r="AA26" s="114">
        <v>16.962764285714286</v>
      </c>
      <c r="AB26" s="114">
        <v>16.962764285714286</v>
      </c>
      <c r="AC26" s="114">
        <v>16.701183333333333</v>
      </c>
      <c r="AD26" s="114">
        <v>16.701183333333333</v>
      </c>
      <c r="AE26" s="114">
        <v>16.962764285714286</v>
      </c>
      <c r="AF26" s="114">
        <v>16.962764285714286</v>
      </c>
      <c r="AG26" s="114">
        <v>16.962764285714286</v>
      </c>
      <c r="AH26" s="44">
        <f t="shared" si="0"/>
        <v>523.7530452380953</v>
      </c>
      <c r="AI26" s="44"/>
      <c r="AJ26" s="26"/>
      <c r="AK26" s="26"/>
    </row>
    <row r="27" spans="2:37" ht="15" thickBot="1"/>
    <row r="28" spans="2:37" s="3" customFormat="1" ht="15.75" thickBot="1">
      <c r="B28" s="8" t="s">
        <v>63</v>
      </c>
      <c r="C28" s="9">
        <f>SUM(C3:C26)</f>
        <v>458.39427857142863</v>
      </c>
      <c r="D28" s="10">
        <f t="shared" ref="D28:AG28" si="1">SUM(D3:D26)</f>
        <v>458.39427857142863</v>
      </c>
      <c r="E28" s="10">
        <f t="shared" si="1"/>
        <v>458.39427857142863</v>
      </c>
      <c r="F28" s="10">
        <f t="shared" si="1"/>
        <v>458.39427857142863</v>
      </c>
      <c r="G28" s="10">
        <f t="shared" si="1"/>
        <v>437.19253333333342</v>
      </c>
      <c r="H28" s="10">
        <f t="shared" si="1"/>
        <v>437.19253333333342</v>
      </c>
      <c r="I28" s="10">
        <f t="shared" si="1"/>
        <v>458.39427857142863</v>
      </c>
      <c r="J28" s="10">
        <f t="shared" si="1"/>
        <v>458.39427857142863</v>
      </c>
      <c r="K28" s="10">
        <f t="shared" si="1"/>
        <v>458.39427857142863</v>
      </c>
      <c r="L28" s="10">
        <f t="shared" si="1"/>
        <v>458.39427857142863</v>
      </c>
      <c r="M28" s="10">
        <f t="shared" si="1"/>
        <v>458.39427857142863</v>
      </c>
      <c r="N28" s="10">
        <f t="shared" si="1"/>
        <v>437.19253333333342</v>
      </c>
      <c r="O28" s="10">
        <f t="shared" si="1"/>
        <v>437.19253333333342</v>
      </c>
      <c r="P28" s="10">
        <f t="shared" si="1"/>
        <v>458.39427857142863</v>
      </c>
      <c r="Q28" s="10">
        <f t="shared" si="1"/>
        <v>458.39427857142863</v>
      </c>
      <c r="R28" s="10">
        <f t="shared" si="1"/>
        <v>458.39427857142863</v>
      </c>
      <c r="S28" s="10">
        <f t="shared" si="1"/>
        <v>458.39427857142863</v>
      </c>
      <c r="T28" s="10">
        <f t="shared" si="1"/>
        <v>458.39427857142863</v>
      </c>
      <c r="U28" s="10">
        <f t="shared" si="1"/>
        <v>458.39427857142863</v>
      </c>
      <c r="V28" s="10">
        <f t="shared" si="1"/>
        <v>437.19253333333342</v>
      </c>
      <c r="W28" s="10">
        <f t="shared" si="1"/>
        <v>437.19253333333342</v>
      </c>
      <c r="X28" s="10">
        <f t="shared" si="1"/>
        <v>458.39427857142863</v>
      </c>
      <c r="Y28" s="10">
        <f t="shared" si="1"/>
        <v>458.39427857142863</v>
      </c>
      <c r="Z28" s="10">
        <f t="shared" si="1"/>
        <v>458.39427857142863</v>
      </c>
      <c r="AA28" s="10">
        <f t="shared" si="1"/>
        <v>458.39427857142863</v>
      </c>
      <c r="AB28" s="10">
        <f t="shared" si="1"/>
        <v>458.39427857142863</v>
      </c>
      <c r="AC28" s="10">
        <f t="shared" si="1"/>
        <v>437.19253333333342</v>
      </c>
      <c r="AD28" s="10">
        <f t="shared" si="1"/>
        <v>437.19253333333342</v>
      </c>
      <c r="AE28" s="10">
        <f t="shared" si="1"/>
        <v>458.39427857142863</v>
      </c>
      <c r="AF28" s="10">
        <f t="shared" si="1"/>
        <v>458.39427857142863</v>
      </c>
      <c r="AG28" s="49">
        <f t="shared" si="1"/>
        <v>458.39427857142863</v>
      </c>
      <c r="AH28" s="44">
        <f>SUM(C28:AG28)</f>
        <v>14040.60867380952</v>
      </c>
    </row>
    <row r="29" spans="2:37" s="3" customFormat="1" ht="15.75" thickBot="1"/>
    <row r="30" spans="2:37" s="3" customFormat="1" ht="15.75" thickBot="1">
      <c r="B30" s="8" t="s">
        <v>64</v>
      </c>
      <c r="C30" s="38">
        <f>SUM(C28:AG28)</f>
        <v>14040.60867380952</v>
      </c>
      <c r="D30" s="3" t="s">
        <v>68</v>
      </c>
      <c r="E30" s="35"/>
      <c r="F30" s="46"/>
    </row>
    <row r="31" spans="2:37" s="3" customFormat="1" ht="15.75" thickBot="1">
      <c r="B31" s="141" t="s">
        <v>171</v>
      </c>
      <c r="C31" s="38">
        <f>交易记录!D32+交易记录!D96+交易记录!D160+交易记录!D224+交易记录!D288+交易记录!D352+交易记录!D416+交易记录!D480+交易记录!D544+交易记录!D608+交易记录!D672</f>
        <v>255.05999999999995</v>
      </c>
      <c r="D31" s="3" t="s">
        <v>68</v>
      </c>
      <c r="E31" s="142" t="s">
        <v>173</v>
      </c>
      <c r="F31" s="38">
        <f>C30*0.9</f>
        <v>12636.547806428569</v>
      </c>
      <c r="G31" s="3" t="s">
        <v>68</v>
      </c>
    </row>
    <row r="32" spans="2:37" s="3" customFormat="1" ht="15.75" thickBot="1">
      <c r="B32" s="141" t="s">
        <v>172</v>
      </c>
      <c r="C32" s="38">
        <f>交易记录!D736+交易记录!D800+交易记录!D864+交易记录!D928+C31</f>
        <v>255.05999999999995</v>
      </c>
      <c r="D32" s="3" t="s">
        <v>68</v>
      </c>
      <c r="E32" s="142" t="s">
        <v>173</v>
      </c>
      <c r="F32" s="38">
        <f>C30*0.9</f>
        <v>12636.547806428569</v>
      </c>
      <c r="G32" s="3" t="s">
        <v>68</v>
      </c>
    </row>
    <row r="33" spans="2:33" s="3" customFormat="1" ht="15.75" thickBot="1">
      <c r="B33" s="141" t="s">
        <v>166</v>
      </c>
      <c r="C33" s="38">
        <f>C99</f>
        <v>255.05999999999995</v>
      </c>
      <c r="D33" s="3" t="s">
        <v>68</v>
      </c>
      <c r="E33" s="142" t="s">
        <v>168</v>
      </c>
      <c r="F33" s="38">
        <f>C30*1.2</f>
        <v>16848.730408571424</v>
      </c>
      <c r="G33" s="3" t="s">
        <v>68</v>
      </c>
      <c r="I33" s="35"/>
    </row>
    <row r="34" spans="2:33" s="3" customFormat="1" ht="15.75" thickBot="1">
      <c r="B34" s="141" t="s">
        <v>167</v>
      </c>
      <c r="C34" s="38" cm="1">
        <f t="array" ref="C34">SUM(ABS(交易记录!D5:AH28),ABS(交易记录!D69:AH92),ABS(交易记录!D133:AH156),ABS(交易记录!D197:AH220),ABS(交易记录!D261:AH284),ABS(交易记录!D325:AH348),ABS(交易记录!D389:AH412),ABS(交易记录!D453:AH476),ABS(交易记录!D517:AH540),ABS(交易记录!D581:AH604),ABS(交易记录!D645:AH668),ABS(交易记录!D709:AH732),ABS(交易记录!D773:AH796),ABS(交易记录!D837:AH860),ABS(交易记录!D901:AH924))</f>
        <v>255.05999999999966</v>
      </c>
      <c r="D34" s="3" t="s">
        <v>68</v>
      </c>
      <c r="E34" s="142" t="s">
        <v>168</v>
      </c>
      <c r="F34" s="38">
        <f>C30*1.5</f>
        <v>21060.913010714281</v>
      </c>
      <c r="G34" s="3" t="s">
        <v>68</v>
      </c>
    </row>
    <row r="35" spans="2:33" s="3" customFormat="1" ht="15">
      <c r="B35" s="8"/>
      <c r="C35" s="140"/>
      <c r="E35" s="35"/>
      <c r="F35" s="46"/>
    </row>
    <row r="36" spans="2:33" ht="15.75">
      <c r="B36" s="145" t="s">
        <v>170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7"/>
    </row>
    <row r="37" spans="2:33" ht="15">
      <c r="B37" s="4" t="s">
        <v>31</v>
      </c>
      <c r="C37" s="5" t="s">
        <v>32</v>
      </c>
      <c r="D37" s="6" t="s">
        <v>33</v>
      </c>
      <c r="E37" s="6" t="s">
        <v>34</v>
      </c>
      <c r="F37" s="6" t="s">
        <v>35</v>
      </c>
      <c r="G37" s="6" t="s">
        <v>36</v>
      </c>
      <c r="H37" s="6" t="s">
        <v>37</v>
      </c>
      <c r="I37" s="6" t="s">
        <v>38</v>
      </c>
      <c r="J37" s="6" t="s">
        <v>39</v>
      </c>
      <c r="K37" s="6" t="s">
        <v>40</v>
      </c>
      <c r="L37" s="6" t="s">
        <v>41</v>
      </c>
      <c r="M37" s="6" t="s">
        <v>42</v>
      </c>
      <c r="N37" s="6" t="s">
        <v>43</v>
      </c>
      <c r="O37" s="6" t="s">
        <v>44</v>
      </c>
      <c r="P37" s="6" t="s">
        <v>45</v>
      </c>
      <c r="Q37" s="6" t="s">
        <v>46</v>
      </c>
      <c r="R37" s="6" t="s">
        <v>47</v>
      </c>
      <c r="S37" s="6" t="s">
        <v>48</v>
      </c>
      <c r="T37" s="6" t="s">
        <v>49</v>
      </c>
      <c r="U37" s="6" t="s">
        <v>50</v>
      </c>
      <c r="V37" s="6" t="s">
        <v>51</v>
      </c>
      <c r="W37" s="6" t="s">
        <v>52</v>
      </c>
      <c r="X37" s="6" t="s">
        <v>53</v>
      </c>
      <c r="Y37" s="6" t="s">
        <v>54</v>
      </c>
      <c r="Z37" s="6" t="s">
        <v>55</v>
      </c>
      <c r="AA37" s="6" t="s">
        <v>56</v>
      </c>
      <c r="AB37" s="6" t="s">
        <v>57</v>
      </c>
      <c r="AC37" s="6" t="s">
        <v>58</v>
      </c>
      <c r="AD37" s="6" t="s">
        <v>59</v>
      </c>
      <c r="AE37" s="6" t="s">
        <v>60</v>
      </c>
      <c r="AF37" s="6" t="s">
        <v>61</v>
      </c>
      <c r="AG37" s="6" t="s">
        <v>62</v>
      </c>
    </row>
    <row r="38" spans="2:33" ht="15">
      <c r="B38" s="18" t="s">
        <v>6</v>
      </c>
      <c r="C38" s="67">
        <f>ROUND(C3*1.2-SUM(交易记录!D5,交易记录!D69,交易记录!D133,交易记录!D197,交易记录!D261,交易记录!D325,交易记录!D389,交易记录!D453,交易记录!D517,交易记录!D581,交易记录!D645,交易记录!D709,交易记录!D773,交易记录!D837,交易记录!D901),3)</f>
        <v>19.62</v>
      </c>
      <c r="D38" s="67">
        <f>ROUND(D3*1.2-SUM(交易记录!E5,交易记录!E69,交易记录!E133,交易记录!E197,交易记录!E261,交易记录!E325,交易记录!E389,交易记录!E453,交易记录!E517,交易记录!E581,交易记录!E645,交易记录!E709,交易记录!E773,交易记录!E837,交易记录!E901),3)</f>
        <v>19.59</v>
      </c>
      <c r="E38" s="67">
        <f>ROUND(E3*1.2-SUM(交易记录!F5,交易记录!F69,交易记录!F133,交易记录!F197,交易记录!F261,交易记录!F325,交易记录!F389,交易记录!F453,交易记录!F517,交易记录!F581,交易记录!F645,交易记录!F709,交易记录!F773,交易记录!F837,交易记录!F901),3)</f>
        <v>19.59</v>
      </c>
      <c r="F38" s="67">
        <f>ROUND(F3*1.2-SUM(交易记录!G5,交易记录!G69,交易记录!G133,交易记录!G197,交易记录!G261,交易记录!G325,交易记录!G389,交易记录!G453,交易记录!G517,交易记录!G581,交易记录!G645,交易记录!G709,交易记录!G773,交易记录!G837,交易记录!G901),3)</f>
        <v>19.59</v>
      </c>
      <c r="G38" s="67">
        <f>ROUND(G3*1.2-SUM(交易记录!H5,交易记录!H69,交易记录!H133,交易记录!H197,交易记录!H261,交易记录!H325,交易记录!H389,交易记录!H453,交易记录!H517,交易记录!H581,交易记录!H645,交易记录!H709,交易记录!H773,交易记录!H837,交易记录!H901),3)</f>
        <v>20.216999999999999</v>
      </c>
      <c r="H38" s="67">
        <f>ROUND(H3*1.2-SUM(交易记录!I5,交易记录!I69,交易记录!I133,交易记录!I197,交易记录!I261,交易记录!I325,交易记录!I389,交易记录!I453,交易记录!I517,交易记录!I581,交易记录!I645,交易记录!I709,交易记录!I773,交易记录!I837,交易记录!I901),3)</f>
        <v>20.216999999999999</v>
      </c>
      <c r="I38" s="67">
        <f>ROUND(I3*1.2-SUM(交易记录!J5,交易记录!J69,交易记录!J133,交易记录!J197,交易记录!J261,交易记录!J325,交易记录!J389,交易记录!J453,交易记录!J517,交易记录!J581,交易记录!J645,交易记录!J709,交易记录!J773,交易记录!J837,交易记录!J901),3)</f>
        <v>19.59</v>
      </c>
      <c r="J38" s="67">
        <f>ROUND(J3*1.2-SUM(交易记录!K5,交易记录!K69,交易记录!K133,交易记录!K197,交易记录!K261,交易记录!K325,交易记录!K389,交易记录!K453,交易记录!K517,交易记录!K581,交易记录!K645,交易记录!K709,交易记录!K773,交易记录!K837,交易记录!K901),3)</f>
        <v>19.59</v>
      </c>
      <c r="K38" s="67">
        <f>ROUND(K3*1.2-SUM(交易记录!L5,交易记录!L69,交易记录!L133,交易记录!L197,交易记录!L261,交易记录!L325,交易记录!L389,交易记录!L453,交易记录!L517,交易记录!L581,交易记录!L645,交易记录!L709,交易记录!L773,交易记录!L837,交易记录!L901),3)</f>
        <v>19.59</v>
      </c>
      <c r="L38" s="67">
        <f>ROUND(L3*1.2-SUM(交易记录!M5,交易记录!M69,交易记录!M133,交易记录!M197,交易记录!M261,交易记录!M325,交易记录!M389,交易记录!M453,交易记录!M517,交易记录!M581,交易记录!M645,交易记录!M709,交易记录!M773,交易记录!M837,交易记录!M901),3)</f>
        <v>19.59</v>
      </c>
      <c r="M38" s="67">
        <f>ROUND(M3*1.2-SUM(交易记录!N5,交易记录!N69,交易记录!N133,交易记录!N197,交易记录!N261,交易记录!N325,交易记录!N389,交易记录!N453,交易记录!N517,交易记录!N581,交易记录!N645,交易记录!N709,交易记录!N773,交易记录!N837,交易记录!N901),3)</f>
        <v>19.59</v>
      </c>
      <c r="N38" s="67">
        <f>ROUND(N3*1.2-SUM(交易记录!O5,交易记录!O69,交易记录!O133,交易记录!O197,交易记录!O261,交易记录!O325,交易记录!O389,交易记录!O453,交易记录!O517,交易记录!O581,交易记录!O645,交易记录!O709,交易记录!O773,交易记录!O837,交易记录!O901),3)</f>
        <v>20.216999999999999</v>
      </c>
      <c r="O38" s="67">
        <f>ROUND(O3*1.2-SUM(交易记录!P5,交易记录!P69,交易记录!P133,交易记录!P197,交易记录!P261,交易记录!P325,交易记录!P389,交易记录!P453,交易记录!P517,交易记录!P581,交易记录!P645,交易记录!P709,交易记录!P773,交易记录!P837,交易记录!P901),3)</f>
        <v>20.216999999999999</v>
      </c>
      <c r="P38" s="67">
        <f>ROUND(P3*1.2-SUM(交易记录!Q5,交易记录!Q69,交易记录!Q133,交易记录!Q197,交易记录!Q261,交易记录!Q325,交易记录!Q389,交易记录!Q453,交易记录!Q517,交易记录!Q581,交易记录!Q645,交易记录!Q709,交易记录!Q773,交易记录!Q837,交易记录!Q901),3)</f>
        <v>19.59</v>
      </c>
      <c r="Q38" s="67">
        <f>ROUND(Q3*1.2-SUM(交易记录!R5,交易记录!R69,交易记录!R133,交易记录!R197,交易记录!R261,交易记录!R325,交易记录!R389,交易记录!R453,交易记录!R517,交易记录!R581,交易记录!R645,交易记录!R709,交易记录!R773,交易记录!R837,交易记录!R901),3)</f>
        <v>19.59</v>
      </c>
      <c r="R38" s="67">
        <f>ROUND(R3*1.2-SUM(交易记录!S5,交易记录!S69,交易记录!S133,交易记录!S197,交易记录!S261,交易记录!S325,交易记录!S389,交易记录!S453,交易记录!S517,交易记录!S581,交易记录!S645,交易记录!S709,交易记录!S773,交易记录!S837,交易记录!S901),3)</f>
        <v>19.59</v>
      </c>
      <c r="S38" s="67">
        <f>ROUND(S3*1.2-SUM(交易记录!T5,交易记录!T69,交易记录!T133,交易记录!T197,交易记录!T261,交易记录!T325,交易记录!T389,交易记录!T453,交易记录!T517,交易记录!T581,交易记录!T645,交易记录!T709,交易记录!T773,交易记录!T837,交易记录!T901),3)</f>
        <v>19.59</v>
      </c>
      <c r="T38" s="67">
        <f>ROUND(T3*1.2-SUM(交易记录!U5,交易记录!U69,交易记录!U133,交易记录!U197,交易记录!U261,交易记录!U325,交易记录!U389,交易记录!U453,交易记录!U517,交易记录!U581,交易记录!U645,交易记录!U709,交易记录!U773,交易记录!U837,交易记录!U901),3)</f>
        <v>19.59</v>
      </c>
      <c r="U38" s="67">
        <f>ROUND(U3*1.2-SUM(交易记录!V5,交易记录!V69,交易记录!V133,交易记录!V197,交易记录!V261,交易记录!V325,交易记录!V389,交易记录!V453,交易记录!V517,交易记录!V581,交易记录!V645,交易记录!V709,交易记录!V773,交易记录!V837,交易记录!V901),3)</f>
        <v>19.887</v>
      </c>
      <c r="V38" s="67">
        <f>ROUND(V3*1.2-SUM(交易记录!W5,交易记录!W69,交易记录!W133,交易记录!W197,交易记录!W261,交易记录!W325,交易记录!W389,交易记录!W453,交易记录!W517,交易记录!W581,交易记录!W645,交易记录!W709,交易记录!W773,交易记录!W837,交易记录!W901),3)</f>
        <v>20.216999999999999</v>
      </c>
      <c r="W38" s="67">
        <f>ROUND(W3*1.2-SUM(交易记录!X5,交易记录!X69,交易记录!X133,交易记录!X197,交易记录!X261,交易记录!X325,交易记录!X389,交易记录!X453,交易记录!X517,交易记录!X581,交易记录!X645,交易记录!X709,交易记录!X773,交易记录!X837,交易记录!X901),3)</f>
        <v>19.920000000000002</v>
      </c>
      <c r="X38" s="67">
        <f>ROUND(X3*1.2-SUM(交易记录!Y5,交易记录!Y69,交易记录!Y133,交易记录!Y197,交易记录!Y261,交易记录!Y325,交易记录!Y389,交易记录!Y453,交易记录!Y517,交易记录!Y581,交易记录!Y645,交易记录!Y709,交易记录!Y773,交易记录!Y837,交易记录!Y901),3)</f>
        <v>19.59</v>
      </c>
      <c r="Y38" s="67">
        <f>ROUND(Y3*1.2-SUM(交易记录!Z5,交易记录!Z69,交易记录!Z133,交易记录!Z197,交易记录!Z261,交易记录!Z325,交易记录!Z389,交易记录!Z453,交易记录!Z517,交易记录!Z581,交易记录!Z645,交易记录!Z709,交易记录!Z773,交易记录!Z837,交易记录!Z901),3)</f>
        <v>19.59</v>
      </c>
      <c r="Z38" s="67">
        <f>ROUND(Z3*1.2-SUM(交易记录!AA5,交易记录!AA69,交易记录!AA133,交易记录!AA197,交易记录!AA261,交易记录!AA325,交易记录!AA389,交易记录!AA453,交易记录!AA517,交易记录!AA581,交易记录!AA645,交易记录!AA709,交易记录!AA773,交易记录!AA837,交易记录!AA901),3)</f>
        <v>19.59</v>
      </c>
      <c r="AA38" s="67">
        <f>ROUND(AA3*1.2-SUM(交易记录!AB5,交易记录!AB69,交易记录!AB133,交易记录!AB197,交易记录!AB261,交易记录!AB325,交易记录!AB389,交易记录!AB453,交易记录!AB517,交易记录!AB581,交易记录!AB645,交易记录!AB709,交易记录!AB773,交易记录!AB837,交易记录!AB901),3)</f>
        <v>19.59</v>
      </c>
      <c r="AB38" s="67">
        <f>ROUND(AB3*1.2-SUM(交易记录!AC5,交易记录!AC69,交易记录!AC133,交易记录!AC197,交易记录!AC261,交易记录!AC325,交易记录!AC389,交易记录!AC453,交易记录!AC517,交易记录!AC581,交易记录!AC645,交易记录!AC709,交易记录!AC773,交易记录!AC837,交易记录!AC901),3)</f>
        <v>19.887</v>
      </c>
      <c r="AC38" s="67">
        <f>ROUND(AC3*1.2-SUM(交易记录!AD5,交易记录!AD69,交易记录!AD133,交易记录!AD197,交易记录!AD261,交易记录!AD325,交易记录!AD389,交易记录!AD453,交易记录!AD517,交易记录!AD581,交易记录!AD645,交易记录!AD709,交易记录!AD773,交易记录!AD837,交易记录!AD901),3)</f>
        <v>20.216999999999999</v>
      </c>
      <c r="AD38" s="67">
        <f>ROUND(AD3*1.2-SUM(交易记录!AE5,交易记录!AE69,交易记录!AE133,交易记录!AE197,交易记录!AE261,交易记录!AE325,交易记录!AE389,交易记录!AE453,交易记录!AE517,交易记录!AE581,交易记录!AE645,交易记录!AE709,交易记录!AE773,交易记录!AE837,交易记录!AE901),3)</f>
        <v>19.920000000000002</v>
      </c>
      <c r="AE38" s="67">
        <f>ROUND(AE3*1.2-SUM(交易记录!AF5,交易记录!AF69,交易记录!AF133,交易记录!AF197,交易记录!AF261,交易记录!AF325,交易记录!AF389,交易记录!AF453,交易记录!AF517,交易记录!AF581,交易记录!AF645,交易记录!AF709,交易记录!AF773,交易记录!AF837,交易记录!AF901),3)</f>
        <v>19.59</v>
      </c>
      <c r="AF38" s="67">
        <f>ROUND(AF3*1.2-SUM(交易记录!AG5,交易记录!AG69,交易记录!AG133,交易记录!AG197,交易记录!AG261,交易记录!AG325,交易记录!AG389,交易记录!AG453,交易记录!AG517,交易记录!AG581,交易记录!AG645,交易记录!AG709,交易记录!AG773,交易记录!AG837,交易记录!AG901),3)</f>
        <v>19.59</v>
      </c>
      <c r="AG38" s="67">
        <f>ROUND(AG3*1.2-SUM(交易记录!AH5,交易记录!AH69,交易记录!AH133,交易记录!AH197,交易记录!AH261,交易记录!AH325,交易记录!AH389,交易记录!AH453,交易记录!AH517,交易记录!AH581,交易记录!AH645,交易记录!AH709,交易记录!AH773,交易记录!AH837,交易记录!AH901),3)</f>
        <v>19.59</v>
      </c>
    </row>
    <row r="39" spans="2:33" ht="15">
      <c r="B39" s="7" t="s">
        <v>7</v>
      </c>
      <c r="C39" s="67">
        <f>ROUND(C4*1.2-SUM(交易记录!D6,交易记录!D70,交易记录!D134,交易记录!D198,交易记录!D262,交易记录!D326,交易记录!D390,交易记录!D454,交易记录!D518,交易记录!D582,交易记录!D646,交易记录!D710,交易记录!D774,交易记录!D838,交易记录!D902),3)</f>
        <v>18.62</v>
      </c>
      <c r="D39" s="67">
        <f>ROUND(D4*1.2-SUM(交易记录!E6,交易记录!E70,交易记录!E134,交易记录!E198,交易记录!E262,交易记录!E326,交易记录!E390,交易记录!E454,交易记录!E518,交易记录!E582,交易记录!E646,交易记录!E710,交易记录!E774,交易记录!E838,交易记录!E902),3)</f>
        <v>18.686</v>
      </c>
      <c r="E39" s="67">
        <f>ROUND(E4*1.2-SUM(交易记录!F6,交易记录!F70,交易记录!F134,交易记录!F198,交易记录!F262,交易记录!F326,交易记录!F390,交易记录!F454,交易记录!F518,交易记录!F582,交易记录!F646,交易记录!F710,交易记录!F774,交易记录!F838,交易记录!F902),3)</f>
        <v>18.686</v>
      </c>
      <c r="F39" s="67">
        <f>ROUND(F4*1.2-SUM(交易记录!G6,交易记录!G70,交易记录!G134,交易记录!G198,交易记录!G262,交易记录!G326,交易记录!G390,交易记录!G454,交易记录!G518,交易记录!G582,交易记录!G646,交易记录!G710,交易记录!G774,交易记录!G838,交易记录!G902),3)</f>
        <v>18.686</v>
      </c>
      <c r="G39" s="67">
        <f>ROUND(G4*1.2-SUM(交易记录!H6,交易记录!H70,交易记录!H134,交易记录!H198,交易记录!H262,交易记录!H326,交易记录!H390,交易记录!H454,交易记录!H518,交易记录!H582,交易记录!H646,交易记录!H710,交易记录!H774,交易记录!H838,交易记录!H902),3)</f>
        <v>18.838999999999999</v>
      </c>
      <c r="H39" s="67">
        <f>ROUND(H4*1.2-SUM(交易记录!I6,交易记录!I70,交易记录!I134,交易记录!I198,交易记录!I262,交易记录!I326,交易记录!I390,交易记录!I454,交易记录!I518,交易记录!I582,交易记录!I646,交易记录!I710,交易记录!I774,交易记录!I838,交易记录!I902),3)</f>
        <v>18.838999999999999</v>
      </c>
      <c r="I39" s="67">
        <f>ROUND(I4*1.2-SUM(交易记录!J6,交易记录!J70,交易记录!J134,交易记录!J198,交易记录!J262,交易记录!J326,交易记录!J390,交易记录!J454,交易记录!J518,交易记录!J582,交易记录!J646,交易记录!J710,交易记录!J774,交易记录!J838,交易记录!J902),3)</f>
        <v>18.686</v>
      </c>
      <c r="J39" s="67">
        <f>ROUND(J4*1.2-SUM(交易记录!K6,交易记录!K70,交易记录!K134,交易记录!K198,交易记录!K262,交易记录!K326,交易记录!K390,交易记录!K454,交易记录!K518,交易记录!K582,交易记录!K646,交易记录!K710,交易记录!K774,交易记录!K838,交易记录!K902),3)</f>
        <v>18.686</v>
      </c>
      <c r="K39" s="67">
        <f>ROUND(K4*1.2-SUM(交易记录!L6,交易记录!L70,交易记录!L134,交易记录!L198,交易记录!L262,交易记录!L326,交易记录!L390,交易记录!L454,交易记录!L518,交易记录!L582,交易记录!L646,交易记录!L710,交易记录!L774,交易记录!L838,交易记录!L902),3)</f>
        <v>18.686</v>
      </c>
      <c r="L39" s="67">
        <f>ROUND(L4*1.2-SUM(交易记录!M6,交易记录!M70,交易记录!M134,交易记录!M198,交易记录!M262,交易记录!M326,交易记录!M390,交易记录!M454,交易记录!M518,交易记录!M582,交易记录!M646,交易记录!M710,交易记录!M774,交易记录!M838,交易记录!M902),3)</f>
        <v>18.686</v>
      </c>
      <c r="M39" s="67">
        <f>ROUND(M4*1.2-SUM(交易记录!N6,交易记录!N70,交易记录!N134,交易记录!N198,交易记录!N262,交易记录!N326,交易记录!N390,交易记录!N454,交易记录!N518,交易记录!N582,交易记录!N646,交易记录!N710,交易记录!N774,交易记录!N838,交易记录!N902),3)</f>
        <v>18.686</v>
      </c>
      <c r="N39" s="67">
        <f>ROUND(N4*1.2-SUM(交易记录!O6,交易记录!O70,交易记录!O134,交易记录!O198,交易记录!O262,交易记录!O326,交易记录!O390,交易记录!O454,交易记录!O518,交易记录!O582,交易记录!O646,交易记录!O710,交易记录!O774,交易记录!O838,交易记录!O902),3)</f>
        <v>18.838999999999999</v>
      </c>
      <c r="O39" s="67">
        <f>ROUND(O4*1.2-SUM(交易记录!P6,交易记录!P70,交易记录!P134,交易记录!P198,交易记录!P262,交易记录!P326,交易记录!P390,交易记录!P454,交易记录!P518,交易记录!P582,交易记录!P646,交易记录!P710,交易记录!P774,交易记录!P838,交易记录!P902),3)</f>
        <v>18.838999999999999</v>
      </c>
      <c r="P39" s="67">
        <f>ROUND(P4*1.2-SUM(交易记录!Q6,交易记录!Q70,交易记录!Q134,交易记录!Q198,交易记录!Q262,交易记录!Q326,交易记录!Q390,交易记录!Q454,交易记录!Q518,交易记录!Q582,交易记录!Q646,交易记录!Q710,交易记录!Q774,交易记录!Q838,交易记录!Q902),3)</f>
        <v>18.686</v>
      </c>
      <c r="Q39" s="67">
        <f>ROUND(Q4*1.2-SUM(交易记录!R6,交易记录!R70,交易记录!R134,交易记录!R198,交易记录!R262,交易记录!R326,交易记录!R390,交易记录!R454,交易记录!R518,交易记录!R582,交易记录!R646,交易记录!R710,交易记录!R774,交易记录!R838,交易记录!R902),3)</f>
        <v>18.686</v>
      </c>
      <c r="R39" s="67">
        <f>ROUND(R4*1.2-SUM(交易记录!S6,交易记录!S70,交易记录!S134,交易记录!S198,交易记录!S262,交易记录!S326,交易记录!S390,交易记录!S454,交易记录!S518,交易记录!S582,交易记录!S646,交易记录!S710,交易记录!S774,交易记录!S838,交易记录!S902),3)</f>
        <v>18.686</v>
      </c>
      <c r="S39" s="67">
        <f>ROUND(S4*1.2-SUM(交易记录!T6,交易记录!T70,交易记录!T134,交易记录!T198,交易记录!T262,交易记录!T326,交易记录!T390,交易记录!T454,交易记录!T518,交易记录!T582,交易记录!T646,交易记录!T710,交易记录!T774,交易记录!T838,交易记录!T902),3)</f>
        <v>18.686</v>
      </c>
      <c r="T39" s="67">
        <f>ROUND(T4*1.2-SUM(交易记录!U6,交易记录!U70,交易记录!U134,交易记录!U198,交易记录!U262,交易记录!U326,交易记录!U390,交易记录!U454,交易记录!U518,交易记录!U582,交易记录!U646,交易记录!U710,交易记录!U774,交易记录!U838,交易记录!U902),3)</f>
        <v>18.686</v>
      </c>
      <c r="U39" s="67">
        <f>ROUND(U4*1.2-SUM(交易记录!V6,交易记录!V70,交易记录!V134,交易记录!V198,交易记录!V262,交易记录!V326,交易记录!V390,交易记录!V454,交易记录!V518,交易记录!V582,交易记录!V646,交易记录!V710,交易记录!V774,交易记录!V838,交易记录!V902),3)</f>
        <v>18.856000000000002</v>
      </c>
      <c r="V39" s="67">
        <f>ROUND(V4*1.2-SUM(交易记录!W6,交易记录!W70,交易记录!W134,交易记录!W198,交易记录!W262,交易记录!W326,交易记录!W390,交易记录!W454,交易记录!W518,交易记录!W582,交易记录!W646,交易记录!W710,交易记录!W774,交易记录!W838,交易记录!W902),3)</f>
        <v>18.838999999999999</v>
      </c>
      <c r="W39" s="67">
        <f>ROUND(W4*1.2-SUM(交易记录!X6,交易记录!X70,交易记录!X134,交易记录!X198,交易记录!X262,交易记录!X326,交易记录!X390,交易记录!X454,交易记录!X518,交易记录!X582,交易记录!X646,交易记录!X710,交易记录!X774,交易记录!X838,交易记录!X902),3)</f>
        <v>18.669</v>
      </c>
      <c r="X39" s="67">
        <f>ROUND(X4*1.2-SUM(交易记录!Y6,交易记录!Y70,交易记录!Y134,交易记录!Y198,交易记录!Y262,交易记录!Y326,交易记录!Y390,交易记录!Y454,交易记录!Y518,交易记录!Y582,交易记录!Y646,交易记录!Y710,交易记录!Y774,交易记录!Y838,交易记录!Y902),3)</f>
        <v>18.686</v>
      </c>
      <c r="Y39" s="67">
        <f>ROUND(Y4*1.2-SUM(交易记录!Z6,交易记录!Z70,交易记录!Z134,交易记录!Z198,交易记录!Z262,交易记录!Z326,交易记录!Z390,交易记录!Z454,交易记录!Z518,交易记录!Z582,交易记录!Z646,交易记录!Z710,交易记录!Z774,交易记录!Z838,交易记录!Z902),3)</f>
        <v>18.686</v>
      </c>
      <c r="Z39" s="67">
        <f>ROUND(Z4*1.2-SUM(交易记录!AA6,交易记录!AA70,交易记录!AA134,交易记录!AA198,交易记录!AA262,交易记录!AA326,交易记录!AA390,交易记录!AA454,交易记录!AA518,交易记录!AA582,交易记录!AA646,交易记录!AA710,交易记录!AA774,交易记录!AA838,交易记录!AA902),3)</f>
        <v>18.686</v>
      </c>
      <c r="AA39" s="67">
        <f>ROUND(AA4*1.2-SUM(交易记录!AB6,交易记录!AB70,交易记录!AB134,交易记录!AB198,交易记录!AB262,交易记录!AB326,交易记录!AB390,交易记录!AB454,交易记录!AB518,交易记录!AB582,交易记录!AB646,交易记录!AB710,交易记录!AB774,交易记录!AB838,交易记录!AB902),3)</f>
        <v>18.686</v>
      </c>
      <c r="AB39" s="67">
        <f>ROUND(AB4*1.2-SUM(交易记录!AC6,交易记录!AC70,交易记录!AC134,交易记录!AC198,交易记录!AC262,交易记录!AC326,交易记录!AC390,交易记录!AC454,交易记录!AC518,交易记录!AC582,交易记录!AC646,交易记录!AC710,交易记录!AC774,交易记录!AC838,交易记录!AC902),3)</f>
        <v>18.856000000000002</v>
      </c>
      <c r="AC39" s="67">
        <f>ROUND(AC4*1.2-SUM(交易记录!AD6,交易记录!AD70,交易记录!AD134,交易记录!AD198,交易记录!AD262,交易记录!AD326,交易记录!AD390,交易记录!AD454,交易记录!AD518,交易记录!AD582,交易记录!AD646,交易记录!AD710,交易记录!AD774,交易记录!AD838,交易记录!AD902),3)</f>
        <v>18.838999999999999</v>
      </c>
      <c r="AD39" s="67">
        <f>ROUND(AD4*1.2-SUM(交易记录!AE6,交易记录!AE70,交易记录!AE134,交易记录!AE198,交易记录!AE262,交易记录!AE326,交易记录!AE390,交易记录!AE454,交易记录!AE518,交易记录!AE582,交易记录!AE646,交易记录!AE710,交易记录!AE774,交易记录!AE838,交易记录!AE902),3)</f>
        <v>18.669</v>
      </c>
      <c r="AE39" s="67">
        <f>ROUND(AE4*1.2-SUM(交易记录!AF6,交易记录!AF70,交易记录!AF134,交易记录!AF198,交易记录!AF262,交易记录!AF326,交易记录!AF390,交易记录!AF454,交易记录!AF518,交易记录!AF582,交易记录!AF646,交易记录!AF710,交易记录!AF774,交易记录!AF838,交易记录!AF902),3)</f>
        <v>18.686</v>
      </c>
      <c r="AF39" s="67">
        <f>ROUND(AF4*1.2-SUM(交易记录!AG6,交易记录!AG70,交易记录!AG134,交易记录!AG198,交易记录!AG262,交易记录!AG326,交易记录!AG390,交易记录!AG454,交易记录!AG518,交易记录!AG582,交易记录!AG646,交易记录!AG710,交易记录!AG774,交易记录!AG838,交易记录!AG902),3)</f>
        <v>18.686</v>
      </c>
      <c r="AG39" s="67">
        <f>ROUND(AG4*1.2-SUM(交易记录!AH6,交易记录!AH70,交易记录!AH134,交易记录!AH198,交易记录!AH262,交易记录!AH326,交易记录!AH390,交易记录!AH454,交易记录!AH518,交易记录!AH582,交易记录!AH646,交易记录!AH710,交易记录!AH774,交易记录!AH838,交易记录!AH902),3)</f>
        <v>18.686</v>
      </c>
    </row>
    <row r="40" spans="2:33" ht="15">
      <c r="B40" s="7" t="s">
        <v>8</v>
      </c>
      <c r="C40" s="67">
        <f>ROUND(C5*1.2-SUM(交易记录!D7,交易记录!D71,交易记录!D135,交易记录!D199,交易记录!D263,交易记录!D327,交易记录!D391,交易记录!D455,交易记录!D519,交易记录!D583,交易记录!D647,交易记录!D711,交易记录!D775,交易记录!D839,交易记录!D903),3)</f>
        <v>17.547999999999998</v>
      </c>
      <c r="D40" s="67">
        <f>ROUND(D5*1.2-SUM(交易记录!E7,交易记录!E71,交易记录!E135,交易记录!E199,交易记录!E263,交易记录!E327,交易记录!E391,交易记录!E455,交易记录!E519,交易记录!E583,交易记录!E647,交易记录!E711,交易记录!E775,交易记录!E839,交易记录!E903),3)</f>
        <v>17.544</v>
      </c>
      <c r="E40" s="67">
        <f>ROUND(E5*1.2-SUM(交易记录!F7,交易记录!F71,交易记录!F135,交易记录!F199,交易记录!F263,交易记录!F327,交易记录!F391,交易记录!F455,交易记录!F519,交易记录!F583,交易记录!F647,交易记录!F711,交易记录!F775,交易记录!F839,交易记录!F903),3)</f>
        <v>17.544</v>
      </c>
      <c r="F40" s="67">
        <f>ROUND(F5*1.2-SUM(交易记录!G7,交易记录!G71,交易记录!G135,交易记录!G199,交易记录!G263,交易记录!G327,交易记录!G391,交易记录!G455,交易记录!G519,交易记录!G583,交易记录!G647,交易记录!G711,交易记录!G775,交易记录!G839,交易记录!G903),3)</f>
        <v>17.544</v>
      </c>
      <c r="G40" s="67">
        <f>ROUND(G5*1.2-SUM(交易记录!H7,交易记录!H71,交易记录!H135,交易记录!H199,交易记录!H263,交易记录!H327,交易记录!H391,交易记录!H455,交易记录!H519,交易记录!H583,交易记录!H647,交易记录!H711,交易记录!H775,交易记录!H839,交易记录!H903),3)</f>
        <v>17.689</v>
      </c>
      <c r="H40" s="67">
        <f>ROUND(H5*1.2-SUM(交易记录!I7,交易记录!I71,交易记录!I135,交易记录!I199,交易记录!I263,交易记录!I327,交易记录!I391,交易记录!I455,交易记录!I519,交易记录!I583,交易记录!I647,交易记录!I711,交易记录!I775,交易记录!I839,交易记录!I903),3)</f>
        <v>17.689</v>
      </c>
      <c r="I40" s="67">
        <f>ROUND(I5*1.2-SUM(交易记录!J7,交易记录!J71,交易记录!J135,交易记录!J199,交易记录!J263,交易记录!J327,交易记录!J391,交易记录!J455,交易记录!J519,交易记录!J583,交易记录!J647,交易记录!J711,交易记录!J775,交易记录!J839,交易记录!J903),3)</f>
        <v>17.544</v>
      </c>
      <c r="J40" s="67">
        <f>ROUND(J5*1.2-SUM(交易记录!K7,交易记录!K71,交易记录!K135,交易记录!K199,交易记录!K263,交易记录!K327,交易记录!K391,交易记录!K455,交易记录!K519,交易记录!K583,交易记录!K647,交易记录!K711,交易记录!K775,交易记录!K839,交易记录!K903),3)</f>
        <v>17.544</v>
      </c>
      <c r="K40" s="67">
        <f>ROUND(K5*1.2-SUM(交易记录!L7,交易记录!L71,交易记录!L135,交易记录!L199,交易记录!L263,交易记录!L327,交易记录!L391,交易记录!L455,交易记录!L519,交易记录!L583,交易记录!L647,交易记录!L711,交易记录!L775,交易记录!L839,交易记录!L903),3)</f>
        <v>17.544</v>
      </c>
      <c r="L40" s="67">
        <f>ROUND(L5*1.2-SUM(交易记录!M7,交易记录!M71,交易记录!M135,交易记录!M199,交易记录!M263,交易记录!M327,交易记录!M391,交易记录!M455,交易记录!M519,交易记录!M583,交易记录!M647,交易记录!M711,交易记录!M775,交易记录!M839,交易记录!M903),3)</f>
        <v>17.544</v>
      </c>
      <c r="M40" s="67">
        <f>ROUND(M5*1.2-SUM(交易记录!N7,交易记录!N71,交易记录!N135,交易记录!N199,交易记录!N263,交易记录!N327,交易记录!N391,交易记录!N455,交易记录!N519,交易记录!N583,交易记录!N647,交易记录!N711,交易记录!N775,交易记录!N839,交易记录!N903),3)</f>
        <v>17.544</v>
      </c>
      <c r="N40" s="67">
        <f>ROUND(N5*1.2-SUM(交易记录!O7,交易记录!O71,交易记录!O135,交易记录!O199,交易记录!O263,交易记录!O327,交易记录!O391,交易记录!O455,交易记录!O519,交易记录!O583,交易记录!O647,交易记录!O711,交易记录!O775,交易记录!O839,交易记录!O903),3)</f>
        <v>17.689</v>
      </c>
      <c r="O40" s="67">
        <f>ROUND(O5*1.2-SUM(交易记录!P7,交易记录!P71,交易记录!P135,交易记录!P199,交易记录!P263,交易记录!P327,交易记录!P391,交易记录!P455,交易记录!P519,交易记录!P583,交易记录!P647,交易记录!P711,交易记录!P775,交易记录!P839,交易记录!P903),3)</f>
        <v>17.689</v>
      </c>
      <c r="P40" s="67">
        <f>ROUND(P5*1.2-SUM(交易记录!Q7,交易记录!Q71,交易记录!Q135,交易记录!Q199,交易记录!Q263,交易记录!Q327,交易记录!Q391,交易记录!Q455,交易记录!Q519,交易记录!Q583,交易记录!Q647,交易记录!Q711,交易记录!Q775,交易记录!Q839,交易记录!Q903),3)</f>
        <v>17.544</v>
      </c>
      <c r="Q40" s="67">
        <f>ROUND(Q5*1.2-SUM(交易记录!R7,交易记录!R71,交易记录!R135,交易记录!R199,交易记录!R263,交易记录!R327,交易记录!R391,交易记录!R455,交易记录!R519,交易记录!R583,交易记录!R647,交易记录!R711,交易记录!R775,交易记录!R839,交易记录!R903),3)</f>
        <v>17.544</v>
      </c>
      <c r="R40" s="67">
        <f>ROUND(R5*1.2-SUM(交易记录!S7,交易记录!S71,交易记录!S135,交易记录!S199,交易记录!S263,交易记录!S327,交易记录!S391,交易记录!S455,交易记录!S519,交易记录!S583,交易记录!S647,交易记录!S711,交易记录!S775,交易记录!S839,交易记录!S903),3)</f>
        <v>17.544</v>
      </c>
      <c r="S40" s="67">
        <f>ROUND(S5*1.2-SUM(交易记录!T7,交易记录!T71,交易记录!T135,交易记录!T199,交易记录!T263,交易记录!T327,交易记录!T391,交易记录!T455,交易记录!T519,交易记录!T583,交易记录!T647,交易记录!T711,交易记录!T775,交易记录!T839,交易记录!T903),3)</f>
        <v>17.544</v>
      </c>
      <c r="T40" s="67">
        <f>ROUND(T5*1.2-SUM(交易记录!U7,交易记录!U71,交易记录!U135,交易记录!U199,交易记录!U263,交易记录!U327,交易记录!U391,交易记录!U455,交易记录!U519,交易记录!U583,交易记录!U647,交易记录!U711,交易记录!U775,交易记录!U839,交易记录!U903),3)</f>
        <v>17.544</v>
      </c>
      <c r="U40" s="67">
        <f>ROUND(U5*1.2-SUM(交易记录!V7,交易记录!V71,交易记录!V135,交易记录!V199,交易记录!V263,交易记录!V327,交易记录!V391,交易记录!V455,交易记录!V519,交易记录!V583,交易记录!V647,交易记录!V711,交易记录!V775,交易记录!V839,交易记录!V903),3)</f>
        <v>17.7</v>
      </c>
      <c r="V40" s="67">
        <f>ROUND(V5*1.2-SUM(交易记录!W7,交易记录!W71,交易记录!W135,交易记录!W199,交易记录!W263,交易记录!W327,交易记录!W391,交易记录!W455,交易记录!W519,交易记录!W583,交易记录!W647,交易记录!W711,交易记录!W775,交易记录!W839,交易记录!W903),3)</f>
        <v>17.689</v>
      </c>
      <c r="W40" s="67">
        <f>ROUND(W5*1.2-SUM(交易记录!X7,交易记录!X71,交易记录!X135,交易记录!X199,交易记录!X263,交易记录!X327,交易记录!X391,交易记录!X455,交易记录!X519,交易记录!X583,交易记录!X647,交易记录!X711,交易记录!X775,交易记录!X839,交易记录!X903),3)</f>
        <v>17.533000000000001</v>
      </c>
      <c r="X40" s="67">
        <f>ROUND(X5*1.2-SUM(交易记录!Y7,交易记录!Y71,交易记录!Y135,交易记录!Y199,交易记录!Y263,交易记录!Y327,交易记录!Y391,交易记录!Y455,交易记录!Y519,交易记录!Y583,交易记录!Y647,交易记录!Y711,交易记录!Y775,交易记录!Y839,交易记录!Y903),3)</f>
        <v>17.544</v>
      </c>
      <c r="Y40" s="67">
        <f>ROUND(Y5*1.2-SUM(交易记录!Z7,交易记录!Z71,交易记录!Z135,交易记录!Z199,交易记录!Z263,交易记录!Z327,交易记录!Z391,交易记录!Z455,交易记录!Z519,交易记录!Z583,交易记录!Z647,交易记录!Z711,交易记录!Z775,交易记录!Z839,交易记录!Z903),3)</f>
        <v>17.544</v>
      </c>
      <c r="Z40" s="67">
        <f>ROUND(Z5*1.2-SUM(交易记录!AA7,交易记录!AA71,交易记录!AA135,交易记录!AA199,交易记录!AA263,交易记录!AA327,交易记录!AA391,交易记录!AA455,交易记录!AA519,交易记录!AA583,交易记录!AA647,交易记录!AA711,交易记录!AA775,交易记录!AA839,交易记录!AA903),3)</f>
        <v>17.544</v>
      </c>
      <c r="AA40" s="67">
        <f>ROUND(AA5*1.2-SUM(交易记录!AB7,交易记录!AB71,交易记录!AB135,交易记录!AB199,交易记录!AB263,交易记录!AB327,交易记录!AB391,交易记录!AB455,交易记录!AB519,交易记录!AB583,交易记录!AB647,交易记录!AB711,交易记录!AB775,交易记录!AB839,交易记录!AB903),3)</f>
        <v>17.544</v>
      </c>
      <c r="AB40" s="67">
        <f>ROUND(AB5*1.2-SUM(交易记录!AC7,交易记录!AC71,交易记录!AC135,交易记录!AC199,交易记录!AC263,交易记录!AC327,交易记录!AC391,交易记录!AC455,交易记录!AC519,交易记录!AC583,交易记录!AC647,交易记录!AC711,交易记录!AC775,交易记录!AC839,交易记录!AC903),3)</f>
        <v>17.7</v>
      </c>
      <c r="AC40" s="67">
        <f>ROUND(AC5*1.2-SUM(交易记录!AD7,交易记录!AD71,交易记录!AD135,交易记录!AD199,交易记录!AD263,交易记录!AD327,交易记录!AD391,交易记录!AD455,交易记录!AD519,交易记录!AD583,交易记录!AD647,交易记录!AD711,交易记录!AD775,交易记录!AD839,交易记录!AD903),3)</f>
        <v>17.689</v>
      </c>
      <c r="AD40" s="67">
        <f>ROUND(AD5*1.2-SUM(交易记录!AE7,交易记录!AE71,交易记录!AE135,交易记录!AE199,交易记录!AE263,交易记录!AE327,交易记录!AE391,交易记录!AE455,交易记录!AE519,交易记录!AE583,交易记录!AE647,交易记录!AE711,交易记录!AE775,交易记录!AE839,交易记录!AE903),3)</f>
        <v>17.533000000000001</v>
      </c>
      <c r="AE40" s="67">
        <f>ROUND(AE5*1.2-SUM(交易记录!AF7,交易记录!AF71,交易记录!AF135,交易记录!AF199,交易记录!AF263,交易记录!AF327,交易记录!AF391,交易记录!AF455,交易记录!AF519,交易记录!AF583,交易记录!AF647,交易记录!AF711,交易记录!AF775,交易记录!AF839,交易记录!AF903),3)</f>
        <v>17.544</v>
      </c>
      <c r="AF40" s="67">
        <f>ROUND(AF5*1.2-SUM(交易记录!AG7,交易记录!AG71,交易记录!AG135,交易记录!AG199,交易记录!AG263,交易记录!AG327,交易记录!AG391,交易记录!AG455,交易记录!AG519,交易记录!AG583,交易记录!AG647,交易记录!AG711,交易记录!AG775,交易记录!AG839,交易记录!AG903),3)</f>
        <v>17.544</v>
      </c>
      <c r="AG40" s="67">
        <f>ROUND(AG5*1.2-SUM(交易记录!AH7,交易记录!AH71,交易记录!AH135,交易记录!AH199,交易记录!AH263,交易记录!AH327,交易记录!AH391,交易记录!AH455,交易记录!AH519,交易记录!AH583,交易记录!AH647,交易记录!AH711,交易记录!AH775,交易记录!AH839,交易记录!AH903),3)</f>
        <v>17.544</v>
      </c>
    </row>
    <row r="41" spans="2:33" ht="15">
      <c r="B41" s="7" t="s">
        <v>9</v>
      </c>
      <c r="C41" s="67">
        <f>ROUND(C6*1.2-SUM(交易记录!D8,交易记录!D72,交易记录!D136,交易记录!D200,交易记录!D264,交易记录!D328,交易记录!D392,交易记录!D456,交易记录!D520,交易记录!D584,交易记录!D648,交易记录!D712,交易记录!D776,交易记录!D840,交易记录!D904),3)</f>
        <v>16.408999999999999</v>
      </c>
      <c r="D41" s="67">
        <f>ROUND(D6*1.2-SUM(交易记录!E8,交易记录!E72,交易记录!E136,交易记录!E200,交易记录!E264,交易记录!E328,交易记录!E392,交易记录!E456,交易记录!E520,交易记录!E584,交易记录!E648,交易记录!E712,交易记录!E776,交易记录!E840,交易记录!E904),3)</f>
        <v>16.489999999999998</v>
      </c>
      <c r="E41" s="67">
        <f>ROUND(E6*1.2-SUM(交易记录!F8,交易记录!F72,交易记录!F136,交易记录!F200,交易记录!F264,交易记录!F328,交易记录!F392,交易记录!F456,交易记录!F520,交易记录!F584,交易记录!F648,交易记录!F712,交易记录!F776,交易记录!F840,交易记录!F904),3)</f>
        <v>16.489999999999998</v>
      </c>
      <c r="F41" s="67">
        <f>ROUND(F6*1.2-SUM(交易记录!G8,交易记录!G72,交易记录!G136,交易记录!G200,交易记录!G264,交易记录!G328,交易记录!G392,交易记录!G456,交易记录!G520,交易记录!G584,交易记录!G648,交易记录!G712,交易记录!G776,交易记录!G840,交易记录!G904),3)</f>
        <v>16.489999999999998</v>
      </c>
      <c r="G41" s="67">
        <f>ROUND(G6*1.2-SUM(交易记录!H8,交易记录!H72,交易记录!H136,交易记录!H200,交易记录!H264,交易记录!H328,交易记录!H392,交易记录!H456,交易记录!H520,交易记录!H584,交易记录!H648,交易记录!H712,交易记录!H776,交易记录!H840,交易记录!H904),3)</f>
        <v>16.526</v>
      </c>
      <c r="H41" s="67">
        <f>ROUND(H6*1.2-SUM(交易记录!I8,交易记录!I72,交易记录!I136,交易记录!I200,交易记录!I264,交易记录!I328,交易记录!I392,交易记录!I456,交易记录!I520,交易记录!I584,交易记录!I648,交易记录!I712,交易记录!I776,交易记录!I840,交易记录!I904),3)</f>
        <v>16.526</v>
      </c>
      <c r="I41" s="67">
        <f>ROUND(I6*1.2-SUM(交易记录!J8,交易记录!J72,交易记录!J136,交易记录!J200,交易记录!J264,交易记录!J328,交易记录!J392,交易记录!J456,交易记录!J520,交易记录!J584,交易记录!J648,交易记录!J712,交易记录!J776,交易记录!J840,交易记录!J904),3)</f>
        <v>16.489999999999998</v>
      </c>
      <c r="J41" s="67">
        <f>ROUND(J6*1.2-SUM(交易记录!K8,交易记录!K72,交易记录!K136,交易记录!K200,交易记录!K264,交易记录!K328,交易记录!K392,交易记录!K456,交易记录!K520,交易记录!K584,交易记录!K648,交易记录!K712,交易记录!K776,交易记录!K840,交易记录!K904),3)</f>
        <v>16.489999999999998</v>
      </c>
      <c r="K41" s="67">
        <f>ROUND(K6*1.2-SUM(交易记录!L8,交易记录!L72,交易记录!L136,交易记录!L200,交易记录!L264,交易记录!L328,交易记录!L392,交易记录!L456,交易记录!L520,交易记录!L584,交易记录!L648,交易记录!L712,交易记录!L776,交易记录!L840,交易记录!L904),3)</f>
        <v>16.489999999999998</v>
      </c>
      <c r="L41" s="67">
        <f>ROUND(L6*1.2-SUM(交易记录!M8,交易记录!M72,交易记录!M136,交易记录!M200,交易记录!M264,交易记录!M328,交易记录!M392,交易记录!M456,交易记录!M520,交易记录!M584,交易记录!M648,交易记录!M712,交易记录!M776,交易记录!M840,交易记录!M904),3)</f>
        <v>16.489999999999998</v>
      </c>
      <c r="M41" s="67">
        <f>ROUND(M6*1.2-SUM(交易记录!N8,交易记录!N72,交易记录!N136,交易记录!N200,交易记录!N264,交易记录!N328,交易记录!N392,交易记录!N456,交易记录!N520,交易记录!N584,交易记录!N648,交易记录!N712,交易记录!N776,交易记录!N840,交易记录!N904),3)</f>
        <v>16.489999999999998</v>
      </c>
      <c r="N41" s="67">
        <f>ROUND(N6*1.2-SUM(交易记录!O8,交易记录!O72,交易记录!O136,交易记录!O200,交易记录!O264,交易记录!O328,交易记录!O392,交易记录!O456,交易记录!O520,交易记录!O584,交易记录!O648,交易记录!O712,交易记录!O776,交易记录!O840,交易记录!O904),3)</f>
        <v>16.526</v>
      </c>
      <c r="O41" s="67">
        <f>ROUND(O6*1.2-SUM(交易记录!P8,交易记录!P72,交易记录!P136,交易记录!P200,交易记录!P264,交易记录!P328,交易记录!P392,交易记录!P456,交易记录!P520,交易记录!P584,交易记录!P648,交易记录!P712,交易记录!P776,交易记录!P840,交易记录!P904),3)</f>
        <v>16.526</v>
      </c>
      <c r="P41" s="67">
        <f>ROUND(P6*1.2-SUM(交易记录!Q8,交易记录!Q72,交易记录!Q136,交易记录!Q200,交易记录!Q264,交易记录!Q328,交易记录!Q392,交易记录!Q456,交易记录!Q520,交易记录!Q584,交易记录!Q648,交易记录!Q712,交易记录!Q776,交易记录!Q840,交易记录!Q904),3)</f>
        <v>16.489999999999998</v>
      </c>
      <c r="Q41" s="67">
        <f>ROUND(Q6*1.2-SUM(交易记录!R8,交易记录!R72,交易记录!R136,交易记录!R200,交易记录!R264,交易记录!R328,交易记录!R392,交易记录!R456,交易记录!R520,交易记录!R584,交易记录!R648,交易记录!R712,交易记录!R776,交易记录!R840,交易记录!R904),3)</f>
        <v>16.489999999999998</v>
      </c>
      <c r="R41" s="67">
        <f>ROUND(R6*1.2-SUM(交易记录!S8,交易记录!S72,交易记录!S136,交易记录!S200,交易记录!S264,交易记录!S328,交易记录!S392,交易记录!S456,交易记录!S520,交易记录!S584,交易记录!S648,交易记录!S712,交易记录!S776,交易记录!S840,交易记录!S904),3)</f>
        <v>16.489999999999998</v>
      </c>
      <c r="S41" s="67">
        <f>ROUND(S6*1.2-SUM(交易记录!T8,交易记录!T72,交易记录!T136,交易记录!T200,交易记录!T264,交易记录!T328,交易记录!T392,交易记录!T456,交易记录!T520,交易记录!T584,交易记录!T648,交易记录!T712,交易记录!T776,交易记录!T840,交易记录!T904),3)</f>
        <v>16.489999999999998</v>
      </c>
      <c r="T41" s="67">
        <f>ROUND(T6*1.2-SUM(交易记录!U8,交易记录!U72,交易记录!U136,交易记录!U200,交易记录!U264,交易记录!U328,交易记录!U392,交易记录!U456,交易记录!U520,交易记录!U584,交易记录!U648,交易记录!U712,交易记录!U776,交易记录!U840,交易记录!U904),3)</f>
        <v>16.489999999999998</v>
      </c>
      <c r="U41" s="67">
        <f>ROUND(U6*1.2-SUM(交易记录!V8,交易记录!V72,交易记录!V136,交易记录!V200,交易记录!V264,交易记录!V328,交易记录!V392,交易记录!V456,交易记录!V520,交易记录!V584,交易记录!V648,交易记录!V712,交易记录!V776,交易记录!V840,交易记录!V904),3)</f>
        <v>16.503</v>
      </c>
      <c r="V41" s="67">
        <f>ROUND(V6*1.2-SUM(交易记录!W8,交易记录!W72,交易记录!W136,交易记录!W200,交易记录!W264,交易记录!W328,交易记录!W392,交易记录!W456,交易记录!W520,交易记录!W584,交易记录!W648,交易记录!W712,交易记录!W776,交易记录!W840,交易记录!W904),3)</f>
        <v>16.526</v>
      </c>
      <c r="W41" s="67">
        <f>ROUND(W6*1.2-SUM(交易记录!X8,交易记录!X72,交易记录!X136,交易记录!X200,交易记录!X264,交易记录!X328,交易记录!X392,交易记录!X456,交易记录!X520,交易记录!X584,交易记录!X648,交易记录!X712,交易记录!X776,交易记录!X840,交易记录!X904),3)</f>
        <v>16.513000000000002</v>
      </c>
      <c r="X41" s="67">
        <f>ROUND(X6*1.2-SUM(交易记录!Y8,交易记录!Y72,交易记录!Y136,交易记录!Y200,交易记录!Y264,交易记录!Y328,交易记录!Y392,交易记录!Y456,交易记录!Y520,交易记录!Y584,交易记录!Y648,交易记录!Y712,交易记录!Y776,交易记录!Y840,交易记录!Y904),3)</f>
        <v>16.489999999999998</v>
      </c>
      <c r="Y41" s="67">
        <f>ROUND(Y6*1.2-SUM(交易记录!Z8,交易记录!Z72,交易记录!Z136,交易记录!Z200,交易记录!Z264,交易记录!Z328,交易记录!Z392,交易记录!Z456,交易记录!Z520,交易记录!Z584,交易记录!Z648,交易记录!Z712,交易记录!Z776,交易记录!Z840,交易记录!Z904),3)</f>
        <v>16.489999999999998</v>
      </c>
      <c r="Z41" s="67">
        <f>ROUND(Z6*1.2-SUM(交易记录!AA8,交易记录!AA72,交易记录!AA136,交易记录!AA200,交易记录!AA264,交易记录!AA328,交易记录!AA392,交易记录!AA456,交易记录!AA520,交易记录!AA584,交易记录!AA648,交易记录!AA712,交易记录!AA776,交易记录!AA840,交易记录!AA904),3)</f>
        <v>16.489999999999998</v>
      </c>
      <c r="AA41" s="67">
        <f>ROUND(AA6*1.2-SUM(交易记录!AB8,交易记录!AB72,交易记录!AB136,交易记录!AB200,交易记录!AB264,交易记录!AB328,交易记录!AB392,交易记录!AB456,交易记录!AB520,交易记录!AB584,交易记录!AB648,交易记录!AB712,交易记录!AB776,交易记录!AB840,交易记录!AB904),3)</f>
        <v>16.489999999999998</v>
      </c>
      <c r="AB41" s="67">
        <f>ROUND(AB6*1.2-SUM(交易记录!AC8,交易记录!AC72,交易记录!AC136,交易记录!AC200,交易记录!AC264,交易记录!AC328,交易记录!AC392,交易记录!AC456,交易记录!AC520,交易记录!AC584,交易记录!AC648,交易记录!AC712,交易记录!AC776,交易记录!AC840,交易记录!AC904),3)</f>
        <v>16.503</v>
      </c>
      <c r="AC41" s="67">
        <f>ROUND(AC6*1.2-SUM(交易记录!AD8,交易记录!AD72,交易记录!AD136,交易记录!AD200,交易记录!AD264,交易记录!AD328,交易记录!AD392,交易记录!AD456,交易记录!AD520,交易记录!AD584,交易记录!AD648,交易记录!AD712,交易记录!AD776,交易记录!AD840,交易记录!AD904),3)</f>
        <v>16.526</v>
      </c>
      <c r="AD41" s="67">
        <f>ROUND(AD6*1.2-SUM(交易记录!AE8,交易记录!AE72,交易记录!AE136,交易记录!AE200,交易记录!AE264,交易记录!AE328,交易记录!AE392,交易记录!AE456,交易记录!AE520,交易记录!AE584,交易记录!AE648,交易记录!AE712,交易记录!AE776,交易记录!AE840,交易记录!AE904),3)</f>
        <v>16.513000000000002</v>
      </c>
      <c r="AE41" s="67">
        <f>ROUND(AE6*1.2-SUM(交易记录!AF8,交易记录!AF72,交易记录!AF136,交易记录!AF200,交易记录!AF264,交易记录!AF328,交易记录!AF392,交易记录!AF456,交易记录!AF520,交易记录!AF584,交易记录!AF648,交易记录!AF712,交易记录!AF776,交易记录!AF840,交易记录!AF904),3)</f>
        <v>16.489999999999998</v>
      </c>
      <c r="AF41" s="67">
        <f>ROUND(AF6*1.2-SUM(交易记录!AG8,交易记录!AG72,交易记录!AG136,交易记录!AG200,交易记录!AG264,交易记录!AG328,交易记录!AG392,交易记录!AG456,交易记录!AG520,交易记录!AG584,交易记录!AG648,交易记录!AG712,交易记录!AG776,交易记录!AG840,交易记录!AG904),3)</f>
        <v>16.489999999999998</v>
      </c>
      <c r="AG41" s="67">
        <f>ROUND(AG6*1.2-SUM(交易记录!AH8,交易记录!AH72,交易记录!AH136,交易记录!AH200,交易记录!AH264,交易记录!AH328,交易记录!AH392,交易记录!AH456,交易记录!AH520,交易记录!AH584,交易记录!AH648,交易记录!AH712,交易记录!AH776,交易记录!AH840,交易记录!AH904),3)</f>
        <v>16.489999999999998</v>
      </c>
    </row>
    <row r="42" spans="2:33" ht="15">
      <c r="B42" s="7" t="s">
        <v>10</v>
      </c>
      <c r="C42" s="67">
        <f>ROUND(C7*1.2-SUM(交易记录!D9,交易记录!D73,交易记录!D137,交易记录!D201,交易记录!D265,交易记录!D329,交易记录!D393,交易记录!D457,交易记录!D521,交易记录!D585,交易记录!D649,交易记录!D713,交易记录!D777,交易记录!D841,交易记录!D905),3)</f>
        <v>15.992000000000001</v>
      </c>
      <c r="D42" s="67">
        <f>ROUND(D7*1.2-SUM(交易记录!E9,交易记录!E73,交易记录!E137,交易记录!E201,交易记录!E265,交易记录!E329,交易记录!E393,交易记录!E457,交易记录!E521,交易记录!E585,交易记录!E649,交易记录!E713,交易记录!E777,交易记录!E841,交易记录!E905),3)</f>
        <v>15.978999999999999</v>
      </c>
      <c r="E42" s="67">
        <f>ROUND(E7*1.2-SUM(交易记录!F9,交易记录!F73,交易记录!F137,交易记录!F201,交易记录!F265,交易记录!F329,交易记录!F393,交易记录!F457,交易记录!F521,交易记录!F585,交易记录!F649,交易记录!F713,交易记录!F777,交易记录!F841,交易记录!F905),3)</f>
        <v>15.978999999999999</v>
      </c>
      <c r="F42" s="67">
        <f>ROUND(F7*1.2-SUM(交易记录!G9,交易记录!G73,交易记录!G137,交易记录!G201,交易记录!G265,交易记录!G329,交易记录!G393,交易记录!G457,交易记录!G521,交易记录!G585,交易记录!G649,交易记录!G713,交易记录!G777,交易记录!G841,交易记录!G905),3)</f>
        <v>15.978999999999999</v>
      </c>
      <c r="G42" s="67">
        <f>ROUND(G7*1.2-SUM(交易记录!H9,交易记录!H73,交易记录!H137,交易记录!H201,交易记录!H265,交易记录!H329,交易记录!H393,交易记录!H457,交易记录!H521,交易记录!H585,交易记录!H649,交易记录!H713,交易记录!H777,交易记录!H841,交易记录!H905),3)</f>
        <v>15.861000000000001</v>
      </c>
      <c r="H42" s="67">
        <f>ROUND(H7*1.2-SUM(交易记录!I9,交易记录!I73,交易记录!I137,交易记录!I201,交易记录!I265,交易记录!I329,交易记录!I393,交易记录!I457,交易记录!I521,交易记录!I585,交易记录!I649,交易记录!I713,交易记录!I777,交易记录!I841,交易记录!I905),3)</f>
        <v>15.861000000000001</v>
      </c>
      <c r="I42" s="67">
        <f>ROUND(I7*1.2-SUM(交易记录!J9,交易记录!J73,交易记录!J137,交易记录!J201,交易记录!J265,交易记录!J329,交易记录!J393,交易记录!J457,交易记录!J521,交易记录!J585,交易记录!J649,交易记录!J713,交易记录!J777,交易记录!J841,交易记录!J905),3)</f>
        <v>15.978999999999999</v>
      </c>
      <c r="J42" s="67">
        <f>ROUND(J7*1.2-SUM(交易记录!K9,交易记录!K73,交易记录!K137,交易记录!K201,交易记录!K265,交易记录!K329,交易记录!K393,交易记录!K457,交易记录!K521,交易记录!K585,交易记录!K649,交易记录!K713,交易记录!K777,交易记录!K841,交易记录!K905),3)</f>
        <v>15.978999999999999</v>
      </c>
      <c r="K42" s="67">
        <f>ROUND(K7*1.2-SUM(交易记录!L9,交易记录!L73,交易记录!L137,交易记录!L201,交易记录!L265,交易记录!L329,交易记录!L393,交易记录!L457,交易记录!L521,交易记录!L585,交易记录!L649,交易记录!L713,交易记录!L777,交易记录!L841,交易记录!L905),3)</f>
        <v>15.978999999999999</v>
      </c>
      <c r="L42" s="67">
        <f>ROUND(L7*1.2-SUM(交易记录!M9,交易记录!M73,交易记录!M137,交易记录!M201,交易记录!M265,交易记录!M329,交易记录!M393,交易记录!M457,交易记录!M521,交易记录!M585,交易记录!M649,交易记录!M713,交易记录!M777,交易记录!M841,交易记录!M905),3)</f>
        <v>15.978999999999999</v>
      </c>
      <c r="M42" s="67">
        <f>ROUND(M7*1.2-SUM(交易记录!N9,交易记录!N73,交易记录!N137,交易记录!N201,交易记录!N265,交易记录!N329,交易记录!N393,交易记录!N457,交易记录!N521,交易记录!N585,交易记录!N649,交易记录!N713,交易记录!N777,交易记录!N841,交易记录!N905),3)</f>
        <v>15.978999999999999</v>
      </c>
      <c r="N42" s="67">
        <f>ROUND(N7*1.2-SUM(交易记录!O9,交易记录!O73,交易记录!O137,交易记录!O201,交易记录!O265,交易记录!O329,交易记录!O393,交易记录!O457,交易记录!O521,交易记录!O585,交易记录!O649,交易记录!O713,交易记录!O777,交易记录!O841,交易记录!O905),3)</f>
        <v>15.861000000000001</v>
      </c>
      <c r="O42" s="67">
        <f>ROUND(O7*1.2-SUM(交易记录!P9,交易记录!P73,交易记录!P137,交易记录!P201,交易记录!P265,交易记录!P329,交易记录!P393,交易记录!P457,交易记录!P521,交易记录!P585,交易记录!P649,交易记录!P713,交易记录!P777,交易记录!P841,交易记录!P905),3)</f>
        <v>15.861000000000001</v>
      </c>
      <c r="P42" s="67">
        <f>ROUND(P7*1.2-SUM(交易记录!Q9,交易记录!Q73,交易记录!Q137,交易记录!Q201,交易记录!Q265,交易记录!Q329,交易记录!Q393,交易记录!Q457,交易记录!Q521,交易记录!Q585,交易记录!Q649,交易记录!Q713,交易记录!Q777,交易记录!Q841,交易记录!Q905),3)</f>
        <v>15.978999999999999</v>
      </c>
      <c r="Q42" s="67">
        <f>ROUND(Q7*1.2-SUM(交易记录!R9,交易记录!R73,交易记录!R137,交易记录!R201,交易记录!R265,交易记录!R329,交易记录!R393,交易记录!R457,交易记录!R521,交易记录!R585,交易记录!R649,交易记录!R713,交易记录!R777,交易记录!R841,交易记录!R905),3)</f>
        <v>15.978999999999999</v>
      </c>
      <c r="R42" s="67">
        <f>ROUND(R7*1.2-SUM(交易记录!S9,交易记录!S73,交易记录!S137,交易记录!S201,交易记录!S265,交易记录!S329,交易记录!S393,交易记录!S457,交易记录!S521,交易记录!S585,交易记录!S649,交易记录!S713,交易记录!S777,交易记录!S841,交易记录!S905),3)</f>
        <v>15.978999999999999</v>
      </c>
      <c r="S42" s="67">
        <f>ROUND(S7*1.2-SUM(交易记录!T9,交易记录!T73,交易记录!T137,交易记录!T201,交易记录!T265,交易记录!T329,交易记录!T393,交易记录!T457,交易记录!T521,交易记录!T585,交易记录!T649,交易记录!T713,交易记录!T777,交易记录!T841,交易记录!T905),3)</f>
        <v>15.978999999999999</v>
      </c>
      <c r="T42" s="67">
        <f>ROUND(T7*1.2-SUM(交易记录!U9,交易记录!U73,交易记录!U137,交易记录!U201,交易记录!U265,交易记录!U329,交易记录!U393,交易记录!U457,交易记录!U521,交易记录!U585,交易记录!U649,交易记录!U713,交易记录!U777,交易记录!U841,交易记录!U905),3)</f>
        <v>15.978999999999999</v>
      </c>
      <c r="U42" s="67">
        <f>ROUND(U7*1.2-SUM(交易记录!V9,交易记录!V73,交易记录!V137,交易记录!V201,交易记录!V265,交易记录!V329,交易记录!V393,交易记录!V457,交易记录!V521,交易记录!V585,交易记录!V649,交易记录!V713,交易记录!V777,交易记录!V841,交易记录!V905),3)</f>
        <v>15.991</v>
      </c>
      <c r="V42" s="67">
        <f>ROUND(V7*1.2-SUM(交易记录!W9,交易记录!W73,交易记录!W137,交易记录!W201,交易记录!W265,交易记录!W329,交易记录!W393,交易记录!W457,交易记录!W521,交易记录!W585,交易记录!W649,交易记录!W713,交易记录!W777,交易记录!W841,交易记录!W905),3)</f>
        <v>15.861000000000001</v>
      </c>
      <c r="W42" s="67">
        <f>ROUND(W7*1.2-SUM(交易记录!X9,交易记录!X73,交易记录!X137,交易记录!X201,交易记录!X265,交易记录!X329,交易记录!X393,交易记录!X457,交易记录!X521,交易记录!X585,交易记录!X649,交易记录!X713,交易记录!X777,交易记录!X841,交易记录!X905),3)</f>
        <v>15.849</v>
      </c>
      <c r="X42" s="67">
        <f>ROUND(X7*1.2-SUM(交易记录!Y9,交易记录!Y73,交易记录!Y137,交易记录!Y201,交易记录!Y265,交易记录!Y329,交易记录!Y393,交易记录!Y457,交易记录!Y521,交易记录!Y585,交易记录!Y649,交易记录!Y713,交易记录!Y777,交易记录!Y841,交易记录!Y905),3)</f>
        <v>15.978999999999999</v>
      </c>
      <c r="Y42" s="67">
        <f>ROUND(Y7*1.2-SUM(交易记录!Z9,交易记录!Z73,交易记录!Z137,交易记录!Z201,交易记录!Z265,交易记录!Z329,交易记录!Z393,交易记录!Z457,交易记录!Z521,交易记录!Z585,交易记录!Z649,交易记录!Z713,交易记录!Z777,交易记录!Z841,交易记录!Z905),3)</f>
        <v>15.978999999999999</v>
      </c>
      <c r="Z42" s="67">
        <f>ROUND(Z7*1.2-SUM(交易记录!AA9,交易记录!AA73,交易记录!AA137,交易记录!AA201,交易记录!AA265,交易记录!AA329,交易记录!AA393,交易记录!AA457,交易记录!AA521,交易记录!AA585,交易记录!AA649,交易记录!AA713,交易记录!AA777,交易记录!AA841,交易记录!AA905),3)</f>
        <v>15.978999999999999</v>
      </c>
      <c r="AA42" s="67">
        <f>ROUND(AA7*1.2-SUM(交易记录!AB9,交易记录!AB73,交易记录!AB137,交易记录!AB201,交易记录!AB265,交易记录!AB329,交易记录!AB393,交易记录!AB457,交易记录!AB521,交易记录!AB585,交易记录!AB649,交易记录!AB713,交易记录!AB777,交易记录!AB841,交易记录!AB905),3)</f>
        <v>15.978999999999999</v>
      </c>
      <c r="AB42" s="67">
        <f>ROUND(AB7*1.2-SUM(交易记录!AC9,交易记录!AC73,交易记录!AC137,交易记录!AC201,交易记录!AC265,交易记录!AC329,交易记录!AC393,交易记录!AC457,交易记录!AC521,交易记录!AC585,交易记录!AC649,交易记录!AC713,交易记录!AC777,交易记录!AC841,交易记录!AC905),3)</f>
        <v>15.991</v>
      </c>
      <c r="AC42" s="67">
        <f>ROUND(AC7*1.2-SUM(交易记录!AD9,交易记录!AD73,交易记录!AD137,交易记录!AD201,交易记录!AD265,交易记录!AD329,交易记录!AD393,交易记录!AD457,交易记录!AD521,交易记录!AD585,交易记录!AD649,交易记录!AD713,交易记录!AD777,交易记录!AD841,交易记录!AD905),3)</f>
        <v>15.861000000000001</v>
      </c>
      <c r="AD42" s="67">
        <f>ROUND(AD7*1.2-SUM(交易记录!AE9,交易记录!AE73,交易记录!AE137,交易记录!AE201,交易记录!AE265,交易记录!AE329,交易记录!AE393,交易记录!AE457,交易记录!AE521,交易记录!AE585,交易记录!AE649,交易记录!AE713,交易记录!AE777,交易记录!AE841,交易记录!AE905),3)</f>
        <v>15.849</v>
      </c>
      <c r="AE42" s="67">
        <f>ROUND(AE7*1.2-SUM(交易记录!AF9,交易记录!AF73,交易记录!AF137,交易记录!AF201,交易记录!AF265,交易记录!AF329,交易记录!AF393,交易记录!AF457,交易记录!AF521,交易记录!AF585,交易记录!AF649,交易记录!AF713,交易记录!AF777,交易记录!AF841,交易记录!AF905),3)</f>
        <v>15.978999999999999</v>
      </c>
      <c r="AF42" s="67">
        <f>ROUND(AF7*1.2-SUM(交易记录!AG9,交易记录!AG73,交易记录!AG137,交易记录!AG201,交易记录!AG265,交易记录!AG329,交易记录!AG393,交易记录!AG457,交易记录!AG521,交易记录!AG585,交易记录!AG649,交易记录!AG713,交易记录!AG777,交易记录!AG841,交易记录!AG905),3)</f>
        <v>15.978999999999999</v>
      </c>
      <c r="AG42" s="67">
        <f>ROUND(AG7*1.2-SUM(交易记录!AH9,交易记录!AH73,交易记录!AH137,交易记录!AH201,交易记录!AH265,交易记录!AH329,交易记录!AH393,交易记录!AH457,交易记录!AH521,交易记录!AH585,交易记录!AH649,交易记录!AH713,交易记录!AH777,交易记录!AH841,交易记录!AH905),3)</f>
        <v>15.978999999999999</v>
      </c>
    </row>
    <row r="43" spans="2:33" ht="15">
      <c r="B43" s="7" t="s">
        <v>11</v>
      </c>
      <c r="C43" s="67">
        <f>ROUND(C8*1.2-SUM(交易记录!D10,交易记录!D74,交易记录!D138,交易记录!D202,交易记录!D266,交易记录!D330,交易记录!D394,交易记录!D458,交易记录!D522,交易记录!D586,交易记录!D650,交易记录!D714,交易记录!D778,交易记录!D842,交易记录!D906),3)</f>
        <v>15.632999999999999</v>
      </c>
      <c r="D43" s="67">
        <f>ROUND(D8*1.2-SUM(交易记录!E10,交易记录!E74,交易记录!E138,交易记录!E202,交易记录!E266,交易记录!E330,交易记录!E394,交易记录!E458,交易记录!E522,交易记录!E586,交易记录!E650,交易记录!E714,交易记录!E778,交易记录!E842,交易记录!E906),3)</f>
        <v>15.618</v>
      </c>
      <c r="E43" s="67">
        <f>ROUND(E8*1.2-SUM(交易记录!F10,交易记录!F74,交易记录!F138,交易记录!F202,交易记录!F266,交易记录!F330,交易记录!F394,交易记录!F458,交易记录!F522,交易记录!F586,交易记录!F650,交易记录!F714,交易记录!F778,交易记录!F842,交易记录!F906),3)</f>
        <v>15.618</v>
      </c>
      <c r="F43" s="67">
        <f>ROUND(F8*1.2-SUM(交易记录!G10,交易记录!G74,交易记录!G138,交易记录!G202,交易记录!G266,交易记录!G330,交易记录!G394,交易记录!G458,交易记录!G522,交易记录!G586,交易记录!G650,交易记录!G714,交易记录!G778,交易记录!G842,交易记录!G906),3)</f>
        <v>15.618</v>
      </c>
      <c r="G43" s="67">
        <f>ROUND(G8*1.2-SUM(交易记录!H10,交易记录!H74,交易记录!H138,交易记录!H202,交易记录!H266,交易记录!H330,交易记录!H394,交易记录!H458,交易记录!H522,交易记录!H586,交易记录!H650,交易记录!H714,交易记录!H778,交易记录!H842,交易记录!H906),3)</f>
        <v>15.27</v>
      </c>
      <c r="H43" s="67">
        <f>ROUND(H8*1.2-SUM(交易记录!I10,交易记录!I74,交易记录!I138,交易记录!I202,交易记录!I266,交易记录!I330,交易记录!I394,交易记录!I458,交易记录!I522,交易记录!I586,交易记录!I650,交易记录!I714,交易记录!I778,交易记录!I842,交易记录!I906),3)</f>
        <v>15.27</v>
      </c>
      <c r="I43" s="67">
        <f>ROUND(I8*1.2-SUM(交易记录!J10,交易记录!J74,交易记录!J138,交易记录!J202,交易记录!J266,交易记录!J330,交易记录!J394,交易记录!J458,交易记录!J522,交易记录!J586,交易记录!J650,交易记录!J714,交易记录!J778,交易记录!J842,交易记录!J906),3)</f>
        <v>15.618</v>
      </c>
      <c r="J43" s="67">
        <f>ROUND(J8*1.2-SUM(交易记录!K10,交易记录!K74,交易记录!K138,交易记录!K202,交易记录!K266,交易记录!K330,交易记录!K394,交易记录!K458,交易记录!K522,交易记录!K586,交易记录!K650,交易记录!K714,交易记录!K778,交易记录!K842,交易记录!K906),3)</f>
        <v>15.618</v>
      </c>
      <c r="K43" s="67">
        <f>ROUND(K8*1.2-SUM(交易记录!L10,交易记录!L74,交易记录!L138,交易记录!L202,交易记录!L266,交易记录!L330,交易记录!L394,交易记录!L458,交易记录!L522,交易记录!L586,交易记录!L650,交易记录!L714,交易记录!L778,交易记录!L842,交易记录!L906),3)</f>
        <v>15.618</v>
      </c>
      <c r="L43" s="67">
        <f>ROUND(L8*1.2-SUM(交易记录!M10,交易记录!M74,交易记录!M138,交易记录!M202,交易记录!M266,交易记录!M330,交易记录!M394,交易记录!M458,交易记录!M522,交易记录!M586,交易记录!M650,交易记录!M714,交易记录!M778,交易记录!M842,交易记录!M906),3)</f>
        <v>15.618</v>
      </c>
      <c r="M43" s="67">
        <f>ROUND(M8*1.2-SUM(交易记录!N10,交易记录!N74,交易记录!N138,交易记录!N202,交易记录!N266,交易记录!N330,交易记录!N394,交易记录!N458,交易记录!N522,交易记录!N586,交易记录!N650,交易记录!N714,交易记录!N778,交易记录!N842,交易记录!N906),3)</f>
        <v>15.618</v>
      </c>
      <c r="N43" s="67">
        <f>ROUND(N8*1.2-SUM(交易记录!O10,交易记录!O74,交易记录!O138,交易记录!O202,交易记录!O266,交易记录!O330,交易记录!O394,交易记录!O458,交易记录!O522,交易记录!O586,交易记录!O650,交易记录!O714,交易记录!O778,交易记录!O842,交易记录!O906),3)</f>
        <v>15.27</v>
      </c>
      <c r="O43" s="67">
        <f>ROUND(O8*1.2-SUM(交易记录!P10,交易记录!P74,交易记录!P138,交易记录!P202,交易记录!P266,交易记录!P330,交易记录!P394,交易记录!P458,交易记录!P522,交易记录!P586,交易记录!P650,交易记录!P714,交易记录!P778,交易记录!P842,交易记录!P906),3)</f>
        <v>15.27</v>
      </c>
      <c r="P43" s="67">
        <f>ROUND(P8*1.2-SUM(交易记录!Q10,交易记录!Q74,交易记录!Q138,交易记录!Q202,交易记录!Q266,交易记录!Q330,交易记录!Q394,交易记录!Q458,交易记录!Q522,交易记录!Q586,交易记录!Q650,交易记录!Q714,交易记录!Q778,交易记录!Q842,交易记录!Q906),3)</f>
        <v>15.618</v>
      </c>
      <c r="Q43" s="67">
        <f>ROUND(Q8*1.2-SUM(交易记录!R10,交易记录!R74,交易记录!R138,交易记录!R202,交易记录!R266,交易记录!R330,交易记录!R394,交易记录!R458,交易记录!R522,交易记录!R586,交易记录!R650,交易记录!R714,交易记录!R778,交易记录!R842,交易记录!R906),3)</f>
        <v>15.618</v>
      </c>
      <c r="R43" s="67">
        <f>ROUND(R8*1.2-SUM(交易记录!S10,交易记录!S74,交易记录!S138,交易记录!S202,交易记录!S266,交易记录!S330,交易记录!S394,交易记录!S458,交易记录!S522,交易记录!S586,交易记录!S650,交易记录!S714,交易记录!S778,交易记录!S842,交易记录!S906),3)</f>
        <v>15.618</v>
      </c>
      <c r="S43" s="67">
        <f>ROUND(S8*1.2-SUM(交易记录!T10,交易记录!T74,交易记录!T138,交易记录!T202,交易记录!T266,交易记录!T330,交易记录!T394,交易记录!T458,交易记录!T522,交易记录!T586,交易记录!T650,交易记录!T714,交易记录!T778,交易记录!T842,交易记录!T906),3)</f>
        <v>15.618</v>
      </c>
      <c r="T43" s="67">
        <f>ROUND(T8*1.2-SUM(交易记录!U10,交易记录!U74,交易记录!U138,交易记录!U202,交易记录!U266,交易记录!U330,交易记录!U394,交易记录!U458,交易记录!U522,交易记录!U586,交易记录!U650,交易记录!U714,交易记录!U778,交易记录!U842,交易记录!U906),3)</f>
        <v>15.618</v>
      </c>
      <c r="U43" s="67">
        <f>ROUND(U8*1.2-SUM(交易记录!V10,交易记录!V74,交易记录!V138,交易记录!V202,交易记录!V266,交易记录!V330,交易记录!V394,交易记录!V458,交易记录!V522,交易记录!V586,交易记录!V650,交易记录!V714,交易记录!V778,交易记录!V842,交易记录!V906),3)</f>
        <v>15.63</v>
      </c>
      <c r="V43" s="67">
        <f>ROUND(V8*1.2-SUM(交易记录!W10,交易记录!W74,交易记录!W138,交易记录!W202,交易记录!W266,交易记录!W330,交易记录!W394,交易记录!W458,交易记录!W522,交易记录!W586,交易记录!W650,交易记录!W714,交易记录!W778,交易记录!W842,交易记录!W906),3)</f>
        <v>15.27</v>
      </c>
      <c r="W43" s="67">
        <f>ROUND(W8*1.2-SUM(交易记录!X10,交易记录!X74,交易记录!X138,交易记录!X202,交易记录!X266,交易记录!X330,交易记录!X394,交易记录!X458,交易记录!X522,交易记录!X586,交易记录!X650,交易记录!X714,交易记录!X778,交易记录!X842,交易记录!X906),3)</f>
        <v>15.257999999999999</v>
      </c>
      <c r="X43" s="67">
        <f>ROUND(X8*1.2-SUM(交易记录!Y10,交易记录!Y74,交易记录!Y138,交易记录!Y202,交易记录!Y266,交易记录!Y330,交易记录!Y394,交易记录!Y458,交易记录!Y522,交易记录!Y586,交易记录!Y650,交易记录!Y714,交易记录!Y778,交易记录!Y842,交易记录!Y906),3)</f>
        <v>15.618</v>
      </c>
      <c r="Y43" s="67">
        <f>ROUND(Y8*1.2-SUM(交易记录!Z10,交易记录!Z74,交易记录!Z138,交易记录!Z202,交易记录!Z266,交易记录!Z330,交易记录!Z394,交易记录!Z458,交易记录!Z522,交易记录!Z586,交易记录!Z650,交易记录!Z714,交易记录!Z778,交易记录!Z842,交易记录!Z906),3)</f>
        <v>15.618</v>
      </c>
      <c r="Z43" s="67">
        <f>ROUND(Z8*1.2-SUM(交易记录!AA10,交易记录!AA74,交易记录!AA138,交易记录!AA202,交易记录!AA266,交易记录!AA330,交易记录!AA394,交易记录!AA458,交易记录!AA522,交易记录!AA586,交易记录!AA650,交易记录!AA714,交易记录!AA778,交易记录!AA842,交易记录!AA906),3)</f>
        <v>15.618</v>
      </c>
      <c r="AA43" s="67">
        <f>ROUND(AA8*1.2-SUM(交易记录!AB10,交易记录!AB74,交易记录!AB138,交易记录!AB202,交易记录!AB266,交易记录!AB330,交易记录!AB394,交易记录!AB458,交易记录!AB522,交易记录!AB586,交易记录!AB650,交易记录!AB714,交易记录!AB778,交易记录!AB842,交易记录!AB906),3)</f>
        <v>15.618</v>
      </c>
      <c r="AB43" s="67">
        <f>ROUND(AB8*1.2-SUM(交易记录!AC10,交易记录!AC74,交易记录!AC138,交易记录!AC202,交易记录!AC266,交易记录!AC330,交易记录!AC394,交易记录!AC458,交易记录!AC522,交易记录!AC586,交易记录!AC650,交易记录!AC714,交易记录!AC778,交易记录!AC842,交易记录!AC906),3)</f>
        <v>15.63</v>
      </c>
      <c r="AC43" s="67">
        <f>ROUND(AC8*1.2-SUM(交易记录!AD10,交易记录!AD74,交易记录!AD138,交易记录!AD202,交易记录!AD266,交易记录!AD330,交易记录!AD394,交易记录!AD458,交易记录!AD522,交易记录!AD586,交易记录!AD650,交易记录!AD714,交易记录!AD778,交易记录!AD842,交易记录!AD906),3)</f>
        <v>15.27</v>
      </c>
      <c r="AD43" s="67">
        <f>ROUND(AD8*1.2-SUM(交易记录!AE10,交易记录!AE74,交易记录!AE138,交易记录!AE202,交易记录!AE266,交易记录!AE330,交易记录!AE394,交易记录!AE458,交易记录!AE522,交易记录!AE586,交易记录!AE650,交易记录!AE714,交易记录!AE778,交易记录!AE842,交易记录!AE906),3)</f>
        <v>15.257999999999999</v>
      </c>
      <c r="AE43" s="67">
        <f>ROUND(AE8*1.2-SUM(交易记录!AF10,交易记录!AF74,交易记录!AF138,交易记录!AF202,交易记录!AF266,交易记录!AF330,交易记录!AF394,交易记录!AF458,交易记录!AF522,交易记录!AF586,交易记录!AF650,交易记录!AF714,交易记录!AF778,交易记录!AF842,交易记录!AF906),3)</f>
        <v>15.618</v>
      </c>
      <c r="AF43" s="67">
        <f>ROUND(AF8*1.2-SUM(交易记录!AG10,交易记录!AG74,交易记录!AG138,交易记录!AG202,交易记录!AG266,交易记录!AG330,交易记录!AG394,交易记录!AG458,交易记录!AG522,交易记录!AG586,交易记录!AG650,交易记录!AG714,交易记录!AG778,交易记录!AG842,交易记录!AG906),3)</f>
        <v>15.618</v>
      </c>
      <c r="AG43" s="67">
        <f>ROUND(AG8*1.2-SUM(交易记录!AH10,交易记录!AH74,交易记录!AH138,交易记录!AH202,交易记录!AH266,交易记录!AH330,交易记录!AH394,交易记录!AH458,交易记录!AH522,交易记录!AH586,交易记录!AH650,交易记录!AH714,交易记录!AH778,交易记录!AH842,交易记录!AH906),3)</f>
        <v>15.618</v>
      </c>
    </row>
    <row r="44" spans="2:33" ht="15">
      <c r="B44" s="7" t="s">
        <v>12</v>
      </c>
      <c r="C44" s="67">
        <f>ROUND(C9*1.2-SUM(交易记录!D11,交易记录!D75,交易记录!D139,交易记录!D203,交易记录!D267,交易记录!D331,交易记录!D395,交易记录!D459,交易记录!D523,交易记录!D587,交易记录!D651,交易记录!D715,交易记录!D779,交易记录!D843,交易记录!D907),3)</f>
        <v>15.420999999999999</v>
      </c>
      <c r="D44" s="67">
        <f>ROUND(D9*1.2-SUM(交易记录!E11,交易记录!E75,交易记录!E139,交易记录!E203,交易记录!E267,交易记录!E331,交易记录!E395,交易记录!E459,交易记录!E523,交易记录!E587,交易记录!E651,交易记录!E715,交易记录!E779,交易记录!E843,交易记录!E907),3)</f>
        <v>15.394</v>
      </c>
      <c r="E44" s="67">
        <f>ROUND(E9*1.2-SUM(交易记录!F11,交易记录!F75,交易记录!F139,交易记录!F203,交易记录!F267,交易记录!F331,交易记录!F395,交易记录!F459,交易记录!F523,交易记录!F587,交易记录!F651,交易记录!F715,交易记录!F779,交易记录!F843,交易记录!F907),3)</f>
        <v>15.394</v>
      </c>
      <c r="F44" s="67">
        <f>ROUND(F9*1.2-SUM(交易记录!G11,交易记录!G75,交易记录!G139,交易记录!G203,交易记录!G267,交易记录!G331,交易记录!G395,交易记录!G459,交易记录!G523,交易记录!G587,交易记录!G651,交易记录!G715,交易记录!G779,交易记录!G843,交易记录!G907),3)</f>
        <v>15.394</v>
      </c>
      <c r="G44" s="67">
        <f>ROUND(G9*1.2-SUM(交易记录!H11,交易记录!H75,交易记录!H139,交易记录!H203,交易记录!H267,交易记录!H331,交易记录!H395,交易记录!H459,交易记录!H523,交易记录!H587,交易记录!H651,交易记录!H715,交易记录!H779,交易记录!H843,交易记录!H907),3)</f>
        <v>14.954000000000001</v>
      </c>
      <c r="H44" s="67">
        <f>ROUND(H9*1.2-SUM(交易记录!I11,交易记录!I75,交易记录!I139,交易记录!I203,交易记录!I267,交易记录!I331,交易记录!I395,交易记录!I459,交易记录!I523,交易记录!I587,交易记录!I651,交易记录!I715,交易记录!I779,交易记录!I843,交易记录!I907),3)</f>
        <v>14.954000000000001</v>
      </c>
      <c r="I44" s="67">
        <f>ROUND(I9*1.2-SUM(交易记录!J11,交易记录!J75,交易记录!J139,交易记录!J203,交易记录!J267,交易记录!J331,交易记录!J395,交易记录!J459,交易记录!J523,交易记录!J587,交易记录!J651,交易记录!J715,交易记录!J779,交易记录!J843,交易记录!J907),3)</f>
        <v>15.394</v>
      </c>
      <c r="J44" s="67">
        <f>ROUND(J9*1.2-SUM(交易记录!K11,交易记录!K75,交易记录!K139,交易记录!K203,交易记录!K267,交易记录!K331,交易记录!K395,交易记录!K459,交易记录!K523,交易记录!K587,交易记录!K651,交易记录!K715,交易记录!K779,交易记录!K843,交易记录!K907),3)</f>
        <v>15.394</v>
      </c>
      <c r="K44" s="67">
        <f>ROUND(K9*1.2-SUM(交易记录!L11,交易记录!L75,交易记录!L139,交易记录!L203,交易记录!L267,交易记录!L331,交易记录!L395,交易记录!L459,交易记录!L523,交易记录!L587,交易记录!L651,交易记录!L715,交易记录!L779,交易记录!L843,交易记录!L907),3)</f>
        <v>15.394</v>
      </c>
      <c r="L44" s="67">
        <f>ROUND(L9*1.2-SUM(交易记录!M11,交易记录!M75,交易记录!M139,交易记录!M203,交易记录!M267,交易记录!M331,交易记录!M395,交易记录!M459,交易记录!M523,交易记录!M587,交易记录!M651,交易记录!M715,交易记录!M779,交易记录!M843,交易记录!M907),3)</f>
        <v>15.394</v>
      </c>
      <c r="M44" s="67">
        <f>ROUND(M9*1.2-SUM(交易记录!N11,交易记录!N75,交易记录!N139,交易记录!N203,交易记录!N267,交易记录!N331,交易记录!N395,交易记录!N459,交易记录!N523,交易记录!N587,交易记录!N651,交易记录!N715,交易记录!N779,交易记录!N843,交易记录!N907),3)</f>
        <v>15.394</v>
      </c>
      <c r="N44" s="67">
        <f>ROUND(N9*1.2-SUM(交易记录!O11,交易记录!O75,交易记录!O139,交易记录!O203,交易记录!O267,交易记录!O331,交易记录!O395,交易记录!O459,交易记录!O523,交易记录!O587,交易记录!O651,交易记录!O715,交易记录!O779,交易记录!O843,交易记录!O907),3)</f>
        <v>14.954000000000001</v>
      </c>
      <c r="O44" s="67">
        <f>ROUND(O9*1.2-SUM(交易记录!P11,交易记录!P75,交易记录!P139,交易记录!P203,交易记录!P267,交易记录!P331,交易记录!P395,交易记录!P459,交易记录!P523,交易记录!P587,交易记录!P651,交易记录!P715,交易记录!P779,交易记录!P843,交易记录!P907),3)</f>
        <v>14.954000000000001</v>
      </c>
      <c r="P44" s="67">
        <f>ROUND(P9*1.2-SUM(交易记录!Q11,交易记录!Q75,交易记录!Q139,交易记录!Q203,交易记录!Q267,交易记录!Q331,交易记录!Q395,交易记录!Q459,交易记录!Q523,交易记录!Q587,交易记录!Q651,交易记录!Q715,交易记录!Q779,交易记录!Q843,交易记录!Q907),3)</f>
        <v>15.394</v>
      </c>
      <c r="Q44" s="67">
        <f>ROUND(Q9*1.2-SUM(交易记录!R11,交易记录!R75,交易记录!R139,交易记录!R203,交易记录!R267,交易记录!R331,交易记录!R395,交易记录!R459,交易记录!R523,交易记录!R587,交易记录!R651,交易记录!R715,交易记录!R779,交易记录!R843,交易记录!R907),3)</f>
        <v>15.394</v>
      </c>
      <c r="R44" s="67">
        <f>ROUND(R9*1.2-SUM(交易记录!S11,交易记录!S75,交易记录!S139,交易记录!S203,交易记录!S267,交易记录!S331,交易记录!S395,交易记录!S459,交易记录!S523,交易记录!S587,交易记录!S651,交易记录!S715,交易记录!S779,交易记录!S843,交易记录!S907),3)</f>
        <v>15.394</v>
      </c>
      <c r="S44" s="67">
        <f>ROUND(S9*1.2-SUM(交易记录!T11,交易记录!T75,交易记录!T139,交易记录!T203,交易记录!T267,交易记录!T331,交易记录!T395,交易记录!T459,交易记录!T523,交易记录!T587,交易记录!T651,交易记录!T715,交易记录!T779,交易记录!T843,交易记录!T907),3)</f>
        <v>15.394</v>
      </c>
      <c r="T44" s="67">
        <f>ROUND(T9*1.2-SUM(交易记录!U11,交易记录!U75,交易记录!U139,交易记录!U203,交易记录!U267,交易记录!U331,交易记录!U395,交易记录!U459,交易记录!U523,交易记录!U587,交易记录!U651,交易记录!U715,交易记录!U779,交易记录!U843,交易记录!U907),3)</f>
        <v>15.394</v>
      </c>
      <c r="U44" s="67">
        <f>ROUND(U9*1.2-SUM(交易记录!V11,交易记录!V75,交易记录!V139,交易记录!V203,交易记录!V267,交易记录!V331,交易记录!V395,交易记录!V459,交易记录!V523,交易记录!V587,交易记录!V651,交易记录!V715,交易记录!V779,交易记录!V843,交易记录!V907),3)</f>
        <v>15.433</v>
      </c>
      <c r="V44" s="67">
        <f>ROUND(V9*1.2-SUM(交易记录!W11,交易记录!W75,交易记录!W139,交易记录!W203,交易记录!W267,交易记录!W331,交易记录!W395,交易记录!W459,交易记录!W523,交易记录!W587,交易记录!W651,交易记录!W715,交易记录!W779,交易记录!W843,交易记录!W907),3)</f>
        <v>14.954000000000001</v>
      </c>
      <c r="W44" s="67">
        <f>ROUND(W9*1.2-SUM(交易记录!X11,交易记录!X75,交易记录!X139,交易记录!X203,交易记录!X267,交易记录!X331,交易记录!X395,交易记录!X459,交易记录!X523,交易记录!X587,交易记录!X651,交易记录!X715,交易记录!X779,交易记录!X843,交易记录!X907),3)</f>
        <v>14.914999999999999</v>
      </c>
      <c r="X44" s="67">
        <f>ROUND(X9*1.2-SUM(交易记录!Y11,交易记录!Y75,交易记录!Y139,交易记录!Y203,交易记录!Y267,交易记录!Y331,交易记录!Y395,交易记录!Y459,交易记录!Y523,交易记录!Y587,交易记录!Y651,交易记录!Y715,交易记录!Y779,交易记录!Y843,交易记录!Y907),3)</f>
        <v>15.394</v>
      </c>
      <c r="Y44" s="67">
        <f>ROUND(Y9*1.2-SUM(交易记录!Z11,交易记录!Z75,交易记录!Z139,交易记录!Z203,交易记录!Z267,交易记录!Z331,交易记录!Z395,交易记录!Z459,交易记录!Z523,交易记录!Z587,交易记录!Z651,交易记录!Z715,交易记录!Z779,交易记录!Z843,交易记录!Z907),3)</f>
        <v>15.394</v>
      </c>
      <c r="Z44" s="67">
        <f>ROUND(Z9*1.2-SUM(交易记录!AA11,交易记录!AA75,交易记录!AA139,交易记录!AA203,交易记录!AA267,交易记录!AA331,交易记录!AA395,交易记录!AA459,交易记录!AA523,交易记录!AA587,交易记录!AA651,交易记录!AA715,交易记录!AA779,交易记录!AA843,交易记录!AA907),3)</f>
        <v>15.394</v>
      </c>
      <c r="AA44" s="67">
        <f>ROUND(AA9*1.2-SUM(交易记录!AB11,交易记录!AB75,交易记录!AB139,交易记录!AB203,交易记录!AB267,交易记录!AB331,交易记录!AB395,交易记录!AB459,交易记录!AB523,交易记录!AB587,交易记录!AB651,交易记录!AB715,交易记录!AB779,交易记录!AB843,交易记录!AB907),3)</f>
        <v>15.394</v>
      </c>
      <c r="AB44" s="67">
        <f>ROUND(AB9*1.2-SUM(交易记录!AC11,交易记录!AC75,交易记录!AC139,交易记录!AC203,交易记录!AC267,交易记录!AC331,交易记录!AC395,交易记录!AC459,交易记录!AC523,交易记录!AC587,交易记录!AC651,交易记录!AC715,交易记录!AC779,交易记录!AC843,交易记录!AC907),3)</f>
        <v>15.433</v>
      </c>
      <c r="AC44" s="67">
        <f>ROUND(AC9*1.2-SUM(交易记录!AD11,交易记录!AD75,交易记录!AD139,交易记录!AD203,交易记录!AD267,交易记录!AD331,交易记录!AD395,交易记录!AD459,交易记录!AD523,交易记录!AD587,交易记录!AD651,交易记录!AD715,交易记录!AD779,交易记录!AD843,交易记录!AD907),3)</f>
        <v>14.954000000000001</v>
      </c>
      <c r="AD44" s="67">
        <f>ROUND(AD9*1.2-SUM(交易记录!AE11,交易记录!AE75,交易记录!AE139,交易记录!AE203,交易记录!AE267,交易记录!AE331,交易记录!AE395,交易记录!AE459,交易记录!AE523,交易记录!AE587,交易记录!AE651,交易记录!AE715,交易记录!AE779,交易记录!AE843,交易记录!AE907),3)</f>
        <v>14.914999999999999</v>
      </c>
      <c r="AE44" s="67">
        <f>ROUND(AE9*1.2-SUM(交易记录!AF11,交易记录!AF75,交易记录!AF139,交易记录!AF203,交易记录!AF267,交易记录!AF331,交易记录!AF395,交易记录!AF459,交易记录!AF523,交易记录!AF587,交易记录!AF651,交易记录!AF715,交易记录!AF779,交易记录!AF843,交易记录!AF907),3)</f>
        <v>15.394</v>
      </c>
      <c r="AF44" s="67">
        <f>ROUND(AF9*1.2-SUM(交易记录!AG11,交易记录!AG75,交易记录!AG139,交易记录!AG203,交易记录!AG267,交易记录!AG331,交易记录!AG395,交易记录!AG459,交易记录!AG523,交易记录!AG587,交易记录!AG651,交易记录!AG715,交易记录!AG779,交易记录!AG843,交易记录!AG907),3)</f>
        <v>15.394</v>
      </c>
      <c r="AG44" s="67">
        <f>ROUND(AG9*1.2-SUM(交易记录!AH11,交易记录!AH75,交易记录!AH139,交易记录!AH203,交易记录!AH267,交易记录!AH331,交易记录!AH395,交易记录!AH459,交易记录!AH523,交易记录!AH587,交易记录!AH651,交易记录!AH715,交易记录!AH779,交易记录!AH843,交易记录!AH907),3)</f>
        <v>15.394</v>
      </c>
    </row>
    <row r="45" spans="2:33" ht="15">
      <c r="B45" s="7" t="s">
        <v>13</v>
      </c>
      <c r="C45" s="67">
        <f>ROUND(C10*1.2-SUM(交易记录!D12,交易记录!D76,交易记录!D140,交易记录!D204,交易记录!D268,交易记录!D332,交易记录!D396,交易记录!D460,交易记录!D524,交易记录!D588,交易记录!D652,交易记录!D716,交易记录!D780,交易记录!D844,交易记录!D908),3)</f>
        <v>15.786</v>
      </c>
      <c r="D45" s="67">
        <f>ROUND(D10*1.2-SUM(交易记录!E12,交易记录!E76,交易记录!E140,交易记录!E204,交易记录!E268,交易记录!E332,交易记录!E396,交易记录!E460,交易记录!E524,交易记录!E588,交易记录!E652,交易记录!E716,交易记录!E780,交易记录!E844,交易记录!E908),3)</f>
        <v>15.614000000000001</v>
      </c>
      <c r="E45" s="67">
        <f>ROUND(E10*1.2-SUM(交易记录!F12,交易记录!F76,交易记录!F140,交易记录!F204,交易记录!F268,交易记录!F332,交易记录!F396,交易记录!F460,交易记录!F524,交易记录!F588,交易记录!F652,交易记录!F716,交易记录!F780,交易记录!F844,交易记录!F908),3)</f>
        <v>15.614000000000001</v>
      </c>
      <c r="F45" s="67">
        <f>ROUND(F10*1.2-SUM(交易记录!G12,交易记录!G76,交易记录!G140,交易记录!G204,交易记录!G268,交易记录!G332,交易记录!G396,交易记录!G460,交易记录!G524,交易记录!G588,交易记录!G652,交易记录!G716,交易记录!G780,交易记录!G844,交易记录!G908),3)</f>
        <v>15.614000000000001</v>
      </c>
      <c r="G45" s="67">
        <f>ROUND(G10*1.2-SUM(交易记录!H12,交易记录!H76,交易记录!H140,交易记录!H204,交易记录!H268,交易记录!H332,交易记录!H396,交易记录!H460,交易记录!H524,交易记录!H588,交易记录!H652,交易记录!H716,交易记录!H780,交易记录!H844,交易记录!H908),3)</f>
        <v>14.787000000000001</v>
      </c>
      <c r="H45" s="67">
        <f>ROUND(H10*1.2-SUM(交易记录!I12,交易记录!I76,交易记录!I140,交易记录!I204,交易记录!I268,交易记录!I332,交易记录!I396,交易记录!I460,交易记录!I524,交易记录!I588,交易记录!I652,交易记录!I716,交易记录!I780,交易记录!I844,交易记录!I908),3)</f>
        <v>14.787000000000001</v>
      </c>
      <c r="I45" s="67">
        <f>ROUND(I10*1.2-SUM(交易记录!J12,交易记录!J76,交易记录!J140,交易记录!J204,交易记录!J268,交易记录!J332,交易记录!J396,交易记录!J460,交易记录!J524,交易记录!J588,交易记录!J652,交易记录!J716,交易记录!J780,交易记录!J844,交易记录!J908),3)</f>
        <v>15.614000000000001</v>
      </c>
      <c r="J45" s="67">
        <f>ROUND(J10*1.2-SUM(交易记录!K12,交易记录!K76,交易记录!K140,交易记录!K204,交易记录!K268,交易记录!K332,交易记录!K396,交易记录!K460,交易记录!K524,交易记录!K588,交易记录!K652,交易记录!K716,交易记录!K780,交易记录!K844,交易记录!K908),3)</f>
        <v>15.614000000000001</v>
      </c>
      <c r="K45" s="67">
        <f>ROUND(K10*1.2-SUM(交易记录!L12,交易记录!L76,交易记录!L140,交易记录!L204,交易记录!L268,交易记录!L332,交易记录!L396,交易记录!L460,交易记录!L524,交易记录!L588,交易记录!L652,交易记录!L716,交易记录!L780,交易记录!L844,交易记录!L908),3)</f>
        <v>15.614000000000001</v>
      </c>
      <c r="L45" s="67">
        <f>ROUND(L10*1.2-SUM(交易记录!M12,交易记录!M76,交易记录!M140,交易记录!M204,交易记录!M268,交易记录!M332,交易记录!M396,交易记录!M460,交易记录!M524,交易记录!M588,交易记录!M652,交易记录!M716,交易记录!M780,交易记录!M844,交易记录!M908),3)</f>
        <v>15.614000000000001</v>
      </c>
      <c r="M45" s="67">
        <f>ROUND(M10*1.2-SUM(交易记录!N12,交易记录!N76,交易记录!N140,交易记录!N204,交易记录!N268,交易记录!N332,交易记录!N396,交易记录!N460,交易记录!N524,交易记录!N588,交易记录!N652,交易记录!N716,交易记录!N780,交易记录!N844,交易记录!N908),3)</f>
        <v>15.614000000000001</v>
      </c>
      <c r="N45" s="67">
        <f>ROUND(N10*1.2-SUM(交易记录!O12,交易记录!O76,交易记录!O140,交易记录!O204,交易记录!O268,交易记录!O332,交易记录!O396,交易记录!O460,交易记录!O524,交易记录!O588,交易记录!O652,交易记录!O716,交易记录!O780,交易记录!O844,交易记录!O908),3)</f>
        <v>14.787000000000001</v>
      </c>
      <c r="O45" s="67">
        <f>ROUND(O10*1.2-SUM(交易记录!P12,交易记录!P76,交易记录!P140,交易记录!P204,交易记录!P268,交易记录!P332,交易记录!P396,交易记录!P460,交易记录!P524,交易记录!P588,交易记录!P652,交易记录!P716,交易记录!P780,交易记录!P844,交易记录!P908),3)</f>
        <v>14.787000000000001</v>
      </c>
      <c r="P45" s="67">
        <f>ROUND(P10*1.2-SUM(交易记录!Q12,交易记录!Q76,交易记录!Q140,交易记录!Q204,交易记录!Q268,交易记录!Q332,交易记录!Q396,交易记录!Q460,交易记录!Q524,交易记录!Q588,交易记录!Q652,交易记录!Q716,交易记录!Q780,交易记录!Q844,交易记录!Q908),3)</f>
        <v>15.614000000000001</v>
      </c>
      <c r="Q45" s="67">
        <f>ROUND(Q10*1.2-SUM(交易记录!R12,交易记录!R76,交易记录!R140,交易记录!R204,交易记录!R268,交易记录!R332,交易记录!R396,交易记录!R460,交易记录!R524,交易记录!R588,交易记录!R652,交易记录!R716,交易记录!R780,交易记录!R844,交易记录!R908),3)</f>
        <v>15.614000000000001</v>
      </c>
      <c r="R45" s="67">
        <f>ROUND(R10*1.2-SUM(交易记录!S12,交易记录!S76,交易记录!S140,交易记录!S204,交易记录!S268,交易记录!S332,交易记录!S396,交易记录!S460,交易记录!S524,交易记录!S588,交易记录!S652,交易记录!S716,交易记录!S780,交易记录!S844,交易记录!S908),3)</f>
        <v>15.614000000000001</v>
      </c>
      <c r="S45" s="67">
        <f>ROUND(S10*1.2-SUM(交易记录!T12,交易记录!T76,交易记录!T140,交易记录!T204,交易记录!T268,交易记录!T332,交易记录!T396,交易记录!T460,交易记录!T524,交易记录!T588,交易记录!T652,交易记录!T716,交易记录!T780,交易记录!T844,交易记录!T908),3)</f>
        <v>15.614000000000001</v>
      </c>
      <c r="T45" s="67">
        <f>ROUND(T10*1.2-SUM(交易记录!U12,交易记录!U76,交易记录!U140,交易记录!U204,交易记录!U268,交易记录!U332,交易记录!U396,交易记录!U460,交易记录!U524,交易记录!U588,交易记录!U652,交易记录!U716,交易记录!U780,交易记录!U844,交易记录!U908),3)</f>
        <v>15.614000000000001</v>
      </c>
      <c r="U45" s="67">
        <f>ROUND(U10*1.2-SUM(交易记录!V12,交易记录!V76,交易记录!V140,交易记录!V204,交易记录!V268,交易记录!V332,交易记录!V396,交易记录!V460,交易记录!V524,交易记录!V588,交易记录!V652,交易记录!V716,交易记录!V780,交易记录!V844,交易记录!V908),3)</f>
        <v>15.805</v>
      </c>
      <c r="V45" s="67">
        <f>ROUND(V10*1.2-SUM(交易记录!W12,交易记录!W76,交易记录!W140,交易记录!W204,交易记录!W268,交易记录!W332,交易记录!W396,交易记录!W460,交易记录!W524,交易记录!W588,交易记录!W652,交易记录!W716,交易记录!W780,交易记录!W844,交易记录!W908),3)</f>
        <v>14.787000000000001</v>
      </c>
      <c r="W45" s="67">
        <f>ROUND(W10*1.2-SUM(交易记录!X12,交易记录!X76,交易记录!X140,交易记录!X204,交易记录!X268,交易记录!X332,交易记录!X396,交易记录!X460,交易记录!X524,交易记录!X588,交易记录!X652,交易记录!X716,交易记录!X780,交易记录!X844,交易记录!X908),3)</f>
        <v>14.596</v>
      </c>
      <c r="X45" s="67">
        <f>ROUND(X10*1.2-SUM(交易记录!Y12,交易记录!Y76,交易记录!Y140,交易记录!Y204,交易记录!Y268,交易记录!Y332,交易记录!Y396,交易记录!Y460,交易记录!Y524,交易记录!Y588,交易记录!Y652,交易记录!Y716,交易记录!Y780,交易记录!Y844,交易记录!Y908),3)</f>
        <v>15.614000000000001</v>
      </c>
      <c r="Y45" s="67">
        <f>ROUND(Y10*1.2-SUM(交易记录!Z12,交易记录!Z76,交易记录!Z140,交易记录!Z204,交易记录!Z268,交易记录!Z332,交易记录!Z396,交易记录!Z460,交易记录!Z524,交易记录!Z588,交易记录!Z652,交易记录!Z716,交易记录!Z780,交易记录!Z844,交易记录!Z908),3)</f>
        <v>15.614000000000001</v>
      </c>
      <c r="Z45" s="67">
        <f>ROUND(Z10*1.2-SUM(交易记录!AA12,交易记录!AA76,交易记录!AA140,交易记录!AA204,交易记录!AA268,交易记录!AA332,交易记录!AA396,交易记录!AA460,交易记录!AA524,交易记录!AA588,交易记录!AA652,交易记录!AA716,交易记录!AA780,交易记录!AA844,交易记录!AA908),3)</f>
        <v>15.614000000000001</v>
      </c>
      <c r="AA45" s="67">
        <f>ROUND(AA10*1.2-SUM(交易记录!AB12,交易记录!AB76,交易记录!AB140,交易记录!AB204,交易记录!AB268,交易记录!AB332,交易记录!AB396,交易记录!AB460,交易记录!AB524,交易记录!AB588,交易记录!AB652,交易记录!AB716,交易记录!AB780,交易记录!AB844,交易记录!AB908),3)</f>
        <v>15.614000000000001</v>
      </c>
      <c r="AB45" s="67">
        <f>ROUND(AB10*1.2-SUM(交易记录!AC12,交易记录!AC76,交易记录!AC140,交易记录!AC204,交易记录!AC268,交易记录!AC332,交易记录!AC396,交易记录!AC460,交易记录!AC524,交易记录!AC588,交易记录!AC652,交易记录!AC716,交易记录!AC780,交易记录!AC844,交易记录!AC908),3)</f>
        <v>15.805</v>
      </c>
      <c r="AC45" s="67">
        <f>ROUND(AC10*1.2-SUM(交易记录!AD12,交易记录!AD76,交易记录!AD140,交易记录!AD204,交易记录!AD268,交易记录!AD332,交易记录!AD396,交易记录!AD460,交易记录!AD524,交易记录!AD588,交易记录!AD652,交易记录!AD716,交易记录!AD780,交易记录!AD844,交易记录!AD908),3)</f>
        <v>14.787000000000001</v>
      </c>
      <c r="AD45" s="67">
        <f>ROUND(AD10*1.2-SUM(交易记录!AE12,交易记录!AE76,交易记录!AE140,交易记录!AE204,交易记录!AE268,交易记录!AE332,交易记录!AE396,交易记录!AE460,交易记录!AE524,交易记录!AE588,交易记录!AE652,交易记录!AE716,交易记录!AE780,交易记录!AE844,交易记录!AE908),3)</f>
        <v>14.596</v>
      </c>
      <c r="AE45" s="67">
        <f>ROUND(AE10*1.2-SUM(交易记录!AF12,交易记录!AF76,交易记录!AF140,交易记录!AF204,交易记录!AF268,交易记录!AF332,交易记录!AF396,交易记录!AF460,交易记录!AF524,交易记录!AF588,交易记录!AF652,交易记录!AF716,交易记录!AF780,交易记录!AF844,交易记录!AF908),3)</f>
        <v>15.614000000000001</v>
      </c>
      <c r="AF45" s="67">
        <f>ROUND(AF10*1.2-SUM(交易记录!AG12,交易记录!AG76,交易记录!AG140,交易记录!AG204,交易记录!AG268,交易记录!AG332,交易记录!AG396,交易记录!AG460,交易记录!AG524,交易记录!AG588,交易记录!AG652,交易记录!AG716,交易记录!AG780,交易记录!AG844,交易记录!AG908),3)</f>
        <v>15.614000000000001</v>
      </c>
      <c r="AG45" s="67">
        <f>ROUND(AG10*1.2-SUM(交易记录!AH12,交易记录!AH76,交易记录!AH140,交易记录!AH204,交易记录!AH268,交易记录!AH332,交易记录!AH396,交易记录!AH460,交易记录!AH524,交易记录!AH588,交易记录!AH652,交易记录!AH716,交易记录!AH780,交易记录!AH844,交易记录!AH908),3)</f>
        <v>15.614000000000001</v>
      </c>
    </row>
    <row r="46" spans="2:33" ht="15">
      <c r="B46" s="7" t="s">
        <v>14</v>
      </c>
      <c r="C46" s="67">
        <f>ROUND(C11*1.2-SUM(交易记录!D13,交易记录!D77,交易记录!D141,交易记录!D205,交易记录!D269,交易记录!D333,交易记录!D397,交易记录!D461,交易记录!D525,交易记录!D589,交易记录!D653,交易记录!D717,交易记录!D781,交易记录!D845,交易记录!D909),3)</f>
        <v>18.693999999999999</v>
      </c>
      <c r="D46" s="67">
        <f>ROUND(D11*1.2-SUM(交易记录!E13,交易记录!E77,交易记录!E141,交易记录!E205,交易记录!E269,交易记录!E333,交易记录!E397,交易记录!E461,交易记录!E525,交易记录!E589,交易记录!E653,交易记录!E717,交易记录!E781,交易记录!E845,交易记录!E909),3)</f>
        <v>18.527000000000001</v>
      </c>
      <c r="E46" s="67">
        <f>ROUND(E11*1.2-SUM(交易记录!F13,交易记录!F77,交易记录!F141,交易记录!F205,交易记录!F269,交易记录!F333,交易记录!F397,交易记录!F461,交易记录!F525,交易记录!F589,交易记录!F653,交易记录!F717,交易记录!F781,交易记录!F845,交易记录!F909),3)</f>
        <v>18.527000000000001</v>
      </c>
      <c r="F46" s="67">
        <f>ROUND(F11*1.2-SUM(交易记录!G13,交易记录!G77,交易记录!G141,交易记录!G205,交易记录!G269,交易记录!G333,交易记录!G397,交易记录!G461,交易记录!G525,交易记录!G589,交易记录!G653,交易记录!G717,交易记录!G781,交易记录!G845,交易记录!G909),3)</f>
        <v>18.527000000000001</v>
      </c>
      <c r="G46" s="67">
        <f>ROUND(G11*1.2-SUM(交易记录!H13,交易记录!H77,交易记录!H141,交易记录!H205,交易记录!H269,交易记录!H333,交易记录!H397,交易记录!H461,交易记录!H525,交易记录!H589,交易记录!H653,交易记录!H717,交易记录!H781,交易记录!H845,交易记录!H909),3)</f>
        <v>16.27</v>
      </c>
      <c r="H46" s="67">
        <f>ROUND(H11*1.2-SUM(交易记录!I13,交易记录!I77,交易记录!I141,交易记录!I205,交易记录!I269,交易记录!I333,交易记录!I397,交易记录!I461,交易记录!I525,交易记录!I589,交易记录!I653,交易记录!I717,交易记录!I781,交易记录!I845,交易记录!I909),3)</f>
        <v>16.27</v>
      </c>
      <c r="I46" s="67">
        <f>ROUND(I11*1.2-SUM(交易记录!J13,交易记录!J77,交易记录!J141,交易记录!J205,交易记录!J269,交易记录!J333,交易记录!J397,交易记录!J461,交易记录!J525,交易记录!J589,交易记录!J653,交易记录!J717,交易记录!J781,交易记录!J845,交易记录!J909),3)</f>
        <v>18.527000000000001</v>
      </c>
      <c r="J46" s="67">
        <f>ROUND(J11*1.2-SUM(交易记录!K13,交易记录!K77,交易记录!K141,交易记录!K205,交易记录!K269,交易记录!K333,交易记录!K397,交易记录!K461,交易记录!K525,交易记录!K589,交易记录!K653,交易记录!K717,交易记录!K781,交易记录!K845,交易记录!K909),3)</f>
        <v>18.527000000000001</v>
      </c>
      <c r="K46" s="67">
        <f>ROUND(K11*1.2-SUM(交易记录!L13,交易记录!L77,交易记录!L141,交易记录!L205,交易记录!L269,交易记录!L333,交易记录!L397,交易记录!L461,交易记录!L525,交易记录!L589,交易记录!L653,交易记录!L717,交易记录!L781,交易记录!L845,交易记录!L909),3)</f>
        <v>18.527000000000001</v>
      </c>
      <c r="L46" s="67">
        <f>ROUND(L11*1.2-SUM(交易记录!M13,交易记录!M77,交易记录!M141,交易记录!M205,交易记录!M269,交易记录!M333,交易记录!M397,交易记录!M461,交易记录!M525,交易记录!M589,交易记录!M653,交易记录!M717,交易记录!M781,交易记录!M845,交易记录!M909),3)</f>
        <v>18.527000000000001</v>
      </c>
      <c r="M46" s="67">
        <f>ROUND(M11*1.2-SUM(交易记录!N13,交易记录!N77,交易记录!N141,交易记录!N205,交易记录!N269,交易记录!N333,交易记录!N397,交易记录!N461,交易记录!N525,交易记录!N589,交易记录!N653,交易记录!N717,交易记录!N781,交易记录!N845,交易记录!N909),3)</f>
        <v>18.527000000000001</v>
      </c>
      <c r="N46" s="67">
        <f>ROUND(N11*1.2-SUM(交易记录!O13,交易记录!O77,交易记录!O141,交易记录!O205,交易记录!O269,交易记录!O333,交易记录!O397,交易记录!O461,交易记录!O525,交易记录!O589,交易记录!O653,交易记录!O717,交易记录!O781,交易记录!O845,交易记录!O909),3)</f>
        <v>16.27</v>
      </c>
      <c r="O46" s="67">
        <f>ROUND(O11*1.2-SUM(交易记录!P13,交易记录!P77,交易记录!P141,交易记录!P205,交易记录!P269,交易记录!P333,交易记录!P397,交易记录!P461,交易记录!P525,交易记录!P589,交易记录!P653,交易记录!P717,交易记录!P781,交易记录!P845,交易记录!P909),3)</f>
        <v>16.27</v>
      </c>
      <c r="P46" s="67">
        <f>ROUND(P11*1.2-SUM(交易记录!Q13,交易记录!Q77,交易记录!Q141,交易记录!Q205,交易记录!Q269,交易记录!Q333,交易记录!Q397,交易记录!Q461,交易记录!Q525,交易记录!Q589,交易记录!Q653,交易记录!Q717,交易记录!Q781,交易记录!Q845,交易记录!Q909),3)</f>
        <v>18.527000000000001</v>
      </c>
      <c r="Q46" s="67">
        <f>ROUND(Q11*1.2-SUM(交易记录!R13,交易记录!R77,交易记录!R141,交易记录!R205,交易记录!R269,交易记录!R333,交易记录!R397,交易记录!R461,交易记录!R525,交易记录!R589,交易记录!R653,交易记录!R717,交易记录!R781,交易记录!R845,交易记录!R909),3)</f>
        <v>18.527000000000001</v>
      </c>
      <c r="R46" s="67">
        <f>ROUND(R11*1.2-SUM(交易记录!S13,交易记录!S77,交易记录!S141,交易记录!S205,交易记录!S269,交易记录!S333,交易记录!S397,交易记录!S461,交易记录!S525,交易记录!S589,交易记录!S653,交易记录!S717,交易记录!S781,交易记录!S845,交易记录!S909),3)</f>
        <v>18.527000000000001</v>
      </c>
      <c r="S46" s="67">
        <f>ROUND(S11*1.2-SUM(交易记录!T13,交易记录!T77,交易记录!T141,交易记录!T205,交易记录!T269,交易记录!T333,交易记录!T397,交易记录!T461,交易记录!T525,交易记录!T589,交易记录!T653,交易记录!T717,交易记录!T781,交易记录!T845,交易记录!T909),3)</f>
        <v>18.527000000000001</v>
      </c>
      <c r="T46" s="67">
        <f>ROUND(T11*1.2-SUM(交易记录!U13,交易记录!U77,交易记录!U141,交易记录!U205,交易记录!U269,交易记录!U333,交易记录!U397,交易记录!U461,交易记录!U525,交易记录!U589,交易记录!U653,交易记录!U717,交易记录!U781,交易记录!U845,交易记录!U909),3)</f>
        <v>18.527000000000001</v>
      </c>
      <c r="U46" s="67">
        <f>ROUND(U11*1.2-SUM(交易记录!V13,交易记录!V77,交易记录!V141,交易记录!V205,交易记录!V269,交易记录!V333,交易记录!V397,交易记录!V461,交易记录!V525,交易记录!V589,交易记录!V653,交易记录!V717,交易记录!V781,交易记录!V845,交易记录!V909),3)</f>
        <v>18.832999999999998</v>
      </c>
      <c r="V46" s="67">
        <f>ROUND(V11*1.2-SUM(交易记录!W13,交易记录!W77,交易记录!W141,交易记录!W205,交易记录!W269,交易记录!W333,交易记录!W397,交易记录!W461,交易记录!W525,交易记录!W589,交易记录!W653,交易记录!W717,交易记录!W781,交易记录!W845,交易记录!W909),3)</f>
        <v>16.27</v>
      </c>
      <c r="W46" s="67">
        <f>ROUND(W11*1.2-SUM(交易记录!X13,交易记录!X77,交易记录!X141,交易记录!X205,交易记录!X269,交易记录!X333,交易记录!X397,交易记录!X461,交易记录!X525,交易记录!X589,交易记录!X653,交易记录!X717,交易记录!X781,交易记录!X845,交易记录!X909),3)</f>
        <v>15.964</v>
      </c>
      <c r="X46" s="67">
        <f>ROUND(X11*1.2-SUM(交易记录!Y13,交易记录!Y77,交易记录!Y141,交易记录!Y205,交易记录!Y269,交易记录!Y333,交易记录!Y397,交易记录!Y461,交易记录!Y525,交易记录!Y589,交易记录!Y653,交易记录!Y717,交易记录!Y781,交易记录!Y845,交易记录!Y909),3)</f>
        <v>18.527000000000001</v>
      </c>
      <c r="Y46" s="67">
        <f>ROUND(Y11*1.2-SUM(交易记录!Z13,交易记录!Z77,交易记录!Z141,交易记录!Z205,交易记录!Z269,交易记录!Z333,交易记录!Z397,交易记录!Z461,交易记录!Z525,交易记录!Z589,交易记录!Z653,交易记录!Z717,交易记录!Z781,交易记录!Z845,交易记录!Z909),3)</f>
        <v>18.527000000000001</v>
      </c>
      <c r="Z46" s="67">
        <f>ROUND(Z11*1.2-SUM(交易记录!AA13,交易记录!AA77,交易记录!AA141,交易记录!AA205,交易记录!AA269,交易记录!AA333,交易记录!AA397,交易记录!AA461,交易记录!AA525,交易记录!AA589,交易记录!AA653,交易记录!AA717,交易记录!AA781,交易记录!AA845,交易记录!AA909),3)</f>
        <v>18.527000000000001</v>
      </c>
      <c r="AA46" s="67">
        <f>ROUND(AA11*1.2-SUM(交易记录!AB13,交易记录!AB77,交易记录!AB141,交易记录!AB205,交易记录!AB269,交易记录!AB333,交易记录!AB397,交易记录!AB461,交易记录!AB525,交易记录!AB589,交易记录!AB653,交易记录!AB717,交易记录!AB781,交易记录!AB845,交易记录!AB909),3)</f>
        <v>18.527000000000001</v>
      </c>
      <c r="AB46" s="67">
        <f>ROUND(AB11*1.2-SUM(交易记录!AC13,交易记录!AC77,交易记录!AC141,交易记录!AC205,交易记录!AC269,交易记录!AC333,交易记录!AC397,交易记录!AC461,交易记录!AC525,交易记录!AC589,交易记录!AC653,交易记录!AC717,交易记录!AC781,交易记录!AC845,交易记录!AC909),3)</f>
        <v>18.832999999999998</v>
      </c>
      <c r="AC46" s="67">
        <f>ROUND(AC11*1.2-SUM(交易记录!AD13,交易记录!AD77,交易记录!AD141,交易记录!AD205,交易记录!AD269,交易记录!AD333,交易记录!AD397,交易记录!AD461,交易记录!AD525,交易记录!AD589,交易记录!AD653,交易记录!AD717,交易记录!AD781,交易记录!AD845,交易记录!AD909),3)</f>
        <v>16.27</v>
      </c>
      <c r="AD46" s="67">
        <f>ROUND(AD11*1.2-SUM(交易记录!AE13,交易记录!AE77,交易记录!AE141,交易记录!AE205,交易记录!AE269,交易记录!AE333,交易记录!AE397,交易记录!AE461,交易记录!AE525,交易记录!AE589,交易记录!AE653,交易记录!AE717,交易记录!AE781,交易记录!AE845,交易记录!AE909),3)</f>
        <v>15.964</v>
      </c>
      <c r="AE46" s="67">
        <f>ROUND(AE11*1.2-SUM(交易记录!AF13,交易记录!AF77,交易记录!AF141,交易记录!AF205,交易记录!AF269,交易记录!AF333,交易记录!AF397,交易记录!AF461,交易记录!AF525,交易记录!AF589,交易记录!AF653,交易记录!AF717,交易记录!AF781,交易记录!AF845,交易记录!AF909),3)</f>
        <v>18.527000000000001</v>
      </c>
      <c r="AF46" s="67">
        <f>ROUND(AF11*1.2-SUM(交易记录!AG13,交易记录!AG77,交易记录!AG141,交易记录!AG205,交易记录!AG269,交易记录!AG333,交易记录!AG397,交易记录!AG461,交易记录!AG525,交易记录!AG589,交易记录!AG653,交易记录!AG717,交易记录!AG781,交易记录!AG845,交易记录!AG909),3)</f>
        <v>18.527000000000001</v>
      </c>
      <c r="AG46" s="67">
        <f>ROUND(AG11*1.2-SUM(交易记录!AH13,交易记录!AH77,交易记录!AH141,交易记录!AH205,交易记录!AH269,交易记录!AH333,交易记录!AH397,交易记录!AH461,交易记录!AH525,交易记录!AH589,交易记录!AH653,交易记录!AH717,交易记录!AH781,交易记录!AH845,交易记录!AH909),3)</f>
        <v>18.527000000000001</v>
      </c>
    </row>
    <row r="47" spans="2:33" ht="15">
      <c r="B47" s="7" t="s">
        <v>15</v>
      </c>
      <c r="C47" s="67">
        <f>ROUND(C12*1.2-SUM(交易记录!D14,交易记录!D78,交易记录!D142,交易记录!D206,交易记录!D270,交易记录!D334,交易记录!D398,交易记录!D462,交易记录!D526,交易记录!D590,交易记录!D654,交易记录!D718,交易记录!D782,交易记录!D846,交易记录!D910),3)</f>
        <v>22.89</v>
      </c>
      <c r="D47" s="67">
        <f>ROUND(D12*1.2-SUM(交易记录!E14,交易记录!E78,交易记录!E142,交易记录!E206,交易记录!E270,交易记录!E334,交易记录!E398,交易记录!E462,交易记录!E526,交易记录!E590,交易记录!E654,交易记录!E718,交易记录!E782,交易记录!E846,交易记录!E910),3)</f>
        <v>22.709</v>
      </c>
      <c r="E47" s="67">
        <f>ROUND(E12*1.2-SUM(交易记录!F14,交易记录!F78,交易记录!F142,交易记录!F206,交易记录!F270,交易记录!F334,交易记录!F398,交易记录!F462,交易记录!F526,交易记录!F590,交易记录!F654,交易记录!F718,交易记录!F782,交易记录!F846,交易记录!F910),3)</f>
        <v>22.709</v>
      </c>
      <c r="F47" s="67">
        <f>ROUND(F12*1.2-SUM(交易记录!G14,交易记录!G78,交易记录!G142,交易记录!G206,交易记录!G270,交易记录!G334,交易记录!G398,交易记录!G462,交易记录!G526,交易记录!G590,交易记录!G654,交易记录!G718,交易记录!G782,交易记录!G846,交易记录!G910),3)</f>
        <v>22.709</v>
      </c>
      <c r="G47" s="67">
        <f>ROUND(G12*1.2-SUM(交易记录!H14,交易记录!H78,交易记录!H142,交易记录!H206,交易记录!H270,交易记录!H334,交易记录!H398,交易记录!H462,交易记录!H526,交易记录!H590,交易记录!H654,交易记录!H718,交易记录!H782,交易记录!H846,交易记录!H910),3)</f>
        <v>20.071999999999999</v>
      </c>
      <c r="H47" s="67">
        <f>ROUND(H12*1.2-SUM(交易记录!I14,交易记录!I78,交易记录!I142,交易记录!I206,交易记录!I270,交易记录!I334,交易记录!I398,交易记录!I462,交易记录!I526,交易记录!I590,交易记录!I654,交易记录!I718,交易记录!I782,交易记录!I846,交易记录!I910),3)</f>
        <v>20.071999999999999</v>
      </c>
      <c r="I47" s="67">
        <f>ROUND(I12*1.2-SUM(交易记录!J14,交易记录!J78,交易记录!J142,交易记录!J206,交易记录!J270,交易记录!J334,交易记录!J398,交易记录!J462,交易记录!J526,交易记录!J590,交易记录!J654,交易记录!J718,交易记录!J782,交易记录!J846,交易记录!J910),3)</f>
        <v>22.709</v>
      </c>
      <c r="J47" s="67">
        <f>ROUND(J12*1.2-SUM(交易记录!K14,交易记录!K78,交易记录!K142,交易记录!K206,交易记录!K270,交易记录!K334,交易记录!K398,交易记录!K462,交易记录!K526,交易记录!K590,交易记录!K654,交易记录!K718,交易记录!K782,交易记录!K846,交易记录!K910),3)</f>
        <v>22.709</v>
      </c>
      <c r="K47" s="67">
        <f>ROUND(K12*1.2-SUM(交易记录!L14,交易记录!L78,交易记录!L142,交易记录!L206,交易记录!L270,交易记录!L334,交易记录!L398,交易记录!L462,交易记录!L526,交易记录!L590,交易记录!L654,交易记录!L718,交易记录!L782,交易记录!L846,交易记录!L910),3)</f>
        <v>22.709</v>
      </c>
      <c r="L47" s="67">
        <f>ROUND(L12*1.2-SUM(交易记录!M14,交易记录!M78,交易记录!M142,交易记录!M206,交易记录!M270,交易记录!M334,交易记录!M398,交易记录!M462,交易记录!M526,交易记录!M590,交易记录!M654,交易记录!M718,交易记录!M782,交易记录!M846,交易记录!M910),3)</f>
        <v>22.709</v>
      </c>
      <c r="M47" s="67">
        <f>ROUND(M12*1.2-SUM(交易记录!N14,交易记录!N78,交易记录!N142,交易记录!N206,交易记录!N270,交易记录!N334,交易记录!N398,交易记录!N462,交易记录!N526,交易记录!N590,交易记录!N654,交易记录!N718,交易记录!N782,交易记录!N846,交易记录!N910),3)</f>
        <v>22.709</v>
      </c>
      <c r="N47" s="67">
        <f>ROUND(N12*1.2-SUM(交易记录!O14,交易记录!O78,交易记录!O142,交易记录!O206,交易记录!O270,交易记录!O334,交易记录!O398,交易记录!O462,交易记录!O526,交易记录!O590,交易记录!O654,交易记录!O718,交易记录!O782,交易记录!O846,交易记录!O910),3)</f>
        <v>20.071999999999999</v>
      </c>
      <c r="O47" s="67">
        <f>ROUND(O12*1.2-SUM(交易记录!P14,交易记录!P78,交易记录!P142,交易记录!P206,交易记录!P270,交易记录!P334,交易记录!P398,交易记录!P462,交易记录!P526,交易记录!P590,交易记录!P654,交易记录!P718,交易记录!P782,交易记录!P846,交易记录!P910),3)</f>
        <v>20.071999999999999</v>
      </c>
      <c r="P47" s="67">
        <f>ROUND(P12*1.2-SUM(交易记录!Q14,交易记录!Q78,交易记录!Q142,交易记录!Q206,交易记录!Q270,交易记录!Q334,交易记录!Q398,交易记录!Q462,交易记录!Q526,交易记录!Q590,交易记录!Q654,交易记录!Q718,交易记录!Q782,交易记录!Q846,交易记录!Q910),3)</f>
        <v>22.709</v>
      </c>
      <c r="Q47" s="67">
        <f>ROUND(Q12*1.2-SUM(交易记录!R14,交易记录!R78,交易记录!R142,交易记录!R206,交易记录!R270,交易记录!R334,交易记录!R398,交易记录!R462,交易记录!R526,交易记录!R590,交易记录!R654,交易记录!R718,交易记录!R782,交易记录!R846,交易记录!R910),3)</f>
        <v>22.709</v>
      </c>
      <c r="R47" s="67">
        <f>ROUND(R12*1.2-SUM(交易记录!S14,交易记录!S78,交易记录!S142,交易记录!S206,交易记录!S270,交易记录!S334,交易记录!S398,交易记录!S462,交易记录!S526,交易记录!S590,交易记录!S654,交易记录!S718,交易记录!S782,交易记录!S846,交易记录!S910),3)</f>
        <v>22.709</v>
      </c>
      <c r="S47" s="67">
        <f>ROUND(S12*1.2-SUM(交易记录!T14,交易记录!T78,交易记录!T142,交易记录!T206,交易记录!T270,交易记录!T334,交易记录!T398,交易记录!T462,交易记录!T526,交易记录!T590,交易记录!T654,交易记录!T718,交易记录!T782,交易记录!T846,交易记录!T910),3)</f>
        <v>22.709</v>
      </c>
      <c r="T47" s="67">
        <f>ROUND(T12*1.2-SUM(交易记录!U14,交易记录!U78,交易记录!U142,交易记录!U206,交易记录!U270,交易记录!U334,交易记录!U398,交易记录!U462,交易记录!U526,交易记录!U590,交易记录!U654,交易记录!U718,交易记录!U782,交易记录!U846,交易记录!U910),3)</f>
        <v>22.709</v>
      </c>
      <c r="U47" s="67">
        <f>ROUND(U12*1.2-SUM(交易记录!V14,交易记录!V78,交易记录!V142,交易记录!V206,交易记录!V270,交易记录!V334,交易记录!V398,交易记录!V462,交易记录!V526,交易记录!V590,交易记录!V654,交易记录!V718,交易记录!V782,交易记录!V846,交易记录!V910),3)</f>
        <v>23.042999999999999</v>
      </c>
      <c r="V47" s="67">
        <f>ROUND(V12*1.2-SUM(交易记录!W14,交易记录!W78,交易记录!W142,交易记录!W206,交易记录!W270,交易记录!W334,交易记录!W398,交易记录!W462,交易记录!W526,交易记录!W590,交易记录!W654,交易记录!W718,交易记录!W782,交易记录!W846,交易记录!W910),3)</f>
        <v>20.071999999999999</v>
      </c>
      <c r="W47" s="67">
        <f>ROUND(W12*1.2-SUM(交易记录!X14,交易记录!X78,交易记录!X142,交易记录!X206,交易记录!X270,交易记录!X334,交易记录!X398,交易记录!X462,交易记录!X526,交易记录!X590,交易记录!X654,交易记录!X718,交易记录!X782,交易记录!X846,交易记录!X910),3)</f>
        <v>19.738</v>
      </c>
      <c r="X47" s="67">
        <f>ROUND(X12*1.2-SUM(交易记录!Y14,交易记录!Y78,交易记录!Y142,交易记录!Y206,交易记录!Y270,交易记录!Y334,交易记录!Y398,交易记录!Y462,交易记录!Y526,交易记录!Y590,交易记录!Y654,交易记录!Y718,交易记录!Y782,交易记录!Y846,交易记录!Y910),3)</f>
        <v>22.709</v>
      </c>
      <c r="Y47" s="67">
        <f>ROUND(Y12*1.2-SUM(交易记录!Z14,交易记录!Z78,交易记录!Z142,交易记录!Z206,交易记录!Z270,交易记录!Z334,交易记录!Z398,交易记录!Z462,交易记录!Z526,交易记录!Z590,交易记录!Z654,交易记录!Z718,交易记录!Z782,交易记录!Z846,交易记录!Z910),3)</f>
        <v>22.709</v>
      </c>
      <c r="Z47" s="67">
        <f>ROUND(Z12*1.2-SUM(交易记录!AA14,交易记录!AA78,交易记录!AA142,交易记录!AA206,交易记录!AA270,交易记录!AA334,交易记录!AA398,交易记录!AA462,交易记录!AA526,交易记录!AA590,交易记录!AA654,交易记录!AA718,交易记录!AA782,交易记录!AA846,交易记录!AA910),3)</f>
        <v>22.709</v>
      </c>
      <c r="AA47" s="67">
        <f>ROUND(AA12*1.2-SUM(交易记录!AB14,交易记录!AB78,交易记录!AB142,交易记录!AB206,交易记录!AB270,交易记录!AB334,交易记录!AB398,交易记录!AB462,交易记录!AB526,交易记录!AB590,交易记录!AB654,交易记录!AB718,交易记录!AB782,交易记录!AB846,交易记录!AB910),3)</f>
        <v>22.709</v>
      </c>
      <c r="AB47" s="67">
        <f>ROUND(AB12*1.2-SUM(交易记录!AC14,交易记录!AC78,交易记录!AC142,交易记录!AC206,交易记录!AC270,交易记录!AC334,交易记录!AC398,交易记录!AC462,交易记录!AC526,交易记录!AC590,交易记录!AC654,交易记录!AC718,交易记录!AC782,交易记录!AC846,交易记录!AC910),3)</f>
        <v>23.042999999999999</v>
      </c>
      <c r="AC47" s="67">
        <f>ROUND(AC12*1.2-SUM(交易记录!AD14,交易记录!AD78,交易记录!AD142,交易记录!AD206,交易记录!AD270,交易记录!AD334,交易记录!AD398,交易记录!AD462,交易记录!AD526,交易记录!AD590,交易记录!AD654,交易记录!AD718,交易记录!AD782,交易记录!AD846,交易记录!AD910),3)</f>
        <v>20.071999999999999</v>
      </c>
      <c r="AD47" s="67">
        <f>ROUND(AD12*1.2-SUM(交易记录!AE14,交易记录!AE78,交易记录!AE142,交易记录!AE206,交易记录!AE270,交易记录!AE334,交易记录!AE398,交易记录!AE462,交易记录!AE526,交易记录!AE590,交易记录!AE654,交易记录!AE718,交易记录!AE782,交易记录!AE846,交易记录!AE910),3)</f>
        <v>19.738</v>
      </c>
      <c r="AE47" s="67">
        <f>ROUND(AE12*1.2-SUM(交易记录!AF14,交易记录!AF78,交易记录!AF142,交易记录!AF206,交易记录!AF270,交易记录!AF334,交易记录!AF398,交易记录!AF462,交易记录!AF526,交易记录!AF590,交易记录!AF654,交易记录!AF718,交易记录!AF782,交易记录!AF846,交易记录!AF910),3)</f>
        <v>22.709</v>
      </c>
      <c r="AF47" s="67">
        <f>ROUND(AF12*1.2-SUM(交易记录!AG14,交易记录!AG78,交易记录!AG142,交易记录!AG206,交易记录!AG270,交易记录!AG334,交易记录!AG398,交易记录!AG462,交易记录!AG526,交易记录!AG590,交易记录!AG654,交易记录!AG718,交易记录!AG782,交易记录!AG846,交易记录!AG910),3)</f>
        <v>22.709</v>
      </c>
      <c r="AG47" s="67">
        <f>ROUND(AG12*1.2-SUM(交易记录!AH14,交易记录!AH78,交易记录!AH142,交易记录!AH206,交易记录!AH270,交易记录!AH334,交易记录!AH398,交易记录!AH462,交易记录!AH526,交易记录!AH590,交易记录!AH654,交易记录!AH718,交易记录!AH782,交易记录!AH846,交易记录!AH910),3)</f>
        <v>22.709</v>
      </c>
    </row>
    <row r="48" spans="2:33" ht="15">
      <c r="B48" s="7" t="s">
        <v>16</v>
      </c>
      <c r="C48" s="67">
        <f>ROUND(C13*1.2-SUM(交易记录!D15,交易记录!D79,交易记录!D143,交易记录!D207,交易记录!D271,交易记录!D335,交易记录!D399,交易记录!D463,交易记录!D527,交易记录!D591,交易记录!D655,交易记录!D719,交易记录!D783,交易记录!D847,交易记录!D911),3)</f>
        <v>24.928000000000001</v>
      </c>
      <c r="D48" s="67">
        <f>ROUND(D13*1.2-SUM(交易记录!E15,交易记录!E79,交易记录!E143,交易记录!E207,交易记录!E271,交易记录!E335,交易记录!E399,交易记录!E463,交易记录!E527,交易记录!E591,交易记录!E655,交易记录!E719,交易记录!E783,交易记录!E847,交易记录!E911),3)</f>
        <v>24.745000000000001</v>
      </c>
      <c r="E48" s="67">
        <f>ROUND(E13*1.2-SUM(交易记录!F15,交易记录!F79,交易记录!F143,交易记录!F207,交易记录!F271,交易记录!F335,交易记录!F399,交易记录!F463,交易记录!F527,交易记录!F591,交易记录!F655,交易记录!F719,交易记录!F783,交易记录!F847,交易记录!F911),3)</f>
        <v>24.745000000000001</v>
      </c>
      <c r="F48" s="67">
        <f>ROUND(F13*1.2-SUM(交易记录!G15,交易记录!G79,交易记录!G143,交易记录!G207,交易记录!G271,交易记录!G335,交易记录!G399,交易记录!G463,交易记录!G527,交易记录!G591,交易记录!G655,交易记录!G719,交易记录!G783,交易记录!G847,交易记录!G911),3)</f>
        <v>24.745000000000001</v>
      </c>
      <c r="G48" s="67">
        <f>ROUND(G13*1.2-SUM(交易记录!H15,交易记录!H79,交易记录!H143,交易记录!H207,交易记录!H271,交易记录!H335,交易记录!H399,交易记录!H463,交易记录!H527,交易记录!H591,交易记录!H655,交易记录!H719,交易记录!H783,交易记录!H847,交易记录!H911),3)</f>
        <v>22.478999999999999</v>
      </c>
      <c r="H48" s="67">
        <f>ROUND(H13*1.2-SUM(交易记录!I15,交易记录!I79,交易记录!I143,交易记录!I207,交易记录!I271,交易记录!I335,交易记录!I399,交易记录!I463,交易记录!I527,交易记录!I591,交易记录!I655,交易记录!I719,交易记录!I783,交易记录!I847,交易记录!I911),3)</f>
        <v>22.478999999999999</v>
      </c>
      <c r="I48" s="67">
        <f>ROUND(I13*1.2-SUM(交易记录!J15,交易记录!J79,交易记录!J143,交易记录!J207,交易记录!J271,交易记录!J335,交易记录!J399,交易记录!J463,交易记录!J527,交易记录!J591,交易记录!J655,交易记录!J719,交易记录!J783,交易记录!J847,交易记录!J911),3)</f>
        <v>24.745000000000001</v>
      </c>
      <c r="J48" s="67">
        <f>ROUND(J13*1.2-SUM(交易记录!K15,交易记录!K79,交易记录!K143,交易记录!K207,交易记录!K271,交易记录!K335,交易记录!K399,交易记录!K463,交易记录!K527,交易记录!K591,交易记录!K655,交易记录!K719,交易记录!K783,交易记录!K847,交易记录!K911),3)</f>
        <v>24.745000000000001</v>
      </c>
      <c r="K48" s="67">
        <f>ROUND(K13*1.2-SUM(交易记录!L15,交易记录!L79,交易记录!L143,交易记录!L207,交易记录!L271,交易记录!L335,交易记录!L399,交易记录!L463,交易记录!L527,交易记录!L591,交易记录!L655,交易记录!L719,交易记录!L783,交易记录!L847,交易记录!L911),3)</f>
        <v>24.745000000000001</v>
      </c>
      <c r="L48" s="67">
        <f>ROUND(L13*1.2-SUM(交易记录!M15,交易记录!M79,交易记录!M143,交易记录!M207,交易记录!M271,交易记录!M335,交易记录!M399,交易记录!M463,交易记录!M527,交易记录!M591,交易记录!M655,交易记录!M719,交易记录!M783,交易记录!M847,交易记录!M911),3)</f>
        <v>24.745000000000001</v>
      </c>
      <c r="M48" s="67">
        <f>ROUND(M13*1.2-SUM(交易记录!N15,交易记录!N79,交易记录!N143,交易记录!N207,交易记录!N271,交易记录!N335,交易记录!N399,交易记录!N463,交易记录!N527,交易记录!N591,交易记录!N655,交易记录!N719,交易记录!N783,交易记录!N847,交易记录!N911),3)</f>
        <v>24.745000000000001</v>
      </c>
      <c r="N48" s="67">
        <f>ROUND(N13*1.2-SUM(交易记录!O15,交易记录!O79,交易记录!O143,交易记录!O207,交易记录!O271,交易记录!O335,交易记录!O399,交易记录!O463,交易记录!O527,交易记录!O591,交易记录!O655,交易记录!O719,交易记录!O783,交易记录!O847,交易记录!O911),3)</f>
        <v>22.478999999999999</v>
      </c>
      <c r="O48" s="67">
        <f>ROUND(O13*1.2-SUM(交易记录!P15,交易记录!P79,交易记录!P143,交易记录!P207,交易记录!P271,交易记录!P335,交易记录!P399,交易记录!P463,交易记录!P527,交易记录!P591,交易记录!P655,交易记录!P719,交易记录!P783,交易记录!P847,交易记录!P911),3)</f>
        <v>22.478999999999999</v>
      </c>
      <c r="P48" s="67">
        <f>ROUND(P13*1.2-SUM(交易记录!Q15,交易记录!Q79,交易记录!Q143,交易记录!Q207,交易记录!Q271,交易记录!Q335,交易记录!Q399,交易记录!Q463,交易记录!Q527,交易记录!Q591,交易记录!Q655,交易记录!Q719,交易记录!Q783,交易记录!Q847,交易记录!Q911),3)</f>
        <v>24.745000000000001</v>
      </c>
      <c r="Q48" s="67">
        <f>ROUND(Q13*1.2-SUM(交易记录!R15,交易记录!R79,交易记录!R143,交易记录!R207,交易记录!R271,交易记录!R335,交易记录!R399,交易记录!R463,交易记录!R527,交易记录!R591,交易记录!R655,交易记录!R719,交易记录!R783,交易记录!R847,交易记录!R911),3)</f>
        <v>24.745000000000001</v>
      </c>
      <c r="R48" s="67">
        <f>ROUND(R13*1.2-SUM(交易记录!S15,交易记录!S79,交易记录!S143,交易记录!S207,交易记录!S271,交易记录!S335,交易记录!S399,交易记录!S463,交易记录!S527,交易记录!S591,交易记录!S655,交易记录!S719,交易记录!S783,交易记录!S847,交易记录!S911),3)</f>
        <v>24.745000000000001</v>
      </c>
      <c r="S48" s="67">
        <f>ROUND(S13*1.2-SUM(交易记录!T15,交易记录!T79,交易记录!T143,交易记录!T207,交易记录!T271,交易记录!T335,交易记录!T399,交易记录!T463,交易记录!T527,交易记录!T591,交易记录!T655,交易记录!T719,交易记录!T783,交易记录!T847,交易记录!T911),3)</f>
        <v>24.745000000000001</v>
      </c>
      <c r="T48" s="67">
        <f>ROUND(T13*1.2-SUM(交易记录!U15,交易记录!U79,交易记录!U143,交易记录!U207,交易记录!U271,交易记录!U335,交易记录!U399,交易记录!U463,交易记录!U527,交易记录!U591,交易记录!U655,交易记录!U719,交易记录!U783,交易记录!U847,交易记录!U911),3)</f>
        <v>24.745000000000001</v>
      </c>
      <c r="U48" s="67">
        <f>ROUND(U13*1.2-SUM(交易记录!V15,交易记录!V79,交易记录!V143,交易记录!V207,交易记录!V271,交易记录!V335,交易记录!V399,交易记录!V463,交易记录!V527,交易记录!V591,交易记录!V655,交易记录!V719,交易记录!V783,交易记录!V847,交易记录!V911),3)</f>
        <v>25.084</v>
      </c>
      <c r="V48" s="67">
        <f>ROUND(V13*1.2-SUM(交易记录!W15,交易记录!W79,交易记录!W143,交易记录!W207,交易记录!W271,交易记录!W335,交易记录!W399,交易记录!W463,交易记录!W527,交易记录!W591,交易记录!W655,交易记录!W719,交易记录!W783,交易记录!W847,交易记录!W911),3)</f>
        <v>22.478999999999999</v>
      </c>
      <c r="W48" s="67">
        <f>ROUND(W13*1.2-SUM(交易记录!X15,交易记录!X79,交易记录!X143,交易记录!X207,交易记录!X271,交易记录!X335,交易记录!X399,交易记录!X463,交易记录!X527,交易记录!X591,交易记录!X655,交易记录!X719,交易记录!X783,交易记录!X847,交易记录!X911),3)</f>
        <v>22.14</v>
      </c>
      <c r="X48" s="67">
        <f>ROUND(X13*1.2-SUM(交易记录!Y15,交易记录!Y79,交易记录!Y143,交易记录!Y207,交易记录!Y271,交易记录!Y335,交易记录!Y399,交易记录!Y463,交易记录!Y527,交易记录!Y591,交易记录!Y655,交易记录!Y719,交易记录!Y783,交易记录!Y847,交易记录!Y911),3)</f>
        <v>24.745000000000001</v>
      </c>
      <c r="Y48" s="67">
        <f>ROUND(Y13*1.2-SUM(交易记录!Z15,交易记录!Z79,交易记录!Z143,交易记录!Z207,交易记录!Z271,交易记录!Z335,交易记录!Z399,交易记录!Z463,交易记录!Z527,交易记录!Z591,交易记录!Z655,交易记录!Z719,交易记录!Z783,交易记录!Z847,交易记录!Z911),3)</f>
        <v>24.745000000000001</v>
      </c>
      <c r="Z48" s="67">
        <f>ROUND(Z13*1.2-SUM(交易记录!AA15,交易记录!AA79,交易记录!AA143,交易记录!AA207,交易记录!AA271,交易记录!AA335,交易记录!AA399,交易记录!AA463,交易记录!AA527,交易记录!AA591,交易记录!AA655,交易记录!AA719,交易记录!AA783,交易记录!AA847,交易记录!AA911),3)</f>
        <v>24.745000000000001</v>
      </c>
      <c r="AA48" s="67">
        <f>ROUND(AA13*1.2-SUM(交易记录!AB15,交易记录!AB79,交易记录!AB143,交易记录!AB207,交易记录!AB271,交易记录!AB335,交易记录!AB399,交易记录!AB463,交易记录!AB527,交易记录!AB591,交易记录!AB655,交易记录!AB719,交易记录!AB783,交易记录!AB847,交易记录!AB911),3)</f>
        <v>24.745000000000001</v>
      </c>
      <c r="AB48" s="67">
        <f>ROUND(AB13*1.2-SUM(交易记录!AC15,交易记录!AC79,交易记录!AC143,交易记录!AC207,交易记录!AC271,交易记录!AC335,交易记录!AC399,交易记录!AC463,交易记录!AC527,交易记录!AC591,交易记录!AC655,交易记录!AC719,交易记录!AC783,交易记录!AC847,交易记录!AC911),3)</f>
        <v>25.084</v>
      </c>
      <c r="AC48" s="67">
        <f>ROUND(AC13*1.2-SUM(交易记录!AD15,交易记录!AD79,交易记录!AD143,交易记录!AD207,交易记录!AD271,交易记录!AD335,交易记录!AD399,交易记录!AD463,交易记录!AD527,交易记录!AD591,交易记录!AD655,交易记录!AD719,交易记录!AD783,交易记录!AD847,交易记录!AD911),3)</f>
        <v>22.478999999999999</v>
      </c>
      <c r="AD48" s="67">
        <f>ROUND(AD13*1.2-SUM(交易记录!AE15,交易记录!AE79,交易记录!AE143,交易记录!AE207,交易记录!AE271,交易记录!AE335,交易记录!AE399,交易记录!AE463,交易记录!AE527,交易记录!AE591,交易记录!AE655,交易记录!AE719,交易记录!AE783,交易记录!AE847,交易记录!AE911),3)</f>
        <v>22.14</v>
      </c>
      <c r="AE48" s="67">
        <f>ROUND(AE13*1.2-SUM(交易记录!AF15,交易记录!AF79,交易记录!AF143,交易记录!AF207,交易记录!AF271,交易记录!AF335,交易记录!AF399,交易记录!AF463,交易记录!AF527,交易记录!AF591,交易记录!AF655,交易记录!AF719,交易记录!AF783,交易记录!AF847,交易记录!AF911),3)</f>
        <v>24.745000000000001</v>
      </c>
      <c r="AF48" s="67">
        <f>ROUND(AF13*1.2-SUM(交易记录!AG15,交易记录!AG79,交易记录!AG143,交易记录!AG207,交易记录!AG271,交易记录!AG335,交易记录!AG399,交易记录!AG463,交易记录!AG527,交易记录!AG591,交易记录!AG655,交易记录!AG719,交易记录!AG783,交易记录!AG847,交易记录!AG911),3)</f>
        <v>24.745000000000001</v>
      </c>
      <c r="AG48" s="67">
        <f>ROUND(AG13*1.2-SUM(交易记录!AH15,交易记录!AH79,交易记录!AH143,交易记录!AH207,交易记录!AH271,交易记录!AH335,交易记录!AH399,交易记录!AH463,交易记录!AH527,交易记录!AH591,交易记录!AH655,交易记录!AH719,交易记录!AH783,交易记录!AH847,交易记录!AH911),3)</f>
        <v>24.745000000000001</v>
      </c>
    </row>
    <row r="49" spans="2:33" ht="15">
      <c r="B49" s="7" t="s">
        <v>17</v>
      </c>
      <c r="C49" s="67">
        <f>ROUND(C14*1.2-SUM(交易记录!D16,交易记录!D80,交易记录!D144,交易记录!D208,交易记录!D272,交易记录!D336,交易记录!D400,交易记录!D464,交易记录!D528,交易记录!D592,交易记录!D656,交易记录!D720,交易记录!D784,交易记录!D848,交易记录!D912),3)</f>
        <v>25.311</v>
      </c>
      <c r="D49" s="67">
        <f>ROUND(D14*1.2-SUM(交易记录!E16,交易记录!E80,交易记录!E144,交易记录!E208,交易记录!E272,交易记录!E336,交易记录!E400,交易记录!E464,交易记录!E528,交易记录!E592,交易记录!E656,交易记录!E720,交易记录!E784,交易记录!E848,交易记录!E912),3)</f>
        <v>25.274000000000001</v>
      </c>
      <c r="E49" s="67">
        <f>ROUND(E14*1.2-SUM(交易记录!F16,交易记录!F80,交易记录!F144,交易记录!F208,交易记录!F272,交易记录!F336,交易记录!F400,交易记录!F464,交易记录!F528,交易记录!F592,交易记录!F656,交易记录!F720,交易记录!F784,交易记录!F848,交易记录!F912),3)</f>
        <v>25.274000000000001</v>
      </c>
      <c r="F49" s="67">
        <f>ROUND(F14*1.2-SUM(交易记录!G16,交易记录!G80,交易记录!G144,交易记录!G208,交易记录!G272,交易记录!G336,交易记录!G400,交易记录!G464,交易记录!G528,交易记录!G592,交易记录!G656,交易记录!G720,交易记录!G784,交易记录!G848,交易记录!G912),3)</f>
        <v>25.274000000000001</v>
      </c>
      <c r="G49" s="67">
        <f>ROUND(G14*1.2-SUM(交易记录!H16,交易记录!H80,交易记录!H144,交易记录!H208,交易记录!H272,交易记录!H336,交易记录!H400,交易记录!H464,交易记录!H528,交易记录!H592,交易记录!H656,交易记录!H720,交易记录!H784,交易记录!H848,交易记录!H912),3)</f>
        <v>23.085000000000001</v>
      </c>
      <c r="H49" s="67">
        <f>ROUND(H14*1.2-SUM(交易记录!I16,交易记录!I80,交易记录!I144,交易记录!I208,交易记录!I272,交易记录!I336,交易记录!I400,交易记录!I464,交易记录!I528,交易记录!I592,交易记录!I656,交易记录!I720,交易记录!I784,交易记录!I848,交易记录!I912),3)</f>
        <v>23.085000000000001</v>
      </c>
      <c r="I49" s="67">
        <f>ROUND(I14*1.2-SUM(交易记录!J16,交易记录!J80,交易记录!J144,交易记录!J208,交易记录!J272,交易记录!J336,交易记录!J400,交易记录!J464,交易记录!J528,交易记录!J592,交易记录!J656,交易记录!J720,交易记录!J784,交易记录!J848,交易记录!J912),3)</f>
        <v>25.274000000000001</v>
      </c>
      <c r="J49" s="67">
        <f>ROUND(J14*1.2-SUM(交易记录!K16,交易记录!K80,交易记录!K144,交易记录!K208,交易记录!K272,交易记录!K336,交易记录!K400,交易记录!K464,交易记录!K528,交易记录!K592,交易记录!K656,交易记录!K720,交易记录!K784,交易记录!K848,交易记录!K912),3)</f>
        <v>25.274000000000001</v>
      </c>
      <c r="K49" s="67">
        <f>ROUND(K14*1.2-SUM(交易记录!L16,交易记录!L80,交易记录!L144,交易记录!L208,交易记录!L272,交易记录!L336,交易记录!L400,交易记录!L464,交易记录!L528,交易记录!L592,交易记录!L656,交易记录!L720,交易记录!L784,交易记录!L848,交易记录!L912),3)</f>
        <v>25.274000000000001</v>
      </c>
      <c r="L49" s="67">
        <f>ROUND(L14*1.2-SUM(交易记录!M16,交易记录!M80,交易记录!M144,交易记录!M208,交易记录!M272,交易记录!M336,交易记录!M400,交易记录!M464,交易记录!M528,交易记录!M592,交易记录!M656,交易记录!M720,交易记录!M784,交易记录!M848,交易记录!M912),3)</f>
        <v>25.274000000000001</v>
      </c>
      <c r="M49" s="67">
        <f>ROUND(M14*1.2-SUM(交易记录!N16,交易记录!N80,交易记录!N144,交易记录!N208,交易记录!N272,交易记录!N336,交易记录!N400,交易记录!N464,交易记录!N528,交易记录!N592,交易记录!N656,交易记录!N720,交易记录!N784,交易记录!N848,交易记录!N912),3)</f>
        <v>25.274000000000001</v>
      </c>
      <c r="N49" s="67">
        <f>ROUND(N14*1.2-SUM(交易记录!O16,交易记录!O80,交易记录!O144,交易记录!O208,交易记录!O272,交易记录!O336,交易记录!O400,交易记录!O464,交易记录!O528,交易记录!O592,交易记录!O656,交易记录!O720,交易记录!O784,交易记录!O848,交易记录!O912),3)</f>
        <v>23.085000000000001</v>
      </c>
      <c r="O49" s="67">
        <f>ROUND(O14*1.2-SUM(交易记录!P16,交易记录!P80,交易记录!P144,交易记录!P208,交易记录!P272,交易记录!P336,交易记录!P400,交易记录!P464,交易记录!P528,交易记录!P592,交易记录!P656,交易记录!P720,交易记录!P784,交易记录!P848,交易记录!P912),3)</f>
        <v>23.085000000000001</v>
      </c>
      <c r="P49" s="67">
        <f>ROUND(P14*1.2-SUM(交易记录!Q16,交易记录!Q80,交易记录!Q144,交易记录!Q208,交易记录!Q272,交易记录!Q336,交易记录!Q400,交易记录!Q464,交易记录!Q528,交易记录!Q592,交易记录!Q656,交易记录!Q720,交易记录!Q784,交易记录!Q848,交易记录!Q912),3)</f>
        <v>25.274000000000001</v>
      </c>
      <c r="Q49" s="67">
        <f>ROUND(Q14*1.2-SUM(交易记录!R16,交易记录!R80,交易记录!R144,交易记录!R208,交易记录!R272,交易记录!R336,交易记录!R400,交易记录!R464,交易记录!R528,交易记录!R592,交易记录!R656,交易记录!R720,交易记录!R784,交易记录!R848,交易记录!R912),3)</f>
        <v>25.274000000000001</v>
      </c>
      <c r="R49" s="67">
        <f>ROUND(R14*1.2-SUM(交易记录!S16,交易记录!S80,交易记录!S144,交易记录!S208,交易记录!S272,交易记录!S336,交易记录!S400,交易记录!S464,交易记录!S528,交易记录!S592,交易记录!S656,交易记录!S720,交易记录!S784,交易记录!S848,交易记录!S912),3)</f>
        <v>25.274000000000001</v>
      </c>
      <c r="S49" s="67">
        <f>ROUND(S14*1.2-SUM(交易记录!T16,交易记录!T80,交易记录!T144,交易记录!T208,交易记录!T272,交易记录!T336,交易记录!T400,交易记录!T464,交易记录!T528,交易记录!T592,交易记录!T656,交易记录!T720,交易记录!T784,交易记录!T848,交易记录!T912),3)</f>
        <v>25.274000000000001</v>
      </c>
      <c r="T49" s="67">
        <f>ROUND(T14*1.2-SUM(交易记录!U16,交易记录!U80,交易记录!U144,交易记录!U208,交易记录!U272,交易记录!U336,交易记录!U400,交易记录!U464,交易记录!U528,交易记录!U592,交易记录!U656,交易记录!U720,交易记录!U784,交易记录!U848,交易记录!U912),3)</f>
        <v>25.274000000000001</v>
      </c>
      <c r="U49" s="67">
        <f>ROUND(U14*1.2-SUM(交易记录!V16,交易记录!V80,交易记录!V144,交易记录!V208,交易记录!V272,交易记录!V336,交易记录!V400,交易记录!V464,交易记录!V528,交易记录!V592,交易记录!V656,交易记录!V720,交易记录!V784,交易记录!V848,交易记录!V912),3)</f>
        <v>25.465</v>
      </c>
      <c r="V49" s="67">
        <f>ROUND(V14*1.2-SUM(交易记录!W16,交易记录!W80,交易记录!W144,交易记录!W208,交易记录!W272,交易记录!W336,交易记录!W400,交易记录!W464,交易记录!W528,交易记录!W592,交易记录!W656,交易记录!W720,交易记录!W784,交易记录!W848,交易记录!W912),3)</f>
        <v>23.085000000000001</v>
      </c>
      <c r="W49" s="67">
        <f>ROUND(W14*1.2-SUM(交易记录!X16,交易记录!X80,交易记录!X144,交易记录!X208,交易记录!X272,交易记录!X336,交易记录!X400,交易记录!X464,交易记录!X528,交易记录!X592,交易记录!X656,交易记录!X720,交易记录!X784,交易记录!X848,交易记录!X912),3)</f>
        <v>22.893999999999998</v>
      </c>
      <c r="X49" s="67">
        <f>ROUND(X14*1.2-SUM(交易记录!Y16,交易记录!Y80,交易记录!Y144,交易记录!Y208,交易记录!Y272,交易记录!Y336,交易记录!Y400,交易记录!Y464,交易记录!Y528,交易记录!Y592,交易记录!Y656,交易记录!Y720,交易记录!Y784,交易记录!Y848,交易记录!Y912),3)</f>
        <v>25.274000000000001</v>
      </c>
      <c r="Y49" s="67">
        <f>ROUND(Y14*1.2-SUM(交易记录!Z16,交易记录!Z80,交易记录!Z144,交易记录!Z208,交易记录!Z272,交易记录!Z336,交易记录!Z400,交易记录!Z464,交易记录!Z528,交易记录!Z592,交易记录!Z656,交易记录!Z720,交易记录!Z784,交易记录!Z848,交易记录!Z912),3)</f>
        <v>25.274000000000001</v>
      </c>
      <c r="Z49" s="67">
        <f>ROUND(Z14*1.2-SUM(交易记录!AA16,交易记录!AA80,交易记录!AA144,交易记录!AA208,交易记录!AA272,交易记录!AA336,交易记录!AA400,交易记录!AA464,交易记录!AA528,交易记录!AA592,交易记录!AA656,交易记录!AA720,交易记录!AA784,交易记录!AA848,交易记录!AA912),3)</f>
        <v>25.274000000000001</v>
      </c>
      <c r="AA49" s="67">
        <f>ROUND(AA14*1.2-SUM(交易记录!AB16,交易记录!AB80,交易记录!AB144,交易记录!AB208,交易记录!AB272,交易记录!AB336,交易记录!AB400,交易记录!AB464,交易记录!AB528,交易记录!AB592,交易记录!AB656,交易记录!AB720,交易记录!AB784,交易记录!AB848,交易记录!AB912),3)</f>
        <v>25.274000000000001</v>
      </c>
      <c r="AB49" s="67">
        <f>ROUND(AB14*1.2-SUM(交易记录!AC16,交易记录!AC80,交易记录!AC144,交易记录!AC208,交易记录!AC272,交易记录!AC336,交易记录!AC400,交易记录!AC464,交易记录!AC528,交易记录!AC592,交易记录!AC656,交易记录!AC720,交易记录!AC784,交易记录!AC848,交易记录!AC912),3)</f>
        <v>25.465</v>
      </c>
      <c r="AC49" s="67">
        <f>ROUND(AC14*1.2-SUM(交易记录!AD16,交易记录!AD80,交易记录!AD144,交易记录!AD208,交易记录!AD272,交易记录!AD336,交易记录!AD400,交易记录!AD464,交易记录!AD528,交易记录!AD592,交易记录!AD656,交易记录!AD720,交易记录!AD784,交易记录!AD848,交易记录!AD912),3)</f>
        <v>23.085000000000001</v>
      </c>
      <c r="AD49" s="67">
        <f>ROUND(AD14*1.2-SUM(交易记录!AE16,交易记录!AE80,交易记录!AE144,交易记录!AE208,交易记录!AE272,交易记录!AE336,交易记录!AE400,交易记录!AE464,交易记录!AE528,交易记录!AE592,交易记录!AE656,交易记录!AE720,交易记录!AE784,交易记录!AE848,交易记录!AE912),3)</f>
        <v>22.893999999999998</v>
      </c>
      <c r="AE49" s="67">
        <f>ROUND(AE14*1.2-SUM(交易记录!AF16,交易记录!AF80,交易记录!AF144,交易记录!AF208,交易记录!AF272,交易记录!AF336,交易记录!AF400,交易记录!AF464,交易记录!AF528,交易记录!AF592,交易记录!AF656,交易记录!AF720,交易记录!AF784,交易记录!AF848,交易记录!AF912),3)</f>
        <v>25.274000000000001</v>
      </c>
      <c r="AF49" s="67">
        <f>ROUND(AF14*1.2-SUM(交易记录!AG16,交易记录!AG80,交易记录!AG144,交易记录!AG208,交易记录!AG272,交易记录!AG336,交易记录!AG400,交易记录!AG464,交易记录!AG528,交易记录!AG592,交易记录!AG656,交易记录!AG720,交易记录!AG784,交易记录!AG848,交易记录!AG912),3)</f>
        <v>25.274000000000001</v>
      </c>
      <c r="AG49" s="67">
        <f>ROUND(AG14*1.2-SUM(交易记录!AH16,交易记录!AH80,交易记录!AH144,交易记录!AH208,交易记录!AH272,交易记录!AH336,交易记录!AH400,交易记录!AH464,交易记录!AH528,交易记录!AH592,交易记录!AH656,交易记录!AH720,交易记录!AH784,交易记录!AH848,交易记录!AH912),3)</f>
        <v>25.274000000000001</v>
      </c>
    </row>
    <row r="50" spans="2:33" ht="15">
      <c r="B50" s="7" t="s">
        <v>18</v>
      </c>
      <c r="C50" s="67">
        <f>ROUND(C15*1.2-SUM(交易记录!D17,交易记录!D81,交易记录!D145,交易记录!D209,交易记录!D273,交易记录!D337,交易记录!D401,交易记录!D465,交易记录!D529,交易记录!D593,交易记录!D657,交易记录!D721,交易记录!D785,交易记录!D849,交易记录!D913),3)</f>
        <v>27.132000000000001</v>
      </c>
      <c r="D50" s="67">
        <f>ROUND(D15*1.2-SUM(交易记录!E17,交易记录!E81,交易记录!E145,交易记录!E209,交易记录!E273,交易记录!E337,交易记录!E401,交易记录!E465,交易记录!E529,交易记录!E593,交易记录!E657,交易记录!E721,交易记录!E785,交易记录!E849,交易记录!E913),3)</f>
        <v>27.094999999999999</v>
      </c>
      <c r="E50" s="67">
        <f>ROUND(E15*1.2-SUM(交易记录!F17,交易记录!F81,交易记录!F145,交易记录!F209,交易记录!F273,交易记录!F337,交易记录!F401,交易记录!F465,交易记录!F529,交易记录!F593,交易记录!F657,交易记录!F721,交易记录!F785,交易记录!F849,交易记录!F913),3)</f>
        <v>27.094999999999999</v>
      </c>
      <c r="F50" s="67">
        <f>ROUND(F15*1.2-SUM(交易记录!G17,交易记录!G81,交易记录!G145,交易记录!G209,交易记录!G273,交易记录!G337,交易记录!G401,交易记录!G465,交易记录!G529,交易记录!G593,交易记录!G657,交易记录!G721,交易记录!G785,交易记录!G849,交易记录!G913),3)</f>
        <v>27.094999999999999</v>
      </c>
      <c r="G50" s="67">
        <f>ROUND(G15*1.2-SUM(交易记录!H17,交易记录!H81,交易记录!H145,交易记录!H209,交易记录!H273,交易记录!H337,交易记录!H401,交易记录!H465,交易记录!H529,交易记录!H593,交易记录!H657,交易记录!H721,交易记录!H785,交易记录!H849,交易记录!H913),3)</f>
        <v>24.138000000000002</v>
      </c>
      <c r="H50" s="67">
        <f>ROUND(H15*1.2-SUM(交易记录!I17,交易记录!I81,交易记录!I145,交易记录!I209,交易记录!I273,交易记录!I337,交易记录!I401,交易记录!I465,交易记录!I529,交易记录!I593,交易记录!I657,交易记录!I721,交易记录!I785,交易记录!I849,交易记录!I913),3)</f>
        <v>24.138000000000002</v>
      </c>
      <c r="I50" s="67">
        <f>ROUND(I15*1.2-SUM(交易记录!J17,交易记录!J81,交易记录!J145,交易记录!J209,交易记录!J273,交易记录!J337,交易记录!J401,交易记录!J465,交易记录!J529,交易记录!J593,交易记录!J657,交易记录!J721,交易记录!J785,交易记录!J849,交易记录!J913),3)</f>
        <v>27.094999999999999</v>
      </c>
      <c r="J50" s="67">
        <f>ROUND(J15*1.2-SUM(交易记录!K17,交易记录!K81,交易记录!K145,交易记录!K209,交易记录!K273,交易记录!K337,交易记录!K401,交易记录!K465,交易记录!K529,交易记录!K593,交易记录!K657,交易记录!K721,交易记录!K785,交易记录!K849,交易记录!K913),3)</f>
        <v>27.094999999999999</v>
      </c>
      <c r="K50" s="67">
        <f>ROUND(K15*1.2-SUM(交易记录!L17,交易记录!L81,交易记录!L145,交易记录!L209,交易记录!L273,交易记录!L337,交易记录!L401,交易记录!L465,交易记录!L529,交易记录!L593,交易记录!L657,交易记录!L721,交易记录!L785,交易记录!L849,交易记录!L913),3)</f>
        <v>27.094999999999999</v>
      </c>
      <c r="L50" s="67">
        <f>ROUND(L15*1.2-SUM(交易记录!M17,交易记录!M81,交易记录!M145,交易记录!M209,交易记录!M273,交易记录!M337,交易记录!M401,交易记录!M465,交易记录!M529,交易记录!M593,交易记录!M657,交易记录!M721,交易记录!M785,交易记录!M849,交易记录!M913),3)</f>
        <v>27.094999999999999</v>
      </c>
      <c r="M50" s="67">
        <f>ROUND(M15*1.2-SUM(交易记录!N17,交易记录!N81,交易记录!N145,交易记录!N209,交易记录!N273,交易记录!N337,交易记录!N401,交易记录!N465,交易记录!N529,交易记录!N593,交易记录!N657,交易记录!N721,交易记录!N785,交易记录!N849,交易记录!N913),3)</f>
        <v>27.094999999999999</v>
      </c>
      <c r="N50" s="67">
        <f>ROUND(N15*1.2-SUM(交易记录!O17,交易记录!O81,交易记录!O145,交易记录!O209,交易记录!O273,交易记录!O337,交易记录!O401,交易记录!O465,交易记录!O529,交易记录!O593,交易记录!O657,交易记录!O721,交易记录!O785,交易记录!O849,交易记录!O913),3)</f>
        <v>24.138000000000002</v>
      </c>
      <c r="O50" s="67">
        <f>ROUND(O15*1.2-SUM(交易记录!P17,交易记录!P81,交易记录!P145,交易记录!P209,交易记录!P273,交易记录!P337,交易记录!P401,交易记录!P465,交易记录!P529,交易记录!P593,交易记录!P657,交易记录!P721,交易记录!P785,交易记录!P849,交易记录!P913),3)</f>
        <v>24.138000000000002</v>
      </c>
      <c r="P50" s="67">
        <f>ROUND(P15*1.2-SUM(交易记录!Q17,交易记录!Q81,交易记录!Q145,交易记录!Q209,交易记录!Q273,交易记录!Q337,交易记录!Q401,交易记录!Q465,交易记录!Q529,交易记录!Q593,交易记录!Q657,交易记录!Q721,交易记录!Q785,交易记录!Q849,交易记录!Q913),3)</f>
        <v>27.094999999999999</v>
      </c>
      <c r="Q50" s="67">
        <f>ROUND(Q15*1.2-SUM(交易记录!R17,交易记录!R81,交易记录!R145,交易记录!R209,交易记录!R273,交易记录!R337,交易记录!R401,交易记录!R465,交易记录!R529,交易记录!R593,交易记录!R657,交易记录!R721,交易记录!R785,交易记录!R849,交易记录!R913),3)</f>
        <v>27.094999999999999</v>
      </c>
      <c r="R50" s="67">
        <f>ROUND(R15*1.2-SUM(交易记录!S17,交易记录!S81,交易记录!S145,交易记录!S209,交易记录!S273,交易记录!S337,交易记录!S401,交易记录!S465,交易记录!S529,交易记录!S593,交易记录!S657,交易记录!S721,交易记录!S785,交易记录!S849,交易记录!S913),3)</f>
        <v>27.094999999999999</v>
      </c>
      <c r="S50" s="67">
        <f>ROUND(S15*1.2-SUM(交易记录!T17,交易记录!T81,交易记录!T145,交易记录!T209,交易记录!T273,交易记录!T337,交易记录!T401,交易记录!T465,交易记录!T529,交易记录!T593,交易记录!T657,交易记录!T721,交易记录!T785,交易记录!T849,交易记录!T913),3)</f>
        <v>27.094999999999999</v>
      </c>
      <c r="T50" s="67">
        <f>ROUND(T15*1.2-SUM(交易记录!U17,交易记录!U81,交易记录!U145,交易记录!U209,交易记录!U273,交易记录!U337,交易记录!U401,交易记录!U465,交易记录!U529,交易记录!U593,交易记录!U657,交易记录!U721,交易记录!U785,交易记录!U849,交易记录!U913),3)</f>
        <v>27.094999999999999</v>
      </c>
      <c r="U50" s="67">
        <f>ROUND(U15*1.2-SUM(交易记录!V17,交易记录!V81,交易记录!V145,交易记录!V209,交易记录!V273,交易记录!V337,交易记录!V401,交易记录!V465,交易记录!V529,交易记录!V593,交易记录!V657,交易记录!V721,交易记录!V785,交易记录!V849,交易记录!V913),3)</f>
        <v>27.111999999999998</v>
      </c>
      <c r="V50" s="67">
        <f>ROUND(V15*1.2-SUM(交易记录!W17,交易记录!W81,交易记录!W145,交易记录!W209,交易记录!W273,交易记录!W337,交易记录!W401,交易记录!W465,交易记录!W529,交易记录!W593,交易记录!W657,交易记录!W721,交易记录!W785,交易记录!W849,交易记录!W913),3)</f>
        <v>24.138000000000002</v>
      </c>
      <c r="W50" s="67">
        <f>ROUND(W15*1.2-SUM(交易记录!X17,交易记录!X81,交易记录!X145,交易记录!X209,交易记录!X273,交易记录!X337,交易记录!X401,交易记录!X465,交易记录!X529,交易记录!X593,交易记录!X657,交易记录!X721,交易记录!X785,交易记录!X849,交易记录!X913),3)</f>
        <v>24.120999999999999</v>
      </c>
      <c r="X50" s="67">
        <f>ROUND(X15*1.2-SUM(交易记录!Y17,交易记录!Y81,交易记录!Y145,交易记录!Y209,交易记录!Y273,交易记录!Y337,交易记录!Y401,交易记录!Y465,交易记录!Y529,交易记录!Y593,交易记录!Y657,交易记录!Y721,交易记录!Y785,交易记录!Y849,交易记录!Y913),3)</f>
        <v>27.094999999999999</v>
      </c>
      <c r="Y50" s="67">
        <f>ROUND(Y15*1.2-SUM(交易记录!Z17,交易记录!Z81,交易记录!Z145,交易记录!Z209,交易记录!Z273,交易记录!Z337,交易记录!Z401,交易记录!Z465,交易记录!Z529,交易记录!Z593,交易记录!Z657,交易记录!Z721,交易记录!Z785,交易记录!Z849,交易记录!Z913),3)</f>
        <v>27.094999999999999</v>
      </c>
      <c r="Z50" s="67">
        <f>ROUND(Z15*1.2-SUM(交易记录!AA17,交易记录!AA81,交易记录!AA145,交易记录!AA209,交易记录!AA273,交易记录!AA337,交易记录!AA401,交易记录!AA465,交易记录!AA529,交易记录!AA593,交易记录!AA657,交易记录!AA721,交易记录!AA785,交易记录!AA849,交易记录!AA913),3)</f>
        <v>27.094999999999999</v>
      </c>
      <c r="AA50" s="67">
        <f>ROUND(AA15*1.2-SUM(交易记录!AB17,交易记录!AB81,交易记录!AB145,交易记录!AB209,交易记录!AB273,交易记录!AB337,交易记录!AB401,交易记录!AB465,交易记录!AB529,交易记录!AB593,交易记录!AB657,交易记录!AB721,交易记录!AB785,交易记录!AB849,交易记录!AB913),3)</f>
        <v>27.094999999999999</v>
      </c>
      <c r="AB50" s="67">
        <f>ROUND(AB15*1.2-SUM(交易记录!AC17,交易记录!AC81,交易记录!AC145,交易记录!AC209,交易记录!AC273,交易记录!AC337,交易记录!AC401,交易记录!AC465,交易记录!AC529,交易记录!AC593,交易记录!AC657,交易记录!AC721,交易记录!AC785,交易记录!AC849,交易记录!AC913),3)</f>
        <v>27.111999999999998</v>
      </c>
      <c r="AC50" s="67">
        <f>ROUND(AC15*1.2-SUM(交易记录!AD17,交易记录!AD81,交易记录!AD145,交易记录!AD209,交易记录!AD273,交易记录!AD337,交易记录!AD401,交易记录!AD465,交易记录!AD529,交易记录!AD593,交易记录!AD657,交易记录!AD721,交易记录!AD785,交易记录!AD849,交易记录!AD913),3)</f>
        <v>24.138000000000002</v>
      </c>
      <c r="AD50" s="67">
        <f>ROUND(AD15*1.2-SUM(交易记录!AE17,交易记录!AE81,交易记录!AE145,交易记录!AE209,交易记录!AE273,交易记录!AE337,交易记录!AE401,交易记录!AE465,交易记录!AE529,交易记录!AE593,交易记录!AE657,交易记录!AE721,交易记录!AE785,交易记录!AE849,交易记录!AE913),3)</f>
        <v>24.120999999999999</v>
      </c>
      <c r="AE50" s="67">
        <f>ROUND(AE15*1.2-SUM(交易记录!AF17,交易记录!AF81,交易记录!AF145,交易记录!AF209,交易记录!AF273,交易记录!AF337,交易记录!AF401,交易记录!AF465,交易记录!AF529,交易记录!AF593,交易记录!AF657,交易记录!AF721,交易记录!AF785,交易记录!AF849,交易记录!AF913),3)</f>
        <v>27.094999999999999</v>
      </c>
      <c r="AF50" s="67">
        <f>ROUND(AF15*1.2-SUM(交易记录!AG17,交易记录!AG81,交易记录!AG145,交易记录!AG209,交易记录!AG273,交易记录!AG337,交易记录!AG401,交易记录!AG465,交易记录!AG529,交易记录!AG593,交易记录!AG657,交易记录!AG721,交易记录!AG785,交易记录!AG849,交易记录!AG913),3)</f>
        <v>27.094999999999999</v>
      </c>
      <c r="AG50" s="67">
        <f>ROUND(AG15*1.2-SUM(交易记录!AH17,交易记录!AH81,交易记录!AH145,交易记录!AH209,交易记录!AH273,交易记录!AH337,交易记录!AH401,交易记录!AH465,交易记录!AH529,交易记录!AH593,交易记录!AH657,交易记录!AH721,交易记录!AH785,交易记录!AH849,交易记录!AH913),3)</f>
        <v>27.094999999999999</v>
      </c>
    </row>
    <row r="51" spans="2:33" ht="15">
      <c r="B51" s="7" t="s">
        <v>19</v>
      </c>
      <c r="C51" s="67">
        <f>ROUND(C16*1.2-SUM(交易记录!D18,交易记录!D82,交易记录!D146,交易记录!D210,交易记录!D274,交易记录!D338,交易记录!D402,交易记录!D466,交易记录!D530,交易记录!D594,交易记录!D658,交易记录!D722,交易记录!D786,交易记录!D850,交易记录!D914),3)</f>
        <v>27.416</v>
      </c>
      <c r="D51" s="67">
        <f>ROUND(D16*1.2-SUM(交易记录!E18,交易记录!E82,交易记录!E146,交易记录!E210,交易记录!E274,交易记录!E338,交易记录!E402,交易记录!E466,交易记录!E530,交易记录!E594,交易记录!E658,交易记录!E722,交易记录!E786,交易记录!E850,交易记录!E914),3)</f>
        <v>27.29</v>
      </c>
      <c r="E51" s="67">
        <f>ROUND(E16*1.2-SUM(交易记录!F18,交易记录!F82,交易记录!F146,交易记录!F210,交易记录!F274,交易记录!F338,交易记录!F402,交易记录!F466,交易记录!F530,交易记录!F594,交易记录!F658,交易记录!F722,交易记录!F786,交易记录!F850,交易记录!F914),3)</f>
        <v>27.29</v>
      </c>
      <c r="F51" s="67">
        <f>ROUND(F16*1.2-SUM(交易记录!G18,交易记录!G82,交易记录!G146,交易记录!G210,交易记录!G274,交易记录!G338,交易记录!G402,交易记录!G466,交易记录!G530,交易记录!G594,交易记录!G658,交易记录!G722,交易记录!G786,交易记录!G850,交易记录!G914),3)</f>
        <v>27.29</v>
      </c>
      <c r="G51" s="67">
        <f>ROUND(G16*1.2-SUM(交易记录!H18,交易记录!H82,交易记录!H146,交易记录!H210,交易记录!H274,交易记录!H338,交易记录!H402,交易记录!H466,交易记录!H530,交易记录!H594,交易记录!H658,交易记录!H722,交易记录!H786,交易记录!H850,交易记录!H914),3)</f>
        <v>25.125</v>
      </c>
      <c r="H51" s="67">
        <f>ROUND(H16*1.2-SUM(交易记录!I18,交易记录!I82,交易记录!I146,交易记录!I210,交易记录!I274,交易记录!I338,交易记录!I402,交易记录!I466,交易记录!I530,交易记录!I594,交易记录!I658,交易记录!I722,交易记录!I786,交易记录!I850,交易记录!I914),3)</f>
        <v>25.125</v>
      </c>
      <c r="I51" s="67">
        <f>ROUND(I16*1.2-SUM(交易记录!J18,交易记录!J82,交易记录!J146,交易记录!J210,交易记录!J274,交易记录!J338,交易记录!J402,交易记录!J466,交易记录!J530,交易记录!J594,交易记录!J658,交易记录!J722,交易记录!J786,交易记录!J850,交易记录!J914),3)</f>
        <v>27.29</v>
      </c>
      <c r="J51" s="67">
        <f>ROUND(J16*1.2-SUM(交易记录!K18,交易记录!K82,交易记录!K146,交易记录!K210,交易记录!K274,交易记录!K338,交易记录!K402,交易记录!K466,交易记录!K530,交易记录!K594,交易记录!K658,交易记录!K722,交易记录!K786,交易记录!K850,交易记录!K914),3)</f>
        <v>27.29</v>
      </c>
      <c r="K51" s="67">
        <f>ROUND(K16*1.2-SUM(交易记录!L18,交易记录!L82,交易记录!L146,交易记录!L210,交易记录!L274,交易记录!L338,交易记录!L402,交易记录!L466,交易记录!L530,交易记录!L594,交易记录!L658,交易记录!L722,交易记录!L786,交易记录!L850,交易记录!L914),3)</f>
        <v>27.29</v>
      </c>
      <c r="L51" s="67">
        <f>ROUND(L16*1.2-SUM(交易记录!M18,交易记录!M82,交易记录!M146,交易记录!M210,交易记录!M274,交易记录!M338,交易记录!M402,交易记录!M466,交易记录!M530,交易记录!M594,交易记录!M658,交易记录!M722,交易记录!M786,交易记录!M850,交易记录!M914),3)</f>
        <v>27.29</v>
      </c>
      <c r="M51" s="67">
        <f>ROUND(M16*1.2-SUM(交易记录!N18,交易记录!N82,交易记录!N146,交易记录!N210,交易记录!N274,交易记录!N338,交易记录!N402,交易记录!N466,交易记录!N530,交易记录!N594,交易记录!N658,交易记录!N722,交易记录!N786,交易记录!N850,交易记录!N914),3)</f>
        <v>27.29</v>
      </c>
      <c r="N51" s="67">
        <f>ROUND(N16*1.2-SUM(交易记录!O18,交易记录!O82,交易记录!O146,交易记录!O210,交易记录!O274,交易记录!O338,交易记录!O402,交易记录!O466,交易记录!O530,交易记录!O594,交易记录!O658,交易记录!O722,交易记录!O786,交易记录!O850,交易记录!O914),3)</f>
        <v>25.125</v>
      </c>
      <c r="O51" s="67">
        <f>ROUND(O16*1.2-SUM(交易记录!P18,交易记录!P82,交易记录!P146,交易记录!P210,交易记录!P274,交易记录!P338,交易记录!P402,交易记录!P466,交易记录!P530,交易记录!P594,交易记录!P658,交易记录!P722,交易记录!P786,交易记录!P850,交易记录!P914),3)</f>
        <v>25.125</v>
      </c>
      <c r="P51" s="67">
        <f>ROUND(P16*1.2-SUM(交易记录!Q18,交易记录!Q82,交易记录!Q146,交易记录!Q210,交易记录!Q274,交易记录!Q338,交易记录!Q402,交易记录!Q466,交易记录!Q530,交易记录!Q594,交易记录!Q658,交易记录!Q722,交易记录!Q786,交易记录!Q850,交易记录!Q914),3)</f>
        <v>27.29</v>
      </c>
      <c r="Q51" s="67">
        <f>ROUND(Q16*1.2-SUM(交易记录!R18,交易记录!R82,交易记录!R146,交易记录!R210,交易记录!R274,交易记录!R338,交易记录!R402,交易记录!R466,交易记录!R530,交易记录!R594,交易记录!R658,交易记录!R722,交易记录!R786,交易记录!R850,交易记录!R914),3)</f>
        <v>27.29</v>
      </c>
      <c r="R51" s="67">
        <f>ROUND(R16*1.2-SUM(交易记录!S18,交易记录!S82,交易记录!S146,交易记录!S210,交易记录!S274,交易记录!S338,交易记录!S402,交易记录!S466,交易记录!S530,交易记录!S594,交易记录!S658,交易记录!S722,交易记录!S786,交易记录!S850,交易记录!S914),3)</f>
        <v>27.29</v>
      </c>
      <c r="S51" s="67">
        <f>ROUND(S16*1.2-SUM(交易记录!T18,交易记录!T82,交易记录!T146,交易记录!T210,交易记录!T274,交易记录!T338,交易记录!T402,交易记录!T466,交易记录!T530,交易记录!T594,交易记录!T658,交易记录!T722,交易记录!T786,交易记录!T850,交易记录!T914),3)</f>
        <v>27.29</v>
      </c>
      <c r="T51" s="67">
        <f>ROUND(T16*1.2-SUM(交易记录!U18,交易记录!U82,交易记录!U146,交易记录!U210,交易记录!U274,交易记录!U338,交易记录!U402,交易记录!U466,交易记录!U530,交易记录!U594,交易记录!U658,交易记录!U722,交易记录!U786,交易记录!U850,交易记录!U914),3)</f>
        <v>27.29</v>
      </c>
      <c r="U51" s="67">
        <f>ROUND(U16*1.2-SUM(交易记录!V18,交易记录!V82,交易记录!V146,交易记录!V210,交易记录!V274,交易记录!V338,交易记录!V402,交易记录!V466,交易记录!V530,交易记录!V594,交易记录!V658,交易记录!V722,交易记录!V786,交易记录!V850,交易记录!V914),3)</f>
        <v>27.404</v>
      </c>
      <c r="V51" s="67">
        <f>ROUND(V16*1.2-SUM(交易记录!W18,交易记录!W82,交易记录!W146,交易记录!W210,交易记录!W274,交易记录!W338,交易记录!W402,交易记录!W466,交易记录!W530,交易记录!W594,交易记录!W658,交易记录!W722,交易记录!W786,交易记录!W850,交易记录!W914),3)</f>
        <v>25.125</v>
      </c>
      <c r="W51" s="67">
        <f>ROUND(W16*1.2-SUM(交易记录!X18,交易记录!X82,交易记录!X146,交易记录!X210,交易记录!X274,交易记录!X338,交易记录!X402,交易记录!X466,交易记录!X530,交易记录!X594,交易记录!X658,交易记录!X722,交易记录!X786,交易记录!X850,交易记录!X914),3)</f>
        <v>25.010999999999999</v>
      </c>
      <c r="X51" s="67">
        <f>ROUND(X16*1.2-SUM(交易记录!Y18,交易记录!Y82,交易记录!Y146,交易记录!Y210,交易记录!Y274,交易记录!Y338,交易记录!Y402,交易记录!Y466,交易记录!Y530,交易记录!Y594,交易记录!Y658,交易记录!Y722,交易记录!Y786,交易记录!Y850,交易记录!Y914),3)</f>
        <v>27.29</v>
      </c>
      <c r="Y51" s="67">
        <f>ROUND(Y16*1.2-SUM(交易记录!Z18,交易记录!Z82,交易记录!Z146,交易记录!Z210,交易记录!Z274,交易记录!Z338,交易记录!Z402,交易记录!Z466,交易记录!Z530,交易记录!Z594,交易记录!Z658,交易记录!Z722,交易记录!Z786,交易记录!Z850,交易记录!Z914),3)</f>
        <v>27.29</v>
      </c>
      <c r="Z51" s="67">
        <f>ROUND(Z16*1.2-SUM(交易记录!AA18,交易记录!AA82,交易记录!AA146,交易记录!AA210,交易记录!AA274,交易记录!AA338,交易记录!AA402,交易记录!AA466,交易记录!AA530,交易记录!AA594,交易记录!AA658,交易记录!AA722,交易记录!AA786,交易记录!AA850,交易记录!AA914),3)</f>
        <v>27.29</v>
      </c>
      <c r="AA51" s="67">
        <f>ROUND(AA16*1.2-SUM(交易记录!AB18,交易记录!AB82,交易记录!AB146,交易记录!AB210,交易记录!AB274,交易记录!AB338,交易记录!AB402,交易记录!AB466,交易记录!AB530,交易记录!AB594,交易记录!AB658,交易记录!AB722,交易记录!AB786,交易记录!AB850,交易记录!AB914),3)</f>
        <v>27.29</v>
      </c>
      <c r="AB51" s="67">
        <f>ROUND(AB16*1.2-SUM(交易记录!AC18,交易记录!AC82,交易记录!AC146,交易记录!AC210,交易记录!AC274,交易记录!AC338,交易记录!AC402,交易记录!AC466,交易记录!AC530,交易记录!AC594,交易记录!AC658,交易记录!AC722,交易记录!AC786,交易记录!AC850,交易记录!AC914),3)</f>
        <v>27.404</v>
      </c>
      <c r="AC51" s="67">
        <f>ROUND(AC16*1.2-SUM(交易记录!AD18,交易记录!AD82,交易记录!AD146,交易记录!AD210,交易记录!AD274,交易记录!AD338,交易记录!AD402,交易记录!AD466,交易记录!AD530,交易记录!AD594,交易记录!AD658,交易记录!AD722,交易记录!AD786,交易记录!AD850,交易记录!AD914),3)</f>
        <v>25.125</v>
      </c>
      <c r="AD51" s="67">
        <f>ROUND(AD16*1.2-SUM(交易记录!AE18,交易记录!AE82,交易记录!AE146,交易记录!AE210,交易记录!AE274,交易记录!AE338,交易记录!AE402,交易记录!AE466,交易记录!AE530,交易记录!AE594,交易记录!AE658,交易记录!AE722,交易记录!AE786,交易记录!AE850,交易记录!AE914),3)</f>
        <v>25.010999999999999</v>
      </c>
      <c r="AE51" s="67">
        <f>ROUND(AE16*1.2-SUM(交易记录!AF18,交易记录!AF82,交易记录!AF146,交易记录!AF210,交易记录!AF274,交易记录!AF338,交易记录!AF402,交易记录!AF466,交易记录!AF530,交易记录!AF594,交易记录!AF658,交易记录!AF722,交易记录!AF786,交易记录!AF850,交易记录!AF914),3)</f>
        <v>27.29</v>
      </c>
      <c r="AF51" s="67">
        <f>ROUND(AF16*1.2-SUM(交易记录!AG18,交易记录!AG82,交易记录!AG146,交易记录!AG210,交易记录!AG274,交易记录!AG338,交易记录!AG402,交易记录!AG466,交易记录!AG530,交易记录!AG594,交易记录!AG658,交易记录!AG722,交易记录!AG786,交易记录!AG850,交易记录!AG914),3)</f>
        <v>27.29</v>
      </c>
      <c r="AG51" s="67">
        <f>ROUND(AG16*1.2-SUM(交易记录!AH18,交易记录!AH82,交易记录!AH146,交易记录!AH210,交易记录!AH274,交易记录!AH338,交易记录!AH402,交易记录!AH466,交易记录!AH530,交易记录!AH594,交易记录!AH658,交易记录!AH722,交易记录!AH786,交易记录!AH850,交易记录!AH914),3)</f>
        <v>27.29</v>
      </c>
    </row>
    <row r="52" spans="2:33" ht="15">
      <c r="B52" s="7" t="s">
        <v>20</v>
      </c>
      <c r="C52" s="67">
        <f>ROUND(C17*1.2-SUM(交易记录!D19,交易记录!D83,交易记录!D147,交易记录!D211,交易记录!D275,交易记录!D339,交易记录!D403,交易记录!D467,交易记录!D531,交易记录!D595,交易记录!D659,交易记录!D723,交易记录!D787,交易记录!D851,交易记录!D915),3)</f>
        <v>26.25</v>
      </c>
      <c r="D52" s="67">
        <f>ROUND(D17*1.2-SUM(交易记录!E19,交易记录!E83,交易记录!E147,交易记录!E211,交易记录!E275,交易记录!E339,交易记录!E403,交易记录!E467,交易记录!E531,交易记录!E595,交易记录!E659,交易记录!E723,交易记录!E787,交易记录!E851,交易记录!E915),3)</f>
        <v>26.14</v>
      </c>
      <c r="E52" s="67">
        <f>ROUND(E17*1.2-SUM(交易记录!F19,交易记录!F83,交易记录!F147,交易记录!F211,交易记录!F275,交易记录!F339,交易记录!F403,交易记录!F467,交易记录!F531,交易记录!F595,交易记录!F659,交易记录!F723,交易记录!F787,交易记录!F851,交易记录!F915),3)</f>
        <v>26.14</v>
      </c>
      <c r="F52" s="67">
        <f>ROUND(F17*1.2-SUM(交易记录!G19,交易记录!G83,交易记录!G147,交易记录!G211,交易记录!G275,交易记录!G339,交易记录!G403,交易记录!G467,交易记录!G531,交易记录!G595,交易记录!G659,交易记录!G723,交易记录!G787,交易记录!G851,交易记录!G915),3)</f>
        <v>26.14</v>
      </c>
      <c r="G52" s="67">
        <f>ROUND(G17*1.2-SUM(交易记录!H19,交易记录!H83,交易记录!H147,交易记录!H211,交易记录!H275,交易记录!H339,交易记录!H403,交易记录!H467,交易记录!H531,交易记录!H595,交易记录!H659,交易记录!H723,交易记录!H787,交易记录!H851,交易记录!H915),3)</f>
        <v>24.802</v>
      </c>
      <c r="H52" s="67">
        <f>ROUND(H17*1.2-SUM(交易记录!I19,交易记录!I83,交易记录!I147,交易记录!I211,交易记录!I275,交易记录!I339,交易记录!I403,交易记录!I467,交易记录!I531,交易记录!I595,交易记录!I659,交易记录!I723,交易记录!I787,交易记录!I851,交易记录!I915),3)</f>
        <v>24.802</v>
      </c>
      <c r="I52" s="67">
        <f>ROUND(I17*1.2-SUM(交易记录!J19,交易记录!J83,交易记录!J147,交易记录!J211,交易记录!J275,交易记录!J339,交易记录!J403,交易记录!J467,交易记录!J531,交易记录!J595,交易记录!J659,交易记录!J723,交易记录!J787,交易记录!J851,交易记录!J915),3)</f>
        <v>26.14</v>
      </c>
      <c r="J52" s="67">
        <f>ROUND(J17*1.2-SUM(交易记录!K19,交易记录!K83,交易记录!K147,交易记录!K211,交易记录!K275,交易记录!K339,交易记录!K403,交易记录!K467,交易记录!K531,交易记录!K595,交易记录!K659,交易记录!K723,交易记录!K787,交易记录!K851,交易记录!K915),3)</f>
        <v>26.14</v>
      </c>
      <c r="K52" s="67">
        <f>ROUND(K17*1.2-SUM(交易记录!L19,交易记录!L83,交易记录!L147,交易记录!L211,交易记录!L275,交易记录!L339,交易记录!L403,交易记录!L467,交易记录!L531,交易记录!L595,交易记录!L659,交易记录!L723,交易记录!L787,交易记录!L851,交易记录!L915),3)</f>
        <v>26.14</v>
      </c>
      <c r="L52" s="67">
        <f>ROUND(L17*1.2-SUM(交易记录!M19,交易记录!M83,交易记录!M147,交易记录!M211,交易记录!M275,交易记录!M339,交易记录!M403,交易记录!M467,交易记录!M531,交易记录!M595,交易记录!M659,交易记录!M723,交易记录!M787,交易记录!M851,交易记录!M915),3)</f>
        <v>26.14</v>
      </c>
      <c r="M52" s="67">
        <f>ROUND(M17*1.2-SUM(交易记录!N19,交易记录!N83,交易记录!N147,交易记录!N211,交易记录!N275,交易记录!N339,交易记录!N403,交易记录!N467,交易记录!N531,交易记录!N595,交易记录!N659,交易记录!N723,交易记录!N787,交易记录!N851,交易记录!N915),3)</f>
        <v>26.14</v>
      </c>
      <c r="N52" s="67">
        <f>ROUND(N17*1.2-SUM(交易记录!O19,交易记录!O83,交易记录!O147,交易记录!O211,交易记录!O275,交易记录!O339,交易记录!O403,交易记录!O467,交易记录!O531,交易记录!O595,交易记录!O659,交易记录!O723,交易记录!O787,交易记录!O851,交易记录!O915),3)</f>
        <v>24.802</v>
      </c>
      <c r="O52" s="67">
        <f>ROUND(O17*1.2-SUM(交易记录!P19,交易记录!P83,交易记录!P147,交易记录!P211,交易记录!P275,交易记录!P339,交易记录!P403,交易记录!P467,交易记录!P531,交易记录!P595,交易记录!P659,交易记录!P723,交易记录!P787,交易记录!P851,交易记录!P915),3)</f>
        <v>24.802</v>
      </c>
      <c r="P52" s="67">
        <f>ROUND(P17*1.2-SUM(交易记录!Q19,交易记录!Q83,交易记录!Q147,交易记录!Q211,交易记录!Q275,交易记录!Q339,交易记录!Q403,交易记录!Q467,交易记录!Q531,交易记录!Q595,交易记录!Q659,交易记录!Q723,交易记录!Q787,交易记录!Q851,交易记录!Q915),3)</f>
        <v>26.14</v>
      </c>
      <c r="Q52" s="67">
        <f>ROUND(Q17*1.2-SUM(交易记录!R19,交易记录!R83,交易记录!R147,交易记录!R211,交易记录!R275,交易记录!R339,交易记录!R403,交易记录!R467,交易记录!R531,交易记录!R595,交易记录!R659,交易记录!R723,交易记录!R787,交易记录!R851,交易记录!R915),3)</f>
        <v>26.14</v>
      </c>
      <c r="R52" s="67">
        <f>ROUND(R17*1.2-SUM(交易记录!S19,交易记录!S83,交易记录!S147,交易记录!S211,交易记录!S275,交易记录!S339,交易记录!S403,交易记录!S467,交易记录!S531,交易记录!S595,交易记录!S659,交易记录!S723,交易记录!S787,交易记录!S851,交易记录!S915),3)</f>
        <v>26.14</v>
      </c>
      <c r="S52" s="67">
        <f>ROUND(S17*1.2-SUM(交易记录!T19,交易记录!T83,交易记录!T147,交易记录!T211,交易记录!T275,交易记录!T339,交易记录!T403,交易记录!T467,交易记录!T531,交易记录!T595,交易记录!T659,交易记录!T723,交易记录!T787,交易记录!T851,交易记录!T915),3)</f>
        <v>26.14</v>
      </c>
      <c r="T52" s="67">
        <f>ROUND(T17*1.2-SUM(交易记录!U19,交易记录!U83,交易记录!U147,交易记录!U211,交易记录!U275,交易记录!U339,交易记录!U403,交易记录!U467,交易记录!U531,交易记录!U595,交易记录!U659,交易记录!U723,交易记录!U787,交易记录!U851,交易记录!U915),3)</f>
        <v>26.14</v>
      </c>
      <c r="U52" s="67">
        <f>ROUND(U17*1.2-SUM(交易记录!V19,交易记录!V83,交易记录!V147,交易记录!V211,交易记录!V275,交易记录!V339,交易记录!V403,交易记录!V467,交易记录!V531,交易记录!V595,交易记录!V659,交易记录!V723,交易记录!V787,交易记录!V851,交易记录!V915),3)</f>
        <v>26.356000000000002</v>
      </c>
      <c r="V52" s="67">
        <f>ROUND(V17*1.2-SUM(交易记录!W19,交易记录!W83,交易记录!W147,交易记录!W211,交易记录!W275,交易记录!W339,交易记录!W403,交易记录!W467,交易记录!W531,交易记录!W595,交易记录!W659,交易记录!W723,交易记录!W787,交易记录!W851,交易记录!W915),3)</f>
        <v>24.802</v>
      </c>
      <c r="W52" s="67">
        <f>ROUND(W17*1.2-SUM(交易记录!X19,交易记录!X83,交易记录!X147,交易记录!X211,交易记录!X275,交易记录!X339,交易记录!X403,交易记录!X467,交易记录!X531,交易记录!X595,交易记录!X659,交易记录!X723,交易记录!X787,交易记录!X851,交易记录!X915),3)</f>
        <v>24.585999999999999</v>
      </c>
      <c r="X52" s="67">
        <f>ROUND(X17*1.2-SUM(交易记录!Y19,交易记录!Y83,交易记录!Y147,交易记录!Y211,交易记录!Y275,交易记录!Y339,交易记录!Y403,交易记录!Y467,交易记录!Y531,交易记录!Y595,交易记录!Y659,交易记录!Y723,交易记录!Y787,交易记录!Y851,交易记录!Y915),3)</f>
        <v>26.14</v>
      </c>
      <c r="Y52" s="67">
        <f>ROUND(Y17*1.2-SUM(交易记录!Z19,交易记录!Z83,交易记录!Z147,交易记录!Z211,交易记录!Z275,交易记录!Z339,交易记录!Z403,交易记录!Z467,交易记录!Z531,交易记录!Z595,交易记录!Z659,交易记录!Z723,交易记录!Z787,交易记录!Z851,交易记录!Z915),3)</f>
        <v>26.14</v>
      </c>
      <c r="Z52" s="67">
        <f>ROUND(Z17*1.2-SUM(交易记录!AA19,交易记录!AA83,交易记录!AA147,交易记录!AA211,交易记录!AA275,交易记录!AA339,交易记录!AA403,交易记录!AA467,交易记录!AA531,交易记录!AA595,交易记录!AA659,交易记录!AA723,交易记录!AA787,交易记录!AA851,交易记录!AA915),3)</f>
        <v>26.14</v>
      </c>
      <c r="AA52" s="67">
        <f>ROUND(AA17*1.2-SUM(交易记录!AB19,交易记录!AB83,交易记录!AB147,交易记录!AB211,交易记录!AB275,交易记录!AB339,交易记录!AB403,交易记录!AB467,交易记录!AB531,交易记录!AB595,交易记录!AB659,交易记录!AB723,交易记录!AB787,交易记录!AB851,交易记录!AB915),3)</f>
        <v>26.14</v>
      </c>
      <c r="AB52" s="67">
        <f>ROUND(AB17*1.2-SUM(交易记录!AC19,交易记录!AC83,交易记录!AC147,交易记录!AC211,交易记录!AC275,交易记录!AC339,交易记录!AC403,交易记录!AC467,交易记录!AC531,交易记录!AC595,交易记录!AC659,交易记录!AC723,交易记录!AC787,交易记录!AC851,交易记录!AC915),3)</f>
        <v>26.356000000000002</v>
      </c>
      <c r="AC52" s="67">
        <f>ROUND(AC17*1.2-SUM(交易记录!AD19,交易记录!AD83,交易记录!AD147,交易记录!AD211,交易记录!AD275,交易记录!AD339,交易记录!AD403,交易记录!AD467,交易记录!AD531,交易记录!AD595,交易记录!AD659,交易记录!AD723,交易记录!AD787,交易记录!AD851,交易记录!AD915),3)</f>
        <v>24.802</v>
      </c>
      <c r="AD52" s="67">
        <f>ROUND(AD17*1.2-SUM(交易记录!AE19,交易记录!AE83,交易记录!AE147,交易记录!AE211,交易记录!AE275,交易记录!AE339,交易记录!AE403,交易记录!AE467,交易记录!AE531,交易记录!AE595,交易记录!AE659,交易记录!AE723,交易记录!AE787,交易记录!AE851,交易记录!AE915),3)</f>
        <v>24.585999999999999</v>
      </c>
      <c r="AE52" s="67">
        <f>ROUND(AE17*1.2-SUM(交易记录!AF19,交易记录!AF83,交易记录!AF147,交易记录!AF211,交易记录!AF275,交易记录!AF339,交易记录!AF403,交易记录!AF467,交易记录!AF531,交易记录!AF595,交易记录!AF659,交易记录!AF723,交易记录!AF787,交易记录!AF851,交易记录!AF915),3)</f>
        <v>26.14</v>
      </c>
      <c r="AF52" s="67">
        <f>ROUND(AF17*1.2-SUM(交易记录!AG19,交易记录!AG83,交易记录!AG147,交易记录!AG211,交易记录!AG275,交易记录!AG339,交易记录!AG403,交易记录!AG467,交易记录!AG531,交易记录!AG595,交易记录!AG659,交易记录!AG723,交易记录!AG787,交易记录!AG851,交易记录!AG915),3)</f>
        <v>26.14</v>
      </c>
      <c r="AG52" s="67">
        <f>ROUND(AG17*1.2-SUM(交易记录!AH19,交易记录!AH83,交易记录!AH147,交易记录!AH211,交易记录!AH275,交易记录!AH339,交易记录!AH403,交易记录!AH467,交易记录!AH531,交易记录!AH595,交易记录!AH659,交易记录!AH723,交易记录!AH787,交易记录!AH851,交易记录!AH915),3)</f>
        <v>26.14</v>
      </c>
    </row>
    <row r="53" spans="2:33" ht="15">
      <c r="B53" s="7" t="s">
        <v>21</v>
      </c>
      <c r="C53" s="67">
        <f>ROUND(C18*1.2-SUM(交易记录!D20,交易记录!D84,交易记录!D148,交易记录!D212,交易记录!D276,交易记录!D340,交易记录!D404,交易记录!D468,交易记录!D532,交易记录!D596,交易记录!D660,交易记录!D724,交易记录!D788,交易记录!D852,交易记录!D916),3)</f>
        <v>26.22</v>
      </c>
      <c r="D53" s="67">
        <f>ROUND(D18*1.2-SUM(交易记录!E20,交易记录!E84,交易记录!E148,交易记录!E212,交易记录!E276,交易记录!E340,交易记录!E404,交易记录!E468,交易记录!E532,交易记录!E596,交易记录!E660,交易记录!E724,交易记录!E788,交易记录!E852,交易记录!E916),3)</f>
        <v>26.123999999999999</v>
      </c>
      <c r="E53" s="67">
        <f>ROUND(E18*1.2-SUM(交易记录!F20,交易记录!F84,交易记录!F148,交易记录!F212,交易记录!F276,交易记录!F340,交易记录!F404,交易记录!F468,交易记录!F532,交易记录!F596,交易记录!F660,交易记录!F724,交易记录!F788,交易记录!F852,交易记录!F916),3)</f>
        <v>26.123999999999999</v>
      </c>
      <c r="F53" s="67">
        <f>ROUND(F18*1.2-SUM(交易记录!G20,交易记录!G84,交易记录!G148,交易记录!G212,交易记录!G276,交易记录!G340,交易记录!G404,交易记录!G468,交易记录!G532,交易记录!G596,交易记录!G660,交易记录!G724,交易记录!G788,交易记录!G852,交易记录!G916),3)</f>
        <v>26.123999999999999</v>
      </c>
      <c r="G53" s="67">
        <f>ROUND(G18*1.2-SUM(交易记录!H20,交易记录!H84,交易记录!H148,交易记录!H212,交易记录!H276,交易记录!H340,交易记录!H404,交易记录!H468,交易记录!H532,交易记录!H596,交易记录!H660,交易记录!H724,交易记录!H788,交易记录!H852,交易记录!H916),3)</f>
        <v>24.9</v>
      </c>
      <c r="H53" s="67">
        <f>ROUND(H18*1.2-SUM(交易记录!I20,交易记录!I84,交易记录!I148,交易记录!I212,交易记录!I276,交易记录!I340,交易记录!I404,交易记录!I468,交易记录!I532,交易记录!I596,交易记录!I660,交易记录!I724,交易记录!I788,交易记录!I852,交易记录!I916),3)</f>
        <v>24.9</v>
      </c>
      <c r="I53" s="67">
        <f>ROUND(I18*1.2-SUM(交易记录!J20,交易记录!J84,交易记录!J148,交易记录!J212,交易记录!J276,交易记录!J340,交易记录!J404,交易记录!J468,交易记录!J532,交易记录!J596,交易记录!J660,交易记录!J724,交易记录!J788,交易记录!J852,交易记录!J916),3)</f>
        <v>26.123999999999999</v>
      </c>
      <c r="J53" s="67">
        <f>ROUND(J18*1.2-SUM(交易记录!K20,交易记录!K84,交易记录!K148,交易记录!K212,交易记录!K276,交易记录!K340,交易记录!K404,交易记录!K468,交易记录!K532,交易记录!K596,交易记录!K660,交易记录!K724,交易记录!K788,交易记录!K852,交易记录!K916),3)</f>
        <v>26.123999999999999</v>
      </c>
      <c r="K53" s="67">
        <f>ROUND(K18*1.2-SUM(交易记录!L20,交易记录!L84,交易记录!L148,交易记录!L212,交易记录!L276,交易记录!L340,交易记录!L404,交易记录!L468,交易记录!L532,交易记录!L596,交易记录!L660,交易记录!L724,交易记录!L788,交易记录!L852,交易记录!L916),3)</f>
        <v>26.123999999999999</v>
      </c>
      <c r="L53" s="67">
        <f>ROUND(L18*1.2-SUM(交易记录!M20,交易记录!M84,交易记录!M148,交易记录!M212,交易记录!M276,交易记录!M340,交易记录!M404,交易记录!M468,交易记录!M532,交易记录!M596,交易记录!M660,交易记录!M724,交易记录!M788,交易记录!M852,交易记录!M916),3)</f>
        <v>26.123999999999999</v>
      </c>
      <c r="M53" s="67">
        <f>ROUND(M18*1.2-SUM(交易记录!N20,交易记录!N84,交易记录!N148,交易记录!N212,交易记录!N276,交易记录!N340,交易记录!N404,交易记录!N468,交易记录!N532,交易记录!N596,交易记录!N660,交易记录!N724,交易记录!N788,交易记录!N852,交易记录!N916),3)</f>
        <v>26.123999999999999</v>
      </c>
      <c r="N53" s="67">
        <f>ROUND(N18*1.2-SUM(交易记录!O20,交易记录!O84,交易记录!O148,交易记录!O212,交易记录!O276,交易记录!O340,交易记录!O404,交易记录!O468,交易记录!O532,交易记录!O596,交易记录!O660,交易记录!O724,交易记录!O788,交易记录!O852,交易记录!O916),3)</f>
        <v>24.9</v>
      </c>
      <c r="O53" s="67">
        <f>ROUND(O18*1.2-SUM(交易记录!P20,交易记录!P84,交易记录!P148,交易记录!P212,交易记录!P276,交易记录!P340,交易记录!P404,交易记录!P468,交易记录!P532,交易记录!P596,交易记录!P660,交易记录!P724,交易记录!P788,交易记录!P852,交易记录!P916),3)</f>
        <v>24.9</v>
      </c>
      <c r="P53" s="67">
        <f>ROUND(P18*1.2-SUM(交易记录!Q20,交易记录!Q84,交易记录!Q148,交易记录!Q212,交易记录!Q276,交易记录!Q340,交易记录!Q404,交易记录!Q468,交易记录!Q532,交易记录!Q596,交易记录!Q660,交易记录!Q724,交易记录!Q788,交易记录!Q852,交易记录!Q916),3)</f>
        <v>26.123999999999999</v>
      </c>
      <c r="Q53" s="67">
        <f>ROUND(Q18*1.2-SUM(交易记录!R20,交易记录!R84,交易记录!R148,交易记录!R212,交易记录!R276,交易记录!R340,交易记录!R404,交易记录!R468,交易记录!R532,交易记录!R596,交易记录!R660,交易记录!R724,交易记录!R788,交易记录!R852,交易记录!R916),3)</f>
        <v>26.123999999999999</v>
      </c>
      <c r="R53" s="67">
        <f>ROUND(R18*1.2-SUM(交易记录!S20,交易记录!S84,交易记录!S148,交易记录!S212,交易记录!S276,交易记录!S340,交易记录!S404,交易记录!S468,交易记录!S532,交易记录!S596,交易记录!S660,交易记录!S724,交易记录!S788,交易记录!S852,交易记录!S916),3)</f>
        <v>26.123999999999999</v>
      </c>
      <c r="S53" s="67">
        <f>ROUND(S18*1.2-SUM(交易记录!T20,交易记录!T84,交易记录!T148,交易记录!T212,交易记录!T276,交易记录!T340,交易记录!T404,交易记录!T468,交易记录!T532,交易记录!T596,交易记录!T660,交易记录!T724,交易记录!T788,交易记录!T852,交易记录!T916),3)</f>
        <v>26.123999999999999</v>
      </c>
      <c r="T53" s="67">
        <f>ROUND(T18*1.2-SUM(交易记录!U20,交易记录!U84,交易记录!U148,交易记录!U212,交易记录!U276,交易记录!U340,交易记录!U404,交易记录!U468,交易记录!U532,交易记录!U596,交易记录!U660,交易记录!U724,交易记录!U788,交易记录!U852,交易记录!U916),3)</f>
        <v>26.123999999999999</v>
      </c>
      <c r="U53" s="67">
        <f>ROUND(U18*1.2-SUM(交易记录!V20,交易记录!V84,交易记录!V148,交易记录!V212,交易记录!V276,交易记录!V340,交易记录!V404,交易记录!V468,交易记录!V532,交易记录!V596,交易记录!V660,交易记录!V724,交易记录!V788,交易记录!V852,交易记录!V916),3)</f>
        <v>26.373999999999999</v>
      </c>
      <c r="V53" s="67">
        <f>ROUND(V18*1.2-SUM(交易记录!W20,交易记录!W84,交易记录!W148,交易记录!W212,交易记录!W276,交易记录!W340,交易记录!W404,交易记录!W468,交易记录!W532,交易记录!W596,交易记录!W660,交易记录!W724,交易记录!W788,交易记录!W852,交易记录!W916),3)</f>
        <v>24.9</v>
      </c>
      <c r="W53" s="67">
        <f>ROUND(W18*1.2-SUM(交易记录!X20,交易记录!X84,交易记录!X148,交易记录!X212,交易记录!X276,交易记录!X340,交易记录!X404,交易记录!X468,交易记录!X532,交易记录!X596,交易记录!X660,交易记录!X724,交易记录!X788,交易记录!X852,交易记录!X916),3)</f>
        <v>24.65</v>
      </c>
      <c r="X53" s="67">
        <f>ROUND(X18*1.2-SUM(交易记录!Y20,交易记录!Y84,交易记录!Y148,交易记录!Y212,交易记录!Y276,交易记录!Y340,交易记录!Y404,交易记录!Y468,交易记录!Y532,交易记录!Y596,交易记录!Y660,交易记录!Y724,交易记录!Y788,交易记录!Y852,交易记录!Y916),3)</f>
        <v>26.123999999999999</v>
      </c>
      <c r="Y53" s="67">
        <f>ROUND(Y18*1.2-SUM(交易记录!Z20,交易记录!Z84,交易记录!Z148,交易记录!Z212,交易记录!Z276,交易记录!Z340,交易记录!Z404,交易记录!Z468,交易记录!Z532,交易记录!Z596,交易记录!Z660,交易记录!Z724,交易记录!Z788,交易记录!Z852,交易记录!Z916),3)</f>
        <v>26.123999999999999</v>
      </c>
      <c r="Z53" s="67">
        <f>ROUND(Z18*1.2-SUM(交易记录!AA20,交易记录!AA84,交易记录!AA148,交易记录!AA212,交易记录!AA276,交易记录!AA340,交易记录!AA404,交易记录!AA468,交易记录!AA532,交易记录!AA596,交易记录!AA660,交易记录!AA724,交易记录!AA788,交易记录!AA852,交易记录!AA916),3)</f>
        <v>26.123999999999999</v>
      </c>
      <c r="AA53" s="67">
        <f>ROUND(AA18*1.2-SUM(交易记录!AB20,交易记录!AB84,交易记录!AB148,交易记录!AB212,交易记录!AB276,交易记录!AB340,交易记录!AB404,交易记录!AB468,交易记录!AB532,交易记录!AB596,交易记录!AB660,交易记录!AB724,交易记录!AB788,交易记录!AB852,交易记录!AB916),3)</f>
        <v>26.123999999999999</v>
      </c>
      <c r="AB53" s="67">
        <f>ROUND(AB18*1.2-SUM(交易记录!AC20,交易记录!AC84,交易记录!AC148,交易记录!AC212,交易记录!AC276,交易记录!AC340,交易记录!AC404,交易记录!AC468,交易记录!AC532,交易记录!AC596,交易记录!AC660,交易记录!AC724,交易记录!AC788,交易记录!AC852,交易记录!AC916),3)</f>
        <v>26.373999999999999</v>
      </c>
      <c r="AC53" s="67">
        <f>ROUND(AC18*1.2-SUM(交易记录!AD20,交易记录!AD84,交易记录!AD148,交易记录!AD212,交易记录!AD276,交易记录!AD340,交易记录!AD404,交易记录!AD468,交易记录!AD532,交易记录!AD596,交易记录!AD660,交易记录!AD724,交易记录!AD788,交易记录!AD852,交易记录!AD916),3)</f>
        <v>24.9</v>
      </c>
      <c r="AD53" s="67">
        <f>ROUND(AD18*1.2-SUM(交易记录!AE20,交易记录!AE84,交易记录!AE148,交易记录!AE212,交易记录!AE276,交易记录!AE340,交易记录!AE404,交易记录!AE468,交易记录!AE532,交易记录!AE596,交易记录!AE660,交易记录!AE724,交易记录!AE788,交易记录!AE852,交易记录!AE916),3)</f>
        <v>24.65</v>
      </c>
      <c r="AE53" s="67">
        <f>ROUND(AE18*1.2-SUM(交易记录!AF20,交易记录!AF84,交易记录!AF148,交易记录!AF212,交易记录!AF276,交易记录!AF340,交易记录!AF404,交易记录!AF468,交易记录!AF532,交易记录!AF596,交易记录!AF660,交易记录!AF724,交易记录!AF788,交易记录!AF852,交易记录!AF916),3)</f>
        <v>26.123999999999999</v>
      </c>
      <c r="AF53" s="67">
        <f>ROUND(AF18*1.2-SUM(交易记录!AG20,交易记录!AG84,交易记录!AG148,交易记录!AG212,交易记录!AG276,交易记录!AG340,交易记录!AG404,交易记录!AG468,交易记录!AG532,交易记录!AG596,交易记录!AG660,交易记录!AG724,交易记录!AG788,交易记录!AG852,交易记录!AG916),3)</f>
        <v>26.123999999999999</v>
      </c>
      <c r="AG53" s="67">
        <f>ROUND(AG18*1.2-SUM(交易记录!AH20,交易记录!AH84,交易记录!AH148,交易记录!AH212,交易记录!AH276,交易记录!AH340,交易记录!AH404,交易记录!AH468,交易记录!AH532,交易记录!AH596,交易记录!AH660,交易记录!AH724,交易记录!AH788,交易记录!AH852,交易记录!AH916),3)</f>
        <v>26.123999999999999</v>
      </c>
    </row>
    <row r="54" spans="2:33" ht="15">
      <c r="B54" s="7" t="s">
        <v>22</v>
      </c>
      <c r="C54" s="67">
        <f>ROUND(C19*1.2-SUM(交易记录!D21,交易记录!D85,交易记录!D149,交易记录!D213,交易记录!D277,交易记录!D341,交易记录!D405,交易记录!D469,交易记录!D533,交易记录!D597,交易记录!D661,交易记录!D725,交易记录!D789,交易记录!D853,交易记录!D917),3)</f>
        <v>27.356000000000002</v>
      </c>
      <c r="D54" s="67">
        <f>ROUND(D19*1.2-SUM(交易记录!E21,交易记录!E85,交易记录!E149,交易记录!E213,交易记录!E277,交易记录!E341,交易记录!E405,交易记录!E469,交易记录!E533,交易记录!E597,交易记录!E661,交易记录!E725,交易记录!E789,交易记录!E853,交易记录!E917),3)</f>
        <v>27.108000000000001</v>
      </c>
      <c r="E54" s="67">
        <f>ROUND(E19*1.2-SUM(交易记录!F21,交易记录!F85,交易记录!F149,交易记录!F213,交易记录!F277,交易记录!F341,交易记录!F405,交易记录!F469,交易记录!F533,交易记录!F597,交易记录!F661,交易记录!F725,交易记录!F789,交易记录!F853,交易记录!F917),3)</f>
        <v>27.108000000000001</v>
      </c>
      <c r="F54" s="67">
        <f>ROUND(F19*1.2-SUM(交易记录!G21,交易记录!G85,交易记录!G149,交易记录!G213,交易记录!G277,交易记录!G341,交易记录!G405,交易记录!G469,交易记录!G533,交易记录!G597,交易记录!G661,交易记录!G725,交易记录!G789,交易记录!G853,交易记录!G917),3)</f>
        <v>27.108000000000001</v>
      </c>
      <c r="G54" s="67">
        <f>ROUND(G19*1.2-SUM(交易记录!H21,交易记录!H85,交易记录!H149,交易记录!H213,交易记录!H277,交易记录!H341,交易记录!H405,交易记录!H469,交易记录!H533,交易记录!H597,交易记录!H661,交易记录!H725,交易记录!H789,交易记录!H853,交易记录!H917),3)</f>
        <v>26.184999999999999</v>
      </c>
      <c r="H54" s="67">
        <f>ROUND(H19*1.2-SUM(交易记录!I21,交易记录!I85,交易记录!I149,交易记录!I213,交易记录!I277,交易记录!I341,交易记录!I405,交易记录!I469,交易记录!I533,交易记录!I597,交易记录!I661,交易记录!I725,交易记录!I789,交易记录!I853,交易记录!I917),3)</f>
        <v>26.184999999999999</v>
      </c>
      <c r="I54" s="67">
        <f>ROUND(I19*1.2-SUM(交易记录!J21,交易记录!J85,交易记录!J149,交易记录!J213,交易记录!J277,交易记录!J341,交易记录!J405,交易记录!J469,交易记录!J533,交易记录!J597,交易记录!J661,交易记录!J725,交易记录!J789,交易记录!J853,交易记录!J917),3)</f>
        <v>27.108000000000001</v>
      </c>
      <c r="J54" s="67">
        <f>ROUND(J19*1.2-SUM(交易记录!K21,交易记录!K85,交易记录!K149,交易记录!K213,交易记录!K277,交易记录!K341,交易记录!K405,交易记录!K469,交易记录!K533,交易记录!K597,交易记录!K661,交易记录!K725,交易记录!K789,交易记录!K853,交易记录!K917),3)</f>
        <v>27.108000000000001</v>
      </c>
      <c r="K54" s="67">
        <f>ROUND(K19*1.2-SUM(交易记录!L21,交易记录!L85,交易记录!L149,交易记录!L213,交易记录!L277,交易记录!L341,交易记录!L405,交易记录!L469,交易记录!L533,交易记录!L597,交易记录!L661,交易记录!L725,交易记录!L789,交易记录!L853,交易记录!L917),3)</f>
        <v>27.108000000000001</v>
      </c>
      <c r="L54" s="67">
        <f>ROUND(L19*1.2-SUM(交易记录!M21,交易记录!M85,交易记录!M149,交易记录!M213,交易记录!M277,交易记录!M341,交易记录!M405,交易记录!M469,交易记录!M533,交易记录!M597,交易记录!M661,交易记录!M725,交易记录!M789,交易记录!M853,交易记录!M917),3)</f>
        <v>27.108000000000001</v>
      </c>
      <c r="M54" s="67">
        <f>ROUND(M19*1.2-SUM(交易记录!N21,交易记录!N85,交易记录!N149,交易记录!N213,交易记录!N277,交易记录!N341,交易记录!N405,交易记录!N469,交易记录!N533,交易记录!N597,交易记录!N661,交易记录!N725,交易记录!N789,交易记录!N853,交易记录!N917),3)</f>
        <v>27.108000000000001</v>
      </c>
      <c r="N54" s="67">
        <f>ROUND(N19*1.2-SUM(交易记录!O21,交易记录!O85,交易记录!O149,交易记录!O213,交易记录!O277,交易记录!O341,交易记录!O405,交易记录!O469,交易记录!O533,交易记录!O597,交易记录!O661,交易记录!O725,交易记录!O789,交易记录!O853,交易记录!O917),3)</f>
        <v>26.184999999999999</v>
      </c>
      <c r="O54" s="67">
        <f>ROUND(O19*1.2-SUM(交易记录!P21,交易记录!P85,交易记录!P149,交易记录!P213,交易记录!P277,交易记录!P341,交易记录!P405,交易记录!P469,交易记录!P533,交易记录!P597,交易记录!P661,交易记录!P725,交易记录!P789,交易记录!P853,交易记录!P917),3)</f>
        <v>26.184999999999999</v>
      </c>
      <c r="P54" s="67">
        <f>ROUND(P19*1.2-SUM(交易记录!Q21,交易记录!Q85,交易记录!Q149,交易记录!Q213,交易记录!Q277,交易记录!Q341,交易记录!Q405,交易记录!Q469,交易记录!Q533,交易记录!Q597,交易记录!Q661,交易记录!Q725,交易记录!Q789,交易记录!Q853,交易记录!Q917),3)</f>
        <v>27.108000000000001</v>
      </c>
      <c r="Q54" s="67">
        <f>ROUND(Q19*1.2-SUM(交易记录!R21,交易记录!R85,交易记录!R149,交易记录!R213,交易记录!R277,交易记录!R341,交易记录!R405,交易记录!R469,交易记录!R533,交易记录!R597,交易记录!R661,交易记录!R725,交易记录!R789,交易记录!R853,交易记录!R917),3)</f>
        <v>27.108000000000001</v>
      </c>
      <c r="R54" s="67">
        <f>ROUND(R19*1.2-SUM(交易记录!S21,交易记录!S85,交易记录!S149,交易记录!S213,交易记录!S277,交易记录!S341,交易记录!S405,交易记录!S469,交易记录!S533,交易记录!S597,交易记录!S661,交易记录!S725,交易记录!S789,交易记录!S853,交易记录!S917),3)</f>
        <v>27.108000000000001</v>
      </c>
      <c r="S54" s="67">
        <f>ROUND(S19*1.2-SUM(交易记录!T21,交易记录!T85,交易记录!T149,交易记录!T213,交易记录!T277,交易记录!T341,交易记录!T405,交易记录!T469,交易记录!T533,交易记录!T597,交易记录!T661,交易记录!T725,交易记录!T789,交易记录!T853,交易记录!T917),3)</f>
        <v>27.108000000000001</v>
      </c>
      <c r="T54" s="67">
        <f>ROUND(T19*1.2-SUM(交易记录!U21,交易记录!U85,交易记录!U149,交易记录!U213,交易记录!U277,交易记录!U341,交易记录!U405,交易记录!U469,交易记录!U533,交易记录!U597,交易记录!U661,交易记录!U725,交易记录!U789,交易记录!U853,交易记录!U917),3)</f>
        <v>27.108000000000001</v>
      </c>
      <c r="U54" s="67">
        <f>ROUND(U19*1.2-SUM(交易记录!V21,交易记录!V85,交易记录!V149,交易记录!V213,交易记录!V277,交易记录!V341,交易记录!V405,交易记录!V469,交易记录!V533,交易记录!V597,交易记录!V661,交易记录!V725,交易记录!V789,交易记录!V853,交易记录!V917),3)</f>
        <v>27.591999999999999</v>
      </c>
      <c r="V54" s="67">
        <f>ROUND(V19*1.2-SUM(交易记录!W21,交易记录!W85,交易记录!W149,交易记录!W213,交易记录!W277,交易记录!W341,交易记录!W405,交易记录!W469,交易记录!W533,交易记录!W597,交易记录!W661,交易记录!W725,交易记录!W789,交易记录!W853,交易记录!W917),3)</f>
        <v>26.184999999999999</v>
      </c>
      <c r="W54" s="67">
        <f>ROUND(W19*1.2-SUM(交易记录!X21,交易记录!X85,交易记录!X149,交易记录!X213,交易记录!X277,交易记录!X341,交易记录!X405,交易记录!X469,交易记录!X533,交易记录!X597,交易记录!X661,交易记录!X725,交易记录!X789,交易记录!X853,交易记录!X917),3)</f>
        <v>25.701000000000001</v>
      </c>
      <c r="X54" s="67">
        <f>ROUND(X19*1.2-SUM(交易记录!Y21,交易记录!Y85,交易记录!Y149,交易记录!Y213,交易记录!Y277,交易记录!Y341,交易记录!Y405,交易记录!Y469,交易记录!Y533,交易记录!Y597,交易记录!Y661,交易记录!Y725,交易记录!Y789,交易记录!Y853,交易记录!Y917),3)</f>
        <v>27.108000000000001</v>
      </c>
      <c r="Y54" s="67">
        <f>ROUND(Y19*1.2-SUM(交易记录!Z21,交易记录!Z85,交易记录!Z149,交易记录!Z213,交易记录!Z277,交易记录!Z341,交易记录!Z405,交易记录!Z469,交易记录!Z533,交易记录!Z597,交易记录!Z661,交易记录!Z725,交易记录!Z789,交易记录!Z853,交易记录!Z917),3)</f>
        <v>27.108000000000001</v>
      </c>
      <c r="Z54" s="67">
        <f>ROUND(Z19*1.2-SUM(交易记录!AA21,交易记录!AA85,交易记录!AA149,交易记录!AA213,交易记录!AA277,交易记录!AA341,交易记录!AA405,交易记录!AA469,交易记录!AA533,交易记录!AA597,交易记录!AA661,交易记录!AA725,交易记录!AA789,交易记录!AA853,交易记录!AA917),3)</f>
        <v>27.108000000000001</v>
      </c>
      <c r="AA54" s="67">
        <f>ROUND(AA19*1.2-SUM(交易记录!AB21,交易记录!AB85,交易记录!AB149,交易记录!AB213,交易记录!AB277,交易记录!AB341,交易记录!AB405,交易记录!AB469,交易记录!AB533,交易记录!AB597,交易记录!AB661,交易记录!AB725,交易记录!AB789,交易记录!AB853,交易记录!AB917),3)</f>
        <v>27.108000000000001</v>
      </c>
      <c r="AB54" s="67">
        <f>ROUND(AB19*1.2-SUM(交易记录!AC21,交易记录!AC85,交易记录!AC149,交易记录!AC213,交易记录!AC277,交易记录!AC341,交易记录!AC405,交易记录!AC469,交易记录!AC533,交易记录!AC597,交易记录!AC661,交易记录!AC725,交易记录!AC789,交易记录!AC853,交易记录!AC917),3)</f>
        <v>27.591999999999999</v>
      </c>
      <c r="AC54" s="67">
        <f>ROUND(AC19*1.2-SUM(交易记录!AD21,交易记录!AD85,交易记录!AD149,交易记录!AD213,交易记录!AD277,交易记录!AD341,交易记录!AD405,交易记录!AD469,交易记录!AD533,交易记录!AD597,交易记录!AD661,交易记录!AD725,交易记录!AD789,交易记录!AD853,交易记录!AD917),3)</f>
        <v>26.184999999999999</v>
      </c>
      <c r="AD54" s="67">
        <f>ROUND(AD19*1.2-SUM(交易记录!AE21,交易记录!AE85,交易记录!AE149,交易记录!AE213,交易记录!AE277,交易记录!AE341,交易记录!AE405,交易记录!AE469,交易记录!AE533,交易记录!AE597,交易记录!AE661,交易记录!AE725,交易记录!AE789,交易记录!AE853,交易记录!AE917),3)</f>
        <v>25.701000000000001</v>
      </c>
      <c r="AE54" s="67">
        <f>ROUND(AE19*1.2-SUM(交易记录!AF21,交易记录!AF85,交易记录!AF149,交易记录!AF213,交易记录!AF277,交易记录!AF341,交易记录!AF405,交易记录!AF469,交易记录!AF533,交易记录!AF597,交易记录!AF661,交易记录!AF725,交易记录!AF789,交易记录!AF853,交易记录!AF917),3)</f>
        <v>27.108000000000001</v>
      </c>
      <c r="AF54" s="67">
        <f>ROUND(AF19*1.2-SUM(交易记录!AG21,交易记录!AG85,交易记录!AG149,交易记录!AG213,交易记录!AG277,交易记录!AG341,交易记录!AG405,交易记录!AG469,交易记录!AG533,交易记录!AG597,交易记录!AG661,交易记录!AG725,交易记录!AG789,交易记录!AG853,交易记录!AG917),3)</f>
        <v>27.108000000000001</v>
      </c>
      <c r="AG54" s="67">
        <f>ROUND(AG19*1.2-SUM(交易记录!AH21,交易记录!AH85,交易记录!AH149,交易记录!AH213,交易记录!AH277,交易记录!AH341,交易记录!AH405,交易记录!AH469,交易记录!AH533,交易记录!AH597,交易记录!AH661,交易记录!AH725,交易记录!AH789,交易记录!AH853,交易记录!AH917),3)</f>
        <v>27.108000000000001</v>
      </c>
    </row>
    <row r="55" spans="2:33" ht="15">
      <c r="B55" s="7" t="s">
        <v>23</v>
      </c>
      <c r="C55" s="67">
        <f>ROUND(C20*1.2-SUM(交易记录!D22,交易记录!D86,交易记录!D150,交易记录!D214,交易记录!D278,交易记录!D342,交易记录!D406,交易记录!D470,交易记录!D534,交易记录!D598,交易记录!D662,交易记录!D726,交易记录!D790,交易记录!D854,交易记录!D918),3)</f>
        <v>27.591000000000001</v>
      </c>
      <c r="D55" s="67">
        <f>ROUND(D20*1.2-SUM(交易记录!E22,交易记录!E86,交易记录!E150,交易记录!E214,交易记录!E278,交易记录!E342,交易记录!E406,交易记录!E470,交易记录!E534,交易记录!E598,交易记录!E662,交易记录!E726,交易记录!E790,交易记录!E854,交易记录!E918),3)</f>
        <v>27.498999999999999</v>
      </c>
      <c r="E55" s="67">
        <f>ROUND(E20*1.2-SUM(交易记录!F22,交易记录!F86,交易记录!F150,交易记录!F214,交易记录!F278,交易记录!F342,交易记录!F406,交易记录!F470,交易记录!F534,交易记录!F598,交易记录!F662,交易记录!F726,交易记录!F790,交易记录!F854,交易记录!F918),3)</f>
        <v>27.498999999999999</v>
      </c>
      <c r="F55" s="67">
        <f>ROUND(F20*1.2-SUM(交易记录!G22,交易记录!G86,交易记录!G150,交易记录!G214,交易记录!G278,交易记录!G342,交易记录!G406,交易记录!G470,交易记录!G534,交易记录!G598,交易记录!G662,交易记录!G726,交易记录!G790,交易记录!G854,交易记录!G918),3)</f>
        <v>27.498999999999999</v>
      </c>
      <c r="G55" s="67">
        <f>ROUND(G20*1.2-SUM(交易记录!H22,交易记录!H86,交易记录!H150,交易记录!H214,交易记录!H278,交易记录!H342,交易记录!H406,交易记录!H470,交易记录!H534,交易记录!H598,交易记录!H662,交易记录!H726,交易记录!H790,交易记录!H854,交易记录!H918),3)</f>
        <v>27.102</v>
      </c>
      <c r="H55" s="67">
        <f>ROUND(H20*1.2-SUM(交易记录!I22,交易记录!I86,交易记录!I150,交易记录!I214,交易记录!I278,交易记录!I342,交易记录!I406,交易记录!I470,交易记录!I534,交易记录!I598,交易记录!I662,交易记录!I726,交易记录!I790,交易记录!I854,交易记录!I918),3)</f>
        <v>27.102</v>
      </c>
      <c r="I55" s="67">
        <f>ROUND(I20*1.2-SUM(交易记录!J22,交易记录!J86,交易记录!J150,交易记录!J214,交易记录!J278,交易记录!J342,交易记录!J406,交易记录!J470,交易记录!J534,交易记录!J598,交易记录!J662,交易记录!J726,交易记录!J790,交易记录!J854,交易记录!J918),3)</f>
        <v>27.498999999999999</v>
      </c>
      <c r="J55" s="67">
        <f>ROUND(J20*1.2-SUM(交易记录!K22,交易记录!K86,交易记录!K150,交易记录!K214,交易记录!K278,交易记录!K342,交易记录!K406,交易记录!K470,交易记录!K534,交易记录!K598,交易记录!K662,交易记录!K726,交易记录!K790,交易记录!K854,交易记录!K918),3)</f>
        <v>27.498999999999999</v>
      </c>
      <c r="K55" s="67">
        <f>ROUND(K20*1.2-SUM(交易记录!L22,交易记录!L86,交易记录!L150,交易记录!L214,交易记录!L278,交易记录!L342,交易记录!L406,交易记录!L470,交易记录!L534,交易记录!L598,交易记录!L662,交易记录!L726,交易记录!L790,交易记录!L854,交易记录!L918),3)</f>
        <v>27.498999999999999</v>
      </c>
      <c r="L55" s="67">
        <f>ROUND(L20*1.2-SUM(交易记录!M22,交易记录!M86,交易记录!M150,交易记录!M214,交易记录!M278,交易记录!M342,交易记录!M406,交易记录!M470,交易记录!M534,交易记录!M598,交易记录!M662,交易记录!M726,交易记录!M790,交易记录!M854,交易记录!M918),3)</f>
        <v>27.498999999999999</v>
      </c>
      <c r="M55" s="67">
        <f>ROUND(M20*1.2-SUM(交易记录!N22,交易记录!N86,交易记录!N150,交易记录!N214,交易记录!N278,交易记录!N342,交易记录!N406,交易记录!N470,交易记录!N534,交易记录!N598,交易记录!N662,交易记录!N726,交易记录!N790,交易记录!N854,交易记录!N918),3)</f>
        <v>27.498999999999999</v>
      </c>
      <c r="N55" s="67">
        <f>ROUND(N20*1.2-SUM(交易记录!O22,交易记录!O86,交易记录!O150,交易记录!O214,交易记录!O278,交易记录!O342,交易记录!O406,交易记录!O470,交易记录!O534,交易记录!O598,交易记录!O662,交易记录!O726,交易记录!O790,交易记录!O854,交易记录!O918),3)</f>
        <v>27.102</v>
      </c>
      <c r="O55" s="67">
        <f>ROUND(O20*1.2-SUM(交易记录!P22,交易记录!P86,交易记录!P150,交易记录!P214,交易记录!P278,交易记录!P342,交易记录!P406,交易记录!P470,交易记录!P534,交易记录!P598,交易记录!P662,交易记录!P726,交易记录!P790,交易记录!P854,交易记录!P918),3)</f>
        <v>27.102</v>
      </c>
      <c r="P55" s="67">
        <f>ROUND(P20*1.2-SUM(交易记录!Q22,交易记录!Q86,交易记录!Q150,交易记录!Q214,交易记录!Q278,交易记录!Q342,交易记录!Q406,交易记录!Q470,交易记录!Q534,交易记录!Q598,交易记录!Q662,交易记录!Q726,交易记录!Q790,交易记录!Q854,交易记录!Q918),3)</f>
        <v>27.498999999999999</v>
      </c>
      <c r="Q55" s="67">
        <f>ROUND(Q20*1.2-SUM(交易记录!R22,交易记录!R86,交易记录!R150,交易记录!R214,交易记录!R278,交易记录!R342,交易记录!R406,交易记录!R470,交易记录!R534,交易记录!R598,交易记录!R662,交易记录!R726,交易记录!R790,交易记录!R854,交易记录!R918),3)</f>
        <v>27.498999999999999</v>
      </c>
      <c r="R55" s="67">
        <f>ROUND(R20*1.2-SUM(交易记录!S22,交易记录!S86,交易记录!S150,交易记录!S214,交易记录!S278,交易记录!S342,交易记录!S406,交易记录!S470,交易记录!S534,交易记录!S598,交易记录!S662,交易记录!S726,交易记录!S790,交易记录!S854,交易记录!S918),3)</f>
        <v>27.498999999999999</v>
      </c>
      <c r="S55" s="67">
        <f>ROUND(S20*1.2-SUM(交易记录!T22,交易记录!T86,交易记录!T150,交易记录!T214,交易记录!T278,交易记录!T342,交易记录!T406,交易记录!T470,交易记录!T534,交易记录!T598,交易记录!T662,交易记录!T726,交易记录!T790,交易记录!T854,交易记录!T918),3)</f>
        <v>27.498999999999999</v>
      </c>
      <c r="T55" s="67">
        <f>ROUND(T20*1.2-SUM(交易记录!U22,交易记录!U86,交易记录!U150,交易记录!U214,交易记录!U278,交易记录!U342,交易记录!U406,交易记录!U470,交易记录!U534,交易记录!U598,交易记录!U662,交易记录!U726,交易记录!U790,交易记录!U854,交易记录!U918),3)</f>
        <v>27.498999999999999</v>
      </c>
      <c r="U55" s="67">
        <f>ROUND(U20*1.2-SUM(交易记录!V22,交易记录!V86,交易记录!V150,交易记录!V214,交易记录!V278,交易记录!V342,交易记录!V406,交易记录!V470,交易记录!V534,交易记录!V598,交易记录!V662,交易记录!V726,交易记录!V790,交易记录!V854,交易记录!V918),3)</f>
        <v>28.004999999999999</v>
      </c>
      <c r="V55" s="67">
        <f>ROUND(V20*1.2-SUM(交易记录!W22,交易记录!W86,交易记录!W150,交易记录!W214,交易记录!W278,交易记录!W342,交易记录!W406,交易记录!W470,交易记录!W534,交易记录!W598,交易记录!W662,交易记录!W726,交易记录!W790,交易记录!W854,交易记录!W918),3)</f>
        <v>27.102</v>
      </c>
      <c r="W55" s="67">
        <f>ROUND(W20*1.2-SUM(交易记录!X22,交易记录!X86,交易记录!X150,交易记录!X214,交易记录!X278,交易记录!X342,交易记录!X406,交易记录!X470,交易记录!X534,交易记录!X598,交易记录!X662,交易记录!X726,交易记录!X790,交易记录!X854,交易记录!X918),3)</f>
        <v>26.596</v>
      </c>
      <c r="X55" s="67">
        <f>ROUND(X20*1.2-SUM(交易记录!Y22,交易记录!Y86,交易记录!Y150,交易记录!Y214,交易记录!Y278,交易记录!Y342,交易记录!Y406,交易记录!Y470,交易记录!Y534,交易记录!Y598,交易记录!Y662,交易记录!Y726,交易记录!Y790,交易记录!Y854,交易记录!Y918),3)</f>
        <v>27.498999999999999</v>
      </c>
      <c r="Y55" s="67">
        <f>ROUND(Y20*1.2-SUM(交易记录!Z22,交易记录!Z86,交易记录!Z150,交易记录!Z214,交易记录!Z278,交易记录!Z342,交易记录!Z406,交易记录!Z470,交易记录!Z534,交易记录!Z598,交易记录!Z662,交易记录!Z726,交易记录!Z790,交易记录!Z854,交易记录!Z918),3)</f>
        <v>27.498999999999999</v>
      </c>
      <c r="Z55" s="67">
        <f>ROUND(Z20*1.2-SUM(交易记录!AA22,交易记录!AA86,交易记录!AA150,交易记录!AA214,交易记录!AA278,交易记录!AA342,交易记录!AA406,交易记录!AA470,交易记录!AA534,交易记录!AA598,交易记录!AA662,交易记录!AA726,交易记录!AA790,交易记录!AA854,交易记录!AA918),3)</f>
        <v>27.498999999999999</v>
      </c>
      <c r="AA55" s="67">
        <f>ROUND(AA20*1.2-SUM(交易记录!AB22,交易记录!AB86,交易记录!AB150,交易记录!AB214,交易记录!AB278,交易记录!AB342,交易记录!AB406,交易记录!AB470,交易记录!AB534,交易记录!AB598,交易记录!AB662,交易记录!AB726,交易记录!AB790,交易记录!AB854,交易记录!AB918),3)</f>
        <v>27.498999999999999</v>
      </c>
      <c r="AB55" s="67">
        <f>ROUND(AB20*1.2-SUM(交易记录!AC22,交易记录!AC86,交易记录!AC150,交易记录!AC214,交易记录!AC278,交易记录!AC342,交易记录!AC406,交易记录!AC470,交易记录!AC534,交易记录!AC598,交易记录!AC662,交易记录!AC726,交易记录!AC790,交易记录!AC854,交易记录!AC918),3)</f>
        <v>28.004999999999999</v>
      </c>
      <c r="AC55" s="67">
        <f>ROUND(AC20*1.2-SUM(交易记录!AD22,交易记录!AD86,交易记录!AD150,交易记录!AD214,交易记录!AD278,交易记录!AD342,交易记录!AD406,交易记录!AD470,交易记录!AD534,交易记录!AD598,交易记录!AD662,交易记录!AD726,交易记录!AD790,交易记录!AD854,交易记录!AD918),3)</f>
        <v>27.102</v>
      </c>
      <c r="AD55" s="67">
        <f>ROUND(AD20*1.2-SUM(交易记录!AE22,交易记录!AE86,交易记录!AE150,交易记录!AE214,交易记录!AE278,交易记录!AE342,交易记录!AE406,交易记录!AE470,交易记录!AE534,交易记录!AE598,交易记录!AE662,交易记录!AE726,交易记录!AE790,交易记录!AE854,交易记录!AE918),3)</f>
        <v>26.596</v>
      </c>
      <c r="AE55" s="67">
        <f>ROUND(AE20*1.2-SUM(交易记录!AF22,交易记录!AF86,交易记录!AF150,交易记录!AF214,交易记录!AF278,交易记录!AF342,交易记录!AF406,交易记录!AF470,交易记录!AF534,交易记录!AF598,交易记录!AF662,交易记录!AF726,交易记录!AF790,交易记录!AF854,交易记录!AF918),3)</f>
        <v>27.498999999999999</v>
      </c>
      <c r="AF55" s="67">
        <f>ROUND(AF20*1.2-SUM(交易记录!AG22,交易记录!AG86,交易记录!AG150,交易记录!AG214,交易记录!AG278,交易记录!AG342,交易记录!AG406,交易记录!AG470,交易记录!AG534,交易记录!AG598,交易记录!AG662,交易记录!AG726,交易记录!AG790,交易记录!AG854,交易记录!AG918),3)</f>
        <v>27.498999999999999</v>
      </c>
      <c r="AG55" s="67">
        <f>ROUND(AG20*1.2-SUM(交易记录!AH22,交易记录!AH86,交易记录!AH150,交易记录!AH214,交易记录!AH278,交易记录!AH342,交易记录!AH406,交易记录!AH470,交易记录!AH534,交易记录!AH598,交易记录!AH662,交易记录!AH726,交易记录!AH790,交易记录!AH854,交易记录!AH918),3)</f>
        <v>27.498999999999999</v>
      </c>
    </row>
    <row r="56" spans="2:33" ht="15">
      <c r="B56" s="7" t="s">
        <v>24</v>
      </c>
      <c r="C56" s="67">
        <f>ROUND(C21*1.2-SUM(交易记录!D23,交易记录!D87,交易记录!D151,交易记录!D215,交易记录!D279,交易记录!D343,交易记录!D407,交易记录!D471,交易记录!D535,交易记录!D599,交易记录!D663,交易记录!D727,交易记录!D791,交易记录!D855,交易记录!D919),3)</f>
        <v>28.152999999999999</v>
      </c>
      <c r="D56" s="67">
        <f>ROUND(D21*1.2-SUM(交易记录!E23,交易记录!E87,交易记录!E151,交易记录!E215,交易记录!E279,交易记录!E343,交易记录!E407,交易记录!E471,交易记录!E535,交易记录!E599,交易记录!E663,交易记录!E727,交易记录!E791,交易记录!E855,交易记录!E919),3)</f>
        <v>28.164999999999999</v>
      </c>
      <c r="E56" s="67">
        <f>ROUND(E21*1.2-SUM(交易记录!F23,交易记录!F87,交易记录!F151,交易记录!F215,交易记录!F279,交易记录!F343,交易记录!F407,交易记录!F471,交易记录!F535,交易记录!F599,交易记录!F663,交易记录!F727,交易记录!F791,交易记录!F855,交易记录!F919),3)</f>
        <v>28.164999999999999</v>
      </c>
      <c r="F56" s="67">
        <f>ROUND(F21*1.2-SUM(交易记录!G23,交易记录!G87,交易记录!G151,交易记录!G215,交易记录!G279,交易记录!G343,交易记录!G407,交易记录!G471,交易记录!G535,交易记录!G599,交易记录!G663,交易记录!G727,交易记录!G791,交易记录!G855,交易记录!G919),3)</f>
        <v>28.164999999999999</v>
      </c>
      <c r="G56" s="67">
        <f>ROUND(G21*1.2-SUM(交易记录!H23,交易记录!H87,交易记录!H151,交易记录!H215,交易记录!H279,交易记录!H343,交易记录!H407,交易记录!H471,交易记录!H535,交易记录!H599,交易记录!H663,交易记录!H727,交易记录!H791,交易记录!H855,交易记录!H919),3)</f>
        <v>27.887</v>
      </c>
      <c r="H56" s="67">
        <f>ROUND(H21*1.2-SUM(交易记录!I23,交易记录!I87,交易记录!I151,交易记录!I215,交易记录!I279,交易记录!I343,交易记录!I407,交易记录!I471,交易记录!I535,交易记录!I599,交易记录!I663,交易记录!I727,交易记录!I791,交易记录!I855,交易记录!I919),3)</f>
        <v>27.887</v>
      </c>
      <c r="I56" s="67">
        <f>ROUND(I21*1.2-SUM(交易记录!J23,交易记录!J87,交易记录!J151,交易记录!J215,交易记录!J279,交易记录!J343,交易记录!J407,交易记录!J471,交易记录!J535,交易记录!J599,交易记录!J663,交易记录!J727,交易记录!J791,交易记录!J855,交易记录!J919),3)</f>
        <v>28.164999999999999</v>
      </c>
      <c r="J56" s="67">
        <f>ROUND(J21*1.2-SUM(交易记录!K23,交易记录!K87,交易记录!K151,交易记录!K215,交易记录!K279,交易记录!K343,交易记录!K407,交易记录!K471,交易记录!K535,交易记录!K599,交易记录!K663,交易记录!K727,交易记录!K791,交易记录!K855,交易记录!K919),3)</f>
        <v>28.164999999999999</v>
      </c>
      <c r="K56" s="67">
        <f>ROUND(K21*1.2-SUM(交易记录!L23,交易记录!L87,交易记录!L151,交易记录!L215,交易记录!L279,交易记录!L343,交易记录!L407,交易记录!L471,交易记录!L535,交易记录!L599,交易记录!L663,交易记录!L727,交易记录!L791,交易记录!L855,交易记录!L919),3)</f>
        <v>28.164999999999999</v>
      </c>
      <c r="L56" s="67">
        <f>ROUND(L21*1.2-SUM(交易记录!M23,交易记录!M87,交易记录!M151,交易记录!M215,交易记录!M279,交易记录!M343,交易记录!M407,交易记录!M471,交易记录!M535,交易记录!M599,交易记录!M663,交易记录!M727,交易记录!M791,交易记录!M855,交易记录!M919),3)</f>
        <v>28.164999999999999</v>
      </c>
      <c r="M56" s="67">
        <f>ROUND(M21*1.2-SUM(交易记录!N23,交易记录!N87,交易记录!N151,交易记录!N215,交易记录!N279,交易记录!N343,交易记录!N407,交易记录!N471,交易记录!N535,交易记录!N599,交易记录!N663,交易记录!N727,交易记录!N791,交易记录!N855,交易记录!N919),3)</f>
        <v>28.164999999999999</v>
      </c>
      <c r="N56" s="67">
        <f>ROUND(N21*1.2-SUM(交易记录!O23,交易记录!O87,交易记录!O151,交易记录!O215,交易记录!O279,交易记录!O343,交易记录!O407,交易记录!O471,交易记录!O535,交易记录!O599,交易记录!O663,交易记录!O727,交易记录!O791,交易记录!O855,交易记录!O919),3)</f>
        <v>27.887</v>
      </c>
      <c r="O56" s="67">
        <f>ROUND(O21*1.2-SUM(交易记录!P23,交易记录!P87,交易记录!P151,交易记录!P215,交易记录!P279,交易记录!P343,交易记录!P407,交易记录!P471,交易记录!P535,交易记录!P599,交易记录!P663,交易记录!P727,交易记录!P791,交易记录!P855,交易记录!P919),3)</f>
        <v>27.887</v>
      </c>
      <c r="P56" s="67">
        <f>ROUND(P21*1.2-SUM(交易记录!Q23,交易记录!Q87,交易记录!Q151,交易记录!Q215,交易记录!Q279,交易记录!Q343,交易记录!Q407,交易记录!Q471,交易记录!Q535,交易记录!Q599,交易记录!Q663,交易记录!Q727,交易记录!Q791,交易记录!Q855,交易记录!Q919),3)</f>
        <v>28.164999999999999</v>
      </c>
      <c r="Q56" s="67">
        <f>ROUND(Q21*1.2-SUM(交易记录!R23,交易记录!R87,交易记录!R151,交易记录!R215,交易记录!R279,交易记录!R343,交易记录!R407,交易记录!R471,交易记录!R535,交易记录!R599,交易记录!R663,交易记录!R727,交易记录!R791,交易记录!R855,交易记录!R919),3)</f>
        <v>28.164999999999999</v>
      </c>
      <c r="R56" s="67">
        <f>ROUND(R21*1.2-SUM(交易记录!S23,交易记录!S87,交易记录!S151,交易记录!S215,交易记录!S279,交易记录!S343,交易记录!S407,交易记录!S471,交易记录!S535,交易记录!S599,交易记录!S663,交易记录!S727,交易记录!S791,交易记录!S855,交易记录!S919),3)</f>
        <v>28.164999999999999</v>
      </c>
      <c r="S56" s="67">
        <f>ROUND(S21*1.2-SUM(交易记录!T23,交易记录!T87,交易记录!T151,交易记录!T215,交易记录!T279,交易记录!T343,交易记录!T407,交易记录!T471,交易记录!T535,交易记录!T599,交易记录!T663,交易记录!T727,交易记录!T791,交易记录!T855,交易记录!T919),3)</f>
        <v>28.164999999999999</v>
      </c>
      <c r="T56" s="67">
        <f>ROUND(T21*1.2-SUM(交易记录!U23,交易记录!U87,交易记录!U151,交易记录!U215,交易记录!U279,交易记录!U343,交易记录!U407,交易记录!U471,交易记录!U535,交易记录!U599,交易记录!U663,交易记录!U727,交易记录!U791,交易记录!U855,交易记录!U919),3)</f>
        <v>28.164999999999999</v>
      </c>
      <c r="U56" s="67">
        <f>ROUND(U21*1.2-SUM(交易记录!V23,交易记录!V87,交易记录!V151,交易记录!V215,交易记录!V279,交易记录!V343,交易记录!V407,交易记录!V471,交易记录!V535,交易记录!V599,交易记录!V663,交易记录!V727,交易记录!V791,交易记录!V855,交易记录!V919),3)</f>
        <v>28.491</v>
      </c>
      <c r="V56" s="67">
        <f>ROUND(V21*1.2-SUM(交易记录!W23,交易记录!W87,交易记录!W151,交易记录!W215,交易记录!W279,交易记录!W343,交易记录!W407,交易记录!W471,交易记录!W535,交易记录!W599,交易记录!W663,交易记录!W727,交易记录!W791,交易记录!W855,交易记录!W919),3)</f>
        <v>27.887</v>
      </c>
      <c r="W56" s="67">
        <f>ROUND(W21*1.2-SUM(交易记录!X23,交易记录!X87,交易记录!X151,交易记录!X215,交易记录!X279,交易记录!X343,交易记录!X407,交易记录!X471,交易记录!X535,交易记录!X599,交易记录!X663,交易记录!X727,交易记录!X791,交易记录!X855,交易记录!X919),3)</f>
        <v>27.561</v>
      </c>
      <c r="X56" s="67">
        <f>ROUND(X21*1.2-SUM(交易记录!Y23,交易记录!Y87,交易记录!Y151,交易记录!Y215,交易记录!Y279,交易记录!Y343,交易记录!Y407,交易记录!Y471,交易记录!Y535,交易记录!Y599,交易记录!Y663,交易记录!Y727,交易记录!Y791,交易记录!Y855,交易记录!Y919),3)</f>
        <v>28.164999999999999</v>
      </c>
      <c r="Y56" s="67">
        <f>ROUND(Y21*1.2-SUM(交易记录!Z23,交易记录!Z87,交易记录!Z151,交易记录!Z215,交易记录!Z279,交易记录!Z343,交易记录!Z407,交易记录!Z471,交易记录!Z535,交易记录!Z599,交易记录!Z663,交易记录!Z727,交易记录!Z791,交易记录!Z855,交易记录!Z919),3)</f>
        <v>28.164999999999999</v>
      </c>
      <c r="Z56" s="67">
        <f>ROUND(Z21*1.2-SUM(交易记录!AA23,交易记录!AA87,交易记录!AA151,交易记录!AA215,交易记录!AA279,交易记录!AA343,交易记录!AA407,交易记录!AA471,交易记录!AA535,交易记录!AA599,交易记录!AA663,交易记录!AA727,交易记录!AA791,交易记录!AA855,交易记录!AA919),3)</f>
        <v>28.164999999999999</v>
      </c>
      <c r="AA56" s="67">
        <f>ROUND(AA21*1.2-SUM(交易记录!AB23,交易记录!AB87,交易记录!AB151,交易记录!AB215,交易记录!AB279,交易记录!AB343,交易记录!AB407,交易记录!AB471,交易记录!AB535,交易记录!AB599,交易记录!AB663,交易记录!AB727,交易记录!AB791,交易记录!AB855,交易记录!AB919),3)</f>
        <v>28.164999999999999</v>
      </c>
      <c r="AB56" s="67">
        <f>ROUND(AB21*1.2-SUM(交易记录!AC23,交易记录!AC87,交易记录!AC151,交易记录!AC215,交易记录!AC279,交易记录!AC343,交易记录!AC407,交易记录!AC471,交易记录!AC535,交易记录!AC599,交易记录!AC663,交易记录!AC727,交易记录!AC791,交易记录!AC855,交易记录!AC919),3)</f>
        <v>28.491</v>
      </c>
      <c r="AC56" s="67">
        <f>ROUND(AC21*1.2-SUM(交易记录!AD23,交易记录!AD87,交易记录!AD151,交易记录!AD215,交易记录!AD279,交易记录!AD343,交易记录!AD407,交易记录!AD471,交易记录!AD535,交易记录!AD599,交易记录!AD663,交易记录!AD727,交易记录!AD791,交易记录!AD855,交易记录!AD919),3)</f>
        <v>27.887</v>
      </c>
      <c r="AD56" s="67">
        <f>ROUND(AD21*1.2-SUM(交易记录!AE23,交易记录!AE87,交易记录!AE151,交易记录!AE215,交易记录!AE279,交易记录!AE343,交易记录!AE407,交易记录!AE471,交易记录!AE535,交易记录!AE599,交易记录!AE663,交易记录!AE727,交易记录!AE791,交易记录!AE855,交易记录!AE919),3)</f>
        <v>27.561</v>
      </c>
      <c r="AE56" s="67">
        <f>ROUND(AE21*1.2-SUM(交易记录!AF23,交易记录!AF87,交易记录!AF151,交易记录!AF215,交易记录!AF279,交易记录!AF343,交易记录!AF407,交易记录!AF471,交易记录!AF535,交易记录!AF599,交易记录!AF663,交易记录!AF727,交易记录!AF791,交易记录!AF855,交易记录!AF919),3)</f>
        <v>28.164999999999999</v>
      </c>
      <c r="AF56" s="67">
        <f>ROUND(AF21*1.2-SUM(交易记录!AG23,交易记录!AG87,交易记录!AG151,交易记录!AG215,交易记录!AG279,交易记录!AG343,交易记录!AG407,交易记录!AG471,交易记录!AG535,交易记录!AG599,交易记录!AG663,交易记录!AG727,交易记录!AG791,交易记录!AG855,交易记录!AG919),3)</f>
        <v>28.164999999999999</v>
      </c>
      <c r="AG56" s="67">
        <f>ROUND(AG21*1.2-SUM(交易记录!AH23,交易记录!AH87,交易记录!AH151,交易记录!AH215,交易记录!AH279,交易记录!AH343,交易记录!AH407,交易记录!AH471,交易记录!AH535,交易记录!AH599,交易记录!AH663,交易记录!AH727,交易记录!AH791,交易记录!AH855,交易记录!AH919),3)</f>
        <v>28.164999999999999</v>
      </c>
    </row>
    <row r="57" spans="2:33" ht="15">
      <c r="B57" s="7" t="s">
        <v>25</v>
      </c>
      <c r="C57" s="67">
        <f>ROUND(C22*1.2-SUM(交易记录!D24,交易记录!D88,交易记录!D152,交易记录!D216,交易记录!D280,交易记录!D344,交易记录!D408,交易记录!D472,交易记录!D536,交易记录!D600,交易记录!D664,交易记录!D728,交易记录!D792,交易记录!D856,交易记录!D920),3)</f>
        <v>27.898</v>
      </c>
      <c r="D57" s="67">
        <f>ROUND(D22*1.2-SUM(交易记录!E24,交易记录!E88,交易记录!E152,交易记录!E216,交易记录!E280,交易记录!E344,交易记录!E408,交易记录!E472,交易记录!E536,交易记录!E600,交易记录!E664,交易记录!E728,交易记录!E792,交易记录!E856,交易记录!E920),3)</f>
        <v>27.81</v>
      </c>
      <c r="E57" s="67">
        <f>ROUND(E22*1.2-SUM(交易记录!F24,交易记录!F88,交易记录!F152,交易记录!F216,交易记录!F280,交易记录!F344,交易记录!F408,交易记录!F472,交易记录!F536,交易记录!F600,交易记录!F664,交易记录!F728,交易记录!F792,交易记录!F856,交易记录!F920),3)</f>
        <v>27.81</v>
      </c>
      <c r="F57" s="67">
        <f>ROUND(F22*1.2-SUM(交易记录!G24,交易记录!G88,交易记录!G152,交易记录!G216,交易记录!G280,交易记录!G344,交易记录!G408,交易记录!G472,交易记录!G536,交易记录!G600,交易记录!G664,交易记录!G728,交易记录!G792,交易记录!G856,交易记录!G920),3)</f>
        <v>27.81</v>
      </c>
      <c r="G57" s="67">
        <f>ROUND(G22*1.2-SUM(交易记录!H24,交易记录!H88,交易记录!H152,交易记录!H216,交易记录!H280,交易记录!H344,交易记录!H408,交易记录!H472,交易记录!H536,交易记录!H600,交易记录!H664,交易记录!H728,交易记录!H792,交易记录!H856,交易记录!H920),3)</f>
        <v>28.302</v>
      </c>
      <c r="H57" s="67">
        <f>ROUND(H22*1.2-SUM(交易记录!I24,交易记录!I88,交易记录!I152,交易记录!I216,交易记录!I280,交易记录!I344,交易记录!I408,交易记录!I472,交易记录!I536,交易记录!I600,交易记录!I664,交易记录!I728,交易记录!I792,交易记录!I856,交易记录!I920),3)</f>
        <v>28.302</v>
      </c>
      <c r="I57" s="67">
        <f>ROUND(I22*1.2-SUM(交易记录!J24,交易记录!J88,交易记录!J152,交易记录!J216,交易记录!J280,交易记录!J344,交易记录!J408,交易记录!J472,交易记录!J536,交易记录!J600,交易记录!J664,交易记录!J728,交易记录!J792,交易记录!J856,交易记录!J920),3)</f>
        <v>27.81</v>
      </c>
      <c r="J57" s="67">
        <f>ROUND(J22*1.2-SUM(交易记录!K24,交易记录!K88,交易记录!K152,交易记录!K216,交易记录!K280,交易记录!K344,交易记录!K408,交易记录!K472,交易记录!K536,交易记录!K600,交易记录!K664,交易记录!K728,交易记录!K792,交易记录!K856,交易记录!K920),3)</f>
        <v>27.81</v>
      </c>
      <c r="K57" s="67">
        <f>ROUND(K22*1.2-SUM(交易记录!L24,交易记录!L88,交易记录!L152,交易记录!L216,交易记录!L280,交易记录!L344,交易记录!L408,交易记录!L472,交易记录!L536,交易记录!L600,交易记录!L664,交易记录!L728,交易记录!L792,交易记录!L856,交易记录!L920),3)</f>
        <v>27.81</v>
      </c>
      <c r="L57" s="67">
        <f>ROUND(L22*1.2-SUM(交易记录!M24,交易记录!M88,交易记录!M152,交易记录!M216,交易记录!M280,交易记录!M344,交易记录!M408,交易记录!M472,交易记录!M536,交易记录!M600,交易记录!M664,交易记录!M728,交易记录!M792,交易记录!M856,交易记录!M920),3)</f>
        <v>27.81</v>
      </c>
      <c r="M57" s="67">
        <f>ROUND(M22*1.2-SUM(交易记录!N24,交易记录!N88,交易记录!N152,交易记录!N216,交易记录!N280,交易记录!N344,交易记录!N408,交易记录!N472,交易记录!N536,交易记录!N600,交易记录!N664,交易记录!N728,交易记录!N792,交易记录!N856,交易记录!N920),3)</f>
        <v>27.81</v>
      </c>
      <c r="N57" s="67">
        <f>ROUND(N22*1.2-SUM(交易记录!O24,交易记录!O88,交易记录!O152,交易记录!O216,交易记录!O280,交易记录!O344,交易记录!O408,交易记录!O472,交易记录!O536,交易记录!O600,交易记录!O664,交易记录!O728,交易记录!O792,交易记录!O856,交易记录!O920),3)</f>
        <v>28.302</v>
      </c>
      <c r="O57" s="67">
        <f>ROUND(O22*1.2-SUM(交易记录!P24,交易记录!P88,交易记录!P152,交易记录!P216,交易记录!P280,交易记录!P344,交易记录!P408,交易记录!P472,交易记录!P536,交易记录!P600,交易记录!P664,交易记录!P728,交易记录!P792,交易记录!P856,交易记录!P920),3)</f>
        <v>28.302</v>
      </c>
      <c r="P57" s="67">
        <f>ROUND(P22*1.2-SUM(交易记录!Q24,交易记录!Q88,交易记录!Q152,交易记录!Q216,交易记录!Q280,交易记录!Q344,交易记录!Q408,交易记录!Q472,交易记录!Q536,交易记录!Q600,交易记录!Q664,交易记录!Q728,交易记录!Q792,交易记录!Q856,交易记录!Q920),3)</f>
        <v>27.81</v>
      </c>
      <c r="Q57" s="67">
        <f>ROUND(Q22*1.2-SUM(交易记录!R24,交易记录!R88,交易记录!R152,交易记录!R216,交易记录!R280,交易记录!R344,交易记录!R408,交易记录!R472,交易记录!R536,交易记录!R600,交易记录!R664,交易记录!R728,交易记录!R792,交易记录!R856,交易记录!R920),3)</f>
        <v>27.81</v>
      </c>
      <c r="R57" s="67">
        <f>ROUND(R22*1.2-SUM(交易记录!S24,交易记录!S88,交易记录!S152,交易记录!S216,交易记录!S280,交易记录!S344,交易记录!S408,交易记录!S472,交易记录!S536,交易记录!S600,交易记录!S664,交易记录!S728,交易记录!S792,交易记录!S856,交易记录!S920),3)</f>
        <v>27.81</v>
      </c>
      <c r="S57" s="67">
        <f>ROUND(S22*1.2-SUM(交易记录!T24,交易记录!T88,交易记录!T152,交易记录!T216,交易记录!T280,交易记录!T344,交易记录!T408,交易记录!T472,交易记录!T536,交易记录!T600,交易记录!T664,交易记录!T728,交易记录!T792,交易记录!T856,交易记录!T920),3)</f>
        <v>27.81</v>
      </c>
      <c r="T57" s="67">
        <f>ROUND(T22*1.2-SUM(交易记录!U24,交易记录!U88,交易记录!U152,交易记录!U216,交易记录!U280,交易记录!U344,交易记录!U408,交易记录!U472,交易记录!U536,交易记录!U600,交易记录!U664,交易记录!U728,交易记录!U792,交易记录!U856,交易记录!U920),3)</f>
        <v>27.81</v>
      </c>
      <c r="U57" s="67">
        <f>ROUND(U22*1.2-SUM(交易记录!V24,交易记录!V88,交易记录!V152,交易记录!V216,交易记录!V280,交易记录!V344,交易记录!V408,交易记录!V472,交易记录!V536,交易记录!V600,交易记录!V664,交易记录!V728,交易记录!V792,交易记录!V856,交易记录!V920),3)</f>
        <v>28.702000000000002</v>
      </c>
      <c r="V57" s="67">
        <f>ROUND(V22*1.2-SUM(交易记录!W24,交易记录!W88,交易记录!W152,交易记录!W216,交易记录!W280,交易记录!W344,交易记录!W408,交易记录!W472,交易记录!W536,交易记录!W600,交易记录!W664,交易记录!W728,交易记录!W792,交易记录!W856,交易记录!W920),3)</f>
        <v>28.302</v>
      </c>
      <c r="W57" s="67">
        <f>ROUND(W22*1.2-SUM(交易记录!X24,交易记录!X88,交易记录!X152,交易记录!X216,交易记录!X280,交易记录!X344,交易记录!X408,交易记录!X472,交易记录!X536,交易记录!X600,交易记录!X664,交易记录!X728,交易记录!X792,交易记录!X856,交易记录!X920),3)</f>
        <v>27.41</v>
      </c>
      <c r="X57" s="67">
        <f>ROUND(X22*1.2-SUM(交易记录!Y24,交易记录!Y88,交易记录!Y152,交易记录!Y216,交易记录!Y280,交易记录!Y344,交易记录!Y408,交易记录!Y472,交易记录!Y536,交易记录!Y600,交易记录!Y664,交易记录!Y728,交易记录!Y792,交易记录!Y856,交易记录!Y920),3)</f>
        <v>27.81</v>
      </c>
      <c r="Y57" s="67">
        <f>ROUND(Y22*1.2-SUM(交易记录!Z24,交易记录!Z88,交易记录!Z152,交易记录!Z216,交易记录!Z280,交易记录!Z344,交易记录!Z408,交易记录!Z472,交易记录!Z536,交易记录!Z600,交易记录!Z664,交易记录!Z728,交易记录!Z792,交易记录!Z856,交易记录!Z920),3)</f>
        <v>27.81</v>
      </c>
      <c r="Z57" s="67">
        <f>ROUND(Z22*1.2-SUM(交易记录!AA24,交易记录!AA88,交易记录!AA152,交易记录!AA216,交易记录!AA280,交易记录!AA344,交易记录!AA408,交易记录!AA472,交易记录!AA536,交易记录!AA600,交易记录!AA664,交易记录!AA728,交易记录!AA792,交易记录!AA856,交易记录!AA920),3)</f>
        <v>27.81</v>
      </c>
      <c r="AA57" s="67">
        <f>ROUND(AA22*1.2-SUM(交易记录!AB24,交易记录!AB88,交易记录!AB152,交易记录!AB216,交易记录!AB280,交易记录!AB344,交易记录!AB408,交易记录!AB472,交易记录!AB536,交易记录!AB600,交易记录!AB664,交易记录!AB728,交易记录!AB792,交易记录!AB856,交易记录!AB920),3)</f>
        <v>27.81</v>
      </c>
      <c r="AB57" s="67">
        <f>ROUND(AB22*1.2-SUM(交易记录!AC24,交易记录!AC88,交易记录!AC152,交易记录!AC216,交易记录!AC280,交易记录!AC344,交易记录!AC408,交易记录!AC472,交易记录!AC536,交易记录!AC600,交易记录!AC664,交易记录!AC728,交易记录!AC792,交易记录!AC856,交易记录!AC920),3)</f>
        <v>28.702000000000002</v>
      </c>
      <c r="AC57" s="67">
        <f>ROUND(AC22*1.2-SUM(交易记录!AD24,交易记录!AD88,交易记录!AD152,交易记录!AD216,交易记录!AD280,交易记录!AD344,交易记录!AD408,交易记录!AD472,交易记录!AD536,交易记录!AD600,交易记录!AD664,交易记录!AD728,交易记录!AD792,交易记录!AD856,交易记录!AD920),3)</f>
        <v>28.302</v>
      </c>
      <c r="AD57" s="67">
        <f>ROUND(AD22*1.2-SUM(交易记录!AE24,交易记录!AE88,交易记录!AE152,交易记录!AE216,交易记录!AE280,交易记录!AE344,交易记录!AE408,交易记录!AE472,交易记录!AE536,交易记录!AE600,交易记录!AE664,交易记录!AE728,交易记录!AE792,交易记录!AE856,交易记录!AE920),3)</f>
        <v>27.41</v>
      </c>
      <c r="AE57" s="67">
        <f>ROUND(AE22*1.2-SUM(交易记录!AF24,交易记录!AF88,交易记录!AF152,交易记录!AF216,交易记录!AF280,交易记录!AF344,交易记录!AF408,交易记录!AF472,交易记录!AF536,交易记录!AF600,交易记录!AF664,交易记录!AF728,交易记录!AF792,交易记录!AF856,交易记录!AF920),3)</f>
        <v>27.81</v>
      </c>
      <c r="AF57" s="67">
        <f>ROUND(AF22*1.2-SUM(交易记录!AG24,交易记录!AG88,交易记录!AG152,交易记录!AG216,交易记录!AG280,交易记录!AG344,交易记录!AG408,交易记录!AG472,交易记录!AG536,交易记录!AG600,交易记录!AG664,交易记录!AG728,交易记录!AG792,交易记录!AG856,交易记录!AG920),3)</f>
        <v>27.81</v>
      </c>
      <c r="AG57" s="67">
        <f>ROUND(AG22*1.2-SUM(交易记录!AH24,交易记录!AH88,交易记录!AH152,交易记录!AH216,交易记录!AH280,交易记录!AH344,交易记录!AH408,交易记录!AH472,交易记录!AH536,交易记录!AH600,交易记录!AH664,交易记录!AH728,交易记录!AH792,交易记录!AH856,交易记录!AH920),3)</f>
        <v>27.81</v>
      </c>
    </row>
    <row r="58" spans="2:33" ht="15">
      <c r="B58" s="7" t="s">
        <v>26</v>
      </c>
      <c r="C58" s="67">
        <f>ROUND(C23*1.2-SUM(交易记录!D25,交易记录!D89,交易记录!D153,交易记录!D217,交易记录!D281,交易记录!D345,交易记录!D409,交易记录!D473,交易记录!D537,交易记录!D601,交易记录!D665,交易记录!D729,交易记录!D793,交易记录!D857,交易记录!D921),3)</f>
        <v>27.966000000000001</v>
      </c>
      <c r="D58" s="67">
        <f>ROUND(D23*1.2-SUM(交易记录!E25,交易记录!E89,交易记录!E153,交易记录!E217,交易记录!E281,交易记录!E345,交易记录!E409,交易记录!E473,交易记录!E537,交易记录!E601,交易记录!E665,交易记录!E729,交易记录!E793,交易记录!E857,交易记录!E921),3)</f>
        <v>27.856999999999999</v>
      </c>
      <c r="E58" s="67">
        <f>ROUND(E23*1.2-SUM(交易记录!F25,交易记录!F89,交易记录!F153,交易记录!F217,交易记录!F281,交易记录!F345,交易记录!F409,交易记录!F473,交易记录!F537,交易记录!F601,交易记录!F665,交易记录!F729,交易记录!F793,交易记录!F857,交易记录!F921),3)</f>
        <v>27.856999999999999</v>
      </c>
      <c r="F58" s="67">
        <f>ROUND(F23*1.2-SUM(交易记录!G25,交易记录!G89,交易记录!G153,交易记录!G217,交易记录!G281,交易记录!G345,交易记录!G409,交易记录!G473,交易记录!G537,交易记录!G601,交易记录!G665,交易记录!G729,交易记录!G793,交易记录!G857,交易记录!G921),3)</f>
        <v>27.856999999999999</v>
      </c>
      <c r="G58" s="67">
        <f>ROUND(G23*1.2-SUM(交易记录!H25,交易记录!H89,交易记录!H153,交易记录!H217,交易记录!H281,交易记录!H345,交易记录!H409,交易记录!H473,交易记录!H537,交易记录!H601,交易记录!H665,交易记录!H729,交易记录!H793,交易记录!H857,交易记录!H921),3)</f>
        <v>28.053999999999998</v>
      </c>
      <c r="H58" s="67">
        <f>ROUND(H23*1.2-SUM(交易记录!I25,交易记录!I89,交易记录!I153,交易记录!I217,交易记录!I281,交易记录!I345,交易记录!I409,交易记录!I473,交易记录!I537,交易记录!I601,交易记录!I665,交易记录!I729,交易记录!I793,交易记录!I857,交易记录!I921),3)</f>
        <v>28.053999999999998</v>
      </c>
      <c r="I58" s="67">
        <f>ROUND(I23*1.2-SUM(交易记录!J25,交易记录!J89,交易记录!J153,交易记录!J217,交易记录!J281,交易记录!J345,交易记录!J409,交易记录!J473,交易记录!J537,交易记录!J601,交易记录!J665,交易记录!J729,交易记录!J793,交易记录!J857,交易记录!J921),3)</f>
        <v>27.856999999999999</v>
      </c>
      <c r="J58" s="67">
        <f>ROUND(J23*1.2-SUM(交易记录!K25,交易记录!K89,交易记录!K153,交易记录!K217,交易记录!K281,交易记录!K345,交易记录!K409,交易记录!K473,交易记录!K537,交易记录!K601,交易记录!K665,交易记录!K729,交易记录!K793,交易记录!K857,交易记录!K921),3)</f>
        <v>27.856999999999999</v>
      </c>
      <c r="K58" s="67">
        <f>ROUND(K23*1.2-SUM(交易记录!L25,交易记录!L89,交易记录!L153,交易记录!L217,交易记录!L281,交易记录!L345,交易记录!L409,交易记录!L473,交易记录!L537,交易记录!L601,交易记录!L665,交易记录!L729,交易记录!L793,交易记录!L857,交易记录!L921),3)</f>
        <v>27.856999999999999</v>
      </c>
      <c r="L58" s="67">
        <f>ROUND(L23*1.2-SUM(交易记录!M25,交易记录!M89,交易记录!M153,交易记录!M217,交易记录!M281,交易记录!M345,交易记录!M409,交易记录!M473,交易记录!M537,交易记录!M601,交易记录!M665,交易记录!M729,交易记录!M793,交易记录!M857,交易记录!M921),3)</f>
        <v>27.856999999999999</v>
      </c>
      <c r="M58" s="67">
        <f>ROUND(M23*1.2-SUM(交易记录!N25,交易记录!N89,交易记录!N153,交易记录!N217,交易记录!N281,交易记录!N345,交易记录!N409,交易记录!N473,交易记录!N537,交易记录!N601,交易记录!N665,交易记录!N729,交易记录!N793,交易记录!N857,交易记录!N921),3)</f>
        <v>27.856999999999999</v>
      </c>
      <c r="N58" s="67">
        <f>ROUND(N23*1.2-SUM(交易记录!O25,交易记录!O89,交易记录!O153,交易记录!O217,交易记录!O281,交易记录!O345,交易记录!O409,交易记录!O473,交易记录!O537,交易记录!O601,交易记录!O665,交易记录!O729,交易记录!O793,交易记录!O857,交易记录!O921),3)</f>
        <v>28.053999999999998</v>
      </c>
      <c r="O58" s="67">
        <f>ROUND(O23*1.2-SUM(交易记录!P25,交易记录!P89,交易记录!P153,交易记录!P217,交易记录!P281,交易记录!P345,交易记录!P409,交易记录!P473,交易记录!P537,交易记录!P601,交易记录!P665,交易记录!P729,交易记录!P793,交易记录!P857,交易记录!P921),3)</f>
        <v>28.053999999999998</v>
      </c>
      <c r="P58" s="67">
        <f>ROUND(P23*1.2-SUM(交易记录!Q25,交易记录!Q89,交易记录!Q153,交易记录!Q217,交易记录!Q281,交易记录!Q345,交易记录!Q409,交易记录!Q473,交易记录!Q537,交易记录!Q601,交易记录!Q665,交易记录!Q729,交易记录!Q793,交易记录!Q857,交易记录!Q921),3)</f>
        <v>27.856999999999999</v>
      </c>
      <c r="Q58" s="67">
        <f>ROUND(Q23*1.2-SUM(交易记录!R25,交易记录!R89,交易记录!R153,交易记录!R217,交易记录!R281,交易记录!R345,交易记录!R409,交易记录!R473,交易记录!R537,交易记录!R601,交易记录!R665,交易记录!R729,交易记录!R793,交易记录!R857,交易记录!R921),3)</f>
        <v>27.856999999999999</v>
      </c>
      <c r="R58" s="67">
        <f>ROUND(R23*1.2-SUM(交易记录!S25,交易记录!S89,交易记录!S153,交易记录!S217,交易记录!S281,交易记录!S345,交易记录!S409,交易记录!S473,交易记录!S537,交易记录!S601,交易记录!S665,交易记录!S729,交易记录!S793,交易记录!S857,交易记录!S921),3)</f>
        <v>27.856999999999999</v>
      </c>
      <c r="S58" s="67">
        <f>ROUND(S23*1.2-SUM(交易记录!T25,交易记录!T89,交易记录!T153,交易记录!T217,交易记录!T281,交易记录!T345,交易记录!T409,交易记录!T473,交易记录!T537,交易记录!T601,交易记录!T665,交易记录!T729,交易记录!T793,交易记录!T857,交易记录!T921),3)</f>
        <v>27.856999999999999</v>
      </c>
      <c r="T58" s="67">
        <f>ROUND(T23*1.2-SUM(交易记录!U25,交易记录!U89,交易记录!U153,交易记录!U217,交易记录!U281,交易记录!U345,交易记录!U409,交易记录!U473,交易记录!U537,交易记录!U601,交易记录!U665,交易记录!U729,交易记录!U793,交易记录!U857,交易记录!U921),3)</f>
        <v>27.856999999999999</v>
      </c>
      <c r="U58" s="67">
        <f>ROUND(U23*1.2-SUM(交易记录!V25,交易记录!V89,交易记录!V153,交易记录!V217,交易记录!V281,交易记录!V345,交易记录!V409,交易记录!V473,交易记录!V537,交易记录!V601,交易记录!V665,交易记录!V729,交易记录!V793,交易记录!V857,交易记录!V921),3)</f>
        <v>28.693000000000001</v>
      </c>
      <c r="V58" s="67">
        <f>ROUND(V23*1.2-SUM(交易记录!W25,交易记录!W89,交易记录!W153,交易记录!W217,交易记录!W281,交易记录!W345,交易记录!W409,交易记录!W473,交易记录!W537,交易记录!W601,交易记录!W665,交易记录!W729,交易记录!W793,交易记录!W857,交易记录!W921),3)</f>
        <v>28.053999999999998</v>
      </c>
      <c r="W58" s="67">
        <f>ROUND(W23*1.2-SUM(交易记录!X25,交易记录!X89,交易记录!X153,交易记录!X217,交易记录!X281,交易记录!X345,交易记录!X409,交易记录!X473,交易记录!X537,交易记录!X601,交易记录!X665,交易记录!X729,交易记录!X793,交易记录!X857,交易记录!X921),3)</f>
        <v>27.218</v>
      </c>
      <c r="X58" s="67">
        <f>ROUND(X23*1.2-SUM(交易记录!Y25,交易记录!Y89,交易记录!Y153,交易记录!Y217,交易记录!Y281,交易记录!Y345,交易记录!Y409,交易记录!Y473,交易记录!Y537,交易记录!Y601,交易记录!Y665,交易记录!Y729,交易记录!Y793,交易记录!Y857,交易记录!Y921),3)</f>
        <v>27.856999999999999</v>
      </c>
      <c r="Y58" s="67">
        <f>ROUND(Y23*1.2-SUM(交易记录!Z25,交易记录!Z89,交易记录!Z153,交易记录!Z217,交易记录!Z281,交易记录!Z345,交易记录!Z409,交易记录!Z473,交易记录!Z537,交易记录!Z601,交易记录!Z665,交易记录!Z729,交易记录!Z793,交易记录!Z857,交易记录!Z921),3)</f>
        <v>27.856999999999999</v>
      </c>
      <c r="Z58" s="67">
        <f>ROUND(Z23*1.2-SUM(交易记录!AA25,交易记录!AA89,交易记录!AA153,交易记录!AA217,交易记录!AA281,交易记录!AA345,交易记录!AA409,交易记录!AA473,交易记录!AA537,交易记录!AA601,交易记录!AA665,交易记录!AA729,交易记录!AA793,交易记录!AA857,交易记录!AA921),3)</f>
        <v>27.856999999999999</v>
      </c>
      <c r="AA58" s="67">
        <f>ROUND(AA23*1.2-SUM(交易记录!AB25,交易记录!AB89,交易记录!AB153,交易记录!AB217,交易记录!AB281,交易记录!AB345,交易记录!AB409,交易记录!AB473,交易记录!AB537,交易记录!AB601,交易记录!AB665,交易记录!AB729,交易记录!AB793,交易记录!AB857,交易记录!AB921),3)</f>
        <v>27.856999999999999</v>
      </c>
      <c r="AB58" s="67">
        <f>ROUND(AB23*1.2-SUM(交易记录!AC25,交易记录!AC89,交易记录!AC153,交易记录!AC217,交易记录!AC281,交易记录!AC345,交易记录!AC409,交易记录!AC473,交易记录!AC537,交易记录!AC601,交易记录!AC665,交易记录!AC729,交易记录!AC793,交易记录!AC857,交易记录!AC921),3)</f>
        <v>28.693000000000001</v>
      </c>
      <c r="AC58" s="67">
        <f>ROUND(AC23*1.2-SUM(交易记录!AD25,交易记录!AD89,交易记录!AD153,交易记录!AD217,交易记录!AD281,交易记录!AD345,交易记录!AD409,交易记录!AD473,交易记录!AD537,交易记录!AD601,交易记录!AD665,交易记录!AD729,交易记录!AD793,交易记录!AD857,交易记录!AD921),3)</f>
        <v>28.053999999999998</v>
      </c>
      <c r="AD58" s="67">
        <f>ROUND(AD23*1.2-SUM(交易记录!AE25,交易记录!AE89,交易记录!AE153,交易记录!AE217,交易记录!AE281,交易记录!AE345,交易记录!AE409,交易记录!AE473,交易记录!AE537,交易记录!AE601,交易记录!AE665,交易记录!AE729,交易记录!AE793,交易记录!AE857,交易记录!AE921),3)</f>
        <v>27.218</v>
      </c>
      <c r="AE58" s="67">
        <f>ROUND(AE23*1.2-SUM(交易记录!AF25,交易记录!AF89,交易记录!AF153,交易记录!AF217,交易记录!AF281,交易记录!AF345,交易记录!AF409,交易记录!AF473,交易记录!AF537,交易记录!AF601,交易记录!AF665,交易记录!AF729,交易记录!AF793,交易记录!AF857,交易记录!AF921),3)</f>
        <v>27.856999999999999</v>
      </c>
      <c r="AF58" s="67">
        <f>ROUND(AF23*1.2-SUM(交易记录!AG25,交易记录!AG89,交易记录!AG153,交易记录!AG217,交易记录!AG281,交易记录!AG345,交易记录!AG409,交易记录!AG473,交易记录!AG537,交易记录!AG601,交易记录!AG665,交易记录!AG729,交易记录!AG793,交易记录!AG857,交易记录!AG921),3)</f>
        <v>27.856999999999999</v>
      </c>
      <c r="AG58" s="67">
        <f>ROUND(AG23*1.2-SUM(交易记录!AH25,交易记录!AH89,交易记录!AH153,交易记录!AH217,交易记录!AH281,交易记录!AH345,交易记录!AH409,交易记录!AH473,交易记录!AH537,交易记录!AH601,交易记录!AH665,交易记录!AH729,交易记录!AH793,交易记录!AH857,交易记录!AH921),3)</f>
        <v>27.856999999999999</v>
      </c>
    </row>
    <row r="59" spans="2:33" ht="15">
      <c r="B59" s="7" t="s">
        <v>27</v>
      </c>
      <c r="C59" s="67">
        <f>ROUND(C24*1.2-SUM(交易记录!D26,交易记录!D90,交易记录!D154,交易记录!D218,交易记录!D282,交易记录!D346,交易记录!D410,交易记录!D474,交易记录!D538,交易记录!D602,交易记录!D666,交易记录!D730,交易记录!D794,交易记录!D858,交易记录!D922),3)</f>
        <v>26.257000000000001</v>
      </c>
      <c r="D59" s="67">
        <f>ROUND(D24*1.2-SUM(交易记录!E26,交易记录!E90,交易记录!E154,交易记录!E218,交易记录!E282,交易记录!E346,交易记录!E410,交易记录!E474,交易记录!E538,交易记录!E602,交易记录!E666,交易记录!E730,交易记录!E794,交易记录!E858,交易记录!E922),3)</f>
        <v>26.16</v>
      </c>
      <c r="E59" s="67">
        <f>ROUND(E24*1.2-SUM(交易记录!F26,交易记录!F90,交易记录!F154,交易记录!F218,交易记录!F282,交易记录!F346,交易记录!F410,交易记录!F474,交易记录!F538,交易记录!F602,交易记录!F666,交易记录!F730,交易记录!F794,交易记录!F858,交易记录!F922),3)</f>
        <v>26.16</v>
      </c>
      <c r="F59" s="67">
        <f>ROUND(F24*1.2-SUM(交易记录!G26,交易记录!G90,交易记录!G154,交易记录!G218,交易记录!G282,交易记录!G346,交易记录!G410,交易记录!G474,交易记录!G538,交易记录!G602,交易记录!G666,交易记录!G730,交易记录!G794,交易记录!G858,交易记录!G922),3)</f>
        <v>26.16</v>
      </c>
      <c r="G59" s="67">
        <f>ROUND(G24*1.2-SUM(交易记录!H26,交易记录!H90,交易记录!H154,交易记录!H218,交易记录!H282,交易记录!H346,交易记录!H410,交易记录!H474,交易记录!H538,交易记录!H602,交易记录!H666,交易记录!H730,交易记录!H794,交易记录!H858,交易记录!H922),3)</f>
        <v>26.395</v>
      </c>
      <c r="H59" s="67">
        <f>ROUND(H24*1.2-SUM(交易记录!I26,交易记录!I90,交易记录!I154,交易记录!I218,交易记录!I282,交易记录!I346,交易记录!I410,交易记录!I474,交易记录!I538,交易记录!I602,交易记录!I666,交易记录!I730,交易记录!I794,交易记录!I858,交易记录!I922),3)</f>
        <v>26.395</v>
      </c>
      <c r="I59" s="67">
        <f>ROUND(I24*1.2-SUM(交易记录!J26,交易记录!J90,交易记录!J154,交易记录!J218,交易记录!J282,交易记录!J346,交易记录!J410,交易记录!J474,交易记录!J538,交易记录!J602,交易记录!J666,交易记录!J730,交易记录!J794,交易记录!J858,交易记录!J922),3)</f>
        <v>26.16</v>
      </c>
      <c r="J59" s="67">
        <f>ROUND(J24*1.2-SUM(交易记录!K26,交易记录!K90,交易记录!K154,交易记录!K218,交易记录!K282,交易记录!K346,交易记录!K410,交易记录!K474,交易记录!K538,交易记录!K602,交易记录!K666,交易记录!K730,交易记录!K794,交易记录!K858,交易记录!K922),3)</f>
        <v>26.16</v>
      </c>
      <c r="K59" s="67">
        <f>ROUND(K24*1.2-SUM(交易记录!L26,交易记录!L90,交易记录!L154,交易记录!L218,交易记录!L282,交易记录!L346,交易记录!L410,交易记录!L474,交易记录!L538,交易记录!L602,交易记录!L666,交易记录!L730,交易记录!L794,交易记录!L858,交易记录!L922),3)</f>
        <v>26.16</v>
      </c>
      <c r="L59" s="67">
        <f>ROUND(L24*1.2-SUM(交易记录!M26,交易记录!M90,交易记录!M154,交易记录!M218,交易记录!M282,交易记录!M346,交易记录!M410,交易记录!M474,交易记录!M538,交易记录!M602,交易记录!M666,交易记录!M730,交易记录!M794,交易记录!M858,交易记录!M922),3)</f>
        <v>26.16</v>
      </c>
      <c r="M59" s="67">
        <f>ROUND(M24*1.2-SUM(交易记录!N26,交易记录!N90,交易记录!N154,交易记录!N218,交易记录!N282,交易记录!N346,交易记录!N410,交易记录!N474,交易记录!N538,交易记录!N602,交易记录!N666,交易记录!N730,交易记录!N794,交易记录!N858,交易记录!N922),3)</f>
        <v>26.16</v>
      </c>
      <c r="N59" s="67">
        <f>ROUND(N24*1.2-SUM(交易记录!O26,交易记录!O90,交易记录!O154,交易记录!O218,交易记录!O282,交易记录!O346,交易记录!O410,交易记录!O474,交易记录!O538,交易记录!O602,交易记录!O666,交易记录!O730,交易记录!O794,交易记录!O858,交易记录!O922),3)</f>
        <v>26.395</v>
      </c>
      <c r="O59" s="67">
        <f>ROUND(O24*1.2-SUM(交易记录!P26,交易记录!P90,交易记录!P154,交易记录!P218,交易记录!P282,交易记录!P346,交易记录!P410,交易记录!P474,交易记录!P538,交易记录!P602,交易记录!P666,交易记录!P730,交易记录!P794,交易记录!P858,交易记录!P922),3)</f>
        <v>26.395</v>
      </c>
      <c r="P59" s="67">
        <f>ROUND(P24*1.2-SUM(交易记录!Q26,交易记录!Q90,交易记录!Q154,交易记录!Q218,交易记录!Q282,交易记录!Q346,交易记录!Q410,交易记录!Q474,交易记录!Q538,交易记录!Q602,交易记录!Q666,交易记录!Q730,交易记录!Q794,交易记录!Q858,交易记录!Q922),3)</f>
        <v>26.16</v>
      </c>
      <c r="Q59" s="67">
        <f>ROUND(Q24*1.2-SUM(交易记录!R26,交易记录!R90,交易记录!R154,交易记录!R218,交易记录!R282,交易记录!R346,交易记录!R410,交易记录!R474,交易记录!R538,交易记录!R602,交易记录!R666,交易记录!R730,交易记录!R794,交易记录!R858,交易记录!R922),3)</f>
        <v>26.16</v>
      </c>
      <c r="R59" s="67">
        <f>ROUND(R24*1.2-SUM(交易记录!S26,交易记录!S90,交易记录!S154,交易记录!S218,交易记录!S282,交易记录!S346,交易记录!S410,交易记录!S474,交易记录!S538,交易记录!S602,交易记录!S666,交易记录!S730,交易记录!S794,交易记录!S858,交易记录!S922),3)</f>
        <v>26.16</v>
      </c>
      <c r="S59" s="67">
        <f>ROUND(S24*1.2-SUM(交易记录!T26,交易记录!T90,交易记录!T154,交易记录!T218,交易记录!T282,交易记录!T346,交易记录!T410,交易记录!T474,交易记录!T538,交易记录!T602,交易记录!T666,交易记录!T730,交易记录!T794,交易记录!T858,交易记录!T922),3)</f>
        <v>26.16</v>
      </c>
      <c r="T59" s="67">
        <f>ROUND(T24*1.2-SUM(交易记录!U26,交易记录!U90,交易记录!U154,交易记录!U218,交易记录!U282,交易记录!U346,交易记录!U410,交易记录!U474,交易记录!U538,交易记录!U602,交易记录!U666,交易记录!U730,交易记录!U794,交易记录!U858,交易记录!U922),3)</f>
        <v>26.16</v>
      </c>
      <c r="U59" s="67">
        <f>ROUND(U24*1.2-SUM(交易记录!V26,交易记录!V90,交易记录!V154,交易记录!V218,交易记录!V282,交易记录!V346,交易记录!V410,交易记录!V474,交易记录!V538,交易记录!V602,交易记录!V666,交易记录!V730,交易记录!V794,交易记录!V858,交易记录!V922),3)</f>
        <v>26.96</v>
      </c>
      <c r="V59" s="67">
        <f>ROUND(V24*1.2-SUM(交易记录!W26,交易记录!W90,交易记录!W154,交易记录!W218,交易记录!W282,交易记录!W346,交易记录!W410,交易记录!W474,交易记录!W538,交易记录!W602,交易记录!W666,交易记录!W730,交易记录!W794,交易记录!W858,交易记录!W922),3)</f>
        <v>26.395</v>
      </c>
      <c r="W59" s="67">
        <f>ROUND(W24*1.2-SUM(交易记录!X26,交易记录!X90,交易记录!X154,交易记录!X218,交易记录!X282,交易记录!X346,交易记录!X410,交易记录!X474,交易记录!X538,交易记录!X602,交易记录!X666,交易记录!X730,交易记录!X794,交易记录!X858,交易记录!X922),3)</f>
        <v>25.594999999999999</v>
      </c>
      <c r="X59" s="67">
        <f>ROUND(X24*1.2-SUM(交易记录!Y26,交易记录!Y90,交易记录!Y154,交易记录!Y218,交易记录!Y282,交易记录!Y346,交易记录!Y410,交易记录!Y474,交易记录!Y538,交易记录!Y602,交易记录!Y666,交易记录!Y730,交易记录!Y794,交易记录!Y858,交易记录!Y922),3)</f>
        <v>26.16</v>
      </c>
      <c r="Y59" s="67">
        <f>ROUND(Y24*1.2-SUM(交易记录!Z26,交易记录!Z90,交易记录!Z154,交易记录!Z218,交易记录!Z282,交易记录!Z346,交易记录!Z410,交易记录!Z474,交易记录!Z538,交易记录!Z602,交易记录!Z666,交易记录!Z730,交易记录!Z794,交易记录!Z858,交易记录!Z922),3)</f>
        <v>26.16</v>
      </c>
      <c r="Z59" s="67">
        <f>ROUND(Z24*1.2-SUM(交易记录!AA26,交易记录!AA90,交易记录!AA154,交易记录!AA218,交易记录!AA282,交易记录!AA346,交易记录!AA410,交易记录!AA474,交易记录!AA538,交易记录!AA602,交易记录!AA666,交易记录!AA730,交易记录!AA794,交易记录!AA858,交易记录!AA922),3)</f>
        <v>26.16</v>
      </c>
      <c r="AA59" s="67">
        <f>ROUND(AA24*1.2-SUM(交易记录!AB26,交易记录!AB90,交易记录!AB154,交易记录!AB218,交易记录!AB282,交易记录!AB346,交易记录!AB410,交易记录!AB474,交易记录!AB538,交易记录!AB602,交易记录!AB666,交易记录!AB730,交易记录!AB794,交易记录!AB858,交易记录!AB922),3)</f>
        <v>26.16</v>
      </c>
      <c r="AB59" s="67">
        <f>ROUND(AB24*1.2-SUM(交易记录!AC26,交易记录!AC90,交易记录!AC154,交易记录!AC218,交易记录!AC282,交易记录!AC346,交易记录!AC410,交易记录!AC474,交易记录!AC538,交易记录!AC602,交易记录!AC666,交易记录!AC730,交易记录!AC794,交易记录!AC858,交易记录!AC922),3)</f>
        <v>26.96</v>
      </c>
      <c r="AC59" s="67">
        <f>ROUND(AC24*1.2-SUM(交易记录!AD26,交易记录!AD90,交易记录!AD154,交易记录!AD218,交易记录!AD282,交易记录!AD346,交易记录!AD410,交易记录!AD474,交易记录!AD538,交易记录!AD602,交易记录!AD666,交易记录!AD730,交易记录!AD794,交易记录!AD858,交易记录!AD922),3)</f>
        <v>26.395</v>
      </c>
      <c r="AD59" s="67">
        <f>ROUND(AD24*1.2-SUM(交易记录!AE26,交易记录!AE90,交易记录!AE154,交易记录!AE218,交易记录!AE282,交易记录!AE346,交易记录!AE410,交易记录!AE474,交易记录!AE538,交易记录!AE602,交易记录!AE666,交易记录!AE730,交易记录!AE794,交易记录!AE858,交易记录!AE922),3)</f>
        <v>25.594999999999999</v>
      </c>
      <c r="AE59" s="67">
        <f>ROUND(AE24*1.2-SUM(交易记录!AF26,交易记录!AF90,交易记录!AF154,交易记录!AF218,交易记录!AF282,交易记录!AF346,交易记录!AF410,交易记录!AF474,交易记录!AF538,交易记录!AF602,交易记录!AF666,交易记录!AF730,交易记录!AF794,交易记录!AF858,交易记录!AF922),3)</f>
        <v>26.16</v>
      </c>
      <c r="AF59" s="67">
        <f>ROUND(AF24*1.2-SUM(交易记录!AG26,交易记录!AG90,交易记录!AG154,交易记录!AG218,交易记录!AG282,交易记录!AG346,交易记录!AG410,交易记录!AG474,交易记录!AG538,交易记录!AG602,交易记录!AG666,交易记录!AG730,交易记录!AG794,交易记录!AG858,交易记录!AG922),3)</f>
        <v>26.16</v>
      </c>
      <c r="AG59" s="67">
        <f>ROUND(AG24*1.2-SUM(交易记录!AH26,交易记录!AH90,交易记录!AH154,交易记录!AH218,交易记录!AH282,交易记录!AH346,交易记录!AH410,交易记录!AH474,交易记录!AH538,交易记录!AH602,交易记录!AH666,交易记录!AH730,交易记录!AH794,交易记录!AH858,交易记录!AH922),3)</f>
        <v>26.16</v>
      </c>
    </row>
    <row r="60" spans="2:33" ht="15">
      <c r="B60" s="7" t="s">
        <v>28</v>
      </c>
      <c r="C60" s="67">
        <f>ROUND(C25*1.2-SUM(交易记录!D27,交易记录!D91,交易记录!D155,交易记录!D219,交易记录!D283,交易记录!D347,交易记录!D411,交易记录!D475,交易记录!D539,交易记录!D603,交易记录!D667,交易记录!D731,交易记录!D795,交易记录!D859,交易记录!D923),3)</f>
        <v>22.492000000000001</v>
      </c>
      <c r="D60" s="67">
        <f>ROUND(D25*1.2-SUM(交易记录!E27,交易记录!E91,交易记录!E155,交易记录!E219,交易记录!E283,交易记录!E347,交易记录!E411,交易记录!E475,交易记录!E539,交易记录!E603,交易记录!E667,交易记录!E731,交易记录!E795,交易记录!E859,交易记录!E923),3)</f>
        <v>22.420999999999999</v>
      </c>
      <c r="E60" s="67">
        <f>ROUND(E25*1.2-SUM(交易记录!F27,交易记录!F91,交易记录!F155,交易记录!F219,交易记录!F283,交易记录!F347,交易记录!F411,交易记录!F475,交易记录!F539,交易记录!F603,交易记录!F667,交易记录!F731,交易记录!F795,交易记录!F859,交易记录!F923),3)</f>
        <v>22.420999999999999</v>
      </c>
      <c r="F60" s="67">
        <f>ROUND(F25*1.2-SUM(交易记录!G27,交易记录!G91,交易记录!G155,交易记录!G219,交易记录!G283,交易记录!G347,交易记录!G411,交易记录!G475,交易记录!G539,交易记录!G603,交易记录!G667,交易记录!G731,交易记录!G795,交易记录!G859,交易记录!G923),3)</f>
        <v>22.420999999999999</v>
      </c>
      <c r="G60" s="67">
        <f>ROUND(G25*1.2-SUM(交易记录!H27,交易记录!H91,交易记录!H155,交易记录!H219,交易记录!H283,交易记录!H347,交易记录!H411,交易记录!H475,交易记录!H539,交易记录!H603,交易记录!H667,交易记录!H731,交易记录!H795,交易记录!H859,交易记录!H923),3)</f>
        <v>23.004000000000001</v>
      </c>
      <c r="H60" s="67">
        <f>ROUND(H25*1.2-SUM(交易记录!I27,交易记录!I91,交易记录!I155,交易记录!I219,交易记录!I283,交易记录!I347,交易记录!I411,交易记录!I475,交易记录!I539,交易记录!I603,交易记录!I667,交易记录!I731,交易记录!I795,交易记录!I859,交易记录!I923),3)</f>
        <v>23.004000000000001</v>
      </c>
      <c r="I60" s="67">
        <f>ROUND(I25*1.2-SUM(交易记录!J27,交易记录!J91,交易记录!J155,交易记录!J219,交易记录!J283,交易记录!J347,交易记录!J411,交易记录!J475,交易记录!J539,交易记录!J603,交易记录!J667,交易记录!J731,交易记录!J795,交易记录!J859,交易记录!J923),3)</f>
        <v>22.420999999999999</v>
      </c>
      <c r="J60" s="67">
        <f>ROUND(J25*1.2-SUM(交易记录!K27,交易记录!K91,交易记录!K155,交易记录!K219,交易记录!K283,交易记录!K347,交易记录!K411,交易记录!K475,交易记录!K539,交易记录!K603,交易记录!K667,交易记录!K731,交易记录!K795,交易记录!K859,交易记录!K923),3)</f>
        <v>22.420999999999999</v>
      </c>
      <c r="K60" s="67">
        <f>ROUND(K25*1.2-SUM(交易记录!L27,交易记录!L91,交易记录!L155,交易记录!L219,交易记录!L283,交易记录!L347,交易记录!L411,交易记录!L475,交易记录!L539,交易记录!L603,交易记录!L667,交易记录!L731,交易记录!L795,交易记录!L859,交易记录!L923),3)</f>
        <v>22.420999999999999</v>
      </c>
      <c r="L60" s="67">
        <f>ROUND(L25*1.2-SUM(交易记录!M27,交易记录!M91,交易记录!M155,交易记录!M219,交易记录!M283,交易记录!M347,交易记录!M411,交易记录!M475,交易记录!M539,交易记录!M603,交易记录!M667,交易记录!M731,交易记录!M795,交易记录!M859,交易记录!M923),3)</f>
        <v>22.420999999999999</v>
      </c>
      <c r="M60" s="67">
        <f>ROUND(M25*1.2-SUM(交易记录!N27,交易记录!N91,交易记录!N155,交易记录!N219,交易记录!N283,交易记录!N347,交易记录!N411,交易记录!N475,交易记录!N539,交易记录!N603,交易记录!N667,交易记录!N731,交易记录!N795,交易记录!N859,交易记录!N923),3)</f>
        <v>22.420999999999999</v>
      </c>
      <c r="N60" s="67">
        <f>ROUND(N25*1.2-SUM(交易记录!O27,交易记录!O91,交易记录!O155,交易记录!O219,交易记录!O283,交易记录!O347,交易记录!O411,交易记录!O475,交易记录!O539,交易记录!O603,交易记录!O667,交易记录!O731,交易记录!O795,交易记录!O859,交易记录!O923),3)</f>
        <v>23.004000000000001</v>
      </c>
      <c r="O60" s="67">
        <f>ROUND(O25*1.2-SUM(交易记录!P27,交易记录!P91,交易记录!P155,交易记录!P219,交易记录!P283,交易记录!P347,交易记录!P411,交易记录!P475,交易记录!P539,交易记录!P603,交易记录!P667,交易记录!P731,交易记录!P795,交易记录!P859,交易记录!P923),3)</f>
        <v>23.004000000000001</v>
      </c>
      <c r="P60" s="67">
        <f>ROUND(P25*1.2-SUM(交易记录!Q27,交易记录!Q91,交易记录!Q155,交易记录!Q219,交易记录!Q283,交易记录!Q347,交易记录!Q411,交易记录!Q475,交易记录!Q539,交易记录!Q603,交易记录!Q667,交易记录!Q731,交易记录!Q795,交易记录!Q859,交易记录!Q923),3)</f>
        <v>22.420999999999999</v>
      </c>
      <c r="Q60" s="67">
        <f>ROUND(Q25*1.2-SUM(交易记录!R27,交易记录!R91,交易记录!R155,交易记录!R219,交易记录!R283,交易记录!R347,交易记录!R411,交易记录!R475,交易记录!R539,交易记录!R603,交易记录!R667,交易记录!R731,交易记录!R795,交易记录!R859,交易记录!R923),3)</f>
        <v>22.420999999999999</v>
      </c>
      <c r="R60" s="67">
        <f>ROUND(R25*1.2-SUM(交易记录!S27,交易记录!S91,交易记录!S155,交易记录!S219,交易记录!S283,交易记录!S347,交易记录!S411,交易记录!S475,交易记录!S539,交易记录!S603,交易记录!S667,交易记录!S731,交易记录!S795,交易记录!S859,交易记录!S923),3)</f>
        <v>22.420999999999999</v>
      </c>
      <c r="S60" s="67">
        <f>ROUND(S25*1.2-SUM(交易记录!T27,交易记录!T91,交易记录!T155,交易记录!T219,交易记录!T283,交易记录!T347,交易记录!T411,交易记录!T475,交易记录!T539,交易记录!T603,交易记录!T667,交易记录!T731,交易记录!T795,交易记录!T859,交易记录!T923),3)</f>
        <v>22.420999999999999</v>
      </c>
      <c r="T60" s="67">
        <f>ROUND(T25*1.2-SUM(交易记录!U27,交易记录!U91,交易记录!U155,交易记录!U219,交易记录!U283,交易记录!U347,交易记录!U411,交易记录!U475,交易记录!U539,交易记录!U603,交易记录!U667,交易记录!U731,交易记录!U795,交易记录!U859,交易记录!U923),3)</f>
        <v>22.420999999999999</v>
      </c>
      <c r="U60" s="67">
        <f>ROUND(U25*1.2-SUM(交易记录!V27,交易记录!V91,交易记录!V155,交易记录!V219,交易记录!V283,交易记录!V347,交易记录!V411,交易记录!V475,交易记录!V539,交易记录!V603,交易记录!V667,交易记录!V731,交易记录!V795,交易记录!V859,交易记录!V923),3)</f>
        <v>23.152999999999999</v>
      </c>
      <c r="V60" s="67">
        <f>ROUND(V25*1.2-SUM(交易记录!W27,交易记录!W91,交易记录!W155,交易记录!W219,交易记录!W283,交易记录!W347,交易记录!W411,交易记录!W475,交易记录!W539,交易记录!W603,交易记录!W667,交易记录!W731,交易记录!W795,交易记录!W859,交易记录!W923),3)</f>
        <v>23.004000000000001</v>
      </c>
      <c r="W60" s="67">
        <f>ROUND(W25*1.2-SUM(交易记录!X27,交易记录!X91,交易记录!X155,交易记录!X219,交易记录!X283,交易记录!X347,交易记录!X411,交易记录!X475,交易记录!X539,交易记录!X603,交易记录!X667,交易记录!X731,交易记录!X795,交易记录!X859,交易记录!X923),3)</f>
        <v>22.271999999999998</v>
      </c>
      <c r="X60" s="67">
        <f>ROUND(X25*1.2-SUM(交易记录!Y27,交易记录!Y91,交易记录!Y155,交易记录!Y219,交易记录!Y283,交易记录!Y347,交易记录!Y411,交易记录!Y475,交易记录!Y539,交易记录!Y603,交易记录!Y667,交易记录!Y731,交易记录!Y795,交易记录!Y859,交易记录!Y923),3)</f>
        <v>22.420999999999999</v>
      </c>
      <c r="Y60" s="67">
        <f>ROUND(Y25*1.2-SUM(交易记录!Z27,交易记录!Z91,交易记录!Z155,交易记录!Z219,交易记录!Z283,交易记录!Z347,交易记录!Z411,交易记录!Z475,交易记录!Z539,交易记录!Z603,交易记录!Z667,交易记录!Z731,交易记录!Z795,交易记录!Z859,交易记录!Z923),3)</f>
        <v>22.420999999999999</v>
      </c>
      <c r="Z60" s="67">
        <f>ROUND(Z25*1.2-SUM(交易记录!AA27,交易记录!AA91,交易记录!AA155,交易记录!AA219,交易记录!AA283,交易记录!AA347,交易记录!AA411,交易记录!AA475,交易记录!AA539,交易记录!AA603,交易记录!AA667,交易记录!AA731,交易记录!AA795,交易记录!AA859,交易记录!AA923),3)</f>
        <v>22.420999999999999</v>
      </c>
      <c r="AA60" s="67">
        <f>ROUND(AA25*1.2-SUM(交易记录!AB27,交易记录!AB91,交易记录!AB155,交易记录!AB219,交易记录!AB283,交易记录!AB347,交易记录!AB411,交易记录!AB475,交易记录!AB539,交易记录!AB603,交易记录!AB667,交易记录!AB731,交易记录!AB795,交易记录!AB859,交易记录!AB923),3)</f>
        <v>22.420999999999999</v>
      </c>
      <c r="AB60" s="67">
        <f>ROUND(AB25*1.2-SUM(交易记录!AC27,交易记录!AC91,交易记录!AC155,交易记录!AC219,交易记录!AC283,交易记录!AC347,交易记录!AC411,交易记录!AC475,交易记录!AC539,交易记录!AC603,交易记录!AC667,交易记录!AC731,交易记录!AC795,交易记录!AC859,交易记录!AC923),3)</f>
        <v>23.152999999999999</v>
      </c>
      <c r="AC60" s="67">
        <f>ROUND(AC25*1.2-SUM(交易记录!AD27,交易记录!AD91,交易记录!AD155,交易记录!AD219,交易记录!AD283,交易记录!AD347,交易记录!AD411,交易记录!AD475,交易记录!AD539,交易记录!AD603,交易记录!AD667,交易记录!AD731,交易记录!AD795,交易记录!AD859,交易记录!AD923),3)</f>
        <v>23.004000000000001</v>
      </c>
      <c r="AD60" s="67">
        <f>ROUND(AD25*1.2-SUM(交易记录!AE27,交易记录!AE91,交易记录!AE155,交易记录!AE219,交易记录!AE283,交易记录!AE347,交易记录!AE411,交易记录!AE475,交易记录!AE539,交易记录!AE603,交易记录!AE667,交易记录!AE731,交易记录!AE795,交易记录!AE859,交易记录!AE923),3)</f>
        <v>22.271999999999998</v>
      </c>
      <c r="AE60" s="67">
        <f>ROUND(AE25*1.2-SUM(交易记录!AF27,交易记录!AF91,交易记录!AF155,交易记录!AF219,交易记录!AF283,交易记录!AF347,交易记录!AF411,交易记录!AF475,交易记录!AF539,交易记录!AF603,交易记录!AF667,交易记录!AF731,交易记录!AF795,交易记录!AF859,交易记录!AF923),3)</f>
        <v>22.420999999999999</v>
      </c>
      <c r="AF60" s="67">
        <f>ROUND(AF25*1.2-SUM(交易记录!AG27,交易记录!AG91,交易记录!AG155,交易记录!AG219,交易记录!AG283,交易记录!AG347,交易记录!AG411,交易记录!AG475,交易记录!AG539,交易记录!AG603,交易记录!AG667,交易记录!AG731,交易记录!AG795,交易记录!AG859,交易记录!AG923),3)</f>
        <v>22.420999999999999</v>
      </c>
      <c r="AG60" s="67">
        <f>ROUND(AG25*1.2-SUM(交易记录!AH27,交易记录!AH91,交易记录!AH155,交易记录!AH219,交易记录!AH283,交易记录!AH347,交易记录!AH411,交易记录!AH475,交易记录!AH539,交易记录!AH603,交易记录!AH667,交易记录!AH731,交易记录!AH795,交易记录!AH859,交易记录!AH923),3)</f>
        <v>22.420999999999999</v>
      </c>
    </row>
    <row r="61" spans="2:33" ht="15">
      <c r="B61" s="7" t="s">
        <v>29</v>
      </c>
      <c r="C61" s="67">
        <f>ROUND(C26*1.2-SUM(交易记录!D28,交易记录!D92,交易记录!D156,交易记录!D220,交易记录!D284,交易记录!D348,交易记录!D412,交易记录!D476,交易记录!D540,交易记录!D604,交易记录!D668,交易记录!D732,交易记录!D796,交易记录!D860,交易记录!D924),3)</f>
        <v>20.036999999999999</v>
      </c>
      <c r="D61" s="67">
        <f>ROUND(D26*1.2-SUM(交易记录!E28,交易记录!E92,交易记录!E156,交易记录!E220,交易记录!E284,交易记录!E348,交易记录!E412,交易记录!E476,交易记录!E540,交易记录!E604,交易记录!E668,交易记录!E732,交易记录!E796,交易记录!E860,交易记录!E924),3)</f>
        <v>20.021999999999998</v>
      </c>
      <c r="E61" s="67">
        <f>ROUND(E26*1.2-SUM(交易记录!F28,交易记录!F92,交易记录!F156,交易记录!F220,交易记录!F284,交易记录!F348,交易记录!F412,交易记录!F476,交易记录!F540,交易记录!F604,交易记录!F668,交易记录!F732,交易记录!F796,交易记录!F860,交易记录!F924),3)</f>
        <v>20.021999999999998</v>
      </c>
      <c r="F61" s="67">
        <f>ROUND(F26*1.2-SUM(交易记录!G28,交易记录!G92,交易记录!G156,交易记录!G220,交易记录!G284,交易记录!G348,交易记录!G412,交易记录!G476,交易记录!G540,交易记录!G604,交易记录!G668,交易记录!G732,交易记录!G796,交易记录!G860,交易记录!G924),3)</f>
        <v>20.021999999999998</v>
      </c>
      <c r="G61" s="67">
        <f>ROUND(G26*1.2-SUM(交易记录!H28,交易记录!H92,交易记录!H156,交易记录!H220,交易记录!H284,交易记录!H348,交易记录!H412,交易记录!H476,交易记录!H540,交易记录!H604,交易记录!H668,交易记录!H732,交易记录!H796,交易记录!H860,交易记录!H924),3)</f>
        <v>19.948</v>
      </c>
      <c r="H61" s="67">
        <f>ROUND(H26*1.2-SUM(交易记录!I28,交易记录!I92,交易记录!I156,交易记录!I220,交易记录!I284,交易记录!I348,交易记录!I412,交易记录!I476,交易记录!I540,交易记录!I604,交易记录!I668,交易记录!I732,交易记录!I796,交易记录!I860,交易记录!I924),3)</f>
        <v>19.948</v>
      </c>
      <c r="I61" s="67">
        <f>ROUND(I26*1.2-SUM(交易记录!J28,交易记录!J92,交易记录!J156,交易记录!J220,交易记录!J284,交易记录!J348,交易记录!J412,交易记录!J476,交易记录!J540,交易记录!J604,交易记录!J668,交易记录!J732,交易记录!J796,交易记录!J860,交易记录!J924),3)</f>
        <v>20.021999999999998</v>
      </c>
      <c r="J61" s="67">
        <f>ROUND(J26*1.2-SUM(交易记录!K28,交易记录!K92,交易记录!K156,交易记录!K220,交易记录!K284,交易记录!K348,交易记录!K412,交易记录!K476,交易记录!K540,交易记录!K604,交易记录!K668,交易记录!K732,交易记录!K796,交易记录!K860,交易记录!K924),3)</f>
        <v>20.021999999999998</v>
      </c>
      <c r="K61" s="67">
        <f>ROUND(K26*1.2-SUM(交易记录!L28,交易记录!L92,交易记录!L156,交易记录!L220,交易记录!L284,交易记录!L348,交易记录!L412,交易记录!L476,交易记录!L540,交易记录!L604,交易记录!L668,交易记录!L732,交易记录!L796,交易记录!L860,交易记录!L924),3)</f>
        <v>20.021999999999998</v>
      </c>
      <c r="L61" s="67">
        <f>ROUND(L26*1.2-SUM(交易记录!M28,交易记录!M92,交易记录!M156,交易记录!M220,交易记录!M284,交易记录!M348,交易记录!M412,交易记录!M476,交易记录!M540,交易记录!M604,交易记录!M668,交易记录!M732,交易记录!M796,交易记录!M860,交易记录!M924),3)</f>
        <v>20.021999999999998</v>
      </c>
      <c r="M61" s="67">
        <f>ROUND(M26*1.2-SUM(交易记录!N28,交易记录!N92,交易记录!N156,交易记录!N220,交易记录!N284,交易记录!N348,交易记录!N412,交易记录!N476,交易记录!N540,交易记录!N604,交易记录!N668,交易记录!N732,交易记录!N796,交易记录!N860,交易记录!N924),3)</f>
        <v>20.021999999999998</v>
      </c>
      <c r="N61" s="67">
        <f>ROUND(N26*1.2-SUM(交易记录!O28,交易记录!O92,交易记录!O156,交易记录!O220,交易记录!O284,交易记录!O348,交易记录!O412,交易记录!O476,交易记录!O540,交易记录!O604,交易记录!O668,交易记录!O732,交易记录!O796,交易记录!O860,交易记录!O924),3)</f>
        <v>19.948</v>
      </c>
      <c r="O61" s="67">
        <f>ROUND(O26*1.2-SUM(交易记录!P28,交易记录!P92,交易记录!P156,交易记录!P220,交易记录!P284,交易记录!P348,交易记录!P412,交易记录!P476,交易记录!P540,交易记录!P604,交易记录!P668,交易记录!P732,交易记录!P796,交易记录!P860,交易记录!P924),3)</f>
        <v>19.948</v>
      </c>
      <c r="P61" s="67">
        <f>ROUND(P26*1.2-SUM(交易记录!Q28,交易记录!Q92,交易记录!Q156,交易记录!Q220,交易记录!Q284,交易记录!Q348,交易记录!Q412,交易记录!Q476,交易记录!Q540,交易记录!Q604,交易记录!Q668,交易记录!Q732,交易记录!Q796,交易记录!Q860,交易记录!Q924),3)</f>
        <v>20.021999999999998</v>
      </c>
      <c r="Q61" s="67">
        <f>ROUND(Q26*1.2-SUM(交易记录!R28,交易记录!R92,交易记录!R156,交易记录!R220,交易记录!R284,交易记录!R348,交易记录!R412,交易记录!R476,交易记录!R540,交易记录!R604,交易记录!R668,交易记录!R732,交易记录!R796,交易记录!R860,交易记录!R924),3)</f>
        <v>20.021999999999998</v>
      </c>
      <c r="R61" s="67">
        <f>ROUND(R26*1.2-SUM(交易记录!S28,交易记录!S92,交易记录!S156,交易记录!S220,交易记录!S284,交易记录!S348,交易记录!S412,交易记录!S476,交易记录!S540,交易记录!S604,交易记录!S668,交易记录!S732,交易记录!S796,交易记录!S860,交易记录!S924),3)</f>
        <v>20.021999999999998</v>
      </c>
      <c r="S61" s="67">
        <f>ROUND(S26*1.2-SUM(交易记录!T28,交易记录!T92,交易记录!T156,交易记录!T220,交易记录!T284,交易记录!T348,交易记录!T412,交易记录!T476,交易记录!T540,交易记录!T604,交易记录!T668,交易记录!T732,交易记录!T796,交易记录!T860,交易记录!T924),3)</f>
        <v>20.021999999999998</v>
      </c>
      <c r="T61" s="67">
        <f>ROUND(T26*1.2-SUM(交易记录!U28,交易记录!U92,交易记录!U156,交易记录!U220,交易记录!U284,交易记录!U348,交易记录!U412,交易记录!U476,交易记录!U540,交易记录!U604,交易记录!U668,交易记录!U732,交易记录!U796,交易记录!U860,交易记录!U924),3)</f>
        <v>20.021999999999998</v>
      </c>
      <c r="U61" s="67">
        <f>ROUND(U26*1.2-SUM(交易记录!V28,交易记录!V92,交易记录!V156,交易记录!V220,交易记录!V284,交易记录!V348,交易记录!V412,交易记录!V476,交易记录!V540,交易记录!V604,交易记录!V668,交易记录!V732,交易记录!V796,交易记录!V860,交易记录!V924),3)</f>
        <v>20.262</v>
      </c>
      <c r="V61" s="67">
        <f>ROUND(V26*1.2-SUM(交易记录!W28,交易记录!W92,交易记录!W156,交易记录!W220,交易记录!W284,交易记录!W348,交易记录!W412,交易记录!W476,交易记录!W540,交易记录!W604,交易记录!W668,交易记录!W732,交易记录!W796,交易记录!W860,交易记录!W924),3)</f>
        <v>19.948</v>
      </c>
      <c r="W61" s="67">
        <f>ROUND(W26*1.2-SUM(交易记录!X28,交易记录!X92,交易记录!X156,交易记录!X220,交易记录!X284,交易记录!X348,交易记录!X412,交易记录!X476,交易记录!X540,交易记录!X604,交易记录!X668,交易记录!X732,交易记录!X796,交易记录!X860,交易记录!X924),3)</f>
        <v>19.707999999999998</v>
      </c>
      <c r="X61" s="67">
        <f>ROUND(X26*1.2-SUM(交易记录!Y28,交易记录!Y92,交易记录!Y156,交易记录!Y220,交易记录!Y284,交易记录!Y348,交易记录!Y412,交易记录!Y476,交易记录!Y540,交易记录!Y604,交易记录!Y668,交易记录!Y732,交易记录!Y796,交易记录!Y860,交易记录!Y924),3)</f>
        <v>20.021999999999998</v>
      </c>
      <c r="Y61" s="67">
        <f>ROUND(Y26*1.2-SUM(交易记录!Z28,交易记录!Z92,交易记录!Z156,交易记录!Z220,交易记录!Z284,交易记录!Z348,交易记录!Z412,交易记录!Z476,交易记录!Z540,交易记录!Z604,交易记录!Z668,交易记录!Z732,交易记录!Z796,交易记录!Z860,交易记录!Z924),3)</f>
        <v>20.021999999999998</v>
      </c>
      <c r="Z61" s="67">
        <f>ROUND(Z26*1.2-SUM(交易记录!AA28,交易记录!AA92,交易记录!AA156,交易记录!AA220,交易记录!AA284,交易记录!AA348,交易记录!AA412,交易记录!AA476,交易记录!AA540,交易记录!AA604,交易记录!AA668,交易记录!AA732,交易记录!AA796,交易记录!AA860,交易记录!AA924),3)</f>
        <v>20.021999999999998</v>
      </c>
      <c r="AA61" s="67">
        <f>ROUND(AA26*1.2-SUM(交易记录!AB28,交易记录!AB92,交易记录!AB156,交易记录!AB220,交易记录!AB284,交易记录!AB348,交易记录!AB412,交易记录!AB476,交易记录!AB540,交易记录!AB604,交易记录!AB668,交易记录!AB732,交易记录!AB796,交易记录!AB860,交易记录!AB924),3)</f>
        <v>20.021999999999998</v>
      </c>
      <c r="AB61" s="67">
        <f>ROUND(AB26*1.2-SUM(交易记录!AC28,交易记录!AC92,交易记录!AC156,交易记录!AC220,交易记录!AC284,交易记录!AC348,交易记录!AC412,交易记录!AC476,交易记录!AC540,交易记录!AC604,交易记录!AC668,交易记录!AC732,交易记录!AC796,交易记录!AC860,交易记录!AC924),3)</f>
        <v>20.262</v>
      </c>
      <c r="AC61" s="67">
        <f>ROUND(AC26*1.2-SUM(交易记录!AD28,交易记录!AD92,交易记录!AD156,交易记录!AD220,交易记录!AD284,交易记录!AD348,交易记录!AD412,交易记录!AD476,交易记录!AD540,交易记录!AD604,交易记录!AD668,交易记录!AD732,交易记录!AD796,交易记录!AD860,交易记录!AD924),3)</f>
        <v>19.948</v>
      </c>
      <c r="AD61" s="67">
        <f>ROUND(AD26*1.2-SUM(交易记录!AE28,交易记录!AE92,交易记录!AE156,交易记录!AE220,交易记录!AE284,交易记录!AE348,交易记录!AE412,交易记录!AE476,交易记录!AE540,交易记录!AE604,交易记录!AE668,交易记录!AE732,交易记录!AE796,交易记录!AE860,交易记录!AE924),3)</f>
        <v>19.707999999999998</v>
      </c>
      <c r="AE61" s="67">
        <f>ROUND(AE26*1.2-SUM(交易记录!AF28,交易记录!AF92,交易记录!AF156,交易记录!AF220,交易记录!AF284,交易记录!AF348,交易记录!AF412,交易记录!AF476,交易记录!AF540,交易记录!AF604,交易记录!AF668,交易记录!AF732,交易记录!AF796,交易记录!AF860,交易记录!AF924),3)</f>
        <v>20.021999999999998</v>
      </c>
      <c r="AF61" s="67">
        <f>ROUND(AF26*1.2-SUM(交易记录!AG28,交易记录!AG92,交易记录!AG156,交易记录!AG220,交易记录!AG284,交易记录!AG348,交易记录!AG412,交易记录!AG476,交易记录!AG540,交易记录!AG604,交易记录!AG668,交易记录!AG732,交易记录!AG796,交易记录!AG860,交易记录!AG924),3)</f>
        <v>20.021999999999998</v>
      </c>
      <c r="AG61" s="67">
        <f>ROUND(AG26*1.2-SUM(交易记录!AH28,交易记录!AH92,交易记录!AH156,交易记录!AH220,交易记录!AH284,交易记录!AH348,交易记录!AH412,交易记录!AH476,交易记录!AH540,交易记录!AH604,交易记录!AH668,交易记录!AH732,交易记录!AH796,交易记录!AH860,交易记录!AH924),3)</f>
        <v>20.021999999999998</v>
      </c>
    </row>
    <row r="62" spans="2:33" ht="15.75" thickBot="1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spans="2:33" ht="15.75" thickBot="1">
      <c r="B63" s="8" t="s">
        <v>63</v>
      </c>
      <c r="C63" s="9">
        <f>SUM(C38:C61)</f>
        <v>541.62000000000012</v>
      </c>
      <c r="D63" s="10">
        <f>SUM(D38:D61)</f>
        <v>539.8610000000001</v>
      </c>
      <c r="E63" s="10">
        <f t="shared" ref="E63:AG63" si="2">SUM(E38:E61)</f>
        <v>539.8610000000001</v>
      </c>
      <c r="F63" s="10">
        <f t="shared" si="2"/>
        <v>539.8610000000001</v>
      </c>
      <c r="G63" s="10">
        <f t="shared" si="2"/>
        <v>521.89099999999996</v>
      </c>
      <c r="H63" s="10">
        <f t="shared" si="2"/>
        <v>521.89099999999996</v>
      </c>
      <c r="I63" s="10">
        <f t="shared" si="2"/>
        <v>539.8610000000001</v>
      </c>
      <c r="J63" s="10">
        <f t="shared" si="2"/>
        <v>539.8610000000001</v>
      </c>
      <c r="K63" s="10">
        <f t="shared" si="2"/>
        <v>539.8610000000001</v>
      </c>
      <c r="L63" s="10">
        <f t="shared" si="2"/>
        <v>539.8610000000001</v>
      </c>
      <c r="M63" s="10">
        <f t="shared" si="2"/>
        <v>539.8610000000001</v>
      </c>
      <c r="N63" s="10">
        <f t="shared" si="2"/>
        <v>521.89099999999996</v>
      </c>
      <c r="O63" s="10">
        <f t="shared" si="2"/>
        <v>521.89099999999996</v>
      </c>
      <c r="P63" s="10">
        <f t="shared" si="2"/>
        <v>539.8610000000001</v>
      </c>
      <c r="Q63" s="10">
        <f t="shared" si="2"/>
        <v>539.8610000000001</v>
      </c>
      <c r="R63" s="10">
        <f t="shared" si="2"/>
        <v>539.8610000000001</v>
      </c>
      <c r="S63" s="10">
        <f t="shared" si="2"/>
        <v>539.8610000000001</v>
      </c>
      <c r="T63" s="10">
        <f t="shared" si="2"/>
        <v>539.8610000000001</v>
      </c>
      <c r="U63" s="10">
        <f t="shared" si="2"/>
        <v>547.33400000000006</v>
      </c>
      <c r="V63" s="10">
        <f t="shared" si="2"/>
        <v>521.89099999999996</v>
      </c>
      <c r="W63" s="10">
        <f t="shared" si="2"/>
        <v>514.41800000000012</v>
      </c>
      <c r="X63" s="10">
        <f t="shared" si="2"/>
        <v>539.8610000000001</v>
      </c>
      <c r="Y63" s="10">
        <f t="shared" si="2"/>
        <v>539.8610000000001</v>
      </c>
      <c r="Z63" s="10">
        <f t="shared" si="2"/>
        <v>539.8610000000001</v>
      </c>
      <c r="AA63" s="10">
        <f t="shared" si="2"/>
        <v>539.8610000000001</v>
      </c>
      <c r="AB63" s="10">
        <f t="shared" si="2"/>
        <v>547.33400000000006</v>
      </c>
      <c r="AC63" s="10">
        <f t="shared" si="2"/>
        <v>521.89099999999996</v>
      </c>
      <c r="AD63" s="10">
        <f t="shared" si="2"/>
        <v>514.41800000000012</v>
      </c>
      <c r="AE63" s="10">
        <f t="shared" si="2"/>
        <v>539.8610000000001</v>
      </c>
      <c r="AF63" s="10">
        <f t="shared" si="2"/>
        <v>539.8610000000001</v>
      </c>
      <c r="AG63" s="10">
        <f t="shared" si="2"/>
        <v>539.8610000000001</v>
      </c>
    </row>
    <row r="64" spans="2:33" ht="15.75" thickBot="1">
      <c r="B64" s="3"/>
      <c r="C64" s="15">
        <f>SUMIF('计算过程-数据汇总'!$A:$A,'维护-日期'!#REF!,'计算过程-数据汇总'!$C:$C)*$F$30</f>
        <v>0</v>
      </c>
      <c r="D64" s="15">
        <f>SUMIF('计算过程-数据汇总'!$A:$A,'维护-日期'!#REF!,'计算过程-数据汇总'!$C:$C)*$F$30</f>
        <v>0</v>
      </c>
      <c r="E64" s="15">
        <f>SUMIF('计算过程-数据汇总'!$A:$A,'维护-日期'!#REF!,'计算过程-数据汇总'!$C:$C)*$F$30</f>
        <v>0</v>
      </c>
      <c r="F64" s="15">
        <f>SUMIF('计算过程-数据汇总'!$A:$A,'维护-日期'!#REF!,'计算过程-数据汇总'!$C:$C)*$F$30</f>
        <v>0</v>
      </c>
      <c r="G64" s="15">
        <f>SUMIF('计算过程-数据汇总'!$A:$A,'维护-日期'!#REF!,'计算过程-数据汇总'!$C:$C)*$F$30</f>
        <v>0</v>
      </c>
      <c r="H64" s="15">
        <f>SUMIF('计算过程-数据汇总'!$A:$A,'维护-日期'!#REF!,'计算过程-数据汇总'!$C:$C)*$F$30</f>
        <v>0</v>
      </c>
      <c r="I64" s="15">
        <f>SUMIF('计算过程-数据汇总'!$A:$A,'维护-日期'!#REF!,'计算过程-数据汇总'!$C:$C)*$F$30</f>
        <v>0</v>
      </c>
      <c r="J64" s="15">
        <f>SUMIF('计算过程-数据汇总'!$A:$A,'维护-日期'!#REF!,'计算过程-数据汇总'!$C:$C)*$F$30</f>
        <v>0</v>
      </c>
      <c r="K64" s="15">
        <f>SUMIF('计算过程-数据汇总'!$A:$A,'维护-日期'!#REF!,'计算过程-数据汇总'!$C:$C)*$F$30</f>
        <v>0</v>
      </c>
      <c r="L64" s="15">
        <f>SUMIF('计算过程-数据汇总'!$A:$A,'维护-日期'!#REF!,'计算过程-数据汇总'!$C:$C)*$F$30</f>
        <v>0</v>
      </c>
      <c r="M64" s="15">
        <f>SUMIF('计算过程-数据汇总'!$A:$A,'维护-日期'!#REF!,'计算过程-数据汇总'!$C:$C)*$F$30</f>
        <v>0</v>
      </c>
      <c r="N64" s="15">
        <f>SUMIF('计算过程-数据汇总'!$A:$A,'维护-日期'!#REF!,'计算过程-数据汇总'!$C:$C)*$F$30</f>
        <v>0</v>
      </c>
      <c r="O64" s="15">
        <f>SUMIF('计算过程-数据汇总'!$A:$A,'维护-日期'!#REF!,'计算过程-数据汇总'!$C:$C)*$F$30</f>
        <v>0</v>
      </c>
      <c r="P64" s="15">
        <f>SUMIF('计算过程-数据汇总'!$A:$A,'维护-日期'!#REF!,'计算过程-数据汇总'!$C:$C)*$F$30</f>
        <v>0</v>
      </c>
      <c r="Q64" s="15">
        <f>SUMIF('计算过程-数据汇总'!$A:$A,'维护-日期'!#REF!,'计算过程-数据汇总'!$C:$C)*$F$30</f>
        <v>0</v>
      </c>
      <c r="R64" s="15">
        <f>SUMIF('计算过程-数据汇总'!$A:$A,'维护-日期'!#REF!,'计算过程-数据汇总'!$C:$C)*$F$30</f>
        <v>0</v>
      </c>
      <c r="S64" s="15">
        <f>SUMIF('计算过程-数据汇总'!$A:$A,'维护-日期'!#REF!,'计算过程-数据汇总'!$C:$C)*$F$30</f>
        <v>0</v>
      </c>
      <c r="T64" s="15">
        <f>SUMIF('计算过程-数据汇总'!$A:$A,'维护-日期'!#REF!,'计算过程-数据汇总'!$C:$C)*$F$30</f>
        <v>0</v>
      </c>
      <c r="U64" s="15">
        <f>SUMIF('计算过程-数据汇总'!$A:$A,'维护-日期'!#REF!,'计算过程-数据汇总'!$C:$C)*$F$30</f>
        <v>0</v>
      </c>
      <c r="V64" s="15">
        <f>SUMIF('计算过程-数据汇总'!$A:$A,'维护-日期'!#REF!,'计算过程-数据汇总'!$C:$C)*$F$30</f>
        <v>0</v>
      </c>
      <c r="W64" s="15">
        <f>SUMIF('计算过程-数据汇总'!$A:$A,'维护-日期'!#REF!,'计算过程-数据汇总'!$C:$C)*$F$30</f>
        <v>0</v>
      </c>
      <c r="X64" s="15">
        <f>SUMIF('计算过程-数据汇总'!$A:$A,'维护-日期'!#REF!,'计算过程-数据汇总'!$C:$C)*$F$30</f>
        <v>0</v>
      </c>
      <c r="Y64" s="15">
        <f>SUMIF('计算过程-数据汇总'!$A:$A,'维护-日期'!#REF!,'计算过程-数据汇总'!$C:$C)*$F$30</f>
        <v>0</v>
      </c>
      <c r="Z64" s="15">
        <f>SUMIF('计算过程-数据汇总'!$A:$A,'维护-日期'!#REF!,'计算过程-数据汇总'!$C:$C)*$F$30</f>
        <v>0</v>
      </c>
      <c r="AA64" s="15">
        <f>SUMIF('计算过程-数据汇总'!$A:$A,'维护-日期'!#REF!,'计算过程-数据汇总'!$C:$C)*$F$30</f>
        <v>0</v>
      </c>
      <c r="AB64" s="15">
        <f>SUMIF('计算过程-数据汇总'!$A:$A,'维护-日期'!#REF!,'计算过程-数据汇总'!$C:$C)*$F$30</f>
        <v>0</v>
      </c>
      <c r="AC64" s="15">
        <f>SUMIF('计算过程-数据汇总'!$A:$A,'维护-日期'!#REF!,'计算过程-数据汇总'!$C:$C)*$F$30</f>
        <v>0</v>
      </c>
      <c r="AD64" s="15">
        <f>SUMIF('计算过程-数据汇总'!$A:$A,'维护-日期'!#REF!,'计算过程-数据汇总'!$C:$C)*$F$30</f>
        <v>0</v>
      </c>
      <c r="AE64" s="15">
        <f>SUMIF('计算过程-数据汇总'!$A:$A,'维护-日期'!#REF!,'计算过程-数据汇总'!$C:$C)*$F$30</f>
        <v>0</v>
      </c>
      <c r="AF64" s="15">
        <f>SUMIF('计算过程-数据汇总'!$A:$A,'维护-日期'!#REF!,'计算过程-数据汇总'!$C:$C)*$F$30</f>
        <v>0</v>
      </c>
      <c r="AG64" s="15">
        <f>SUMIF('计算过程-数据汇总'!$A:$A,'维护-日期'!#REF!,'计算过程-数据汇总'!$C:$C)*$F$30</f>
        <v>0</v>
      </c>
    </row>
    <row r="65" spans="2:72" ht="15.75" thickBot="1">
      <c r="B65" s="8" t="s">
        <v>64</v>
      </c>
      <c r="C65" s="38">
        <f>SUM(C63:AG63)</f>
        <v>16593.690000000006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13"/>
      <c r="Y65" s="13"/>
      <c r="Z65" s="13"/>
      <c r="AA65" s="13"/>
      <c r="AB65" s="13"/>
      <c r="AC65" s="13"/>
      <c r="AD65" s="13"/>
      <c r="AE65" s="3"/>
      <c r="AF65" s="3"/>
      <c r="AG65" s="3"/>
    </row>
    <row r="70" spans="2:72" s="3" customFormat="1" ht="15.75">
      <c r="B70" s="145" t="s">
        <v>66</v>
      </c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  <c r="AD70" s="146"/>
      <c r="AE70" s="146"/>
      <c r="AF70" s="146"/>
      <c r="AG70" s="147"/>
      <c r="BT70" s="66"/>
    </row>
    <row r="71" spans="2:72" s="3" customFormat="1" ht="15">
      <c r="B71" s="4" t="s">
        <v>31</v>
      </c>
      <c r="C71" s="5" t="s">
        <v>32</v>
      </c>
      <c r="D71" s="6" t="s">
        <v>33</v>
      </c>
      <c r="E71" s="6" t="s">
        <v>34</v>
      </c>
      <c r="F71" s="6" t="s">
        <v>35</v>
      </c>
      <c r="G71" s="6" t="s">
        <v>36</v>
      </c>
      <c r="H71" s="6" t="s">
        <v>37</v>
      </c>
      <c r="I71" s="6" t="s">
        <v>38</v>
      </c>
      <c r="J71" s="6" t="s">
        <v>39</v>
      </c>
      <c r="K71" s="6" t="s">
        <v>40</v>
      </c>
      <c r="L71" s="6" t="s">
        <v>41</v>
      </c>
      <c r="M71" s="6" t="s">
        <v>42</v>
      </c>
      <c r="N71" s="6" t="s">
        <v>43</v>
      </c>
      <c r="O71" s="6" t="s">
        <v>44</v>
      </c>
      <c r="P71" s="6" t="s">
        <v>45</v>
      </c>
      <c r="Q71" s="6" t="s">
        <v>46</v>
      </c>
      <c r="R71" s="6" t="s">
        <v>47</v>
      </c>
      <c r="S71" s="6" t="s">
        <v>48</v>
      </c>
      <c r="T71" s="6" t="s">
        <v>49</v>
      </c>
      <c r="U71" s="6" t="s">
        <v>50</v>
      </c>
      <c r="V71" s="6" t="s">
        <v>51</v>
      </c>
      <c r="W71" s="6" t="s">
        <v>52</v>
      </c>
      <c r="X71" s="6" t="s">
        <v>53</v>
      </c>
      <c r="Y71" s="6" t="s">
        <v>54</v>
      </c>
      <c r="Z71" s="6" t="s">
        <v>55</v>
      </c>
      <c r="AA71" s="6" t="s">
        <v>56</v>
      </c>
      <c r="AB71" s="6" t="s">
        <v>57</v>
      </c>
      <c r="AC71" s="6" t="s">
        <v>58</v>
      </c>
      <c r="AD71" s="6" t="s">
        <v>59</v>
      </c>
      <c r="AE71" s="6" t="s">
        <v>60</v>
      </c>
      <c r="AF71" s="6" t="s">
        <v>61</v>
      </c>
      <c r="AG71" s="6" t="s">
        <v>62</v>
      </c>
      <c r="AH71" s="35" t="s">
        <v>83</v>
      </c>
      <c r="AI71" s="35"/>
      <c r="AJ71" s="56"/>
      <c r="AK71" s="35"/>
      <c r="BT71" s="65"/>
    </row>
    <row r="72" spans="2:72" s="3" customFormat="1" ht="15">
      <c r="B72" s="18" t="s">
        <v>6</v>
      </c>
      <c r="C72" s="67">
        <f>交易记录!D5+交易记录!D69+交易记录!D133+交易记录!D197+交易记录!D261+交易记录!D325+交易记录!D389+交易记录!D453+交易记录!D517+交易记录!D581+交易记录!D645+交易记录!D709+交易记录!D773+交易记录!D837+交易记录!D901</f>
        <v>0.36699999999999999</v>
      </c>
      <c r="D72" s="67">
        <f>交易记录!E5+交易记录!E69+交易记录!E133+交易记录!E197+交易记录!E261+交易记录!E325+交易记录!E389+交易记录!E453+交易记录!E517+交易记录!E581+交易记录!E645+交易记录!E709+交易记录!E773+交易记录!E837+交易记录!E901</f>
        <v>0.39700000000000002</v>
      </c>
      <c r="E72" s="67">
        <f>交易记录!F5+交易记录!F69+交易记录!F133+交易记录!F197+交易记录!F261+交易记录!F325+交易记录!F389+交易记录!F453+交易记录!F517+交易记录!F581+交易记录!F645+交易记录!F709+交易记录!F773+交易记录!F837+交易记录!F901</f>
        <v>0.39700000000000002</v>
      </c>
      <c r="F72" s="67">
        <f>交易记录!G5+交易记录!G69+交易记录!G133+交易记录!G197+交易记录!G261+交易记录!G325+交易记录!G389+交易记录!G453+交易记录!G517+交易记录!G581+交易记录!G645+交易记录!G709+交易记录!G773+交易记录!G837+交易记录!G901</f>
        <v>0.39700000000000002</v>
      </c>
      <c r="G72" s="67">
        <f>交易记录!H5+交易记录!H69+交易记录!H133+交易记录!H197+交易记录!H261+交易记录!H325+交易记录!H389+交易记录!H453+交易记录!H517+交易记录!H581+交易记录!H645+交易记录!H709+交易记录!H773+交易记录!H837+交易记录!H901</f>
        <v>0.1</v>
      </c>
      <c r="H72" s="67">
        <f>交易记录!I5+交易记录!I69+交易记录!I133+交易记录!I197+交易记录!I261+交易记录!I325+交易记录!I389+交易记录!I453+交易记录!I517+交易记录!I581+交易记录!I645+交易记录!I709+交易记录!I773+交易记录!I837+交易记录!I901</f>
        <v>0.1</v>
      </c>
      <c r="I72" s="67">
        <f>交易记录!J5+交易记录!J69+交易记录!J133+交易记录!J197+交易记录!J261+交易记录!J325+交易记录!J389+交易记录!J453+交易记录!J517+交易记录!J581+交易记录!J645+交易记录!J709+交易记录!J773+交易记录!J837+交易记录!J901</f>
        <v>0.39700000000000002</v>
      </c>
      <c r="J72" s="67">
        <f>交易记录!K5+交易记录!K69+交易记录!K133+交易记录!K197+交易记录!K261+交易记录!K325+交易记录!K389+交易记录!K453+交易记录!K517+交易记录!K581+交易记录!K645+交易记录!K709+交易记录!K773+交易记录!K837+交易记录!K901</f>
        <v>0.39700000000000002</v>
      </c>
      <c r="K72" s="67">
        <f>交易记录!L5+交易记录!L69+交易记录!L133+交易记录!L197+交易记录!L261+交易记录!L325+交易记录!L389+交易记录!L453+交易记录!L517+交易记录!L581+交易记录!L645+交易记录!L709+交易记录!L773+交易记录!L837+交易记录!L901</f>
        <v>0.39700000000000002</v>
      </c>
      <c r="L72" s="67">
        <f>交易记录!M5+交易记录!M69+交易记录!M133+交易记录!M197+交易记录!M261+交易记录!M325+交易记录!M389+交易记录!M453+交易记录!M517+交易记录!M581+交易记录!M645+交易记录!M709+交易记录!M773+交易记录!M837+交易记录!M901</f>
        <v>0.39700000000000002</v>
      </c>
      <c r="M72" s="67">
        <f>交易记录!N5+交易记录!N69+交易记录!N133+交易记录!N197+交易记录!N261+交易记录!N325+交易记录!N389+交易记录!N453+交易记录!N517+交易记录!N581+交易记录!N645+交易记录!N709+交易记录!N773+交易记录!N837+交易记录!N901</f>
        <v>0.39700000000000002</v>
      </c>
      <c r="N72" s="67">
        <f>交易记录!O5+交易记录!O69+交易记录!O133+交易记录!O197+交易记录!O261+交易记录!O325+交易记录!O389+交易记录!O453+交易记录!O517+交易记录!O581+交易记录!O645+交易记录!O709+交易记录!O773+交易记录!O837+交易记录!O901</f>
        <v>0.1</v>
      </c>
      <c r="O72" s="67">
        <f>交易记录!P5+交易记录!P69+交易记录!P133+交易记录!P197+交易记录!P261+交易记录!P325+交易记录!P389+交易记录!P453+交易记录!P517+交易记录!P581+交易记录!P645+交易记录!P709+交易记录!P773+交易记录!P837+交易记录!P901</f>
        <v>0.1</v>
      </c>
      <c r="P72" s="67">
        <f>交易记录!Q5+交易记录!Q69+交易记录!Q133+交易记录!Q197+交易记录!Q261+交易记录!Q325+交易记录!Q389+交易记录!Q453+交易记录!Q517+交易记录!Q581+交易记录!Q645+交易记录!Q709+交易记录!Q773+交易记录!Q837+交易记录!Q901</f>
        <v>0.39700000000000002</v>
      </c>
      <c r="Q72" s="67">
        <f>交易记录!R5+交易记录!R69+交易记录!R133+交易记录!R197+交易记录!R261+交易记录!R325+交易记录!R389+交易记录!R453+交易记录!R517+交易记录!R581+交易记录!R645+交易记录!R709+交易记录!R773+交易记录!R837+交易记录!R901</f>
        <v>0.39700000000000002</v>
      </c>
      <c r="R72" s="67">
        <f>交易记录!S5+交易记录!S69+交易记录!S133+交易记录!S197+交易记录!S261+交易记录!S325+交易记录!S389+交易记录!S453+交易记录!S517+交易记录!S581+交易记录!S645+交易记录!S709+交易记录!S773+交易记录!S837+交易记录!S901</f>
        <v>0.39700000000000002</v>
      </c>
      <c r="S72" s="67">
        <f>交易记录!T5+交易记录!T69+交易记录!T133+交易记录!T197+交易记录!T261+交易记录!T325+交易记录!T389+交易记录!T453+交易记录!T517+交易记录!T581+交易记录!T645+交易记录!T709+交易记录!T773+交易记录!T837+交易记录!T901</f>
        <v>0.39700000000000002</v>
      </c>
      <c r="T72" s="67">
        <f>交易记录!U5+交易记录!U69+交易记录!U133+交易记录!U197+交易记录!U261+交易记录!U325+交易记录!U389+交易记录!U453+交易记录!U517+交易记录!U581+交易记录!U645+交易记录!U709+交易记录!U773+交易记录!U837+交易记录!U901</f>
        <v>0.39700000000000002</v>
      </c>
      <c r="U72" s="67">
        <f>交易记录!V5+交易记录!V69+交易记录!V133+交易记录!V197+交易记录!V261+交易记录!V325+交易记录!V389+交易记录!V453+交易记录!V517+交易记录!V581+交易记录!V645+交易记录!V709+交易记录!V773+交易记录!V837+交易记录!V901</f>
        <v>0.1</v>
      </c>
      <c r="V72" s="67">
        <f>交易记录!W5+交易记录!W69+交易记录!W133+交易记录!W197+交易记录!W261+交易记录!W325+交易记录!W389+交易记录!W453+交易记录!W517+交易记录!W581+交易记录!W645+交易记录!W709+交易记录!W773+交易记录!W837+交易记录!W901</f>
        <v>0.1</v>
      </c>
      <c r="W72" s="67">
        <f>交易记录!X5+交易记录!X69+交易记录!X133+交易记录!X197+交易记录!X261+交易记录!X325+交易记录!X389+交易记录!X453+交易记录!X517+交易记录!X581+交易记录!X645+交易记录!X709+交易记录!X773+交易记录!X837+交易记录!X901</f>
        <v>0.39700000000000002</v>
      </c>
      <c r="X72" s="67">
        <f>交易记录!Y5+交易记录!Y69+交易记录!Y133+交易记录!Y197+交易记录!Y261+交易记录!Y325+交易记录!Y389+交易记录!Y453+交易记录!Y517+交易记录!Y581+交易记录!Y645+交易记录!Y709+交易记录!Y773+交易记录!Y837+交易记录!Y901</f>
        <v>0.39700000000000002</v>
      </c>
      <c r="Y72" s="67">
        <f>交易记录!Z5+交易记录!Z69+交易记录!Z133+交易记录!Z197+交易记录!Z261+交易记录!Z325+交易记录!Z389+交易记录!Z453+交易记录!Z517+交易记录!Z581+交易记录!Z645+交易记录!Z709+交易记录!Z773+交易记录!Z837+交易记录!Z901</f>
        <v>0.39700000000000002</v>
      </c>
      <c r="Z72" s="67">
        <f>交易记录!AA5+交易记录!AA69+交易记录!AA133+交易记录!AA197+交易记录!AA261+交易记录!AA325+交易记录!AA389+交易记录!AA453+交易记录!AA517+交易记录!AA581+交易记录!AA645+交易记录!AA709+交易记录!AA773+交易记录!AA837+交易记录!AA901</f>
        <v>0.39700000000000002</v>
      </c>
      <c r="AA72" s="67">
        <f>交易记录!AB5+交易记录!AB69+交易记录!AB133+交易记录!AB197+交易记录!AB261+交易记录!AB325+交易记录!AB389+交易记录!AB453+交易记录!AB517+交易记录!AB581+交易记录!AB645+交易记录!AB709+交易记录!AB773+交易记录!AB837+交易记录!AB901</f>
        <v>0.39700000000000002</v>
      </c>
      <c r="AB72" s="67">
        <f>交易记录!AC5+交易记录!AC69+交易记录!AC133+交易记录!AC197+交易记录!AC261+交易记录!AC325+交易记录!AC389+交易记录!AC453+交易记录!AC517+交易记录!AC581+交易记录!AC645+交易记录!AC709+交易记录!AC773+交易记录!AC837+交易记录!AC901</f>
        <v>0.1</v>
      </c>
      <c r="AC72" s="67">
        <f>交易记录!AD5+交易记录!AD69+交易记录!AD133+交易记录!AD197+交易记录!AD261+交易记录!AD325+交易记录!AD389+交易记录!AD453+交易记录!AD517+交易记录!AD581+交易记录!AD645+交易记录!AD709+交易记录!AD773+交易记录!AD837+交易记录!AD901</f>
        <v>0.1</v>
      </c>
      <c r="AD72" s="67">
        <f>交易记录!AE5+交易记录!AE69+交易记录!AE133+交易记录!AE197+交易记录!AE261+交易记录!AE325+交易记录!AE389+交易记录!AE453+交易记录!AE517+交易记录!AE581+交易记录!AE645+交易记录!AE709+交易记录!AE773+交易记录!AE837+交易记录!AE901</f>
        <v>0.39700000000000002</v>
      </c>
      <c r="AE72" s="67">
        <f>交易记录!AF5+交易记录!AF69+交易记录!AF133+交易记录!AF197+交易记录!AF261+交易记录!AF325+交易记录!AF389+交易记录!AF453+交易记录!AF517+交易记录!AF581+交易记录!AF645+交易记录!AF709+交易记录!AF773+交易记录!AF837+交易记录!AF901</f>
        <v>0.39700000000000002</v>
      </c>
      <c r="AF72" s="67">
        <f>交易记录!AG5+交易记录!AG69+交易记录!AG133+交易记录!AG197+交易记录!AG261+交易记录!AG325+交易记录!AG389+交易记录!AG453+交易记录!AG517+交易记录!AG581+交易记录!AG645+交易记录!AG709+交易记录!AG773+交易记录!AG837+交易记录!AG901</f>
        <v>0.39700000000000002</v>
      </c>
      <c r="AG72" s="67">
        <f>交易记录!AH5+交易记录!AH69+交易记录!AH133+交易记录!AH197+交易记录!AH261+交易记录!AH325+交易记录!AH389+交易记录!AH453+交易记录!AH517+交易记录!AH581+交易记录!AH645+交易记录!AH709+交易记录!AH773+交易记录!AH837+交易记录!AH901</f>
        <v>0.39700000000000002</v>
      </c>
      <c r="AH72" s="53">
        <f t="shared" ref="AH72:AH95" si="3">SUM(C72:AG72)</f>
        <v>9.9010000000000034</v>
      </c>
      <c r="AI72" s="54"/>
      <c r="AJ72" s="55"/>
      <c r="AK72" s="53"/>
    </row>
    <row r="73" spans="2:72" s="3" customFormat="1" ht="15">
      <c r="B73" s="7" t="s">
        <v>7</v>
      </c>
      <c r="C73" s="67">
        <f>交易记录!D6+交易记录!D70+交易记录!D134+交易记录!D198+交易记录!D262+交易记录!D326+交易记录!D390+交易记录!D454+交易记录!D518+交易记录!D582+交易记录!D646+交易记录!D710+交易记录!D774+交易记录!D838+交易记录!D902</f>
        <v>0.33099999999999996</v>
      </c>
      <c r="D73" s="67">
        <f>交易记录!E6+交易记录!E70+交易记录!E134+交易记录!E198+交易记录!E262+交易记录!E326+交易记录!E390+交易记录!E454+交易记录!E518+交易记录!E582+交易记录!E646+交易记录!E710+交易记录!E774+交易记录!E838+交易记录!E902</f>
        <v>0.26500000000000001</v>
      </c>
      <c r="E73" s="67">
        <f>交易记录!F6+交易记录!F70+交易记录!F134+交易记录!F198+交易记录!F262+交易记录!F326+交易记录!F390+交易记录!F454+交易记录!F518+交易记录!F582+交易记录!F646+交易记录!F710+交易记录!F774+交易记录!F838+交易记录!F902</f>
        <v>0.26500000000000001</v>
      </c>
      <c r="F73" s="67">
        <f>交易记录!G6+交易记录!G70+交易记录!G134+交易记录!G198+交易记录!G262+交易记录!G326+交易记录!G390+交易记录!G454+交易记录!G518+交易记录!G582+交易记录!G646+交易记录!G710+交易记录!G774+交易记录!G838+交易记录!G902</f>
        <v>0.26500000000000001</v>
      </c>
      <c r="G73" s="67">
        <f>交易记录!H6+交易记录!H70+交易记录!H134+交易记录!H198+交易记录!H262+交易记录!H326+交易记录!H390+交易记录!H454+交易记录!H518+交易记录!H582+交易记录!H646+交易记录!H710+交易记录!H774+交易记录!H838+交易记录!H902</f>
        <v>9.5000000000000001E-2</v>
      </c>
      <c r="H73" s="67">
        <f>交易记录!I6+交易记录!I70+交易记录!I134+交易记录!I198+交易记录!I262+交易记录!I326+交易记录!I390+交易记录!I454+交易记录!I518+交易记录!I582+交易记录!I646+交易记录!I710+交易记录!I774+交易记录!I838+交易记录!I902</f>
        <v>9.5000000000000001E-2</v>
      </c>
      <c r="I73" s="67">
        <f>交易记录!J6+交易记录!J70+交易记录!J134+交易记录!J198+交易记录!J262+交易记录!J326+交易记录!J390+交易记录!J454+交易记录!J518+交易记录!J582+交易记录!J646+交易记录!J710+交易记录!J774+交易记录!J838+交易记录!J902</f>
        <v>0.26500000000000001</v>
      </c>
      <c r="J73" s="67">
        <f>交易记录!K6+交易记录!K70+交易记录!K134+交易记录!K198+交易记录!K262+交易记录!K326+交易记录!K390+交易记录!K454+交易记录!K518+交易记录!K582+交易记录!K646+交易记录!K710+交易记录!K774+交易记录!K838+交易记录!K902</f>
        <v>0.26500000000000001</v>
      </c>
      <c r="K73" s="67">
        <f>交易记录!L6+交易记录!L70+交易记录!L134+交易记录!L198+交易记录!L262+交易记录!L326+交易记录!L390+交易记录!L454+交易记录!L518+交易记录!L582+交易记录!L646+交易记录!L710+交易记录!L774+交易记录!L838+交易记录!L902</f>
        <v>0.26500000000000001</v>
      </c>
      <c r="L73" s="67">
        <f>交易记录!M6+交易记录!M70+交易记录!M134+交易记录!M198+交易记录!M262+交易记录!M326+交易记录!M390+交易记录!M454+交易记录!M518+交易记录!M582+交易记录!M646+交易记录!M710+交易记录!M774+交易记录!M838+交易记录!M902</f>
        <v>0.26500000000000001</v>
      </c>
      <c r="M73" s="67">
        <f>交易记录!N6+交易记录!N70+交易记录!N134+交易记录!N198+交易记录!N262+交易记录!N326+交易记录!N390+交易记录!N454+交易记录!N518+交易记录!N582+交易记录!N646+交易记录!N710+交易记录!N774+交易记录!N838+交易记录!N902</f>
        <v>0.26500000000000001</v>
      </c>
      <c r="N73" s="67">
        <f>交易记录!O6+交易记录!O70+交易记录!O134+交易记录!O198+交易记录!O262+交易记录!O326+交易记录!O390+交易记录!O454+交易记录!O518+交易记录!O582+交易记录!O646+交易记录!O710+交易记录!O774+交易记录!O838+交易记录!O902</f>
        <v>9.5000000000000001E-2</v>
      </c>
      <c r="O73" s="67">
        <f>交易记录!P6+交易记录!P70+交易记录!P134+交易记录!P198+交易记录!P262+交易记录!P326+交易记录!P390+交易记录!P454+交易记录!P518+交易记录!P582+交易记录!P646+交易记录!P710+交易记录!P774+交易记录!P838+交易记录!P902</f>
        <v>9.5000000000000001E-2</v>
      </c>
      <c r="P73" s="67">
        <f>交易记录!Q6+交易记录!Q70+交易记录!Q134+交易记录!Q198+交易记录!Q262+交易记录!Q326+交易记录!Q390+交易记录!Q454+交易记录!Q518+交易记录!Q582+交易记录!Q646+交易记录!Q710+交易记录!Q774+交易记录!Q838+交易记录!Q902</f>
        <v>0.26500000000000001</v>
      </c>
      <c r="Q73" s="67">
        <f>交易记录!R6+交易记录!R70+交易记录!R134+交易记录!R198+交易记录!R262+交易记录!R326+交易记录!R390+交易记录!R454+交易记录!R518+交易记录!R582+交易记录!R646+交易记录!R710+交易记录!R774+交易记录!R838+交易记录!R902</f>
        <v>0.26500000000000001</v>
      </c>
      <c r="R73" s="67">
        <f>交易记录!S6+交易记录!S70+交易记录!S134+交易记录!S198+交易记录!S262+交易记录!S326+交易记录!S390+交易记录!S454+交易记录!S518+交易记录!S582+交易记录!S646+交易记录!S710+交易记录!S774+交易记录!S838+交易记录!S902</f>
        <v>0.26500000000000001</v>
      </c>
      <c r="S73" s="67">
        <f>交易记录!T6+交易记录!T70+交易记录!T134+交易记录!T198+交易记录!T262+交易记录!T326+交易记录!T390+交易记录!T454+交易记录!T518+交易记录!T582+交易记录!T646+交易记录!T710+交易记录!T774+交易记录!T838+交易记录!T902</f>
        <v>0.26500000000000001</v>
      </c>
      <c r="T73" s="67">
        <f>交易记录!U6+交易记录!U70+交易记录!U134+交易记录!U198+交易记录!U262+交易记录!U326+交易记录!U390+交易记录!U454+交易记录!U518+交易记录!U582+交易记录!U646+交易记录!U710+交易记录!U774+交易记录!U838+交易记录!U902</f>
        <v>0.26500000000000001</v>
      </c>
      <c r="U73" s="67">
        <f>交易记录!V6+交易记录!V70+交易记录!V134+交易记录!V198+交易记录!V262+交易记录!V326+交易记录!V390+交易记录!V454+交易记录!V518+交易记录!V582+交易记录!V646+交易记录!V710+交易记录!V774+交易记录!V838+交易记录!V902</f>
        <v>9.5000000000000001E-2</v>
      </c>
      <c r="V73" s="67">
        <f>交易记录!W6+交易记录!W70+交易记录!W134+交易记录!W198+交易记录!W262+交易记录!W326+交易记录!W390+交易记录!W454+交易记录!W518+交易记录!W582+交易记录!W646+交易记录!W710+交易记录!W774+交易记录!W838+交易记录!W902</f>
        <v>9.5000000000000001E-2</v>
      </c>
      <c r="W73" s="67">
        <f>交易记录!X6+交易记录!X70+交易记录!X134+交易记录!X198+交易记录!X262+交易记录!X326+交易记录!X390+交易记录!X454+交易记录!X518+交易记录!X582+交易记录!X646+交易记录!X710+交易记录!X774+交易记录!X838+交易记录!X902</f>
        <v>0.26500000000000001</v>
      </c>
      <c r="X73" s="67">
        <f>交易记录!Y6+交易记录!Y70+交易记录!Y134+交易记录!Y198+交易记录!Y262+交易记录!Y326+交易记录!Y390+交易记录!Y454+交易记录!Y518+交易记录!Y582+交易记录!Y646+交易记录!Y710+交易记录!Y774+交易记录!Y838+交易记录!Y902</f>
        <v>0.26500000000000001</v>
      </c>
      <c r="Y73" s="67">
        <f>交易记录!Z6+交易记录!Z70+交易记录!Z134+交易记录!Z198+交易记录!Z262+交易记录!Z326+交易记录!Z390+交易记录!Z454+交易记录!Z518+交易记录!Z582+交易记录!Z646+交易记录!Z710+交易记录!Z774+交易记录!Z838+交易记录!Z902</f>
        <v>0.26500000000000001</v>
      </c>
      <c r="Z73" s="67">
        <f>交易记录!AA6+交易记录!AA70+交易记录!AA134+交易记录!AA198+交易记录!AA262+交易记录!AA326+交易记录!AA390+交易记录!AA454+交易记录!AA518+交易记录!AA582+交易记录!AA646+交易记录!AA710+交易记录!AA774+交易记录!AA838+交易记录!AA902</f>
        <v>0.26500000000000001</v>
      </c>
      <c r="AA73" s="67">
        <f>交易记录!AB6+交易记录!AB70+交易记录!AB134+交易记录!AB198+交易记录!AB262+交易记录!AB326+交易记录!AB390+交易记录!AB454+交易记录!AB518+交易记录!AB582+交易记录!AB646+交易记录!AB710+交易记录!AB774+交易记录!AB838+交易记录!AB902</f>
        <v>0.26500000000000001</v>
      </c>
      <c r="AB73" s="67">
        <f>交易记录!AC6+交易记录!AC70+交易记录!AC134+交易记录!AC198+交易记录!AC262+交易记录!AC326+交易记录!AC390+交易记录!AC454+交易记录!AC518+交易记录!AC582+交易记录!AC646+交易记录!AC710+交易记录!AC774+交易记录!AC838+交易记录!AC902</f>
        <v>9.5000000000000001E-2</v>
      </c>
      <c r="AC73" s="67">
        <f>交易记录!AD6+交易记录!AD70+交易记录!AD134+交易记录!AD198+交易记录!AD262+交易记录!AD326+交易记录!AD390+交易记录!AD454+交易记录!AD518+交易记录!AD582+交易记录!AD646+交易记录!AD710+交易记录!AD774+交易记录!AD838+交易记录!AD902</f>
        <v>9.5000000000000001E-2</v>
      </c>
      <c r="AD73" s="67">
        <f>交易记录!AE6+交易记录!AE70+交易记录!AE134+交易记录!AE198+交易记录!AE262+交易记录!AE326+交易记录!AE390+交易记录!AE454+交易记录!AE518+交易记录!AE582+交易记录!AE646+交易记录!AE710+交易记录!AE774+交易记录!AE838+交易记录!AE902</f>
        <v>0.26500000000000001</v>
      </c>
      <c r="AE73" s="67">
        <f>交易记录!AF6+交易记录!AF70+交易记录!AF134+交易记录!AF198+交易记录!AF262+交易记录!AF326+交易记录!AF390+交易记录!AF454+交易记录!AF518+交易记录!AF582+交易记录!AF646+交易记录!AF710+交易记录!AF774+交易记录!AF838+交易记录!AF902</f>
        <v>0.26500000000000001</v>
      </c>
      <c r="AF73" s="67">
        <f>交易记录!AG6+交易记录!AG70+交易记录!AG134+交易记录!AG198+交易记录!AG262+交易记录!AG326+交易记录!AG390+交易记录!AG454+交易记录!AG518+交易记录!AG582+交易记录!AG646+交易记录!AG710+交易记录!AG774+交易记录!AG838+交易记录!AG902</f>
        <v>0.26500000000000001</v>
      </c>
      <c r="AG73" s="67">
        <f>交易记录!AH6+交易记录!AH70+交易记录!AH134+交易记录!AH198+交易记录!AH262+交易记录!AH326+交易记录!AH390+交易记录!AH454+交易记录!AH518+交易记录!AH582+交易记录!AH646+交易记录!AH710+交易记录!AH774+交易记录!AH838+交易记录!AH902</f>
        <v>0.26500000000000001</v>
      </c>
      <c r="AH73" s="53">
        <f t="shared" si="3"/>
        <v>6.9209999999999976</v>
      </c>
      <c r="AI73" s="54"/>
      <c r="AJ73" s="55"/>
      <c r="AK73" s="53"/>
    </row>
    <row r="74" spans="2:72" s="3" customFormat="1" ht="15">
      <c r="B74" s="7" t="s">
        <v>8</v>
      </c>
      <c r="C74" s="67">
        <f>交易记录!D7+交易记录!D71+交易记录!D135+交易记录!D199+交易记录!D263+交易记录!D327+交易记录!D391+交易记录!D455+交易记录!D519+交易记录!D583+交易记录!D647+交易记录!D711+交易记录!D775+交易记录!D839+交易记录!D903</f>
        <v>0.23799999999999999</v>
      </c>
      <c r="D74" s="67">
        <f>交易记录!E7+交易记录!E71+交易记录!E135+交易记录!E199+交易记录!E263+交易记录!E327+交易记录!E391+交易记录!E455+交易记录!E519+交易记录!E583+交易记录!E647+交易记录!E711+交易记录!E775+交易记录!E839+交易记录!E903</f>
        <v>0.24199999999999999</v>
      </c>
      <c r="E74" s="67">
        <f>交易记录!F7+交易记录!F71+交易记录!F135+交易记录!F199+交易记录!F263+交易记录!F327+交易记录!F391+交易记录!F455+交易记录!F519+交易记录!F583+交易记录!F647+交易记录!F711+交易记录!F775+交易记录!F839+交易记录!F903</f>
        <v>0.24199999999999999</v>
      </c>
      <c r="F74" s="67">
        <f>交易记录!G7+交易记录!G71+交易记录!G135+交易记录!G199+交易记录!G263+交易记录!G327+交易记录!G391+交易记录!G455+交易记录!G519+交易记录!G583+交易记录!G647+交易记录!G711+交易记录!G775+交易记录!G839+交易记录!G903</f>
        <v>0.24199999999999999</v>
      </c>
      <c r="G74" s="67">
        <f>交易记录!H7+交易记录!H71+交易记录!H135+交易记录!H199+交易记录!H263+交易记录!H327+交易记录!H391+交易记录!H455+交易记录!H519+交易记录!H583+交易记录!H647+交易记录!H711+交易记录!H775+交易记录!H839+交易记录!H903</f>
        <v>8.5999999999999993E-2</v>
      </c>
      <c r="H74" s="67">
        <f>交易记录!I7+交易记录!I71+交易记录!I135+交易记录!I199+交易记录!I263+交易记录!I327+交易记录!I391+交易记录!I455+交易记录!I519+交易记录!I583+交易记录!I647+交易记录!I711+交易记录!I775+交易记录!I839+交易记录!I903</f>
        <v>8.5999999999999993E-2</v>
      </c>
      <c r="I74" s="67">
        <f>交易记录!J7+交易记录!J71+交易记录!J135+交易记录!J199+交易记录!J263+交易记录!J327+交易记录!J391+交易记录!J455+交易记录!J519+交易记录!J583+交易记录!J647+交易记录!J711+交易记录!J775+交易记录!J839+交易记录!J903</f>
        <v>0.24199999999999999</v>
      </c>
      <c r="J74" s="67">
        <f>交易记录!K7+交易记录!K71+交易记录!K135+交易记录!K199+交易记录!K263+交易记录!K327+交易记录!K391+交易记录!K455+交易记录!K519+交易记录!K583+交易记录!K647+交易记录!K711+交易记录!K775+交易记录!K839+交易记录!K903</f>
        <v>0.24199999999999999</v>
      </c>
      <c r="K74" s="67">
        <f>交易记录!L7+交易记录!L71+交易记录!L135+交易记录!L199+交易记录!L263+交易记录!L327+交易记录!L391+交易记录!L455+交易记录!L519+交易记录!L583+交易记录!L647+交易记录!L711+交易记录!L775+交易记录!L839+交易记录!L903</f>
        <v>0.24199999999999999</v>
      </c>
      <c r="L74" s="67">
        <f>交易记录!M7+交易记录!M71+交易记录!M135+交易记录!M199+交易记录!M263+交易记录!M327+交易记录!M391+交易记录!M455+交易记录!M519+交易记录!M583+交易记录!M647+交易记录!M711+交易记录!M775+交易记录!M839+交易记录!M903</f>
        <v>0.24199999999999999</v>
      </c>
      <c r="M74" s="67">
        <f>交易记录!N7+交易记录!N71+交易记录!N135+交易记录!N199+交易记录!N263+交易记录!N327+交易记录!N391+交易记录!N455+交易记录!N519+交易记录!N583+交易记录!N647+交易记录!N711+交易记录!N775+交易记录!N839+交易记录!N903</f>
        <v>0.24199999999999999</v>
      </c>
      <c r="N74" s="67">
        <f>交易记录!O7+交易记录!O71+交易记录!O135+交易记录!O199+交易记录!O263+交易记录!O327+交易记录!O391+交易记录!O455+交易记录!O519+交易记录!O583+交易记录!O647+交易记录!O711+交易记录!O775+交易记录!O839+交易记录!O903</f>
        <v>8.5999999999999993E-2</v>
      </c>
      <c r="O74" s="67">
        <f>交易记录!P7+交易记录!P71+交易记录!P135+交易记录!P199+交易记录!P263+交易记录!P327+交易记录!P391+交易记录!P455+交易记录!P519+交易记录!P583+交易记录!P647+交易记录!P711+交易记录!P775+交易记录!P839+交易记录!P903</f>
        <v>8.5999999999999993E-2</v>
      </c>
      <c r="P74" s="67">
        <f>交易记录!Q7+交易记录!Q71+交易记录!Q135+交易记录!Q199+交易记录!Q263+交易记录!Q327+交易记录!Q391+交易记录!Q455+交易记录!Q519+交易记录!Q583+交易记录!Q647+交易记录!Q711+交易记录!Q775+交易记录!Q839+交易记录!Q903</f>
        <v>0.24199999999999999</v>
      </c>
      <c r="Q74" s="67">
        <f>交易记录!R7+交易记录!R71+交易记录!R135+交易记录!R199+交易记录!R263+交易记录!R327+交易记录!R391+交易记录!R455+交易记录!R519+交易记录!R583+交易记录!R647+交易记录!R711+交易记录!R775+交易记录!R839+交易记录!R903</f>
        <v>0.24199999999999999</v>
      </c>
      <c r="R74" s="67">
        <f>交易记录!S7+交易记录!S71+交易记录!S135+交易记录!S199+交易记录!S263+交易记录!S327+交易记录!S391+交易记录!S455+交易记录!S519+交易记录!S583+交易记录!S647+交易记录!S711+交易记录!S775+交易记录!S839+交易记录!S903</f>
        <v>0.24199999999999999</v>
      </c>
      <c r="S74" s="67">
        <f>交易记录!T7+交易记录!T71+交易记录!T135+交易记录!T199+交易记录!T263+交易记录!T327+交易记录!T391+交易记录!T455+交易记录!T519+交易记录!T583+交易记录!T647+交易记录!T711+交易记录!T775+交易记录!T839+交易记录!T903</f>
        <v>0.24199999999999999</v>
      </c>
      <c r="T74" s="67">
        <f>交易记录!U7+交易记录!U71+交易记录!U135+交易记录!U199+交易记录!U263+交易记录!U327+交易记录!U391+交易记录!U455+交易记录!U519+交易记录!U583+交易记录!U647+交易记录!U711+交易记录!U775+交易记录!U839+交易记录!U903</f>
        <v>0.24199999999999999</v>
      </c>
      <c r="U74" s="67">
        <f>交易记录!V7+交易记录!V71+交易记录!V135+交易记录!V199+交易记录!V263+交易记录!V327+交易记录!V391+交易记录!V455+交易记录!V519+交易记录!V583+交易记录!V647+交易记录!V711+交易记录!V775+交易记录!V839+交易记录!V903</f>
        <v>8.5999999999999993E-2</v>
      </c>
      <c r="V74" s="67">
        <f>交易记录!W7+交易记录!W71+交易记录!W135+交易记录!W199+交易记录!W263+交易记录!W327+交易记录!W391+交易记录!W455+交易记录!W519+交易记录!W583+交易记录!W647+交易记录!W711+交易记录!W775+交易记录!W839+交易记录!W903</f>
        <v>8.5999999999999993E-2</v>
      </c>
      <c r="W74" s="67">
        <f>交易记录!X7+交易记录!X71+交易记录!X135+交易记录!X199+交易记录!X263+交易记录!X327+交易记录!X391+交易记录!X455+交易记录!X519+交易记录!X583+交易记录!X647+交易记录!X711+交易记录!X775+交易记录!X839+交易记录!X903</f>
        <v>0.24199999999999999</v>
      </c>
      <c r="X74" s="67">
        <f>交易记录!Y7+交易记录!Y71+交易记录!Y135+交易记录!Y199+交易记录!Y263+交易记录!Y327+交易记录!Y391+交易记录!Y455+交易记录!Y519+交易记录!Y583+交易记录!Y647+交易记录!Y711+交易记录!Y775+交易记录!Y839+交易记录!Y903</f>
        <v>0.24199999999999999</v>
      </c>
      <c r="Y74" s="67">
        <f>交易记录!Z7+交易记录!Z71+交易记录!Z135+交易记录!Z199+交易记录!Z263+交易记录!Z327+交易记录!Z391+交易记录!Z455+交易记录!Z519+交易记录!Z583+交易记录!Z647+交易记录!Z711+交易记录!Z775+交易记录!Z839+交易记录!Z903</f>
        <v>0.24199999999999999</v>
      </c>
      <c r="Z74" s="67">
        <f>交易记录!AA7+交易记录!AA71+交易记录!AA135+交易记录!AA199+交易记录!AA263+交易记录!AA327+交易记录!AA391+交易记录!AA455+交易记录!AA519+交易记录!AA583+交易记录!AA647+交易记录!AA711+交易记录!AA775+交易记录!AA839+交易记录!AA903</f>
        <v>0.24199999999999999</v>
      </c>
      <c r="AA74" s="67">
        <f>交易记录!AB7+交易记录!AB71+交易记录!AB135+交易记录!AB199+交易记录!AB263+交易记录!AB327+交易记录!AB391+交易记录!AB455+交易记录!AB519+交易记录!AB583+交易记录!AB647+交易记录!AB711+交易记录!AB775+交易记录!AB839+交易记录!AB903</f>
        <v>0.24199999999999999</v>
      </c>
      <c r="AB74" s="67">
        <f>交易记录!AC7+交易记录!AC71+交易记录!AC135+交易记录!AC199+交易记录!AC263+交易记录!AC327+交易记录!AC391+交易记录!AC455+交易记录!AC519+交易记录!AC583+交易记录!AC647+交易记录!AC711+交易记录!AC775+交易记录!AC839+交易记录!AC903</f>
        <v>8.5999999999999993E-2</v>
      </c>
      <c r="AC74" s="67">
        <f>交易记录!AD7+交易记录!AD71+交易记录!AD135+交易记录!AD199+交易记录!AD263+交易记录!AD327+交易记录!AD391+交易记录!AD455+交易记录!AD519+交易记录!AD583+交易记录!AD647+交易记录!AD711+交易记录!AD775+交易记录!AD839+交易记录!AD903</f>
        <v>8.5999999999999993E-2</v>
      </c>
      <c r="AD74" s="67">
        <f>交易记录!AE7+交易记录!AE71+交易记录!AE135+交易记录!AE199+交易记录!AE263+交易记录!AE327+交易记录!AE391+交易记录!AE455+交易记录!AE519+交易记录!AE583+交易记录!AE647+交易记录!AE711+交易记录!AE775+交易记录!AE839+交易记录!AE903</f>
        <v>0.24199999999999999</v>
      </c>
      <c r="AE74" s="67">
        <f>交易记录!AF7+交易记录!AF71+交易记录!AF135+交易记录!AF199+交易记录!AF263+交易记录!AF327+交易记录!AF391+交易记录!AF455+交易记录!AF519+交易记录!AF583+交易记录!AF647+交易记录!AF711+交易记录!AF775+交易记录!AF839+交易记录!AF903</f>
        <v>0.24199999999999999</v>
      </c>
      <c r="AF74" s="67">
        <f>交易记录!AG7+交易记录!AG71+交易记录!AG135+交易记录!AG199+交易记录!AG263+交易记录!AG327+交易记录!AG391+交易记录!AG455+交易记录!AG519+交易记录!AG583+交易记录!AG647+交易记录!AG711+交易记录!AG775+交易记录!AG839+交易记录!AG903</f>
        <v>0.24199999999999999</v>
      </c>
      <c r="AG74" s="67">
        <f>交易记录!AH7+交易记录!AH71+交易记录!AH135+交易记录!AH199+交易记录!AH263+交易记录!AH327+交易记录!AH391+交易记录!AH455+交易记录!AH519+交易记录!AH583+交易记录!AH647+交易记录!AH711+交易记录!AH775+交易记录!AH839+交易记录!AH903</f>
        <v>0.24199999999999999</v>
      </c>
      <c r="AH74" s="53">
        <f t="shared" si="3"/>
        <v>6.25</v>
      </c>
      <c r="AI74" s="54"/>
      <c r="AJ74" s="55"/>
      <c r="AK74" s="53"/>
    </row>
    <row r="75" spans="2:72" s="3" customFormat="1" ht="15">
      <c r="B75" s="7" t="s">
        <v>9</v>
      </c>
      <c r="C75" s="67">
        <f>交易记录!D8+交易记录!D72+交易记录!D136+交易记录!D200+交易记录!D264+交易记录!D328+交易记录!D392+交易记录!D456+交易记录!D520+交易记录!D584+交易记录!D648+交易记录!D712+交易记录!D776+交易记录!D840+交易记录!D904</f>
        <v>0.17100000000000001</v>
      </c>
      <c r="D75" s="67">
        <f>交易记录!E8+交易记录!E72+交易记录!E136+交易记录!E200+交易记录!E264+交易记录!E328+交易记录!E392+交易记录!E456+交易记录!E520+交易记录!E584+交易记录!E648+交易记录!E712+交易记录!E776+交易记录!E840+交易记录!E904</f>
        <v>0.09</v>
      </c>
      <c r="E75" s="67">
        <f>交易记录!F8+交易记录!F72+交易记录!F136+交易记录!F200+交易记录!F264+交易记录!F328+交易记录!F392+交易记录!F456+交易记录!F520+交易记录!F584+交易记录!F648+交易记录!F712+交易记录!F776+交易记录!F840+交易记录!F904</f>
        <v>0.09</v>
      </c>
      <c r="F75" s="67">
        <f>交易记录!G8+交易记录!G72+交易记录!G136+交易记录!G200+交易记录!G264+交易记录!G328+交易记录!G392+交易记录!G456+交易记录!G520+交易记录!G584+交易记录!G648+交易记录!G712+交易记录!G776+交易记录!G840+交易记录!G904</f>
        <v>0.09</v>
      </c>
      <c r="G75" s="67">
        <f>交易记录!H8+交易记录!H72+交易记录!H136+交易记录!H200+交易记录!H264+交易记录!H328+交易记录!H392+交易记录!H456+交易记录!H520+交易记录!H584+交易记录!H648+交易记录!H712+交易记录!H776+交易记录!H840+交易记录!H904</f>
        <v>7.7000000000000013E-2</v>
      </c>
      <c r="H75" s="67">
        <f>交易记录!I8+交易记录!I72+交易记录!I136+交易记录!I200+交易记录!I264+交易记录!I328+交易记录!I392+交易记录!I456+交易记录!I520+交易记录!I584+交易记录!I648+交易记录!I712+交易记录!I776+交易记录!I840+交易记录!I904</f>
        <v>7.7000000000000013E-2</v>
      </c>
      <c r="I75" s="67">
        <f>交易记录!J8+交易记录!J72+交易记录!J136+交易记录!J200+交易记录!J264+交易记录!J328+交易记录!J392+交易记录!J456+交易记录!J520+交易记录!J584+交易记录!J648+交易记录!J712+交易记录!J776+交易记录!J840+交易记录!J904</f>
        <v>0.09</v>
      </c>
      <c r="J75" s="67">
        <f>交易记录!K8+交易记录!K72+交易记录!K136+交易记录!K200+交易记录!K264+交易记录!K328+交易记录!K392+交易记录!K456+交易记录!K520+交易记录!K584+交易记录!K648+交易记录!K712+交易记录!K776+交易记录!K840+交易记录!K904</f>
        <v>0.09</v>
      </c>
      <c r="K75" s="67">
        <f>交易记录!L8+交易记录!L72+交易记录!L136+交易记录!L200+交易记录!L264+交易记录!L328+交易记录!L392+交易记录!L456+交易记录!L520+交易记录!L584+交易记录!L648+交易记录!L712+交易记录!L776+交易记录!L840+交易记录!L904</f>
        <v>0.09</v>
      </c>
      <c r="L75" s="67">
        <f>交易记录!M8+交易记录!M72+交易记录!M136+交易记录!M200+交易记录!M264+交易记录!M328+交易记录!M392+交易记录!M456+交易记录!M520+交易记录!M584+交易记录!M648+交易记录!M712+交易记录!M776+交易记录!M840+交易记录!M904</f>
        <v>0.09</v>
      </c>
      <c r="M75" s="67">
        <f>交易记录!N8+交易记录!N72+交易记录!N136+交易记录!N200+交易记录!N264+交易记录!N328+交易记录!N392+交易记录!N456+交易记录!N520+交易记录!N584+交易记录!N648+交易记录!N712+交易记录!N776+交易记录!N840+交易记录!N904</f>
        <v>0.09</v>
      </c>
      <c r="N75" s="67">
        <f>交易记录!O8+交易记录!O72+交易记录!O136+交易记录!O200+交易记录!O264+交易记录!O328+交易记录!O392+交易记录!O456+交易记录!O520+交易记录!O584+交易记录!O648+交易记录!O712+交易记录!O776+交易记录!O840+交易记录!O904</f>
        <v>7.7000000000000013E-2</v>
      </c>
      <c r="O75" s="67">
        <f>交易记录!P8+交易记录!P72+交易记录!P136+交易记录!P200+交易记录!P264+交易记录!P328+交易记录!P392+交易记录!P456+交易记录!P520+交易记录!P584+交易记录!P648+交易记录!P712+交易记录!P776+交易记录!P840+交易记录!P904</f>
        <v>7.7000000000000013E-2</v>
      </c>
      <c r="P75" s="67">
        <f>交易记录!Q8+交易记录!Q72+交易记录!Q136+交易记录!Q200+交易记录!Q264+交易记录!Q328+交易记录!Q392+交易记录!Q456+交易记录!Q520+交易记录!Q584+交易记录!Q648+交易记录!Q712+交易记录!Q776+交易记录!Q840+交易记录!Q904</f>
        <v>0.09</v>
      </c>
      <c r="Q75" s="67">
        <f>交易记录!R8+交易记录!R72+交易记录!R136+交易记录!R200+交易记录!R264+交易记录!R328+交易记录!R392+交易记录!R456+交易记录!R520+交易记录!R584+交易记录!R648+交易记录!R712+交易记录!R776+交易记录!R840+交易记录!R904</f>
        <v>0.09</v>
      </c>
      <c r="R75" s="67">
        <f>交易记录!S8+交易记录!S72+交易记录!S136+交易记录!S200+交易记录!S264+交易记录!S328+交易记录!S392+交易记录!S456+交易记录!S520+交易记录!S584+交易记录!S648+交易记录!S712+交易记录!S776+交易记录!S840+交易记录!S904</f>
        <v>0.09</v>
      </c>
      <c r="S75" s="67">
        <f>交易记录!T8+交易记录!T72+交易记录!T136+交易记录!T200+交易记录!T264+交易记录!T328+交易记录!T392+交易记录!T456+交易记录!T520+交易记录!T584+交易记录!T648+交易记录!T712+交易记录!T776+交易记录!T840+交易记录!T904</f>
        <v>0.09</v>
      </c>
      <c r="T75" s="67">
        <f>交易记录!U8+交易记录!U72+交易记录!U136+交易记录!U200+交易记录!U264+交易记录!U328+交易记录!U392+交易记录!U456+交易记录!U520+交易记录!U584+交易记录!U648+交易记录!U712+交易记录!U776+交易记录!U840+交易记录!U904</f>
        <v>0.09</v>
      </c>
      <c r="U75" s="67">
        <f>交易记录!V8+交易记录!V72+交易记录!V136+交易记录!V200+交易记录!V264+交易记录!V328+交易记录!V392+交易记录!V456+交易记录!V520+交易记录!V584+交易记录!V648+交易记录!V712+交易记录!V776+交易记录!V840+交易记录!V904</f>
        <v>7.7000000000000013E-2</v>
      </c>
      <c r="V75" s="67">
        <f>交易记录!W8+交易记录!W72+交易记录!W136+交易记录!W200+交易记录!W264+交易记录!W328+交易记录!W392+交易记录!W456+交易记录!W520+交易记录!W584+交易记录!W648+交易记录!W712+交易记录!W776+交易记录!W840+交易记录!W904</f>
        <v>7.7000000000000013E-2</v>
      </c>
      <c r="W75" s="67">
        <f>交易记录!X8+交易记录!X72+交易记录!X136+交易记录!X200+交易记录!X264+交易记录!X328+交易记录!X392+交易记录!X456+交易记录!X520+交易记录!X584+交易记录!X648+交易记录!X712+交易记录!X776+交易记录!X840+交易记录!X904</f>
        <v>0.09</v>
      </c>
      <c r="X75" s="67">
        <f>交易记录!Y8+交易记录!Y72+交易记录!Y136+交易记录!Y200+交易记录!Y264+交易记录!Y328+交易记录!Y392+交易记录!Y456+交易记录!Y520+交易记录!Y584+交易记录!Y648+交易记录!Y712+交易记录!Y776+交易记录!Y840+交易记录!Y904</f>
        <v>0.09</v>
      </c>
      <c r="Y75" s="67">
        <f>交易记录!Z8+交易记录!Z72+交易记录!Z136+交易记录!Z200+交易记录!Z264+交易记录!Z328+交易记录!Z392+交易记录!Z456+交易记录!Z520+交易记录!Z584+交易记录!Z648+交易记录!Z712+交易记录!Z776+交易记录!Z840+交易记录!Z904</f>
        <v>0.09</v>
      </c>
      <c r="Z75" s="67">
        <f>交易记录!AA8+交易记录!AA72+交易记录!AA136+交易记录!AA200+交易记录!AA264+交易记录!AA328+交易记录!AA392+交易记录!AA456+交易记录!AA520+交易记录!AA584+交易记录!AA648+交易记录!AA712+交易记录!AA776+交易记录!AA840+交易记录!AA904</f>
        <v>0.09</v>
      </c>
      <c r="AA75" s="67">
        <f>交易记录!AB8+交易记录!AB72+交易记录!AB136+交易记录!AB200+交易记录!AB264+交易记录!AB328+交易记录!AB392+交易记录!AB456+交易记录!AB520+交易记录!AB584+交易记录!AB648+交易记录!AB712+交易记录!AB776+交易记录!AB840+交易记录!AB904</f>
        <v>0.09</v>
      </c>
      <c r="AB75" s="67">
        <f>交易记录!AC8+交易记录!AC72+交易记录!AC136+交易记录!AC200+交易记录!AC264+交易记录!AC328+交易记录!AC392+交易记录!AC456+交易记录!AC520+交易记录!AC584+交易记录!AC648+交易记录!AC712+交易记录!AC776+交易记录!AC840+交易记录!AC904</f>
        <v>7.7000000000000013E-2</v>
      </c>
      <c r="AC75" s="67">
        <f>交易记录!AD8+交易记录!AD72+交易记录!AD136+交易记录!AD200+交易记录!AD264+交易记录!AD328+交易记录!AD392+交易记录!AD456+交易记录!AD520+交易记录!AD584+交易记录!AD648+交易记录!AD712+交易记录!AD776+交易记录!AD840+交易记录!AD904</f>
        <v>7.7000000000000013E-2</v>
      </c>
      <c r="AD75" s="67">
        <f>交易记录!AE8+交易记录!AE72+交易记录!AE136+交易记录!AE200+交易记录!AE264+交易记录!AE328+交易记录!AE392+交易记录!AE456+交易记录!AE520+交易记录!AE584+交易记录!AE648+交易记录!AE712+交易记录!AE776+交易记录!AE840+交易记录!AE904</f>
        <v>0.09</v>
      </c>
      <c r="AE75" s="67">
        <f>交易记录!AF8+交易记录!AF72+交易记录!AF136+交易记录!AF200+交易记录!AF264+交易记录!AF328+交易记录!AF392+交易记录!AF456+交易记录!AF520+交易记录!AF584+交易记录!AF648+交易记录!AF712+交易记录!AF776+交易记录!AF840+交易记录!AF904</f>
        <v>0.09</v>
      </c>
      <c r="AF75" s="67">
        <f>交易记录!AG8+交易记录!AG72+交易记录!AG136+交易记录!AG200+交易记录!AG264+交易记录!AG328+交易记录!AG392+交易记录!AG456+交易记录!AG520+交易记录!AG584+交易记录!AG648+交易记录!AG712+交易记录!AG776+交易记录!AG840+交易记录!AG904</f>
        <v>0.09</v>
      </c>
      <c r="AG75" s="67">
        <f>交易记录!AH8+交易记录!AH72+交易记录!AH136+交易记录!AH200+交易记录!AH264+交易记录!AH328+交易记录!AH392+交易记录!AH456+交易记录!AH520+交易记录!AH584+交易记录!AH648+交易记录!AH712+交易记录!AH776+交易记录!AH840+交易记录!AH904</f>
        <v>0.09</v>
      </c>
      <c r="AH75" s="53">
        <f t="shared" si="3"/>
        <v>2.7669999999999995</v>
      </c>
      <c r="AI75" s="54"/>
      <c r="AJ75" s="55"/>
      <c r="AK75" s="53"/>
    </row>
    <row r="76" spans="2:72" s="3" customFormat="1" ht="15">
      <c r="B76" s="7" t="s">
        <v>10</v>
      </c>
      <c r="C76" s="67">
        <f>交易记录!D9+交易记录!D73+交易记录!D137+交易记录!D201+交易记录!D265+交易记录!D329+交易记录!D393+交易记录!D457+交易记录!D521+交易记录!D585+交易记录!D649+交易记录!D713+交易记录!D777+交易记录!D841+交易记录!D905</f>
        <v>7.3999999999999996E-2</v>
      </c>
      <c r="D76" s="67">
        <f>交易记录!E9+交易记录!E73+交易记录!E137+交易记录!E201+交易记录!E265+交易记录!E329+交易记录!E393+交易记录!E457+交易记录!E521+交易记录!E585+交易记录!E649+交易记录!E713+交易记录!E777+交易记录!E841+交易记录!E905</f>
        <v>8.6999999999999994E-2</v>
      </c>
      <c r="E76" s="67">
        <f>交易记录!F9+交易记录!F73+交易记录!F137+交易记录!F201+交易记录!F265+交易记录!F329+交易记录!F393+交易记录!F457+交易记录!F521+交易记录!F585+交易记录!F649+交易记录!F713+交易记录!F777+交易记录!F841+交易记录!F905</f>
        <v>8.6999999999999994E-2</v>
      </c>
      <c r="F76" s="67">
        <f>交易记录!G9+交易记录!G73+交易记录!G137+交易记录!G201+交易记录!G265+交易记录!G329+交易记录!G393+交易记录!G457+交易记录!G521+交易记录!G585+交易记录!G649+交易记录!G713+交易记录!G777+交易记录!G841+交易记录!G905</f>
        <v>8.6999999999999994E-2</v>
      </c>
      <c r="G76" s="67">
        <f>交易记录!H9+交易记录!H73+交易记录!H137+交易记录!H201+交易记录!H265+交易记录!H329+交易记录!H393+交易记录!H457+交易记录!H521+交易记录!H585+交易记录!H649+交易记录!H713+交易记录!H777+交易记录!H841+交易记录!H905</f>
        <v>7.5000000000000011E-2</v>
      </c>
      <c r="H76" s="67">
        <f>交易记录!I9+交易记录!I73+交易记录!I137+交易记录!I201+交易记录!I265+交易记录!I329+交易记录!I393+交易记录!I457+交易记录!I521+交易记录!I585+交易记录!I649+交易记录!I713+交易记录!I777+交易记录!I841+交易记录!I905</f>
        <v>7.5000000000000011E-2</v>
      </c>
      <c r="I76" s="67">
        <f>交易记录!J9+交易记录!J73+交易记录!J137+交易记录!J201+交易记录!J265+交易记录!J329+交易记录!J393+交易记录!J457+交易记录!J521+交易记录!J585+交易记录!J649+交易记录!J713+交易记录!J777+交易记录!J841+交易记录!J905</f>
        <v>8.6999999999999994E-2</v>
      </c>
      <c r="J76" s="67">
        <f>交易记录!K9+交易记录!K73+交易记录!K137+交易记录!K201+交易记录!K265+交易记录!K329+交易记录!K393+交易记录!K457+交易记录!K521+交易记录!K585+交易记录!K649+交易记录!K713+交易记录!K777+交易记录!K841+交易记录!K905</f>
        <v>8.6999999999999994E-2</v>
      </c>
      <c r="K76" s="67">
        <f>交易记录!L9+交易记录!L73+交易记录!L137+交易记录!L201+交易记录!L265+交易记录!L329+交易记录!L393+交易记录!L457+交易记录!L521+交易记录!L585+交易记录!L649+交易记录!L713+交易记录!L777+交易记录!L841+交易记录!L905</f>
        <v>8.6999999999999994E-2</v>
      </c>
      <c r="L76" s="67">
        <f>交易记录!M9+交易记录!M73+交易记录!M137+交易记录!M201+交易记录!M265+交易记录!M329+交易记录!M393+交易记录!M457+交易记录!M521+交易记录!M585+交易记录!M649+交易记录!M713+交易记录!M777+交易记录!M841+交易记录!M905</f>
        <v>8.6999999999999994E-2</v>
      </c>
      <c r="M76" s="67">
        <f>交易记录!N9+交易记录!N73+交易记录!N137+交易记录!N201+交易记录!N265+交易记录!N329+交易记录!N393+交易记录!N457+交易记录!N521+交易记录!N585+交易记录!N649+交易记录!N713+交易记录!N777+交易记录!N841+交易记录!N905</f>
        <v>8.6999999999999994E-2</v>
      </c>
      <c r="N76" s="67">
        <f>交易记录!O9+交易记录!O73+交易记录!O137+交易记录!O201+交易记录!O265+交易记录!O329+交易记录!O393+交易记录!O457+交易记录!O521+交易记录!O585+交易记录!O649+交易记录!O713+交易记录!O777+交易记录!O841+交易记录!O905</f>
        <v>7.5000000000000011E-2</v>
      </c>
      <c r="O76" s="67">
        <f>交易记录!P9+交易记录!P73+交易记录!P137+交易记录!P201+交易记录!P265+交易记录!P329+交易记录!P393+交易记录!P457+交易记录!P521+交易记录!P585+交易记录!P649+交易记录!P713+交易记录!P777+交易记录!P841+交易记录!P905</f>
        <v>7.5000000000000011E-2</v>
      </c>
      <c r="P76" s="67">
        <f>交易记录!Q9+交易记录!Q73+交易记录!Q137+交易记录!Q201+交易记录!Q265+交易记录!Q329+交易记录!Q393+交易记录!Q457+交易记录!Q521+交易记录!Q585+交易记录!Q649+交易记录!Q713+交易记录!Q777+交易记录!Q841+交易记录!Q905</f>
        <v>8.6999999999999994E-2</v>
      </c>
      <c r="Q76" s="67">
        <f>交易记录!R9+交易记录!R73+交易记录!R137+交易记录!R201+交易记录!R265+交易记录!R329+交易记录!R393+交易记录!R457+交易记录!R521+交易记录!R585+交易记录!R649+交易记录!R713+交易记录!R777+交易记录!R841+交易记录!R905</f>
        <v>8.6999999999999994E-2</v>
      </c>
      <c r="R76" s="67">
        <f>交易记录!S9+交易记录!S73+交易记录!S137+交易记录!S201+交易记录!S265+交易记录!S329+交易记录!S393+交易记录!S457+交易记录!S521+交易记录!S585+交易记录!S649+交易记录!S713+交易记录!S777+交易记录!S841+交易记录!S905</f>
        <v>8.6999999999999994E-2</v>
      </c>
      <c r="S76" s="67">
        <f>交易记录!T9+交易记录!T73+交易记录!T137+交易记录!T201+交易记录!T265+交易记录!T329+交易记录!T393+交易记录!T457+交易记录!T521+交易记录!T585+交易记录!T649+交易记录!T713+交易记录!T777+交易记录!T841+交易记录!T905</f>
        <v>8.6999999999999994E-2</v>
      </c>
      <c r="T76" s="67">
        <f>交易记录!U9+交易记录!U73+交易记录!U137+交易记录!U201+交易记录!U265+交易记录!U329+交易记录!U393+交易记录!U457+交易记录!U521+交易记录!U585+交易记录!U649+交易记录!U713+交易记录!U777+交易记录!U841+交易记录!U905</f>
        <v>8.6999999999999994E-2</v>
      </c>
      <c r="U76" s="67">
        <f>交易记录!V9+交易记录!V73+交易记录!V137+交易记录!V201+交易记录!V265+交易记录!V329+交易记录!V393+交易记录!V457+交易记录!V521+交易记录!V585+交易记录!V649+交易记录!V713+交易记录!V777+交易记录!V841+交易记录!V905</f>
        <v>7.5000000000000011E-2</v>
      </c>
      <c r="V76" s="67">
        <f>交易记录!W9+交易记录!W73+交易记录!W137+交易记录!W201+交易记录!W265+交易记录!W329+交易记录!W393+交易记录!W457+交易记录!W521+交易记录!W585+交易记录!W649+交易记录!W713+交易记录!W777+交易记录!W841+交易记录!W905</f>
        <v>7.5000000000000011E-2</v>
      </c>
      <c r="W76" s="67">
        <f>交易记录!X9+交易记录!X73+交易记录!X137+交易记录!X201+交易记录!X265+交易记录!X329+交易记录!X393+交易记录!X457+交易记录!X521+交易记录!X585+交易记录!X649+交易记录!X713+交易记录!X777+交易记录!X841+交易记录!X905</f>
        <v>8.6999999999999994E-2</v>
      </c>
      <c r="X76" s="67">
        <f>交易记录!Y9+交易记录!Y73+交易记录!Y137+交易记录!Y201+交易记录!Y265+交易记录!Y329+交易记录!Y393+交易记录!Y457+交易记录!Y521+交易记录!Y585+交易记录!Y649+交易记录!Y713+交易记录!Y777+交易记录!Y841+交易记录!Y905</f>
        <v>8.6999999999999994E-2</v>
      </c>
      <c r="Y76" s="67">
        <f>交易记录!Z9+交易记录!Z73+交易记录!Z137+交易记录!Z201+交易记录!Z265+交易记录!Z329+交易记录!Z393+交易记录!Z457+交易记录!Z521+交易记录!Z585+交易记录!Z649+交易记录!Z713+交易记录!Z777+交易记录!Z841+交易记录!Z905</f>
        <v>8.6999999999999994E-2</v>
      </c>
      <c r="Z76" s="67">
        <f>交易记录!AA9+交易记录!AA73+交易记录!AA137+交易记录!AA201+交易记录!AA265+交易记录!AA329+交易记录!AA393+交易记录!AA457+交易记录!AA521+交易记录!AA585+交易记录!AA649+交易记录!AA713+交易记录!AA777+交易记录!AA841+交易记录!AA905</f>
        <v>8.6999999999999994E-2</v>
      </c>
      <c r="AA76" s="67">
        <f>交易记录!AB9+交易记录!AB73+交易记录!AB137+交易记录!AB201+交易记录!AB265+交易记录!AB329+交易记录!AB393+交易记录!AB457+交易记录!AB521+交易记录!AB585+交易记录!AB649+交易记录!AB713+交易记录!AB777+交易记录!AB841+交易记录!AB905</f>
        <v>8.6999999999999994E-2</v>
      </c>
      <c r="AB76" s="67">
        <f>交易记录!AC9+交易记录!AC73+交易记录!AC137+交易记录!AC201+交易记录!AC265+交易记录!AC329+交易记录!AC393+交易记录!AC457+交易记录!AC521+交易记录!AC585+交易记录!AC649+交易记录!AC713+交易记录!AC777+交易记录!AC841+交易记录!AC905</f>
        <v>7.5000000000000011E-2</v>
      </c>
      <c r="AC76" s="67">
        <f>交易记录!AD9+交易记录!AD73+交易记录!AD137+交易记录!AD201+交易记录!AD265+交易记录!AD329+交易记录!AD393+交易记录!AD457+交易记录!AD521+交易记录!AD585+交易记录!AD649+交易记录!AD713+交易记录!AD777+交易记录!AD841+交易记录!AD905</f>
        <v>7.5000000000000011E-2</v>
      </c>
      <c r="AD76" s="67">
        <f>交易记录!AE9+交易记录!AE73+交易记录!AE137+交易记录!AE201+交易记录!AE265+交易记录!AE329+交易记录!AE393+交易记录!AE457+交易记录!AE521+交易记录!AE585+交易记录!AE649+交易记录!AE713+交易记录!AE777+交易记录!AE841+交易记录!AE905</f>
        <v>8.6999999999999994E-2</v>
      </c>
      <c r="AE76" s="67">
        <f>交易记录!AF9+交易记录!AF73+交易记录!AF137+交易记录!AF201+交易记录!AF265+交易记录!AF329+交易记录!AF393+交易记录!AF457+交易记录!AF521+交易记录!AF585+交易记录!AF649+交易记录!AF713+交易记录!AF777+交易记录!AF841+交易记录!AF905</f>
        <v>8.6999999999999994E-2</v>
      </c>
      <c r="AF76" s="67">
        <f>交易记录!AG9+交易记录!AG73+交易记录!AG137+交易记录!AG201+交易记录!AG265+交易记录!AG329+交易记录!AG393+交易记录!AG457+交易记录!AG521+交易记录!AG585+交易记录!AG649+交易记录!AG713+交易记录!AG777+交易记录!AG841+交易记录!AG905</f>
        <v>8.6999999999999994E-2</v>
      </c>
      <c r="AG76" s="67">
        <f>交易记录!AH9+交易记录!AH73+交易记录!AH137+交易记录!AH201+交易记录!AH265+交易记录!AH329+交易记录!AH393+交易记录!AH457+交易记录!AH521+交易记录!AH585+交易记录!AH649+交易记录!AH713+交易记录!AH777+交易记录!AH841+交易记录!AH905</f>
        <v>8.6999999999999994E-2</v>
      </c>
      <c r="AH76" s="53">
        <f t="shared" si="3"/>
        <v>2.588000000000001</v>
      </c>
      <c r="AI76" s="54"/>
      <c r="AJ76" s="55"/>
      <c r="AK76" s="53"/>
    </row>
    <row r="77" spans="2:72" s="3" customFormat="1" ht="15">
      <c r="B77" s="7" t="s">
        <v>11</v>
      </c>
      <c r="C77" s="67">
        <f>交易记录!D10+交易记录!D74+交易记录!D138+交易记录!D202+交易记录!D266+交易记录!D330+交易记录!D394+交易记录!D458+交易记录!D522+交易记录!D586+交易记录!D650+交易记录!D714+交易记录!D778+交易记录!D842+交易记录!D906</f>
        <v>7.1999999999999995E-2</v>
      </c>
      <c r="D77" s="67">
        <f>交易记录!E10+交易记录!E74+交易记录!E138+交易记录!E202+交易记录!E266+交易记录!E330+交易记录!E394+交易记录!E458+交易记录!E522+交易记录!E586+交易记录!E650+交易记录!E714+交易记录!E778+交易记录!E842+交易记录!E906</f>
        <v>8.6999999999999994E-2</v>
      </c>
      <c r="E77" s="67">
        <f>交易记录!F10+交易记录!F74+交易记录!F138+交易记录!F202+交易记录!F266+交易记录!F330+交易记录!F394+交易记录!F458+交易记录!F522+交易记录!F586+交易记录!F650+交易记录!F714+交易记录!F778+交易记录!F842+交易记录!F906</f>
        <v>8.6999999999999994E-2</v>
      </c>
      <c r="F77" s="67">
        <f>交易记录!G10+交易记录!G74+交易记录!G138+交易记录!G202+交易记录!G266+交易记录!G330+交易记录!G394+交易记录!G458+交易记录!G522+交易记录!G586+交易记录!G650+交易记录!G714+交易记录!G778+交易记录!G842+交易记录!G906</f>
        <v>8.6999999999999994E-2</v>
      </c>
      <c r="G77" s="67">
        <f>交易记录!H10+交易记录!H74+交易记录!H138+交易记录!H202+交易记录!H266+交易记录!H330+交易记录!H394+交易记录!H458+交易记录!H522+交易记录!H586+交易记录!H650+交易记录!H714+交易记录!H778+交易记录!H842+交易记录!H906</f>
        <v>7.5000000000000011E-2</v>
      </c>
      <c r="H77" s="67">
        <f>交易记录!I10+交易记录!I74+交易记录!I138+交易记录!I202+交易记录!I266+交易记录!I330+交易记录!I394+交易记录!I458+交易记录!I522+交易记录!I586+交易记录!I650+交易记录!I714+交易记录!I778+交易记录!I842+交易记录!I906</f>
        <v>7.5000000000000011E-2</v>
      </c>
      <c r="I77" s="67">
        <f>交易记录!J10+交易记录!J74+交易记录!J138+交易记录!J202+交易记录!J266+交易记录!J330+交易记录!J394+交易记录!J458+交易记录!J522+交易记录!J586+交易记录!J650+交易记录!J714+交易记录!J778+交易记录!J842+交易记录!J906</f>
        <v>8.6999999999999994E-2</v>
      </c>
      <c r="J77" s="67">
        <f>交易记录!K10+交易记录!K74+交易记录!K138+交易记录!K202+交易记录!K266+交易记录!K330+交易记录!K394+交易记录!K458+交易记录!K522+交易记录!K586+交易记录!K650+交易记录!K714+交易记录!K778+交易记录!K842+交易记录!K906</f>
        <v>8.6999999999999994E-2</v>
      </c>
      <c r="K77" s="67">
        <f>交易记录!L10+交易记录!L74+交易记录!L138+交易记录!L202+交易记录!L266+交易记录!L330+交易记录!L394+交易记录!L458+交易记录!L522+交易记录!L586+交易记录!L650+交易记录!L714+交易记录!L778+交易记录!L842+交易记录!L906</f>
        <v>8.6999999999999994E-2</v>
      </c>
      <c r="L77" s="67">
        <f>交易记录!M10+交易记录!M74+交易记录!M138+交易记录!M202+交易记录!M266+交易记录!M330+交易记录!M394+交易记录!M458+交易记录!M522+交易记录!M586+交易记录!M650+交易记录!M714+交易记录!M778+交易记录!M842+交易记录!M906</f>
        <v>8.6999999999999994E-2</v>
      </c>
      <c r="M77" s="67">
        <f>交易记录!N10+交易记录!N74+交易记录!N138+交易记录!N202+交易记录!N266+交易记录!N330+交易记录!N394+交易记录!N458+交易记录!N522+交易记录!N586+交易记录!N650+交易记录!N714+交易记录!N778+交易记录!N842+交易记录!N906</f>
        <v>8.6999999999999994E-2</v>
      </c>
      <c r="N77" s="67">
        <f>交易记录!O10+交易记录!O74+交易记录!O138+交易记录!O202+交易记录!O266+交易记录!O330+交易记录!O394+交易记录!O458+交易记录!O522+交易记录!O586+交易记录!O650+交易记录!O714+交易记录!O778+交易记录!O842+交易记录!O906</f>
        <v>7.5000000000000011E-2</v>
      </c>
      <c r="O77" s="67">
        <f>交易记录!P10+交易记录!P74+交易记录!P138+交易记录!P202+交易记录!P266+交易记录!P330+交易记录!P394+交易记录!P458+交易记录!P522+交易记录!P586+交易记录!P650+交易记录!P714+交易记录!P778+交易记录!P842+交易记录!P906</f>
        <v>7.5000000000000011E-2</v>
      </c>
      <c r="P77" s="67">
        <f>交易记录!Q10+交易记录!Q74+交易记录!Q138+交易记录!Q202+交易记录!Q266+交易记录!Q330+交易记录!Q394+交易记录!Q458+交易记录!Q522+交易记录!Q586+交易记录!Q650+交易记录!Q714+交易记录!Q778+交易记录!Q842+交易记录!Q906</f>
        <v>8.6999999999999994E-2</v>
      </c>
      <c r="Q77" s="67">
        <f>交易记录!R10+交易记录!R74+交易记录!R138+交易记录!R202+交易记录!R266+交易记录!R330+交易记录!R394+交易记录!R458+交易记录!R522+交易记录!R586+交易记录!R650+交易记录!R714+交易记录!R778+交易记录!R842+交易记录!R906</f>
        <v>8.6999999999999994E-2</v>
      </c>
      <c r="R77" s="67">
        <f>交易记录!S10+交易记录!S74+交易记录!S138+交易记录!S202+交易记录!S266+交易记录!S330+交易记录!S394+交易记录!S458+交易记录!S522+交易记录!S586+交易记录!S650+交易记录!S714+交易记录!S778+交易记录!S842+交易记录!S906</f>
        <v>8.6999999999999994E-2</v>
      </c>
      <c r="S77" s="67">
        <f>交易记录!T10+交易记录!T74+交易记录!T138+交易记录!T202+交易记录!T266+交易记录!T330+交易记录!T394+交易记录!T458+交易记录!T522+交易记录!T586+交易记录!T650+交易记录!T714+交易记录!T778+交易记录!T842+交易记录!T906</f>
        <v>8.6999999999999994E-2</v>
      </c>
      <c r="T77" s="67">
        <f>交易记录!U10+交易记录!U74+交易记录!U138+交易记录!U202+交易记录!U266+交易记录!U330+交易记录!U394+交易记录!U458+交易记录!U522+交易记录!U586+交易记录!U650+交易记录!U714+交易记录!U778+交易记录!U842+交易记录!U906</f>
        <v>8.6999999999999994E-2</v>
      </c>
      <c r="U77" s="67">
        <f>交易记录!V10+交易记录!V74+交易记录!V138+交易记录!V202+交易记录!V266+交易记录!V330+交易记录!V394+交易记录!V458+交易记录!V522+交易记录!V586+交易记录!V650+交易记录!V714+交易记录!V778+交易记录!V842+交易记录!V906</f>
        <v>7.5000000000000011E-2</v>
      </c>
      <c r="V77" s="67">
        <f>交易记录!W10+交易记录!W74+交易记录!W138+交易记录!W202+交易记录!W266+交易记录!W330+交易记录!W394+交易记录!W458+交易记录!W522+交易记录!W586+交易记录!W650+交易记录!W714+交易记录!W778+交易记录!W842+交易记录!W906</f>
        <v>7.5000000000000011E-2</v>
      </c>
      <c r="W77" s="67">
        <f>交易记录!X10+交易记录!X74+交易记录!X138+交易记录!X202+交易记录!X266+交易记录!X330+交易记录!X394+交易记录!X458+交易记录!X522+交易记录!X586+交易记录!X650+交易记录!X714+交易记录!X778+交易记录!X842+交易记录!X906</f>
        <v>8.6999999999999994E-2</v>
      </c>
      <c r="X77" s="67">
        <f>交易记录!Y10+交易记录!Y74+交易记录!Y138+交易记录!Y202+交易记录!Y266+交易记录!Y330+交易记录!Y394+交易记录!Y458+交易记录!Y522+交易记录!Y586+交易记录!Y650+交易记录!Y714+交易记录!Y778+交易记录!Y842+交易记录!Y906</f>
        <v>8.6999999999999994E-2</v>
      </c>
      <c r="Y77" s="67">
        <f>交易记录!Z10+交易记录!Z74+交易记录!Z138+交易记录!Z202+交易记录!Z266+交易记录!Z330+交易记录!Z394+交易记录!Z458+交易记录!Z522+交易记录!Z586+交易记录!Z650+交易记录!Z714+交易记录!Z778+交易记录!Z842+交易记录!Z906</f>
        <v>8.6999999999999994E-2</v>
      </c>
      <c r="Z77" s="67">
        <f>交易记录!AA10+交易记录!AA74+交易记录!AA138+交易记录!AA202+交易记录!AA266+交易记录!AA330+交易记录!AA394+交易记录!AA458+交易记录!AA522+交易记录!AA586+交易记录!AA650+交易记录!AA714+交易记录!AA778+交易记录!AA842+交易记录!AA906</f>
        <v>8.6999999999999994E-2</v>
      </c>
      <c r="AA77" s="67">
        <f>交易记录!AB10+交易记录!AB74+交易记录!AB138+交易记录!AB202+交易记录!AB266+交易记录!AB330+交易记录!AB394+交易记录!AB458+交易记录!AB522+交易记录!AB586+交易记录!AB650+交易记录!AB714+交易记录!AB778+交易记录!AB842+交易记录!AB906</f>
        <v>8.6999999999999994E-2</v>
      </c>
      <c r="AB77" s="67">
        <f>交易记录!AC10+交易记录!AC74+交易记录!AC138+交易记录!AC202+交易记录!AC266+交易记录!AC330+交易记录!AC394+交易记录!AC458+交易记录!AC522+交易记录!AC586+交易记录!AC650+交易记录!AC714+交易记录!AC778+交易记录!AC842+交易记录!AC906</f>
        <v>7.5000000000000011E-2</v>
      </c>
      <c r="AC77" s="67">
        <f>交易记录!AD10+交易记录!AD74+交易记录!AD138+交易记录!AD202+交易记录!AD266+交易记录!AD330+交易记录!AD394+交易记录!AD458+交易记录!AD522+交易记录!AD586+交易记录!AD650+交易记录!AD714+交易记录!AD778+交易记录!AD842+交易记录!AD906</f>
        <v>7.5000000000000011E-2</v>
      </c>
      <c r="AD77" s="67">
        <f>交易记录!AE10+交易记录!AE74+交易记录!AE138+交易记录!AE202+交易记录!AE266+交易记录!AE330+交易记录!AE394+交易记录!AE458+交易记录!AE522+交易记录!AE586+交易记录!AE650+交易记录!AE714+交易记录!AE778+交易记录!AE842+交易记录!AE906</f>
        <v>8.6999999999999994E-2</v>
      </c>
      <c r="AE77" s="67">
        <f>交易记录!AF10+交易记录!AF74+交易记录!AF138+交易记录!AF202+交易记录!AF266+交易记录!AF330+交易记录!AF394+交易记录!AF458+交易记录!AF522+交易记录!AF586+交易记录!AF650+交易记录!AF714+交易记录!AF778+交易记录!AF842+交易记录!AF906</f>
        <v>8.6999999999999994E-2</v>
      </c>
      <c r="AF77" s="67">
        <f>交易记录!AG10+交易记录!AG74+交易记录!AG138+交易记录!AG202+交易记录!AG266+交易记录!AG330+交易记录!AG394+交易记录!AG458+交易记录!AG522+交易记录!AG586+交易记录!AG650+交易记录!AG714+交易记录!AG778+交易记录!AG842+交易记录!AG906</f>
        <v>8.6999999999999994E-2</v>
      </c>
      <c r="AG77" s="67">
        <f>交易记录!AH10+交易记录!AH74+交易记录!AH138+交易记录!AH202+交易记录!AH266+交易记录!AH330+交易记录!AH394+交易记录!AH458+交易记录!AH522+交易记录!AH586+交易记录!AH650+交易记录!AH714+交易记录!AH778+交易记录!AH842+交易记录!AH906</f>
        <v>8.6999999999999994E-2</v>
      </c>
      <c r="AH77" s="53">
        <f t="shared" si="3"/>
        <v>2.5860000000000007</v>
      </c>
      <c r="AI77" s="54"/>
      <c r="AJ77" s="55"/>
      <c r="AK77" s="53"/>
    </row>
    <row r="78" spans="2:72" s="3" customFormat="1" ht="15">
      <c r="B78" s="7" t="s">
        <v>12</v>
      </c>
      <c r="C78" s="67">
        <f>交易记录!D11+交易记录!D75+交易记录!D139+交易记录!D203+交易记录!D267+交易记录!D331+交易记录!D395+交易记录!D459+交易记录!D523+交易记录!D587+交易记录!D651+交易记录!D715+交易记录!D779+交易记录!D843+交易记录!D907</f>
        <v>0.11800000000000001</v>
      </c>
      <c r="D78" s="67">
        <f>交易记录!E11+交易记录!E75+交易记录!E139+交易记录!E203+交易记录!E267+交易记录!E331+交易记录!E395+交易记录!E459+交易记录!E523+交易记录!E587+交易记录!E651+交易记录!E715+交易记录!E779+交易记录!E843+交易记录!E907</f>
        <v>0.14499999999999999</v>
      </c>
      <c r="E78" s="67">
        <f>交易记录!F11+交易记录!F75+交易记录!F139+交易记录!F203+交易记录!F267+交易记录!F331+交易记录!F395+交易记录!F459+交易记录!F523+交易记录!F587+交易记录!F651+交易记录!F715+交易记录!F779+交易记录!F843+交易记录!F907</f>
        <v>0.14499999999999999</v>
      </c>
      <c r="F78" s="67">
        <f>交易记录!G11+交易记录!G75+交易记录!G139+交易记录!G203+交易记录!G267+交易记录!G331+交易记录!G395+交易记录!G459+交易记录!G523+交易记录!G587+交易记录!G651+交易记录!G715+交易记录!G779+交易记录!G843+交易记录!G907</f>
        <v>0.14499999999999999</v>
      </c>
      <c r="G78" s="67">
        <f>交易记录!H11+交易记录!H75+交易记录!H139+交易记录!H203+交易记录!H267+交易记录!H331+交易记录!H395+交易记录!H459+交易记录!H523+交易记录!H587+交易记录!H651+交易记录!H715+交易记录!H779+交易记录!H843+交易记录!H907</f>
        <v>0.106</v>
      </c>
      <c r="H78" s="67">
        <f>交易记录!I11+交易记录!I75+交易记录!I139+交易记录!I203+交易记录!I267+交易记录!I331+交易记录!I395+交易记录!I459+交易记录!I523+交易记录!I587+交易记录!I651+交易记录!I715+交易记录!I779+交易记录!I843+交易记录!I907</f>
        <v>0.106</v>
      </c>
      <c r="I78" s="67">
        <f>交易记录!J11+交易记录!J75+交易记录!J139+交易记录!J203+交易记录!J267+交易记录!J331+交易记录!J395+交易记录!J459+交易记录!J523+交易记录!J587+交易记录!J651+交易记录!J715+交易记录!J779+交易记录!J843+交易记录!J907</f>
        <v>0.14499999999999999</v>
      </c>
      <c r="J78" s="67">
        <f>交易记录!K11+交易记录!K75+交易记录!K139+交易记录!K203+交易记录!K267+交易记录!K331+交易记录!K395+交易记录!K459+交易记录!K523+交易记录!K587+交易记录!K651+交易记录!K715+交易记录!K779+交易记录!K843+交易记录!K907</f>
        <v>0.14499999999999999</v>
      </c>
      <c r="K78" s="67">
        <f>交易记录!L11+交易记录!L75+交易记录!L139+交易记录!L203+交易记录!L267+交易记录!L331+交易记录!L395+交易记录!L459+交易记录!L523+交易记录!L587+交易记录!L651+交易记录!L715+交易记录!L779+交易记录!L843+交易记录!L907</f>
        <v>0.14499999999999999</v>
      </c>
      <c r="L78" s="67">
        <f>交易记录!M11+交易记录!M75+交易记录!M139+交易记录!M203+交易记录!M267+交易记录!M331+交易记录!M395+交易记录!M459+交易记录!M523+交易记录!M587+交易记录!M651+交易记录!M715+交易记录!M779+交易记录!M843+交易记录!M907</f>
        <v>0.14499999999999999</v>
      </c>
      <c r="M78" s="67">
        <f>交易记录!N11+交易记录!N75+交易记录!N139+交易记录!N203+交易记录!N267+交易记录!N331+交易记录!N395+交易记录!N459+交易记录!N523+交易记录!N587+交易记录!N651+交易记录!N715+交易记录!N779+交易记录!N843+交易记录!N907</f>
        <v>0.14499999999999999</v>
      </c>
      <c r="N78" s="67">
        <f>交易记录!O11+交易记录!O75+交易记录!O139+交易记录!O203+交易记录!O267+交易记录!O331+交易记录!O395+交易记录!O459+交易记录!O523+交易记录!O587+交易记录!O651+交易记录!O715+交易记录!O779+交易记录!O843+交易记录!O907</f>
        <v>0.106</v>
      </c>
      <c r="O78" s="67">
        <f>交易记录!P11+交易记录!P75+交易记录!P139+交易记录!P203+交易记录!P267+交易记录!P331+交易记录!P395+交易记录!P459+交易记录!P523+交易记录!P587+交易记录!P651+交易记录!P715+交易记录!P779+交易记录!P843+交易记录!P907</f>
        <v>0.106</v>
      </c>
      <c r="P78" s="67">
        <f>交易记录!Q11+交易记录!Q75+交易记录!Q139+交易记录!Q203+交易记录!Q267+交易记录!Q331+交易记录!Q395+交易记录!Q459+交易记录!Q523+交易记录!Q587+交易记录!Q651+交易记录!Q715+交易记录!Q779+交易记录!Q843+交易记录!Q907</f>
        <v>0.14499999999999999</v>
      </c>
      <c r="Q78" s="67">
        <f>交易记录!R11+交易记录!R75+交易记录!R139+交易记录!R203+交易记录!R267+交易记录!R331+交易记录!R395+交易记录!R459+交易记录!R523+交易记录!R587+交易记录!R651+交易记录!R715+交易记录!R779+交易记录!R843+交易记录!R907</f>
        <v>0.14499999999999999</v>
      </c>
      <c r="R78" s="67">
        <f>交易记录!S11+交易记录!S75+交易记录!S139+交易记录!S203+交易记录!S267+交易记录!S331+交易记录!S395+交易记录!S459+交易记录!S523+交易记录!S587+交易记录!S651+交易记录!S715+交易记录!S779+交易记录!S843+交易记录!S907</f>
        <v>0.14499999999999999</v>
      </c>
      <c r="S78" s="67">
        <f>交易记录!T11+交易记录!T75+交易记录!T139+交易记录!T203+交易记录!T267+交易记录!T331+交易记录!T395+交易记录!T459+交易记录!T523+交易记录!T587+交易记录!T651+交易记录!T715+交易记录!T779+交易记录!T843+交易记录!T907</f>
        <v>0.14499999999999999</v>
      </c>
      <c r="T78" s="67">
        <f>交易记录!U11+交易记录!U75+交易记录!U139+交易记录!U203+交易记录!U267+交易记录!U331+交易记录!U395+交易记录!U459+交易记录!U523+交易记录!U587+交易记录!U651+交易记录!U715+交易记录!U779+交易记录!U843+交易记录!U907</f>
        <v>0.14499999999999999</v>
      </c>
      <c r="U78" s="67">
        <f>交易记录!V11+交易记录!V75+交易记录!V139+交易记录!V203+交易记录!V267+交易记录!V331+交易记录!V395+交易记录!V459+交易记录!V523+交易记录!V587+交易记录!V651+交易记录!V715+交易记录!V779+交易记录!V843+交易记录!V907</f>
        <v>0.106</v>
      </c>
      <c r="V78" s="67">
        <f>交易记录!W11+交易记录!W75+交易记录!W139+交易记录!W203+交易记录!W267+交易记录!W331+交易记录!W395+交易记录!W459+交易记录!W523+交易记录!W587+交易记录!W651+交易记录!W715+交易记录!W779+交易记录!W843+交易记录!W907</f>
        <v>0.106</v>
      </c>
      <c r="W78" s="67">
        <f>交易记录!X11+交易记录!X75+交易记录!X139+交易记录!X203+交易记录!X267+交易记录!X331+交易记录!X395+交易记录!X459+交易记录!X523+交易记录!X587+交易记录!X651+交易记录!X715+交易记录!X779+交易记录!X843+交易记录!X907</f>
        <v>0.14499999999999999</v>
      </c>
      <c r="X78" s="67">
        <f>交易记录!Y11+交易记录!Y75+交易记录!Y139+交易记录!Y203+交易记录!Y267+交易记录!Y331+交易记录!Y395+交易记录!Y459+交易记录!Y523+交易记录!Y587+交易记录!Y651+交易记录!Y715+交易记录!Y779+交易记录!Y843+交易记录!Y907</f>
        <v>0.14499999999999999</v>
      </c>
      <c r="Y78" s="67">
        <f>交易记录!Z11+交易记录!Z75+交易记录!Z139+交易记录!Z203+交易记录!Z267+交易记录!Z331+交易记录!Z395+交易记录!Z459+交易记录!Z523+交易记录!Z587+交易记录!Z651+交易记录!Z715+交易记录!Z779+交易记录!Z843+交易记录!Z907</f>
        <v>0.14499999999999999</v>
      </c>
      <c r="Z78" s="67">
        <f>交易记录!AA11+交易记录!AA75+交易记录!AA139+交易记录!AA203+交易记录!AA267+交易记录!AA331+交易记录!AA395+交易记录!AA459+交易记录!AA523+交易记录!AA587+交易记录!AA651+交易记录!AA715+交易记录!AA779+交易记录!AA843+交易记录!AA907</f>
        <v>0.14499999999999999</v>
      </c>
      <c r="AA78" s="67">
        <f>交易记录!AB11+交易记录!AB75+交易记录!AB139+交易记录!AB203+交易记录!AB267+交易记录!AB331+交易记录!AB395+交易记录!AB459+交易记录!AB523+交易记录!AB587+交易记录!AB651+交易记录!AB715+交易记录!AB779+交易记录!AB843+交易记录!AB907</f>
        <v>0.14499999999999999</v>
      </c>
      <c r="AB78" s="67">
        <f>交易记录!AC11+交易记录!AC75+交易记录!AC139+交易记录!AC203+交易记录!AC267+交易记录!AC331+交易记录!AC395+交易记录!AC459+交易记录!AC523+交易记录!AC587+交易记录!AC651+交易记录!AC715+交易记录!AC779+交易记录!AC843+交易记录!AC907</f>
        <v>0.106</v>
      </c>
      <c r="AC78" s="67">
        <f>交易记录!AD11+交易记录!AD75+交易记录!AD139+交易记录!AD203+交易记录!AD267+交易记录!AD331+交易记录!AD395+交易记录!AD459+交易记录!AD523+交易记录!AD587+交易记录!AD651+交易记录!AD715+交易记录!AD779+交易记录!AD843+交易记录!AD907</f>
        <v>0.106</v>
      </c>
      <c r="AD78" s="67">
        <f>交易记录!AE11+交易记录!AE75+交易记录!AE139+交易记录!AE203+交易记录!AE267+交易记录!AE331+交易记录!AE395+交易记录!AE459+交易记录!AE523+交易记录!AE587+交易记录!AE651+交易记录!AE715+交易记录!AE779+交易记录!AE843+交易记录!AE907</f>
        <v>0.14499999999999999</v>
      </c>
      <c r="AE78" s="67">
        <f>交易记录!AF11+交易记录!AF75+交易记录!AF139+交易记录!AF203+交易记录!AF267+交易记录!AF331+交易记录!AF395+交易记录!AF459+交易记录!AF523+交易记录!AF587+交易记录!AF651+交易记录!AF715+交易记录!AF779+交易记录!AF843+交易记录!AF907</f>
        <v>0.14499999999999999</v>
      </c>
      <c r="AF78" s="67">
        <f>交易记录!AG11+交易记录!AG75+交易记录!AG139+交易记录!AG203+交易记录!AG267+交易记录!AG331+交易记录!AG395+交易记录!AG459+交易记录!AG523+交易记录!AG587+交易记录!AG651+交易记录!AG715+交易记录!AG779+交易记录!AG843+交易记录!AG907</f>
        <v>0.14499999999999999</v>
      </c>
      <c r="AG78" s="67">
        <f>交易记录!AH11+交易记录!AH75+交易记录!AH139+交易记录!AH203+交易记录!AH267+交易记录!AH331+交易记录!AH395+交易记录!AH459+交易记录!AH523+交易记录!AH587+交易记录!AH651+交易记录!AH715+交易记录!AH779+交易记录!AH843+交易记录!AH907</f>
        <v>0.14499999999999999</v>
      </c>
      <c r="AH78" s="53">
        <f t="shared" si="3"/>
        <v>4.1559999999999988</v>
      </c>
      <c r="AI78" s="54"/>
      <c r="AJ78" s="55"/>
      <c r="AK78" s="53"/>
    </row>
    <row r="79" spans="2:72" s="3" customFormat="1" ht="15">
      <c r="B79" s="7" t="s">
        <v>13</v>
      </c>
      <c r="C79" s="67">
        <f>交易记录!D12+交易记录!D76+交易记录!D140+交易记录!D204+交易记录!D268+交易记录!D332+交易记录!D396+交易记录!D460+交易记录!D524+交易记录!D588+交易记录!D652+交易记录!D716+交易记录!D780+交易记录!D844+交易记录!D908</f>
        <v>0.13500000000000001</v>
      </c>
      <c r="D79" s="67">
        <f>交易记录!E12+交易记录!E76+交易记录!E140+交易记录!E204+交易记录!E268+交易记录!E332+交易记录!E396+交易记录!E460+交易记录!E524+交易记录!E588+交易记录!E652+交易记录!E716+交易记录!E780+交易记录!E844+交易记录!E908</f>
        <v>0.307</v>
      </c>
      <c r="E79" s="67">
        <f>交易记录!F12+交易记录!F76+交易记录!F140+交易记录!F204+交易记录!F268+交易记录!F332+交易记录!F396+交易记录!F460+交易记录!F524+交易记录!F588+交易记录!F652+交易记录!F716+交易记录!F780+交易记录!F844+交易记录!F908</f>
        <v>0.307</v>
      </c>
      <c r="F79" s="67">
        <f>交易记录!G12+交易记录!G76+交易记录!G140+交易记录!G204+交易记录!G268+交易记录!G332+交易记录!G396+交易记录!G460+交易记录!G524+交易记录!G588+交易记录!G652+交易记录!G716+交易记录!G780+交易记录!G844+交易记录!G908</f>
        <v>0.307</v>
      </c>
      <c r="G79" s="67">
        <f>交易记录!H12+交易记录!H76+交易记录!H140+交易记录!H204+交易记录!H268+交易记录!H332+交易记录!H396+交易记录!H460+交易记录!H524+交易记录!H588+交易记录!H652+交易记录!H716+交易记录!H780+交易记录!H844+交易记录!H908</f>
        <v>0.11600000000000001</v>
      </c>
      <c r="H79" s="67">
        <f>交易记录!I12+交易记录!I76+交易记录!I140+交易记录!I204+交易记录!I268+交易记录!I332+交易记录!I396+交易记录!I460+交易记录!I524+交易记录!I588+交易记录!I652+交易记录!I716+交易记录!I780+交易记录!I844+交易记录!I908</f>
        <v>0.11600000000000001</v>
      </c>
      <c r="I79" s="67">
        <f>交易记录!J12+交易记录!J76+交易记录!J140+交易记录!J204+交易记录!J268+交易记录!J332+交易记录!J396+交易记录!J460+交易记录!J524+交易记录!J588+交易记录!J652+交易记录!J716+交易记录!J780+交易记录!J844+交易记录!J908</f>
        <v>0.307</v>
      </c>
      <c r="J79" s="67">
        <f>交易记录!K12+交易记录!K76+交易记录!K140+交易记录!K204+交易记录!K268+交易记录!K332+交易记录!K396+交易记录!K460+交易记录!K524+交易记录!K588+交易记录!K652+交易记录!K716+交易记录!K780+交易记录!K844+交易记录!K908</f>
        <v>0.307</v>
      </c>
      <c r="K79" s="67">
        <f>交易记录!L12+交易记录!L76+交易记录!L140+交易记录!L204+交易记录!L268+交易记录!L332+交易记录!L396+交易记录!L460+交易记录!L524+交易记录!L588+交易记录!L652+交易记录!L716+交易记录!L780+交易记录!L844+交易记录!L908</f>
        <v>0.307</v>
      </c>
      <c r="L79" s="67">
        <f>交易记录!M12+交易记录!M76+交易记录!M140+交易记录!M204+交易记录!M268+交易记录!M332+交易记录!M396+交易记录!M460+交易记录!M524+交易记录!M588+交易记录!M652+交易记录!M716+交易记录!M780+交易记录!M844+交易记录!M908</f>
        <v>0.307</v>
      </c>
      <c r="M79" s="67">
        <f>交易记录!N12+交易记录!N76+交易记录!N140+交易记录!N204+交易记录!N268+交易记录!N332+交易记录!N396+交易记录!N460+交易记录!N524+交易记录!N588+交易记录!N652+交易记录!N716+交易记录!N780+交易记录!N844+交易记录!N908</f>
        <v>0.307</v>
      </c>
      <c r="N79" s="67">
        <f>交易记录!O12+交易记录!O76+交易记录!O140+交易记录!O204+交易记录!O268+交易记录!O332+交易记录!O396+交易记录!O460+交易记录!O524+交易记录!O588+交易记录!O652+交易记录!O716+交易记录!O780+交易记录!O844+交易记录!O908</f>
        <v>0.11600000000000001</v>
      </c>
      <c r="O79" s="67">
        <f>交易记录!P12+交易记录!P76+交易记录!P140+交易记录!P204+交易记录!P268+交易记录!P332+交易记录!P396+交易记录!P460+交易记录!P524+交易记录!P588+交易记录!P652+交易记录!P716+交易记录!P780+交易记录!P844+交易记录!P908</f>
        <v>0.11600000000000001</v>
      </c>
      <c r="P79" s="67">
        <f>交易记录!Q12+交易记录!Q76+交易记录!Q140+交易记录!Q204+交易记录!Q268+交易记录!Q332+交易记录!Q396+交易记录!Q460+交易记录!Q524+交易记录!Q588+交易记录!Q652+交易记录!Q716+交易记录!Q780+交易记录!Q844+交易记录!Q908</f>
        <v>0.307</v>
      </c>
      <c r="Q79" s="67">
        <f>交易记录!R12+交易记录!R76+交易记录!R140+交易记录!R204+交易记录!R268+交易记录!R332+交易记录!R396+交易记录!R460+交易记录!R524+交易记录!R588+交易记录!R652+交易记录!R716+交易记录!R780+交易记录!R844+交易记录!R908</f>
        <v>0.307</v>
      </c>
      <c r="R79" s="67">
        <f>交易记录!S12+交易记录!S76+交易记录!S140+交易记录!S204+交易记录!S268+交易记录!S332+交易记录!S396+交易记录!S460+交易记录!S524+交易记录!S588+交易记录!S652+交易记录!S716+交易记录!S780+交易记录!S844+交易记录!S908</f>
        <v>0.307</v>
      </c>
      <c r="S79" s="67">
        <f>交易记录!T12+交易记录!T76+交易记录!T140+交易记录!T204+交易记录!T268+交易记录!T332+交易记录!T396+交易记录!T460+交易记录!T524+交易记录!T588+交易记录!T652+交易记录!T716+交易记录!T780+交易记录!T844+交易记录!T908</f>
        <v>0.307</v>
      </c>
      <c r="T79" s="67">
        <f>交易记录!U12+交易记录!U76+交易记录!U140+交易记录!U204+交易记录!U268+交易记录!U332+交易记录!U396+交易记录!U460+交易记录!U524+交易记录!U588+交易记录!U652+交易记录!U716+交易记录!U780+交易记录!U844+交易记录!U908</f>
        <v>0.307</v>
      </c>
      <c r="U79" s="67">
        <f>交易记录!V12+交易记录!V76+交易记录!V140+交易记录!V204+交易记录!V268+交易记录!V332+交易记录!V396+交易记录!V460+交易记录!V524+交易记录!V588+交易记录!V652+交易记录!V716+交易记录!V780+交易记录!V844+交易记录!V908</f>
        <v>0.11600000000000001</v>
      </c>
      <c r="V79" s="67">
        <f>交易记录!W12+交易记录!W76+交易记录!W140+交易记录!W204+交易记录!W268+交易记录!W332+交易记录!W396+交易记录!W460+交易记录!W524+交易记录!W588+交易记录!W652+交易记录!W716+交易记录!W780+交易记录!W844+交易记录!W908</f>
        <v>0.11600000000000001</v>
      </c>
      <c r="W79" s="67">
        <f>交易记录!X12+交易记录!X76+交易记录!X140+交易记录!X204+交易记录!X268+交易记录!X332+交易记录!X396+交易记录!X460+交易记录!X524+交易记录!X588+交易记录!X652+交易记录!X716+交易记录!X780+交易记录!X844+交易记录!X908</f>
        <v>0.307</v>
      </c>
      <c r="X79" s="67">
        <f>交易记录!Y12+交易记录!Y76+交易记录!Y140+交易记录!Y204+交易记录!Y268+交易记录!Y332+交易记录!Y396+交易记录!Y460+交易记录!Y524+交易记录!Y588+交易记录!Y652+交易记录!Y716+交易记录!Y780+交易记录!Y844+交易记录!Y908</f>
        <v>0.307</v>
      </c>
      <c r="Y79" s="67">
        <f>交易记录!Z12+交易记录!Z76+交易记录!Z140+交易记录!Z204+交易记录!Z268+交易记录!Z332+交易记录!Z396+交易记录!Z460+交易记录!Z524+交易记录!Z588+交易记录!Z652+交易记录!Z716+交易记录!Z780+交易记录!Z844+交易记录!Z908</f>
        <v>0.307</v>
      </c>
      <c r="Z79" s="67">
        <f>交易记录!AA12+交易记录!AA76+交易记录!AA140+交易记录!AA204+交易记录!AA268+交易记录!AA332+交易记录!AA396+交易记录!AA460+交易记录!AA524+交易记录!AA588+交易记录!AA652+交易记录!AA716+交易记录!AA780+交易记录!AA844+交易记录!AA908</f>
        <v>0.307</v>
      </c>
      <c r="AA79" s="67">
        <f>交易记录!AB12+交易记录!AB76+交易记录!AB140+交易记录!AB204+交易记录!AB268+交易记录!AB332+交易记录!AB396+交易记录!AB460+交易记录!AB524+交易记录!AB588+交易记录!AB652+交易记录!AB716+交易记录!AB780+交易记录!AB844+交易记录!AB908</f>
        <v>0.307</v>
      </c>
      <c r="AB79" s="67">
        <f>交易记录!AC12+交易记录!AC76+交易记录!AC140+交易记录!AC204+交易记录!AC268+交易记录!AC332+交易记录!AC396+交易记录!AC460+交易记录!AC524+交易记录!AC588+交易记录!AC652+交易记录!AC716+交易记录!AC780+交易记录!AC844+交易记录!AC908</f>
        <v>0.11600000000000001</v>
      </c>
      <c r="AC79" s="67">
        <f>交易记录!AD12+交易记录!AD76+交易记录!AD140+交易记录!AD204+交易记录!AD268+交易记录!AD332+交易记录!AD396+交易记录!AD460+交易记录!AD524+交易记录!AD588+交易记录!AD652+交易记录!AD716+交易记录!AD780+交易记录!AD844+交易记录!AD908</f>
        <v>0.11600000000000001</v>
      </c>
      <c r="AD79" s="67">
        <f>交易记录!AE12+交易记录!AE76+交易记录!AE140+交易记录!AE204+交易记录!AE268+交易记录!AE332+交易记录!AE396+交易记录!AE460+交易记录!AE524+交易记录!AE588+交易记录!AE652+交易记录!AE716+交易记录!AE780+交易记录!AE844+交易记录!AE908</f>
        <v>0.307</v>
      </c>
      <c r="AE79" s="67">
        <f>交易记录!AF12+交易记录!AF76+交易记录!AF140+交易记录!AF204+交易记录!AF268+交易记录!AF332+交易记录!AF396+交易记录!AF460+交易记录!AF524+交易记录!AF588+交易记录!AF652+交易记录!AF716+交易记录!AF780+交易记录!AF844+交易记录!AF908</f>
        <v>0.307</v>
      </c>
      <c r="AF79" s="67">
        <f>交易记录!AG12+交易记录!AG76+交易记录!AG140+交易记录!AG204+交易记录!AG268+交易记录!AG332+交易记录!AG396+交易记录!AG460+交易记录!AG524+交易记录!AG588+交易记录!AG652+交易记录!AG716+交易记录!AG780+交易记录!AG844+交易记录!AG908</f>
        <v>0.307</v>
      </c>
      <c r="AG79" s="67">
        <f>交易记录!AH12+交易记录!AH76+交易记录!AH140+交易记录!AH204+交易记录!AH268+交易记录!AH332+交易记录!AH396+交易记录!AH460+交易记录!AH524+交易记录!AH588+交易记录!AH652+交易记录!AH716+交易记录!AH780+交易记录!AH844+交易记录!AH908</f>
        <v>0.307</v>
      </c>
      <c r="AH79" s="53">
        <f t="shared" si="3"/>
        <v>7.8170000000000028</v>
      </c>
      <c r="AI79" s="54"/>
      <c r="AJ79" s="55"/>
      <c r="AK79" s="53"/>
    </row>
    <row r="80" spans="2:72" s="3" customFormat="1" ht="15">
      <c r="B80" s="7" t="s">
        <v>14</v>
      </c>
      <c r="C80" s="67">
        <f>交易记录!D13+交易记录!D77+交易记录!D141+交易记录!D205+交易记录!D269+交易记录!D333+交易记录!D397+交易记录!D461+交易记录!D525+交易记录!D589+交易记录!D653+交易记录!D717+交易记录!D781+交易记录!D845+交易记录!D909</f>
        <v>0.26100000000000001</v>
      </c>
      <c r="D80" s="67">
        <f>交易记录!E13+交易记录!E77+交易记录!E141+交易记录!E205+交易记录!E269+交易记录!E333+交易记录!E397+交易记录!E461+交易记录!E525+交易记录!E589+交易记录!E653+交易记录!E717+交易记录!E781+交易记录!E845+交易记录!E909</f>
        <v>0.42800000000000005</v>
      </c>
      <c r="E80" s="67">
        <f>交易记录!F13+交易记录!F77+交易记录!F141+交易记录!F205+交易记录!F269+交易记录!F333+交易记录!F397+交易记录!F461+交易记录!F525+交易记录!F589+交易记录!F653+交易记录!F717+交易记录!F781+交易记录!F845+交易记录!F909</f>
        <v>0.42800000000000005</v>
      </c>
      <c r="F80" s="67">
        <f>交易记录!G13+交易记录!G77+交易记录!G141+交易记录!G205+交易记录!G269+交易记录!G333+交易记录!G397+交易记录!G461+交易记录!G525+交易记录!G589+交易记录!G653+交易记录!G717+交易记录!G781+交易记录!G845+交易记录!G909</f>
        <v>0.42800000000000005</v>
      </c>
      <c r="G80" s="67">
        <f>交易记录!H13+交易记录!H77+交易记录!H141+交易记录!H205+交易记录!H269+交易记录!H333+交易记录!H397+交易记录!H461+交易记录!H525+交易记录!H589+交易记录!H653+交易记录!H717+交易记录!H781+交易记录!H845+交易记录!H909</f>
        <v>0.122</v>
      </c>
      <c r="H80" s="67">
        <f>交易记录!I13+交易记录!I77+交易记录!I141+交易记录!I205+交易记录!I269+交易记录!I333+交易记录!I397+交易记录!I461+交易记录!I525+交易记录!I589+交易记录!I653+交易记录!I717+交易记录!I781+交易记录!I845+交易记录!I909</f>
        <v>0.122</v>
      </c>
      <c r="I80" s="67">
        <f>交易记录!J13+交易记录!J77+交易记录!J141+交易记录!J205+交易记录!J269+交易记录!J333+交易记录!J397+交易记录!J461+交易记录!J525+交易记录!J589+交易记录!J653+交易记录!J717+交易记录!J781+交易记录!J845+交易记录!J909</f>
        <v>0.42800000000000005</v>
      </c>
      <c r="J80" s="67">
        <f>交易记录!K13+交易记录!K77+交易记录!K141+交易记录!K205+交易记录!K269+交易记录!K333+交易记录!K397+交易记录!K461+交易记录!K525+交易记录!K589+交易记录!K653+交易记录!K717+交易记录!K781+交易记录!K845+交易记录!K909</f>
        <v>0.42800000000000005</v>
      </c>
      <c r="K80" s="67">
        <f>交易记录!L13+交易记录!L77+交易记录!L141+交易记录!L205+交易记录!L269+交易记录!L333+交易记录!L397+交易记录!L461+交易记录!L525+交易记录!L589+交易记录!L653+交易记录!L717+交易记录!L781+交易记录!L845+交易记录!L909</f>
        <v>0.42800000000000005</v>
      </c>
      <c r="L80" s="67">
        <f>交易记录!M13+交易记录!M77+交易记录!M141+交易记录!M205+交易记录!M269+交易记录!M333+交易记录!M397+交易记录!M461+交易记录!M525+交易记录!M589+交易记录!M653+交易记录!M717+交易记录!M781+交易记录!M845+交易记录!M909</f>
        <v>0.42800000000000005</v>
      </c>
      <c r="M80" s="67">
        <f>交易记录!N13+交易记录!N77+交易记录!N141+交易记录!N205+交易记录!N269+交易记录!N333+交易记录!N397+交易记录!N461+交易记录!N525+交易记录!N589+交易记录!N653+交易记录!N717+交易记录!N781+交易记录!N845+交易记录!N909</f>
        <v>0.42800000000000005</v>
      </c>
      <c r="N80" s="67">
        <f>交易记录!O13+交易记录!O77+交易记录!O141+交易记录!O205+交易记录!O269+交易记录!O333+交易记录!O397+交易记录!O461+交易记录!O525+交易记录!O589+交易记录!O653+交易记录!O717+交易记录!O781+交易记录!O845+交易记录!O909</f>
        <v>0.122</v>
      </c>
      <c r="O80" s="67">
        <f>交易记录!P13+交易记录!P77+交易记录!P141+交易记录!P205+交易记录!P269+交易记录!P333+交易记录!P397+交易记录!P461+交易记录!P525+交易记录!P589+交易记录!P653+交易记录!P717+交易记录!P781+交易记录!P845+交易记录!P909</f>
        <v>0.122</v>
      </c>
      <c r="P80" s="67">
        <f>交易记录!Q13+交易记录!Q77+交易记录!Q141+交易记录!Q205+交易记录!Q269+交易记录!Q333+交易记录!Q397+交易记录!Q461+交易记录!Q525+交易记录!Q589+交易记录!Q653+交易记录!Q717+交易记录!Q781+交易记录!Q845+交易记录!Q909</f>
        <v>0.42800000000000005</v>
      </c>
      <c r="Q80" s="67">
        <f>交易记录!R13+交易记录!R77+交易记录!R141+交易记录!R205+交易记录!R269+交易记录!R333+交易记录!R397+交易记录!R461+交易记录!R525+交易记录!R589+交易记录!R653+交易记录!R717+交易记录!R781+交易记录!R845+交易记录!R909</f>
        <v>0.42800000000000005</v>
      </c>
      <c r="R80" s="67">
        <f>交易记录!S13+交易记录!S77+交易记录!S141+交易记录!S205+交易记录!S269+交易记录!S333+交易记录!S397+交易记录!S461+交易记录!S525+交易记录!S589+交易记录!S653+交易记录!S717+交易记录!S781+交易记录!S845+交易记录!S909</f>
        <v>0.42800000000000005</v>
      </c>
      <c r="S80" s="67">
        <f>交易记录!T13+交易记录!T77+交易记录!T141+交易记录!T205+交易记录!T269+交易记录!T333+交易记录!T397+交易记录!T461+交易记录!T525+交易记录!T589+交易记录!T653+交易记录!T717+交易记录!T781+交易记录!T845+交易记录!T909</f>
        <v>0.42800000000000005</v>
      </c>
      <c r="T80" s="67">
        <f>交易记录!U13+交易记录!U77+交易记录!U141+交易记录!U205+交易记录!U269+交易记录!U333+交易记录!U397+交易记录!U461+交易记录!U525+交易记录!U589+交易记录!U653+交易记录!U717+交易记录!U781+交易记录!U845+交易记录!U909</f>
        <v>0.42800000000000005</v>
      </c>
      <c r="U80" s="67">
        <f>交易记录!V13+交易记录!V77+交易记录!V141+交易记录!V205+交易记录!V269+交易记录!V333+交易记录!V397+交易记录!V461+交易记录!V525+交易记录!V589+交易记录!V653+交易记录!V717+交易记录!V781+交易记录!V845+交易记录!V909</f>
        <v>0.122</v>
      </c>
      <c r="V80" s="67">
        <f>交易记录!W13+交易记录!W77+交易记录!W141+交易记录!W205+交易记录!W269+交易记录!W333+交易记录!W397+交易记录!W461+交易记录!W525+交易记录!W589+交易记录!W653+交易记录!W717+交易记录!W781+交易记录!W845+交易记录!W909</f>
        <v>0.122</v>
      </c>
      <c r="W80" s="67">
        <f>交易记录!X13+交易记录!X77+交易记录!X141+交易记录!X205+交易记录!X269+交易记录!X333+交易记录!X397+交易记录!X461+交易记录!X525+交易记录!X589+交易记录!X653+交易记录!X717+交易记录!X781+交易记录!X845+交易记录!X909</f>
        <v>0.42800000000000005</v>
      </c>
      <c r="X80" s="67">
        <f>交易记录!Y13+交易记录!Y77+交易记录!Y141+交易记录!Y205+交易记录!Y269+交易记录!Y333+交易记录!Y397+交易记录!Y461+交易记录!Y525+交易记录!Y589+交易记录!Y653+交易记录!Y717+交易记录!Y781+交易记录!Y845+交易记录!Y909</f>
        <v>0.42800000000000005</v>
      </c>
      <c r="Y80" s="67">
        <f>交易记录!Z13+交易记录!Z77+交易记录!Z141+交易记录!Z205+交易记录!Z269+交易记录!Z333+交易记录!Z397+交易记录!Z461+交易记录!Z525+交易记录!Z589+交易记录!Z653+交易记录!Z717+交易记录!Z781+交易记录!Z845+交易记录!Z909</f>
        <v>0.42800000000000005</v>
      </c>
      <c r="Z80" s="67">
        <f>交易记录!AA13+交易记录!AA77+交易记录!AA141+交易记录!AA205+交易记录!AA269+交易记录!AA333+交易记录!AA397+交易记录!AA461+交易记录!AA525+交易记录!AA589+交易记录!AA653+交易记录!AA717+交易记录!AA781+交易记录!AA845+交易记录!AA909</f>
        <v>0.42800000000000005</v>
      </c>
      <c r="AA80" s="67">
        <f>交易记录!AB13+交易记录!AB77+交易记录!AB141+交易记录!AB205+交易记录!AB269+交易记录!AB333+交易记录!AB397+交易记录!AB461+交易记录!AB525+交易记录!AB589+交易记录!AB653+交易记录!AB717+交易记录!AB781+交易记录!AB845+交易记录!AB909</f>
        <v>0.42800000000000005</v>
      </c>
      <c r="AB80" s="67">
        <f>交易记录!AC13+交易记录!AC77+交易记录!AC141+交易记录!AC205+交易记录!AC269+交易记录!AC333+交易记录!AC397+交易记录!AC461+交易记录!AC525+交易记录!AC589+交易记录!AC653+交易记录!AC717+交易记录!AC781+交易记录!AC845+交易记录!AC909</f>
        <v>0.122</v>
      </c>
      <c r="AC80" s="67">
        <f>交易记录!AD13+交易记录!AD77+交易记录!AD141+交易记录!AD205+交易记录!AD269+交易记录!AD333+交易记录!AD397+交易记录!AD461+交易记录!AD525+交易记录!AD589+交易记录!AD653+交易记录!AD717+交易记录!AD781+交易记录!AD845+交易记录!AD909</f>
        <v>0.122</v>
      </c>
      <c r="AD80" s="67">
        <f>交易记录!AE13+交易记录!AE77+交易记录!AE141+交易记录!AE205+交易记录!AE269+交易记录!AE333+交易记录!AE397+交易记录!AE461+交易记录!AE525+交易记录!AE589+交易记录!AE653+交易记录!AE717+交易记录!AE781+交易记录!AE845+交易记录!AE909</f>
        <v>0.42800000000000005</v>
      </c>
      <c r="AE80" s="67">
        <f>交易记录!AF13+交易记录!AF77+交易记录!AF141+交易记录!AF205+交易记录!AF269+交易记录!AF333+交易记录!AF397+交易记录!AF461+交易记录!AF525+交易记录!AF589+交易记录!AF653+交易记录!AF717+交易记录!AF781+交易记录!AF845+交易记录!AF909</f>
        <v>0.42800000000000005</v>
      </c>
      <c r="AF80" s="67">
        <f>交易记录!AG13+交易记录!AG77+交易记录!AG141+交易记录!AG205+交易记录!AG269+交易记录!AG333+交易记录!AG397+交易记录!AG461+交易记录!AG525+交易记录!AG589+交易记录!AG653+交易记录!AG717+交易记录!AG781+交易记录!AG845+交易记录!AG909</f>
        <v>0.42800000000000005</v>
      </c>
      <c r="AG80" s="67">
        <f>交易记录!AH13+交易记录!AH77+交易记录!AH141+交易记录!AH205+交易记录!AH269+交易记录!AH333+交易记录!AH397+交易记录!AH461+交易记录!AH525+交易记录!AH589+交易记录!AH653+交易记录!AH717+交易记录!AH781+交易记录!AH845+交易记录!AH909</f>
        <v>0.42800000000000005</v>
      </c>
      <c r="AH80" s="53">
        <f t="shared" si="3"/>
        <v>10.653000000000002</v>
      </c>
      <c r="AI80" s="54"/>
      <c r="AJ80" s="55"/>
      <c r="AK80" s="53"/>
    </row>
    <row r="81" spans="2:37" s="3" customFormat="1" ht="15">
      <c r="B81" s="7" t="s">
        <v>15</v>
      </c>
      <c r="C81" s="67">
        <f>交易记录!D14+交易记录!D78+交易记录!D142+交易记录!D206+交易记录!D270+交易记录!D334+交易记录!D398+交易记录!D462+交易记录!D526+交易记录!D590+交易记录!D654+交易记录!D718+交易记录!D782+交易记录!D846+交易记录!D910</f>
        <v>0.28000000000000003</v>
      </c>
      <c r="D81" s="67">
        <f>交易记录!E14+交易记录!E78+交易记录!E142+交易记录!E206+交易记录!E270+交易记录!E334+交易记录!E398+交易记录!E462+交易记录!E526+交易记录!E590+交易记录!E654+交易记录!E718+交易记录!E782+交易记录!E846+交易记录!E910</f>
        <v>0.46100000000000002</v>
      </c>
      <c r="E81" s="67">
        <f>交易记录!F14+交易记录!F78+交易记录!F142+交易记录!F206+交易记录!F270+交易记录!F334+交易记录!F398+交易记录!F462+交易记录!F526+交易记录!F590+交易记录!F654+交易记录!F718+交易记录!F782+交易记录!F846+交易记录!F910</f>
        <v>0.46100000000000002</v>
      </c>
      <c r="F81" s="67">
        <f>交易记录!G14+交易记录!G78+交易记录!G142+交易记录!G206+交易记录!G270+交易记录!G334+交易记录!G398+交易记录!G462+交易记录!G526+交易记录!G590+交易记录!G654+交易记录!G718+交易记录!G782+交易记录!G846+交易记录!G910</f>
        <v>0.46100000000000002</v>
      </c>
      <c r="G81" s="67">
        <f>交易记录!H14+交易记录!H78+交易记录!H142+交易记录!H206+交易记录!H270+交易记录!H334+交易记录!H398+交易记录!H462+交易记录!H526+交易记录!H590+交易记录!H654+交易记录!H718+交易记录!H782+交易记录!H846+交易记录!H910</f>
        <v>0.127</v>
      </c>
      <c r="H81" s="67">
        <f>交易记录!I14+交易记录!I78+交易记录!I142+交易记录!I206+交易记录!I270+交易记录!I334+交易记录!I398+交易记录!I462+交易记录!I526+交易记录!I590+交易记录!I654+交易记录!I718+交易记录!I782+交易记录!I846+交易记录!I910</f>
        <v>0.127</v>
      </c>
      <c r="I81" s="67">
        <f>交易记录!J14+交易记录!J78+交易记录!J142+交易记录!J206+交易记录!J270+交易记录!J334+交易记录!J398+交易记录!J462+交易记录!J526+交易记录!J590+交易记录!J654+交易记录!J718+交易记录!J782+交易记录!J846+交易记录!J910</f>
        <v>0.46100000000000002</v>
      </c>
      <c r="J81" s="67">
        <f>交易记录!K14+交易记录!K78+交易记录!K142+交易记录!K206+交易记录!K270+交易记录!K334+交易记录!K398+交易记录!K462+交易记录!K526+交易记录!K590+交易记录!K654+交易记录!K718+交易记录!K782+交易记录!K846+交易记录!K910</f>
        <v>0.46100000000000002</v>
      </c>
      <c r="K81" s="67">
        <f>交易记录!L14+交易记录!L78+交易记录!L142+交易记录!L206+交易记录!L270+交易记录!L334+交易记录!L398+交易记录!L462+交易记录!L526+交易记录!L590+交易记录!L654+交易记录!L718+交易记录!L782+交易记录!L846+交易记录!L910</f>
        <v>0.46100000000000002</v>
      </c>
      <c r="L81" s="67">
        <f>交易记录!M14+交易记录!M78+交易记录!M142+交易记录!M206+交易记录!M270+交易记录!M334+交易记录!M398+交易记录!M462+交易记录!M526+交易记录!M590+交易记录!M654+交易记录!M718+交易记录!M782+交易记录!M846+交易记录!M910</f>
        <v>0.46100000000000002</v>
      </c>
      <c r="M81" s="67">
        <f>交易记录!N14+交易记录!N78+交易记录!N142+交易记录!N206+交易记录!N270+交易记录!N334+交易记录!N398+交易记录!N462+交易记录!N526+交易记录!N590+交易记录!N654+交易记录!N718+交易记录!N782+交易记录!N846+交易记录!N910</f>
        <v>0.46100000000000002</v>
      </c>
      <c r="N81" s="67">
        <f>交易记录!O14+交易记录!O78+交易记录!O142+交易记录!O206+交易记录!O270+交易记录!O334+交易记录!O398+交易记录!O462+交易记录!O526+交易记录!O590+交易记录!O654+交易记录!O718+交易记录!O782+交易记录!O846+交易记录!O910</f>
        <v>0.127</v>
      </c>
      <c r="O81" s="67">
        <f>交易记录!P14+交易记录!P78+交易记录!P142+交易记录!P206+交易记录!P270+交易记录!P334+交易记录!P398+交易记录!P462+交易记录!P526+交易记录!P590+交易记录!P654+交易记录!P718+交易记录!P782+交易记录!P846+交易记录!P910</f>
        <v>0.127</v>
      </c>
      <c r="P81" s="67">
        <f>交易记录!Q14+交易记录!Q78+交易记录!Q142+交易记录!Q206+交易记录!Q270+交易记录!Q334+交易记录!Q398+交易记录!Q462+交易记录!Q526+交易记录!Q590+交易记录!Q654+交易记录!Q718+交易记录!Q782+交易记录!Q846+交易记录!Q910</f>
        <v>0.46100000000000002</v>
      </c>
      <c r="Q81" s="67">
        <f>交易记录!R14+交易记录!R78+交易记录!R142+交易记录!R206+交易记录!R270+交易记录!R334+交易记录!R398+交易记录!R462+交易记录!R526+交易记录!R590+交易记录!R654+交易记录!R718+交易记录!R782+交易记录!R846+交易记录!R910</f>
        <v>0.46100000000000002</v>
      </c>
      <c r="R81" s="67">
        <f>交易记录!S14+交易记录!S78+交易记录!S142+交易记录!S206+交易记录!S270+交易记录!S334+交易记录!S398+交易记录!S462+交易记录!S526+交易记录!S590+交易记录!S654+交易记录!S718+交易记录!S782+交易记录!S846+交易记录!S910</f>
        <v>0.46100000000000002</v>
      </c>
      <c r="S81" s="67">
        <f>交易记录!T14+交易记录!T78+交易记录!T142+交易记录!T206+交易记录!T270+交易记录!T334+交易记录!T398+交易记录!T462+交易记录!T526+交易记录!T590+交易记录!T654+交易记录!T718+交易记录!T782+交易记录!T846+交易记录!T910</f>
        <v>0.46100000000000002</v>
      </c>
      <c r="T81" s="67">
        <f>交易记录!U14+交易记录!U78+交易记录!U142+交易记录!U206+交易记录!U270+交易记录!U334+交易记录!U398+交易记录!U462+交易记录!U526+交易记录!U590+交易记录!U654+交易记录!U718+交易记录!U782+交易记录!U846+交易记录!U910</f>
        <v>0.46100000000000002</v>
      </c>
      <c r="U81" s="67">
        <f>交易记录!V14+交易记录!V78+交易记录!V142+交易记录!V206+交易记录!V270+交易记录!V334+交易记录!V398+交易记录!V462+交易记录!V526+交易记录!V590+交易记录!V654+交易记录!V718+交易记录!V782+交易记录!V846+交易记录!V910</f>
        <v>0.127</v>
      </c>
      <c r="V81" s="67">
        <f>交易记录!W14+交易记录!W78+交易记录!W142+交易记录!W206+交易记录!W270+交易记录!W334+交易记录!W398+交易记录!W462+交易记录!W526+交易记录!W590+交易记录!W654+交易记录!W718+交易记录!W782+交易记录!W846+交易记录!W910</f>
        <v>0.127</v>
      </c>
      <c r="W81" s="67">
        <f>交易记录!X14+交易记录!X78+交易记录!X142+交易记录!X206+交易记录!X270+交易记录!X334+交易记录!X398+交易记录!X462+交易记录!X526+交易记录!X590+交易记录!X654+交易记录!X718+交易记录!X782+交易记录!X846+交易记录!X910</f>
        <v>0.46100000000000002</v>
      </c>
      <c r="X81" s="67">
        <f>交易记录!Y14+交易记录!Y78+交易记录!Y142+交易记录!Y206+交易记录!Y270+交易记录!Y334+交易记录!Y398+交易记录!Y462+交易记录!Y526+交易记录!Y590+交易记录!Y654+交易记录!Y718+交易记录!Y782+交易记录!Y846+交易记录!Y910</f>
        <v>0.46100000000000002</v>
      </c>
      <c r="Y81" s="67">
        <f>交易记录!Z14+交易记录!Z78+交易记录!Z142+交易记录!Z206+交易记录!Z270+交易记录!Z334+交易记录!Z398+交易记录!Z462+交易记录!Z526+交易记录!Z590+交易记录!Z654+交易记录!Z718+交易记录!Z782+交易记录!Z846+交易记录!Z910</f>
        <v>0.46100000000000002</v>
      </c>
      <c r="Z81" s="67">
        <f>交易记录!AA14+交易记录!AA78+交易记录!AA142+交易记录!AA206+交易记录!AA270+交易记录!AA334+交易记录!AA398+交易记录!AA462+交易记录!AA526+交易记录!AA590+交易记录!AA654+交易记录!AA718+交易记录!AA782+交易记录!AA846+交易记录!AA910</f>
        <v>0.46100000000000002</v>
      </c>
      <c r="AA81" s="67">
        <f>交易记录!AB14+交易记录!AB78+交易记录!AB142+交易记录!AB206+交易记录!AB270+交易记录!AB334+交易记录!AB398+交易记录!AB462+交易记录!AB526+交易记录!AB590+交易记录!AB654+交易记录!AB718+交易记录!AB782+交易记录!AB846+交易记录!AB910</f>
        <v>0.46100000000000002</v>
      </c>
      <c r="AB81" s="67">
        <f>交易记录!AC14+交易记录!AC78+交易记录!AC142+交易记录!AC206+交易记录!AC270+交易记录!AC334+交易记录!AC398+交易记录!AC462+交易记录!AC526+交易记录!AC590+交易记录!AC654+交易记录!AC718+交易记录!AC782+交易记录!AC846+交易记录!AC910</f>
        <v>0.127</v>
      </c>
      <c r="AC81" s="67">
        <f>交易记录!AD14+交易记录!AD78+交易记录!AD142+交易记录!AD206+交易记录!AD270+交易记录!AD334+交易记录!AD398+交易记录!AD462+交易记录!AD526+交易记录!AD590+交易记录!AD654+交易记录!AD718+交易记录!AD782+交易记录!AD846+交易记录!AD910</f>
        <v>0.127</v>
      </c>
      <c r="AD81" s="67">
        <f>交易记录!AE14+交易记录!AE78+交易记录!AE142+交易记录!AE206+交易记录!AE270+交易记录!AE334+交易记录!AE398+交易记录!AE462+交易记录!AE526+交易记录!AE590+交易记录!AE654+交易记录!AE718+交易记录!AE782+交易记录!AE846+交易记录!AE910</f>
        <v>0.46100000000000002</v>
      </c>
      <c r="AE81" s="67">
        <f>交易记录!AF14+交易记录!AF78+交易记录!AF142+交易记录!AF206+交易记录!AF270+交易记录!AF334+交易记录!AF398+交易记录!AF462+交易记录!AF526+交易记录!AF590+交易记录!AF654+交易记录!AF718+交易记录!AF782+交易记录!AF846+交易记录!AF910</f>
        <v>0.46100000000000002</v>
      </c>
      <c r="AF81" s="67">
        <f>交易记录!AG14+交易记录!AG78+交易记录!AG142+交易记录!AG206+交易记录!AG270+交易记录!AG334+交易记录!AG398+交易记录!AG462+交易记录!AG526+交易记录!AG590+交易记录!AG654+交易记录!AG718+交易记录!AG782+交易记录!AG846+交易记录!AG910</f>
        <v>0.46100000000000002</v>
      </c>
      <c r="AG81" s="67">
        <f>交易记录!AH14+交易记录!AH78+交易记录!AH142+交易记录!AH206+交易记录!AH270+交易记录!AH334+交易记录!AH398+交易记录!AH462+交易记录!AH526+交易记录!AH590+交易记录!AH654+交易记录!AH718+交易记录!AH782+交易记录!AH846+交易记录!AH910</f>
        <v>0.46100000000000002</v>
      </c>
      <c r="AH81" s="53">
        <f t="shared" si="3"/>
        <v>11.438000000000004</v>
      </c>
      <c r="AI81" s="54"/>
      <c r="AJ81" s="55"/>
      <c r="AK81" s="53"/>
    </row>
    <row r="82" spans="2:37" s="3" customFormat="1" ht="15">
      <c r="B82" s="7" t="s">
        <v>16</v>
      </c>
      <c r="C82" s="67">
        <f>交易记录!D15+交易记录!D79+交易记录!D143+交易记录!D207+交易记录!D271+交易记录!D335+交易记录!D399+交易记录!D463+交易记录!D527+交易记录!D591+交易记录!D655+交易记录!D719+交易记录!D783+交易记录!D847+交易记录!D911</f>
        <v>0.28400000000000003</v>
      </c>
      <c r="D82" s="67">
        <f>交易记录!E15+交易记录!E79+交易记录!E143+交易记录!E207+交易记录!E271+交易记录!E335+交易记录!E399+交易记录!E463+交易记录!E527+交易记录!E591+交易记录!E655+交易记录!E719+交易记录!E783+交易记录!E847+交易记录!E911</f>
        <v>0.46700000000000003</v>
      </c>
      <c r="E82" s="67">
        <f>交易记录!F15+交易记录!F79+交易记录!F143+交易记录!F207+交易记录!F271+交易记录!F335+交易记录!F399+交易记录!F463+交易记录!F527+交易记录!F591+交易记录!F655+交易记录!F719+交易记录!F783+交易记录!F847+交易记录!F911</f>
        <v>0.46700000000000003</v>
      </c>
      <c r="F82" s="67">
        <f>交易记录!G15+交易记录!G79+交易记录!G143+交易记录!G207+交易记录!G271+交易记录!G335+交易记录!G399+交易记录!G463+交易记录!G527+交易记录!G591+交易记录!G655+交易记录!G719+交易记录!G783+交易记录!G847+交易记录!G911</f>
        <v>0.46700000000000003</v>
      </c>
      <c r="G82" s="67">
        <f>交易记录!H15+交易记录!H79+交易记录!H143+交易记录!H207+交易记录!H271+交易记录!H335+交易记录!H399+交易记录!H463+交易记录!H527+交易记录!H591+交易记录!H655+交易记录!H719+交易记录!H783+交易记录!H847+交易记录!H911</f>
        <v>0.128</v>
      </c>
      <c r="H82" s="67">
        <f>交易记录!I15+交易记录!I79+交易记录!I143+交易记录!I207+交易记录!I271+交易记录!I335+交易记录!I399+交易记录!I463+交易记录!I527+交易记录!I591+交易记录!I655+交易记录!I719+交易记录!I783+交易记录!I847+交易记录!I911</f>
        <v>0.128</v>
      </c>
      <c r="I82" s="67">
        <f>交易记录!J15+交易记录!J79+交易记录!J143+交易记录!J207+交易记录!J271+交易记录!J335+交易记录!J399+交易记录!J463+交易记录!J527+交易记录!J591+交易记录!J655+交易记录!J719+交易记录!J783+交易记录!J847+交易记录!J911</f>
        <v>0.46700000000000003</v>
      </c>
      <c r="J82" s="67">
        <f>交易记录!K15+交易记录!K79+交易记录!K143+交易记录!K207+交易记录!K271+交易记录!K335+交易记录!K399+交易记录!K463+交易记录!K527+交易记录!K591+交易记录!K655+交易记录!K719+交易记录!K783+交易记录!K847+交易记录!K911</f>
        <v>0.46700000000000003</v>
      </c>
      <c r="K82" s="67">
        <f>交易记录!L15+交易记录!L79+交易记录!L143+交易记录!L207+交易记录!L271+交易记录!L335+交易记录!L399+交易记录!L463+交易记录!L527+交易记录!L591+交易记录!L655+交易记录!L719+交易记录!L783+交易记录!L847+交易记录!L911</f>
        <v>0.46700000000000003</v>
      </c>
      <c r="L82" s="67">
        <f>交易记录!M15+交易记录!M79+交易记录!M143+交易记录!M207+交易记录!M271+交易记录!M335+交易记录!M399+交易记录!M463+交易记录!M527+交易记录!M591+交易记录!M655+交易记录!M719+交易记录!M783+交易记录!M847+交易记录!M911</f>
        <v>0.46700000000000003</v>
      </c>
      <c r="M82" s="67">
        <f>交易记录!N15+交易记录!N79+交易记录!N143+交易记录!N207+交易记录!N271+交易记录!N335+交易记录!N399+交易记录!N463+交易记录!N527+交易记录!N591+交易记录!N655+交易记录!N719+交易记录!N783+交易记录!N847+交易记录!N911</f>
        <v>0.46700000000000003</v>
      </c>
      <c r="N82" s="67">
        <f>交易记录!O15+交易记录!O79+交易记录!O143+交易记录!O207+交易记录!O271+交易记录!O335+交易记录!O399+交易记录!O463+交易记录!O527+交易记录!O591+交易记录!O655+交易记录!O719+交易记录!O783+交易记录!O847+交易记录!O911</f>
        <v>0.128</v>
      </c>
      <c r="O82" s="67">
        <f>交易记录!P15+交易记录!P79+交易记录!P143+交易记录!P207+交易记录!P271+交易记录!P335+交易记录!P399+交易记录!P463+交易记录!P527+交易记录!P591+交易记录!P655+交易记录!P719+交易记录!P783+交易记录!P847+交易记录!P911</f>
        <v>0.128</v>
      </c>
      <c r="P82" s="67">
        <f>交易记录!Q15+交易记录!Q79+交易记录!Q143+交易记录!Q207+交易记录!Q271+交易记录!Q335+交易记录!Q399+交易记录!Q463+交易记录!Q527+交易记录!Q591+交易记录!Q655+交易记录!Q719+交易记录!Q783+交易记录!Q847+交易记录!Q911</f>
        <v>0.46700000000000003</v>
      </c>
      <c r="Q82" s="67">
        <f>交易记录!R15+交易记录!R79+交易记录!R143+交易记录!R207+交易记录!R271+交易记录!R335+交易记录!R399+交易记录!R463+交易记录!R527+交易记录!R591+交易记录!R655+交易记录!R719+交易记录!R783+交易记录!R847+交易记录!R911</f>
        <v>0.46700000000000003</v>
      </c>
      <c r="R82" s="67">
        <f>交易记录!S15+交易记录!S79+交易记录!S143+交易记录!S207+交易记录!S271+交易记录!S335+交易记录!S399+交易记录!S463+交易记录!S527+交易记录!S591+交易记录!S655+交易记录!S719+交易记录!S783+交易记录!S847+交易记录!S911</f>
        <v>0.46700000000000003</v>
      </c>
      <c r="S82" s="67">
        <f>交易记录!T15+交易记录!T79+交易记录!T143+交易记录!T207+交易记录!T271+交易记录!T335+交易记录!T399+交易记录!T463+交易记录!T527+交易记录!T591+交易记录!T655+交易记录!T719+交易记录!T783+交易记录!T847+交易记录!T911</f>
        <v>0.46700000000000003</v>
      </c>
      <c r="T82" s="67">
        <f>交易记录!U15+交易记录!U79+交易记录!U143+交易记录!U207+交易记录!U271+交易记录!U335+交易记录!U399+交易记录!U463+交易记录!U527+交易记录!U591+交易记录!U655+交易记录!U719+交易记录!U783+交易记录!U847+交易记录!U911</f>
        <v>0.46700000000000003</v>
      </c>
      <c r="U82" s="67">
        <f>交易记录!V15+交易记录!V79+交易记录!V143+交易记录!V207+交易记录!V271+交易记录!V335+交易记录!V399+交易记录!V463+交易记录!V527+交易记录!V591+交易记录!V655+交易记录!V719+交易记录!V783+交易记录!V847+交易记录!V911</f>
        <v>0.128</v>
      </c>
      <c r="V82" s="67">
        <f>交易记录!W15+交易记录!W79+交易记录!W143+交易记录!W207+交易记录!W271+交易记录!W335+交易记录!W399+交易记录!W463+交易记录!W527+交易记录!W591+交易记录!W655+交易记录!W719+交易记录!W783+交易记录!W847+交易记录!W911</f>
        <v>0.128</v>
      </c>
      <c r="W82" s="67">
        <f>交易记录!X15+交易记录!X79+交易记录!X143+交易记录!X207+交易记录!X271+交易记录!X335+交易记录!X399+交易记录!X463+交易记录!X527+交易记录!X591+交易记录!X655+交易记录!X719+交易记录!X783+交易记录!X847+交易记录!X911</f>
        <v>0.46700000000000003</v>
      </c>
      <c r="X82" s="67">
        <f>交易记录!Y15+交易记录!Y79+交易记录!Y143+交易记录!Y207+交易记录!Y271+交易记录!Y335+交易记录!Y399+交易记录!Y463+交易记录!Y527+交易记录!Y591+交易记录!Y655+交易记录!Y719+交易记录!Y783+交易记录!Y847+交易记录!Y911</f>
        <v>0.46700000000000003</v>
      </c>
      <c r="Y82" s="67">
        <f>交易记录!Z15+交易记录!Z79+交易记录!Z143+交易记录!Z207+交易记录!Z271+交易记录!Z335+交易记录!Z399+交易记录!Z463+交易记录!Z527+交易记录!Z591+交易记录!Z655+交易记录!Z719+交易记录!Z783+交易记录!Z847+交易记录!Z911</f>
        <v>0.46700000000000003</v>
      </c>
      <c r="Z82" s="67">
        <f>交易记录!AA15+交易记录!AA79+交易记录!AA143+交易记录!AA207+交易记录!AA271+交易记录!AA335+交易记录!AA399+交易记录!AA463+交易记录!AA527+交易记录!AA591+交易记录!AA655+交易记录!AA719+交易记录!AA783+交易记录!AA847+交易记录!AA911</f>
        <v>0.46700000000000003</v>
      </c>
      <c r="AA82" s="67">
        <f>交易记录!AB15+交易记录!AB79+交易记录!AB143+交易记录!AB207+交易记录!AB271+交易记录!AB335+交易记录!AB399+交易记录!AB463+交易记录!AB527+交易记录!AB591+交易记录!AB655+交易记录!AB719+交易记录!AB783+交易记录!AB847+交易记录!AB911</f>
        <v>0.46700000000000003</v>
      </c>
      <c r="AB82" s="67">
        <f>交易记录!AC15+交易记录!AC79+交易记录!AC143+交易记录!AC207+交易记录!AC271+交易记录!AC335+交易记录!AC399+交易记录!AC463+交易记录!AC527+交易记录!AC591+交易记录!AC655+交易记录!AC719+交易记录!AC783+交易记录!AC847+交易记录!AC911</f>
        <v>0.128</v>
      </c>
      <c r="AC82" s="67">
        <f>交易记录!AD15+交易记录!AD79+交易记录!AD143+交易记录!AD207+交易记录!AD271+交易记录!AD335+交易记录!AD399+交易记录!AD463+交易记录!AD527+交易记录!AD591+交易记录!AD655+交易记录!AD719+交易记录!AD783+交易记录!AD847+交易记录!AD911</f>
        <v>0.128</v>
      </c>
      <c r="AD82" s="67">
        <f>交易记录!AE15+交易记录!AE79+交易记录!AE143+交易记录!AE207+交易记录!AE271+交易记录!AE335+交易记录!AE399+交易记录!AE463+交易记录!AE527+交易记录!AE591+交易记录!AE655+交易记录!AE719+交易记录!AE783+交易记录!AE847+交易记录!AE911</f>
        <v>0.46700000000000003</v>
      </c>
      <c r="AE82" s="67">
        <f>交易记录!AF15+交易记录!AF79+交易记录!AF143+交易记录!AF207+交易记录!AF271+交易记录!AF335+交易记录!AF399+交易记录!AF463+交易记录!AF527+交易记录!AF591+交易记录!AF655+交易记录!AF719+交易记录!AF783+交易记录!AF847+交易记录!AF911</f>
        <v>0.46700000000000003</v>
      </c>
      <c r="AF82" s="67">
        <f>交易记录!AG15+交易记录!AG79+交易记录!AG143+交易记录!AG207+交易记录!AG271+交易记录!AG335+交易记录!AG399+交易记录!AG463+交易记录!AG527+交易记录!AG591+交易记录!AG655+交易记录!AG719+交易记录!AG783+交易记录!AG847+交易记录!AG911</f>
        <v>0.46700000000000003</v>
      </c>
      <c r="AG82" s="67">
        <f>交易记录!AH15+交易记录!AH79+交易记录!AH143+交易记录!AH207+交易记录!AH271+交易记录!AH335+交易记录!AH399+交易记录!AH463+交易记录!AH527+交易记录!AH591+交易记录!AH655+交易记录!AH719+交易记录!AH783+交易记录!AH847+交易记录!AH911</f>
        <v>0.46700000000000003</v>
      </c>
      <c r="AH82" s="53">
        <f t="shared" si="3"/>
        <v>11.582000000000003</v>
      </c>
      <c r="AI82" s="54"/>
      <c r="AJ82" s="55"/>
      <c r="AK82" s="53"/>
    </row>
    <row r="83" spans="2:37" s="3" customFormat="1" ht="15">
      <c r="B83" s="7" t="s">
        <v>17</v>
      </c>
      <c r="C83" s="67">
        <f>交易记录!D16+交易记录!D80+交易记录!D144+交易记录!D208+交易记录!D272+交易记录!D336+交易记录!D400+交易记录!D464+交易记录!D528+交易记录!D592+交易记录!D656+交易记录!D720+交易记录!D784+交易记录!D848+交易记录!D912</f>
        <v>0.28400000000000003</v>
      </c>
      <c r="D83" s="67">
        <f>交易记录!E16+交易记录!E80+交易记录!E144+交易记录!E208+交易记录!E272+交易记录!E336+交易记录!E400+交易记录!E464+交易记录!E528+交易记录!E592+交易记录!E656+交易记录!E720+交易记录!E784+交易记录!E848+交易记录!E912</f>
        <v>0.32100000000000001</v>
      </c>
      <c r="E83" s="67">
        <f>交易记录!F16+交易记录!F80+交易记录!F144+交易记录!F208+交易记录!F272+交易记录!F336+交易记录!F400+交易记录!F464+交易记录!F528+交易记录!F592+交易记录!F656+交易记录!F720+交易记录!F784+交易记录!F848+交易记录!F912</f>
        <v>0.32100000000000001</v>
      </c>
      <c r="F83" s="67">
        <f>交易记录!G16+交易记录!G80+交易记录!G144+交易记录!G208+交易记录!G272+交易记录!G336+交易记录!G400+交易记录!G464+交易记录!G528+交易记录!G592+交易记录!G656+交易记录!G720+交易记录!G784+交易记录!G848+交易记录!G912</f>
        <v>0.32100000000000001</v>
      </c>
      <c r="G83" s="67">
        <f>交易记录!H16+交易记录!H80+交易记录!H144+交易记录!H208+交易记录!H272+交易记录!H336+交易记录!H400+交易记录!H464+交易记录!H528+交易记录!H592+交易记录!H656+交易记录!H720+交易记录!H784+交易记录!H848+交易记录!H912</f>
        <v>0.13</v>
      </c>
      <c r="H83" s="67">
        <f>交易记录!I16+交易记录!I80+交易记录!I144+交易记录!I208+交易记录!I272+交易记录!I336+交易记录!I400+交易记录!I464+交易记录!I528+交易记录!I592+交易记录!I656+交易记录!I720+交易记录!I784+交易记录!I848+交易记录!I912</f>
        <v>0.13</v>
      </c>
      <c r="I83" s="67">
        <f>交易记录!J16+交易记录!J80+交易记录!J144+交易记录!J208+交易记录!J272+交易记录!J336+交易记录!J400+交易记录!J464+交易记录!J528+交易记录!J592+交易记录!J656+交易记录!J720+交易记录!J784+交易记录!J848+交易记录!J912</f>
        <v>0.32100000000000001</v>
      </c>
      <c r="J83" s="67">
        <f>交易记录!K16+交易记录!K80+交易记录!K144+交易记录!K208+交易记录!K272+交易记录!K336+交易记录!K400+交易记录!K464+交易记录!K528+交易记录!K592+交易记录!K656+交易记录!K720+交易记录!K784+交易记录!K848+交易记录!K912</f>
        <v>0.32100000000000001</v>
      </c>
      <c r="K83" s="67">
        <f>交易记录!L16+交易记录!L80+交易记录!L144+交易记录!L208+交易记录!L272+交易记录!L336+交易记录!L400+交易记录!L464+交易记录!L528+交易记录!L592+交易记录!L656+交易记录!L720+交易记录!L784+交易记录!L848+交易记录!L912</f>
        <v>0.32100000000000001</v>
      </c>
      <c r="L83" s="67">
        <f>交易记录!M16+交易记录!M80+交易记录!M144+交易记录!M208+交易记录!M272+交易记录!M336+交易记录!M400+交易记录!M464+交易记录!M528+交易记录!M592+交易记录!M656+交易记录!M720+交易记录!M784+交易记录!M848+交易记录!M912</f>
        <v>0.32100000000000001</v>
      </c>
      <c r="M83" s="67">
        <f>交易记录!N16+交易记录!N80+交易记录!N144+交易记录!N208+交易记录!N272+交易记录!N336+交易记录!N400+交易记录!N464+交易记录!N528+交易记录!N592+交易记录!N656+交易记录!N720+交易记录!N784+交易记录!N848+交易记录!N912</f>
        <v>0.32100000000000001</v>
      </c>
      <c r="N83" s="67">
        <f>交易记录!O16+交易记录!O80+交易记录!O144+交易记录!O208+交易记录!O272+交易记录!O336+交易记录!O400+交易记录!O464+交易记录!O528+交易记录!O592+交易记录!O656+交易记录!O720+交易记录!O784+交易记录!O848+交易记录!O912</f>
        <v>0.13</v>
      </c>
      <c r="O83" s="67">
        <f>交易记录!P16+交易记录!P80+交易记录!P144+交易记录!P208+交易记录!P272+交易记录!P336+交易记录!P400+交易记录!P464+交易记录!P528+交易记录!P592+交易记录!P656+交易记录!P720+交易记录!P784+交易记录!P848+交易记录!P912</f>
        <v>0.13</v>
      </c>
      <c r="P83" s="67">
        <f>交易记录!Q16+交易记录!Q80+交易记录!Q144+交易记录!Q208+交易记录!Q272+交易记录!Q336+交易记录!Q400+交易记录!Q464+交易记录!Q528+交易记录!Q592+交易记录!Q656+交易记录!Q720+交易记录!Q784+交易记录!Q848+交易记录!Q912</f>
        <v>0.32100000000000001</v>
      </c>
      <c r="Q83" s="67">
        <f>交易记录!R16+交易记录!R80+交易记录!R144+交易记录!R208+交易记录!R272+交易记录!R336+交易记录!R400+交易记录!R464+交易记录!R528+交易记录!R592+交易记录!R656+交易记录!R720+交易记录!R784+交易记录!R848+交易记录!R912</f>
        <v>0.32100000000000001</v>
      </c>
      <c r="R83" s="67">
        <f>交易记录!S16+交易记录!S80+交易记录!S144+交易记录!S208+交易记录!S272+交易记录!S336+交易记录!S400+交易记录!S464+交易记录!S528+交易记录!S592+交易记录!S656+交易记录!S720+交易记录!S784+交易记录!S848+交易记录!S912</f>
        <v>0.32100000000000001</v>
      </c>
      <c r="S83" s="67">
        <f>交易记录!T16+交易记录!T80+交易记录!T144+交易记录!T208+交易记录!T272+交易记录!T336+交易记录!T400+交易记录!T464+交易记录!T528+交易记录!T592+交易记录!T656+交易记录!T720+交易记录!T784+交易记录!T848+交易记录!T912</f>
        <v>0.32100000000000001</v>
      </c>
      <c r="T83" s="67">
        <f>交易记录!U16+交易记录!U80+交易记录!U144+交易记录!U208+交易记录!U272+交易记录!U336+交易记录!U400+交易记录!U464+交易记录!U528+交易记录!U592+交易记录!U656+交易记录!U720+交易记录!U784+交易记录!U848+交易记录!U912</f>
        <v>0.32100000000000001</v>
      </c>
      <c r="U83" s="67">
        <f>交易记录!V16+交易记录!V80+交易记录!V144+交易记录!V208+交易记录!V272+交易记录!V336+交易记录!V400+交易记录!V464+交易记录!V528+交易记录!V592+交易记录!V656+交易记录!V720+交易记录!V784+交易记录!V848+交易记录!V912</f>
        <v>0.13</v>
      </c>
      <c r="V83" s="67">
        <f>交易记录!W16+交易记录!W80+交易记录!W144+交易记录!W208+交易记录!W272+交易记录!W336+交易记录!W400+交易记录!W464+交易记录!W528+交易记录!W592+交易记录!W656+交易记录!W720+交易记录!W784+交易记录!W848+交易记录!W912</f>
        <v>0.13</v>
      </c>
      <c r="W83" s="67">
        <f>交易记录!X16+交易记录!X80+交易记录!X144+交易记录!X208+交易记录!X272+交易记录!X336+交易记录!X400+交易记录!X464+交易记录!X528+交易记录!X592+交易记录!X656+交易记录!X720+交易记录!X784+交易记录!X848+交易记录!X912</f>
        <v>0.32100000000000001</v>
      </c>
      <c r="X83" s="67">
        <f>交易记录!Y16+交易记录!Y80+交易记录!Y144+交易记录!Y208+交易记录!Y272+交易记录!Y336+交易记录!Y400+交易记录!Y464+交易记录!Y528+交易记录!Y592+交易记录!Y656+交易记录!Y720+交易记录!Y784+交易记录!Y848+交易记录!Y912</f>
        <v>0.32100000000000001</v>
      </c>
      <c r="Y83" s="67">
        <f>交易记录!Z16+交易记录!Z80+交易记录!Z144+交易记录!Z208+交易记录!Z272+交易记录!Z336+交易记录!Z400+交易记录!Z464+交易记录!Z528+交易记录!Z592+交易记录!Z656+交易记录!Z720+交易记录!Z784+交易记录!Z848+交易记录!Z912</f>
        <v>0.32100000000000001</v>
      </c>
      <c r="Z83" s="67">
        <f>交易记录!AA16+交易记录!AA80+交易记录!AA144+交易记录!AA208+交易记录!AA272+交易记录!AA336+交易记录!AA400+交易记录!AA464+交易记录!AA528+交易记录!AA592+交易记录!AA656+交易记录!AA720+交易记录!AA784+交易记录!AA848+交易记录!AA912</f>
        <v>0.32100000000000001</v>
      </c>
      <c r="AA83" s="67">
        <f>交易记录!AB16+交易记录!AB80+交易记录!AB144+交易记录!AB208+交易记录!AB272+交易记录!AB336+交易记录!AB400+交易记录!AB464+交易记录!AB528+交易记录!AB592+交易记录!AB656+交易记录!AB720+交易记录!AB784+交易记录!AB848+交易记录!AB912</f>
        <v>0.32100000000000001</v>
      </c>
      <c r="AB83" s="67">
        <f>交易记录!AC16+交易记录!AC80+交易记录!AC144+交易记录!AC208+交易记录!AC272+交易记录!AC336+交易记录!AC400+交易记录!AC464+交易记录!AC528+交易记录!AC592+交易记录!AC656+交易记录!AC720+交易记录!AC784+交易记录!AC848+交易记录!AC912</f>
        <v>0.13</v>
      </c>
      <c r="AC83" s="67">
        <f>交易记录!AD16+交易记录!AD80+交易记录!AD144+交易记录!AD208+交易记录!AD272+交易记录!AD336+交易记录!AD400+交易记录!AD464+交易记录!AD528+交易记录!AD592+交易记录!AD656+交易记录!AD720+交易记录!AD784+交易记录!AD848+交易记录!AD912</f>
        <v>0.13</v>
      </c>
      <c r="AD83" s="67">
        <f>交易记录!AE16+交易记录!AE80+交易记录!AE144+交易记录!AE208+交易记录!AE272+交易记录!AE336+交易记录!AE400+交易记录!AE464+交易记录!AE528+交易记录!AE592+交易记录!AE656+交易记录!AE720+交易记录!AE784+交易记录!AE848+交易记录!AE912</f>
        <v>0.32100000000000001</v>
      </c>
      <c r="AE83" s="67">
        <f>交易记录!AF16+交易记录!AF80+交易记录!AF144+交易记录!AF208+交易记录!AF272+交易记录!AF336+交易记录!AF400+交易记录!AF464+交易记录!AF528+交易记录!AF592+交易记录!AF656+交易记录!AF720+交易记录!AF784+交易记录!AF848+交易记录!AF912</f>
        <v>0.32100000000000001</v>
      </c>
      <c r="AF83" s="67">
        <f>交易记录!AG16+交易记录!AG80+交易记录!AG144+交易记录!AG208+交易记录!AG272+交易记录!AG336+交易记录!AG400+交易记录!AG464+交易记录!AG528+交易记录!AG592+交易记录!AG656+交易记录!AG720+交易记录!AG784+交易记录!AG848+交易记录!AG912</f>
        <v>0.32100000000000001</v>
      </c>
      <c r="AG83" s="67">
        <f>交易记录!AH16+交易记录!AH80+交易记录!AH144+交易记录!AH208+交易记录!AH272+交易记录!AH336+交易记录!AH400+交易记录!AH464+交易记录!AH528+交易记录!AH592+交易记录!AH656+交易记录!AH720+交易记录!AH784+交易记录!AH848+交易记录!AH912</f>
        <v>0.32100000000000001</v>
      </c>
      <c r="AH83" s="53">
        <f t="shared" si="3"/>
        <v>8.3859999999999975</v>
      </c>
      <c r="AI83" s="54"/>
      <c r="AJ83" s="55"/>
      <c r="AK83" s="53"/>
    </row>
    <row r="84" spans="2:37" s="3" customFormat="1" ht="15">
      <c r="B84" s="7" t="s">
        <v>18</v>
      </c>
      <c r="C84" s="67">
        <f>交易记录!D17+交易记录!D81+交易记录!D145+交易记录!D209+交易记录!D273+交易记录!D337+交易记录!D401+交易记录!D465+交易记录!D529+交易记录!D593+交易记录!D657+交易记录!D721+交易记录!D785+交易记录!D849+交易记录!D913</f>
        <v>4.1000000000000002E-2</v>
      </c>
      <c r="D84" s="67">
        <f>交易记录!E17+交易记录!E81+交易记录!E145+交易记录!E209+交易记录!E273+交易记录!E337+交易记录!E401+交易记录!E465+交易记录!E529+交易记录!E593+交易记录!E657+交易记录!E721+交易记录!E785+交易记录!E849+交易记录!E913</f>
        <v>7.8E-2</v>
      </c>
      <c r="E84" s="67">
        <f>交易记录!F17+交易记录!F81+交易记录!F145+交易记录!F209+交易记录!F273+交易记录!F337+交易记录!F401+交易记录!F465+交易记录!F529+交易记录!F593+交易记录!F657+交易记录!F721+交易记录!F785+交易记录!F849+交易记录!F913</f>
        <v>7.8E-2</v>
      </c>
      <c r="F84" s="67">
        <f>交易记录!G17+交易记录!G81+交易记录!G145+交易记录!G209+交易记录!G273+交易记录!G337+交易记录!G401+交易记录!G465+交易记录!G529+交易记录!G593+交易记录!G657+交易记录!G721+交易记录!G785+交易记录!G849+交易记录!G913</f>
        <v>7.8E-2</v>
      </c>
      <c r="G84" s="67">
        <f>交易记录!H17+交易记录!H81+交易记录!H145+交易记录!H209+交易记录!H273+交易记录!H337+交易记录!H401+交易记录!H465+交易记录!H529+交易记录!H593+交易记录!H657+交易记录!H721+交易记录!H785+交易记录!H849+交易记录!H913</f>
        <v>6.0999999999999999E-2</v>
      </c>
      <c r="H84" s="67">
        <f>交易记录!I17+交易记录!I81+交易记录!I145+交易记录!I209+交易记录!I273+交易记录!I337+交易记录!I401+交易记录!I465+交易记录!I529+交易记录!I593+交易记录!I657+交易记录!I721+交易记录!I785+交易记录!I849+交易记录!I913</f>
        <v>6.0999999999999999E-2</v>
      </c>
      <c r="I84" s="67">
        <f>交易记录!J17+交易记录!J81+交易记录!J145+交易记录!J209+交易记录!J273+交易记录!J337+交易记录!J401+交易记录!J465+交易记录!J529+交易记录!J593+交易记录!J657+交易记录!J721+交易记录!J785+交易记录!J849+交易记录!J913</f>
        <v>7.8E-2</v>
      </c>
      <c r="J84" s="67">
        <f>交易记录!K17+交易记录!K81+交易记录!K145+交易记录!K209+交易记录!K273+交易记录!K337+交易记录!K401+交易记录!K465+交易记录!K529+交易记录!K593+交易记录!K657+交易记录!K721+交易记录!K785+交易记录!K849+交易记录!K913</f>
        <v>7.8E-2</v>
      </c>
      <c r="K84" s="67">
        <f>交易记录!L17+交易记录!L81+交易记录!L145+交易记录!L209+交易记录!L273+交易记录!L337+交易记录!L401+交易记录!L465+交易记录!L529+交易记录!L593+交易记录!L657+交易记录!L721+交易记录!L785+交易记录!L849+交易记录!L913</f>
        <v>7.8E-2</v>
      </c>
      <c r="L84" s="67">
        <f>交易记录!M17+交易记录!M81+交易记录!M145+交易记录!M209+交易记录!M273+交易记录!M337+交易记录!M401+交易记录!M465+交易记录!M529+交易记录!M593+交易记录!M657+交易记录!M721+交易记录!M785+交易记录!M849+交易记录!M913</f>
        <v>7.8E-2</v>
      </c>
      <c r="M84" s="67">
        <f>交易记录!N17+交易记录!N81+交易记录!N145+交易记录!N209+交易记录!N273+交易记录!N337+交易记录!N401+交易记录!N465+交易记录!N529+交易记录!N593+交易记录!N657+交易记录!N721+交易记录!N785+交易记录!N849+交易记录!N913</f>
        <v>7.8E-2</v>
      </c>
      <c r="N84" s="67">
        <f>交易记录!O17+交易记录!O81+交易记录!O145+交易记录!O209+交易记录!O273+交易记录!O337+交易记录!O401+交易记录!O465+交易记录!O529+交易记录!O593+交易记录!O657+交易记录!O721+交易记录!O785+交易记录!O849+交易记录!O913</f>
        <v>6.0999999999999999E-2</v>
      </c>
      <c r="O84" s="67">
        <f>交易记录!P17+交易记录!P81+交易记录!P145+交易记录!P209+交易记录!P273+交易记录!P337+交易记录!P401+交易记录!P465+交易记录!P529+交易记录!P593+交易记录!P657+交易记录!P721+交易记录!P785+交易记录!P849+交易记录!P913</f>
        <v>6.0999999999999999E-2</v>
      </c>
      <c r="P84" s="67">
        <f>交易记录!Q17+交易记录!Q81+交易记录!Q145+交易记录!Q209+交易记录!Q273+交易记录!Q337+交易记录!Q401+交易记录!Q465+交易记录!Q529+交易记录!Q593+交易记录!Q657+交易记录!Q721+交易记录!Q785+交易记录!Q849+交易记录!Q913</f>
        <v>7.8E-2</v>
      </c>
      <c r="Q84" s="67">
        <f>交易记录!R17+交易记录!R81+交易记录!R145+交易记录!R209+交易记录!R273+交易记录!R337+交易记录!R401+交易记录!R465+交易记录!R529+交易记录!R593+交易记录!R657+交易记录!R721+交易记录!R785+交易记录!R849+交易记录!R913</f>
        <v>7.8E-2</v>
      </c>
      <c r="R84" s="67">
        <f>交易记录!S17+交易记录!S81+交易记录!S145+交易记录!S209+交易记录!S273+交易记录!S337+交易记录!S401+交易记录!S465+交易记录!S529+交易记录!S593+交易记录!S657+交易记录!S721+交易记录!S785+交易记录!S849+交易记录!S913</f>
        <v>7.8E-2</v>
      </c>
      <c r="S84" s="67">
        <f>交易记录!T17+交易记录!T81+交易记录!T145+交易记录!T209+交易记录!T273+交易记录!T337+交易记录!T401+交易记录!T465+交易记录!T529+交易记录!T593+交易记录!T657+交易记录!T721+交易记录!T785+交易记录!T849+交易记录!T913</f>
        <v>7.8E-2</v>
      </c>
      <c r="T84" s="67">
        <f>交易记录!U17+交易记录!U81+交易记录!U145+交易记录!U209+交易记录!U273+交易记录!U337+交易记录!U401+交易记录!U465+交易记录!U529+交易记录!U593+交易记录!U657+交易记录!U721+交易记录!U785+交易记录!U849+交易记录!U913</f>
        <v>7.8E-2</v>
      </c>
      <c r="U84" s="67">
        <f>交易记录!V17+交易记录!V81+交易记录!V145+交易记录!V209+交易记录!V273+交易记录!V337+交易记录!V401+交易记录!V465+交易记录!V529+交易记录!V593+交易记录!V657+交易记录!V721+交易记录!V785+交易记录!V849+交易记录!V913</f>
        <v>6.0999999999999999E-2</v>
      </c>
      <c r="V84" s="67">
        <f>交易记录!W17+交易记录!W81+交易记录!W145+交易记录!W209+交易记录!W273+交易记录!W337+交易记录!W401+交易记录!W465+交易记录!W529+交易记录!W593+交易记录!W657+交易记录!W721+交易记录!W785+交易记录!W849+交易记录!W913</f>
        <v>6.0999999999999999E-2</v>
      </c>
      <c r="W84" s="67">
        <f>交易记录!X17+交易记录!X81+交易记录!X145+交易记录!X209+交易记录!X273+交易记录!X337+交易记录!X401+交易记录!X465+交易记录!X529+交易记录!X593+交易记录!X657+交易记录!X721+交易记录!X785+交易记录!X849+交易记录!X913</f>
        <v>7.8E-2</v>
      </c>
      <c r="X84" s="67">
        <f>交易记录!Y17+交易记录!Y81+交易记录!Y145+交易记录!Y209+交易记录!Y273+交易记录!Y337+交易记录!Y401+交易记录!Y465+交易记录!Y529+交易记录!Y593+交易记录!Y657+交易记录!Y721+交易记录!Y785+交易记录!Y849+交易记录!Y913</f>
        <v>7.8E-2</v>
      </c>
      <c r="Y84" s="67">
        <f>交易记录!Z17+交易记录!Z81+交易记录!Z145+交易记录!Z209+交易记录!Z273+交易记录!Z337+交易记录!Z401+交易记录!Z465+交易记录!Z529+交易记录!Z593+交易记录!Z657+交易记录!Z721+交易记录!Z785+交易记录!Z849+交易记录!Z913</f>
        <v>7.8E-2</v>
      </c>
      <c r="Z84" s="67">
        <f>交易记录!AA17+交易记录!AA81+交易记录!AA145+交易记录!AA209+交易记录!AA273+交易记录!AA337+交易记录!AA401+交易记录!AA465+交易记录!AA529+交易记录!AA593+交易记录!AA657+交易记录!AA721+交易记录!AA785+交易记录!AA849+交易记录!AA913</f>
        <v>7.8E-2</v>
      </c>
      <c r="AA84" s="67">
        <f>交易记录!AB17+交易记录!AB81+交易记录!AB145+交易记录!AB209+交易记录!AB273+交易记录!AB337+交易记录!AB401+交易记录!AB465+交易记录!AB529+交易记录!AB593+交易记录!AB657+交易记录!AB721+交易记录!AB785+交易记录!AB849+交易记录!AB913</f>
        <v>7.8E-2</v>
      </c>
      <c r="AB84" s="67">
        <f>交易记录!AC17+交易记录!AC81+交易记录!AC145+交易记录!AC209+交易记录!AC273+交易记录!AC337+交易记录!AC401+交易记录!AC465+交易记录!AC529+交易记录!AC593+交易记录!AC657+交易记录!AC721+交易记录!AC785+交易记录!AC849+交易记录!AC913</f>
        <v>6.0999999999999999E-2</v>
      </c>
      <c r="AC84" s="67">
        <f>交易记录!AD17+交易记录!AD81+交易记录!AD145+交易记录!AD209+交易记录!AD273+交易记录!AD337+交易记录!AD401+交易记录!AD465+交易记录!AD529+交易记录!AD593+交易记录!AD657+交易记录!AD721+交易记录!AD785+交易记录!AD849+交易记录!AD913</f>
        <v>6.0999999999999999E-2</v>
      </c>
      <c r="AD84" s="67">
        <f>交易记录!AE17+交易记录!AE81+交易记录!AE145+交易记录!AE209+交易记录!AE273+交易记录!AE337+交易记录!AE401+交易记录!AE465+交易记录!AE529+交易记录!AE593+交易记录!AE657+交易记录!AE721+交易记录!AE785+交易记录!AE849+交易记录!AE913</f>
        <v>7.8E-2</v>
      </c>
      <c r="AE84" s="67">
        <f>交易记录!AF17+交易记录!AF81+交易记录!AF145+交易记录!AF209+交易记录!AF273+交易记录!AF337+交易记录!AF401+交易记录!AF465+交易记录!AF529+交易记录!AF593+交易记录!AF657+交易记录!AF721+交易记录!AF785+交易记录!AF849+交易记录!AF913</f>
        <v>7.8E-2</v>
      </c>
      <c r="AF84" s="67">
        <f>交易记录!AG17+交易记录!AG81+交易记录!AG145+交易记录!AG209+交易记录!AG273+交易记录!AG337+交易记录!AG401+交易记录!AG465+交易记录!AG529+交易记录!AG593+交易记录!AG657+交易记录!AG721+交易记录!AG785+交易记录!AG849+交易记录!AG913</f>
        <v>7.8E-2</v>
      </c>
      <c r="AG84" s="67">
        <f>交易记录!AH17+交易记录!AH81+交易记录!AH145+交易记录!AH209+交易记录!AH273+交易记录!AH337+交易记录!AH401+交易记录!AH465+交易记录!AH529+交易记录!AH593+交易记录!AH657+交易记录!AH721+交易记录!AH785+交易记录!AH849+交易记录!AH913</f>
        <v>7.8E-2</v>
      </c>
      <c r="AH84" s="53">
        <f t="shared" si="3"/>
        <v>2.2449999999999997</v>
      </c>
      <c r="AI84" s="54"/>
      <c r="AJ84" s="55"/>
      <c r="AK84" s="53"/>
    </row>
    <row r="85" spans="2:37" s="3" customFormat="1" ht="15">
      <c r="B85" s="7" t="s">
        <v>19</v>
      </c>
      <c r="C85" s="67">
        <f>交易记录!D18+交易记录!D82+交易记录!D146+交易记录!D210+交易记录!D274+交易记录!D338+交易记录!D402+交易记录!D466+交易记录!D530+交易记录!D594+交易记录!D658+交易记录!D722+交易记录!D786+交易记录!D850+交易记录!D914</f>
        <v>6.9000000000000006E-2</v>
      </c>
      <c r="D85" s="67">
        <f>交易记录!E18+交易记录!E82+交易记录!E146+交易记录!E210+交易记录!E274+交易记录!E338+交易记录!E402+交易记录!E466+交易记录!E530+交易记录!E594+交易记录!E658+交易记录!E722+交易记录!E786+交易记录!E850+交易记录!E914</f>
        <v>0.19500000000000001</v>
      </c>
      <c r="E85" s="67">
        <f>交易记录!F18+交易记录!F82+交易记录!F146+交易记录!F210+交易记录!F274+交易记录!F338+交易记录!F402+交易记录!F466+交易记录!F530+交易记录!F594+交易记录!F658+交易记录!F722+交易记录!F786+交易记录!F850+交易记录!F914</f>
        <v>0.19500000000000001</v>
      </c>
      <c r="F85" s="67">
        <f>交易记录!G18+交易记录!G82+交易记录!G146+交易记录!G210+交易记录!G274+交易记录!G338+交易记录!G402+交易记录!G466+交易记录!G530+交易记录!G594+交易记录!G658+交易记录!G722+交易记录!G786+交易记录!G850+交易记录!G914</f>
        <v>0.19500000000000001</v>
      </c>
      <c r="G85" s="67">
        <f>交易记录!H18+交易记录!H82+交易记录!H146+交易记录!H210+交易记录!H274+交易记录!H338+交易记录!H402+交易记录!H466+交易记录!H530+交易记录!H594+交易记录!H658+交易记录!H722+交易记录!H786+交易记录!H850+交易记录!H914</f>
        <v>8.1000000000000003E-2</v>
      </c>
      <c r="H85" s="67">
        <f>交易记录!I18+交易记录!I82+交易记录!I146+交易记录!I210+交易记录!I274+交易记录!I338+交易记录!I402+交易记录!I466+交易记录!I530+交易记录!I594+交易记录!I658+交易记录!I722+交易记录!I786+交易记录!I850+交易记录!I914</f>
        <v>8.1000000000000003E-2</v>
      </c>
      <c r="I85" s="67">
        <f>交易记录!J18+交易记录!J82+交易记录!J146+交易记录!J210+交易记录!J274+交易记录!J338+交易记录!J402+交易记录!J466+交易记录!J530+交易记录!J594+交易记录!J658+交易记录!J722+交易记录!J786+交易记录!J850+交易记录!J914</f>
        <v>0.19500000000000001</v>
      </c>
      <c r="J85" s="67">
        <f>交易记录!K18+交易记录!K82+交易记录!K146+交易记录!K210+交易记录!K274+交易记录!K338+交易记录!K402+交易记录!K466+交易记录!K530+交易记录!K594+交易记录!K658+交易记录!K722+交易记录!K786+交易记录!K850+交易记录!K914</f>
        <v>0.19500000000000001</v>
      </c>
      <c r="K85" s="67">
        <f>交易记录!L18+交易记录!L82+交易记录!L146+交易记录!L210+交易记录!L274+交易记录!L338+交易记录!L402+交易记录!L466+交易记录!L530+交易记录!L594+交易记录!L658+交易记录!L722+交易记录!L786+交易记录!L850+交易记录!L914</f>
        <v>0.19500000000000001</v>
      </c>
      <c r="L85" s="67">
        <f>交易记录!M18+交易记录!M82+交易记录!M146+交易记录!M210+交易记录!M274+交易记录!M338+交易记录!M402+交易记录!M466+交易记录!M530+交易记录!M594+交易记录!M658+交易记录!M722+交易记录!M786+交易记录!M850+交易记录!M914</f>
        <v>0.19500000000000001</v>
      </c>
      <c r="M85" s="67">
        <f>交易记录!N18+交易记录!N82+交易记录!N146+交易记录!N210+交易记录!N274+交易记录!N338+交易记录!N402+交易记录!N466+交易记录!N530+交易记录!N594+交易记录!N658+交易记录!N722+交易记录!N786+交易记录!N850+交易记录!N914</f>
        <v>0.19500000000000001</v>
      </c>
      <c r="N85" s="67">
        <f>交易记录!O18+交易记录!O82+交易记录!O146+交易记录!O210+交易记录!O274+交易记录!O338+交易记录!O402+交易记录!O466+交易记录!O530+交易记录!O594+交易记录!O658+交易记录!O722+交易记录!O786+交易记录!O850+交易记录!O914</f>
        <v>8.1000000000000003E-2</v>
      </c>
      <c r="O85" s="67">
        <f>交易记录!P18+交易记录!P82+交易记录!P146+交易记录!P210+交易记录!P274+交易记录!P338+交易记录!P402+交易记录!P466+交易记录!P530+交易记录!P594+交易记录!P658+交易记录!P722+交易记录!P786+交易记录!P850+交易记录!P914</f>
        <v>8.1000000000000003E-2</v>
      </c>
      <c r="P85" s="67">
        <f>交易记录!Q18+交易记录!Q82+交易记录!Q146+交易记录!Q210+交易记录!Q274+交易记录!Q338+交易记录!Q402+交易记录!Q466+交易记录!Q530+交易记录!Q594+交易记录!Q658+交易记录!Q722+交易记录!Q786+交易记录!Q850+交易记录!Q914</f>
        <v>0.19500000000000001</v>
      </c>
      <c r="Q85" s="67">
        <f>交易记录!R18+交易记录!R82+交易记录!R146+交易记录!R210+交易记录!R274+交易记录!R338+交易记录!R402+交易记录!R466+交易记录!R530+交易记录!R594+交易记录!R658+交易记录!R722+交易记录!R786+交易记录!R850+交易记录!R914</f>
        <v>0.19500000000000001</v>
      </c>
      <c r="R85" s="67">
        <f>交易记录!S18+交易记录!S82+交易记录!S146+交易记录!S210+交易记录!S274+交易记录!S338+交易记录!S402+交易记录!S466+交易记录!S530+交易记录!S594+交易记录!S658+交易记录!S722+交易记录!S786+交易记录!S850+交易记录!S914</f>
        <v>0.19500000000000001</v>
      </c>
      <c r="S85" s="67">
        <f>交易记录!T18+交易记录!T82+交易记录!T146+交易记录!T210+交易记录!T274+交易记录!T338+交易记录!T402+交易记录!T466+交易记录!T530+交易记录!T594+交易记录!T658+交易记录!T722+交易记录!T786+交易记录!T850+交易记录!T914</f>
        <v>0.19500000000000001</v>
      </c>
      <c r="T85" s="67">
        <f>交易记录!U18+交易记录!U82+交易记录!U146+交易记录!U210+交易记录!U274+交易记录!U338+交易记录!U402+交易记录!U466+交易记录!U530+交易记录!U594+交易记录!U658+交易记录!U722+交易记录!U786+交易记录!U850+交易记录!U914</f>
        <v>0.19500000000000001</v>
      </c>
      <c r="U85" s="67">
        <f>交易记录!V18+交易记录!V82+交易记录!V146+交易记录!V210+交易记录!V274+交易记录!V338+交易记录!V402+交易记录!V466+交易记录!V530+交易记录!V594+交易记录!V658+交易记录!V722+交易记录!V786+交易记录!V850+交易记录!V914</f>
        <v>8.1000000000000003E-2</v>
      </c>
      <c r="V85" s="67">
        <f>交易记录!W18+交易记录!W82+交易记录!W146+交易记录!W210+交易记录!W274+交易记录!W338+交易记录!W402+交易记录!W466+交易记录!W530+交易记录!W594+交易记录!W658+交易记录!W722+交易记录!W786+交易记录!W850+交易记录!W914</f>
        <v>8.1000000000000003E-2</v>
      </c>
      <c r="W85" s="67">
        <f>交易记录!X18+交易记录!X82+交易记录!X146+交易记录!X210+交易记录!X274+交易记录!X338+交易记录!X402+交易记录!X466+交易记录!X530+交易记录!X594+交易记录!X658+交易记录!X722+交易记录!X786+交易记录!X850+交易记录!X914</f>
        <v>0.19500000000000001</v>
      </c>
      <c r="X85" s="67">
        <f>交易记录!Y18+交易记录!Y82+交易记录!Y146+交易记录!Y210+交易记录!Y274+交易记录!Y338+交易记录!Y402+交易记录!Y466+交易记录!Y530+交易记录!Y594+交易记录!Y658+交易记录!Y722+交易记录!Y786+交易记录!Y850+交易记录!Y914</f>
        <v>0.19500000000000001</v>
      </c>
      <c r="Y85" s="67">
        <f>交易记录!Z18+交易记录!Z82+交易记录!Z146+交易记录!Z210+交易记录!Z274+交易记录!Z338+交易记录!Z402+交易记录!Z466+交易记录!Z530+交易记录!Z594+交易记录!Z658+交易记录!Z722+交易记录!Z786+交易记录!Z850+交易记录!Z914</f>
        <v>0.19500000000000001</v>
      </c>
      <c r="Z85" s="67">
        <f>交易记录!AA18+交易记录!AA82+交易记录!AA146+交易记录!AA210+交易记录!AA274+交易记录!AA338+交易记录!AA402+交易记录!AA466+交易记录!AA530+交易记录!AA594+交易记录!AA658+交易记录!AA722+交易记录!AA786+交易记录!AA850+交易记录!AA914</f>
        <v>0.19500000000000001</v>
      </c>
      <c r="AA85" s="67">
        <f>交易记录!AB18+交易记录!AB82+交易记录!AB146+交易记录!AB210+交易记录!AB274+交易记录!AB338+交易记录!AB402+交易记录!AB466+交易记录!AB530+交易记录!AB594+交易记录!AB658+交易记录!AB722+交易记录!AB786+交易记录!AB850+交易记录!AB914</f>
        <v>0.19500000000000001</v>
      </c>
      <c r="AB85" s="67">
        <f>交易记录!AC18+交易记录!AC82+交易记录!AC146+交易记录!AC210+交易记录!AC274+交易记录!AC338+交易记录!AC402+交易记录!AC466+交易记录!AC530+交易记录!AC594+交易记录!AC658+交易记录!AC722+交易记录!AC786+交易记录!AC850+交易记录!AC914</f>
        <v>8.1000000000000003E-2</v>
      </c>
      <c r="AC85" s="67">
        <f>交易记录!AD18+交易记录!AD82+交易记录!AD146+交易记录!AD210+交易记录!AD274+交易记录!AD338+交易记录!AD402+交易记录!AD466+交易记录!AD530+交易记录!AD594+交易记录!AD658+交易记录!AD722+交易记录!AD786+交易记录!AD850+交易记录!AD914</f>
        <v>8.1000000000000003E-2</v>
      </c>
      <c r="AD85" s="67">
        <f>交易记录!AE18+交易记录!AE82+交易记录!AE146+交易记录!AE210+交易记录!AE274+交易记录!AE338+交易记录!AE402+交易记录!AE466+交易记录!AE530+交易记录!AE594+交易记录!AE658+交易记录!AE722+交易记录!AE786+交易记录!AE850+交易记录!AE914</f>
        <v>0.19500000000000001</v>
      </c>
      <c r="AE85" s="67">
        <f>交易记录!AF18+交易记录!AF82+交易记录!AF146+交易记录!AF210+交易记录!AF274+交易记录!AF338+交易记录!AF402+交易记录!AF466+交易记录!AF530+交易记录!AF594+交易记录!AF658+交易记录!AF722+交易记录!AF786+交易记录!AF850+交易记录!AF914</f>
        <v>0.19500000000000001</v>
      </c>
      <c r="AF85" s="67">
        <f>交易记录!AG18+交易记录!AG82+交易记录!AG146+交易记录!AG210+交易记录!AG274+交易记录!AG338+交易记录!AG402+交易记录!AG466+交易记录!AG530+交易记录!AG594+交易记录!AG658+交易记录!AG722+交易记录!AG786+交易记录!AG850+交易记录!AG914</f>
        <v>0.19500000000000001</v>
      </c>
      <c r="AG85" s="67">
        <f>交易记录!AH18+交易记录!AH82+交易记录!AH146+交易记录!AH210+交易记录!AH274+交易记录!AH338+交易记录!AH402+交易记录!AH466+交易记录!AH530+交易记录!AH594+交易记录!AH658+交易记录!AH722+交易记录!AH786+交易记录!AH850+交易记录!AH914</f>
        <v>0.19500000000000001</v>
      </c>
      <c r="AH85" s="53">
        <f t="shared" si="3"/>
        <v>5.0070000000000006</v>
      </c>
      <c r="AI85" s="54"/>
      <c r="AJ85" s="55"/>
      <c r="AK85" s="53"/>
    </row>
    <row r="86" spans="2:37" s="3" customFormat="1" ht="15">
      <c r="B86" s="7" t="s">
        <v>20</v>
      </c>
      <c r="C86" s="67">
        <f>交易记录!D19+交易记录!D83+交易记录!D147+交易记录!D211+交易记录!D275+交易记录!D339+交易记录!D403+交易记录!D467+交易记录!D531+交易记录!D595+交易记录!D659+交易记录!D723+交易记录!D787+交易记录!D851+交易记录!D915</f>
        <v>0.23599999999999999</v>
      </c>
      <c r="D86" s="67">
        <f>交易记录!E19+交易记录!E83+交易记录!E147+交易记录!E211+交易记录!E275+交易记录!E339+交易记录!E403+交易记录!E467+交易记录!E531+交易记录!E595+交易记录!E659+交易记录!E723+交易记录!E787+交易记录!E851+交易记录!E915</f>
        <v>0.34599999999999997</v>
      </c>
      <c r="E86" s="67">
        <f>交易记录!F19+交易记录!F83+交易记录!F147+交易记录!F211+交易记录!F275+交易记录!F339+交易记录!F403+交易记录!F467+交易记录!F531+交易记录!F595+交易记录!F659+交易记录!F723+交易记录!F787+交易记录!F851+交易记录!F915</f>
        <v>0.34599999999999997</v>
      </c>
      <c r="F86" s="67">
        <f>交易记录!G19+交易记录!G83+交易记录!G147+交易记录!G211+交易记录!G275+交易记录!G339+交易记录!G403+交易记录!G467+交易记录!G531+交易记录!G595+交易记录!G659+交易记录!G723+交易记录!G787+交易记录!G851+交易记录!G915</f>
        <v>0.34599999999999997</v>
      </c>
      <c r="G86" s="67">
        <f>交易记录!H19+交易记录!H83+交易记录!H147+交易记录!H211+交易记录!H275+交易记录!H339+交易记录!H403+交易记录!H467+交易记录!H531+交易记录!H595+交易记录!H659+交易记录!H723+交易记录!H787+交易记录!H851+交易记录!H915</f>
        <v>0.13</v>
      </c>
      <c r="H86" s="67">
        <f>交易记录!I19+交易记录!I83+交易记录!I147+交易记录!I211+交易记录!I275+交易记录!I339+交易记录!I403+交易记录!I467+交易记录!I531+交易记录!I595+交易记录!I659+交易记录!I723+交易记录!I787+交易记录!I851+交易记录!I915</f>
        <v>0.13</v>
      </c>
      <c r="I86" s="67">
        <f>交易记录!J19+交易记录!J83+交易记录!J147+交易记录!J211+交易记录!J275+交易记录!J339+交易记录!J403+交易记录!J467+交易记录!J531+交易记录!J595+交易记录!J659+交易记录!J723+交易记录!J787+交易记录!J851+交易记录!J915</f>
        <v>0.34599999999999997</v>
      </c>
      <c r="J86" s="67">
        <f>交易记录!K19+交易记录!K83+交易记录!K147+交易记录!K211+交易记录!K275+交易记录!K339+交易记录!K403+交易记录!K467+交易记录!K531+交易记录!K595+交易记录!K659+交易记录!K723+交易记录!K787+交易记录!K851+交易记录!K915</f>
        <v>0.34599999999999997</v>
      </c>
      <c r="K86" s="67">
        <f>交易记录!L19+交易记录!L83+交易记录!L147+交易记录!L211+交易记录!L275+交易记录!L339+交易记录!L403+交易记录!L467+交易记录!L531+交易记录!L595+交易记录!L659+交易记录!L723+交易记录!L787+交易记录!L851+交易记录!L915</f>
        <v>0.34599999999999997</v>
      </c>
      <c r="L86" s="67">
        <f>交易记录!M19+交易记录!M83+交易记录!M147+交易记录!M211+交易记录!M275+交易记录!M339+交易记录!M403+交易记录!M467+交易记录!M531+交易记录!M595+交易记录!M659+交易记录!M723+交易记录!M787+交易记录!M851+交易记录!M915</f>
        <v>0.34599999999999997</v>
      </c>
      <c r="M86" s="67">
        <f>交易记录!N19+交易记录!N83+交易记录!N147+交易记录!N211+交易记录!N275+交易记录!N339+交易记录!N403+交易记录!N467+交易记录!N531+交易记录!N595+交易记录!N659+交易记录!N723+交易记录!N787+交易记录!N851+交易记录!N915</f>
        <v>0.34599999999999997</v>
      </c>
      <c r="N86" s="67">
        <f>交易记录!O19+交易记录!O83+交易记录!O147+交易记录!O211+交易记录!O275+交易记录!O339+交易记录!O403+交易记录!O467+交易记录!O531+交易记录!O595+交易记录!O659+交易记录!O723+交易记录!O787+交易记录!O851+交易记录!O915</f>
        <v>0.13</v>
      </c>
      <c r="O86" s="67">
        <f>交易记录!P19+交易记录!P83+交易记录!P147+交易记录!P211+交易记录!P275+交易记录!P339+交易记录!P403+交易记录!P467+交易记录!P531+交易记录!P595+交易记录!P659+交易记录!P723+交易记录!P787+交易记录!P851+交易记录!P915</f>
        <v>0.13</v>
      </c>
      <c r="P86" s="67">
        <f>交易记录!Q19+交易记录!Q83+交易记录!Q147+交易记录!Q211+交易记录!Q275+交易记录!Q339+交易记录!Q403+交易记录!Q467+交易记录!Q531+交易记录!Q595+交易记录!Q659+交易记录!Q723+交易记录!Q787+交易记录!Q851+交易记录!Q915</f>
        <v>0.34599999999999997</v>
      </c>
      <c r="Q86" s="67">
        <f>交易记录!R19+交易记录!R83+交易记录!R147+交易记录!R211+交易记录!R275+交易记录!R339+交易记录!R403+交易记录!R467+交易记录!R531+交易记录!R595+交易记录!R659+交易记录!R723+交易记录!R787+交易记录!R851+交易记录!R915</f>
        <v>0.34599999999999997</v>
      </c>
      <c r="R86" s="67">
        <f>交易记录!S19+交易记录!S83+交易记录!S147+交易记录!S211+交易记录!S275+交易记录!S339+交易记录!S403+交易记录!S467+交易记录!S531+交易记录!S595+交易记录!S659+交易记录!S723+交易记录!S787+交易记录!S851+交易记录!S915</f>
        <v>0.34599999999999997</v>
      </c>
      <c r="S86" s="67">
        <f>交易记录!T19+交易记录!T83+交易记录!T147+交易记录!T211+交易记录!T275+交易记录!T339+交易记录!T403+交易记录!T467+交易记录!T531+交易记录!T595+交易记录!T659+交易记录!T723+交易记录!T787+交易记录!T851+交易记录!T915</f>
        <v>0.34599999999999997</v>
      </c>
      <c r="T86" s="67">
        <f>交易记录!U19+交易记录!U83+交易记录!U147+交易记录!U211+交易记录!U275+交易记录!U339+交易记录!U403+交易记录!U467+交易记录!U531+交易记录!U595+交易记录!U659+交易记录!U723+交易记录!U787+交易记录!U851+交易记录!U915</f>
        <v>0.34599999999999997</v>
      </c>
      <c r="U86" s="67">
        <f>交易记录!V19+交易记录!V83+交易记录!V147+交易记录!V211+交易记录!V275+交易记录!V339+交易记录!V403+交易记录!V467+交易记录!V531+交易记录!V595+交易记录!V659+交易记录!V723+交易记录!V787+交易记录!V851+交易记录!V915</f>
        <v>0.13</v>
      </c>
      <c r="V86" s="67">
        <f>交易记录!W19+交易记录!W83+交易记录!W147+交易记录!W211+交易记录!W275+交易记录!W339+交易记录!W403+交易记录!W467+交易记录!W531+交易记录!W595+交易记录!W659+交易记录!W723+交易记录!W787+交易记录!W851+交易记录!W915</f>
        <v>0.13</v>
      </c>
      <c r="W86" s="67">
        <f>交易记录!X19+交易记录!X83+交易记录!X147+交易记录!X211+交易记录!X275+交易记录!X339+交易记录!X403+交易记录!X467+交易记录!X531+交易记录!X595+交易记录!X659+交易记录!X723+交易记录!X787+交易记录!X851+交易记录!X915</f>
        <v>0.34599999999999997</v>
      </c>
      <c r="X86" s="67">
        <f>交易记录!Y19+交易记录!Y83+交易记录!Y147+交易记录!Y211+交易记录!Y275+交易记录!Y339+交易记录!Y403+交易记录!Y467+交易记录!Y531+交易记录!Y595+交易记录!Y659+交易记录!Y723+交易记录!Y787+交易记录!Y851+交易记录!Y915</f>
        <v>0.34599999999999997</v>
      </c>
      <c r="Y86" s="67">
        <f>交易记录!Z19+交易记录!Z83+交易记录!Z147+交易记录!Z211+交易记录!Z275+交易记录!Z339+交易记录!Z403+交易记录!Z467+交易记录!Z531+交易记录!Z595+交易记录!Z659+交易记录!Z723+交易记录!Z787+交易记录!Z851+交易记录!Z915</f>
        <v>0.34599999999999997</v>
      </c>
      <c r="Z86" s="67">
        <f>交易记录!AA19+交易记录!AA83+交易记录!AA147+交易记录!AA211+交易记录!AA275+交易记录!AA339+交易记录!AA403+交易记录!AA467+交易记录!AA531+交易记录!AA595+交易记录!AA659+交易记录!AA723+交易记录!AA787+交易记录!AA851+交易记录!AA915</f>
        <v>0.34599999999999997</v>
      </c>
      <c r="AA86" s="67">
        <f>交易记录!AB19+交易记录!AB83+交易记录!AB147+交易记录!AB211+交易记录!AB275+交易记录!AB339+交易记录!AB403+交易记录!AB467+交易记录!AB531+交易记录!AB595+交易记录!AB659+交易记录!AB723+交易记录!AB787+交易记录!AB851+交易记录!AB915</f>
        <v>0.34599999999999997</v>
      </c>
      <c r="AB86" s="67">
        <f>交易记录!AC19+交易记录!AC83+交易记录!AC147+交易记录!AC211+交易记录!AC275+交易记录!AC339+交易记录!AC403+交易记录!AC467+交易记录!AC531+交易记录!AC595+交易记录!AC659+交易记录!AC723+交易记录!AC787+交易记录!AC851+交易记录!AC915</f>
        <v>0.13</v>
      </c>
      <c r="AC86" s="67">
        <f>交易记录!AD19+交易记录!AD83+交易记录!AD147+交易记录!AD211+交易记录!AD275+交易记录!AD339+交易记录!AD403+交易记录!AD467+交易记录!AD531+交易记录!AD595+交易记录!AD659+交易记录!AD723+交易记录!AD787+交易记录!AD851+交易记录!AD915</f>
        <v>0.13</v>
      </c>
      <c r="AD86" s="67">
        <f>交易记录!AE19+交易记录!AE83+交易记录!AE147+交易记录!AE211+交易记录!AE275+交易记录!AE339+交易记录!AE403+交易记录!AE467+交易记录!AE531+交易记录!AE595+交易记录!AE659+交易记录!AE723+交易记录!AE787+交易记录!AE851+交易记录!AE915</f>
        <v>0.34599999999999997</v>
      </c>
      <c r="AE86" s="67">
        <f>交易记录!AF19+交易记录!AF83+交易记录!AF147+交易记录!AF211+交易记录!AF275+交易记录!AF339+交易记录!AF403+交易记录!AF467+交易记录!AF531+交易记录!AF595+交易记录!AF659+交易记录!AF723+交易记录!AF787+交易记录!AF851+交易记录!AF915</f>
        <v>0.34599999999999997</v>
      </c>
      <c r="AF86" s="67">
        <f>交易记录!AG19+交易记录!AG83+交易记录!AG147+交易记录!AG211+交易记录!AG275+交易记录!AG339+交易记录!AG403+交易记录!AG467+交易记录!AG531+交易记录!AG595+交易记录!AG659+交易记录!AG723+交易记录!AG787+交易记录!AG851+交易记录!AG915</f>
        <v>0.34599999999999997</v>
      </c>
      <c r="AG86" s="67">
        <f>交易记录!AH19+交易记录!AH83+交易记录!AH147+交易记录!AH211+交易记录!AH275+交易记录!AH339+交易记录!AH403+交易记录!AH467+交易记录!AH531+交易记录!AH595+交易记录!AH659+交易记录!AH723+交易记录!AH787+交易记录!AH851+交易记录!AH915</f>
        <v>0.34599999999999997</v>
      </c>
      <c r="AH86" s="53">
        <f t="shared" si="3"/>
        <v>8.8879999999999999</v>
      </c>
      <c r="AI86" s="54"/>
      <c r="AJ86" s="55"/>
      <c r="AK86" s="53"/>
    </row>
    <row r="87" spans="2:37" s="3" customFormat="1" ht="15">
      <c r="B87" s="7" t="s">
        <v>21</v>
      </c>
      <c r="C87" s="67">
        <f>交易记录!D20+交易记录!D84+交易记录!D148+交易记录!D212+交易记录!D276+交易记录!D340+交易记录!D404+交易记录!D468+交易记录!D532+交易记录!D596+交易记录!D660+交易记录!D724+交易记录!D788+交易记录!D852+交易记录!D916</f>
        <v>0.28400000000000003</v>
      </c>
      <c r="D87" s="67">
        <f>交易记录!E20+交易记录!E84+交易记录!E148+交易记录!E212+交易记录!E276+交易记录!E340+交易记录!E404+交易记录!E468+交易记录!E532+交易记录!E596+交易记录!E660+交易记录!E724+交易记录!E788+交易记录!E852+交易记录!E916</f>
        <v>0.38</v>
      </c>
      <c r="E87" s="67">
        <f>交易记录!F20+交易记录!F84+交易记录!F148+交易记录!F212+交易记录!F276+交易记录!F340+交易记录!F404+交易记录!F468+交易记录!F532+交易记录!F596+交易记录!F660+交易记录!F724+交易记录!F788+交易记录!F852+交易记录!F916</f>
        <v>0.38</v>
      </c>
      <c r="F87" s="67">
        <f>交易记录!G20+交易记录!G84+交易记录!G148+交易记录!G212+交易记录!G276+交易记录!G340+交易记录!G404+交易记录!G468+交易记录!G532+交易记录!G596+交易记录!G660+交易记录!G724+交易记录!G788+交易记录!G852+交易记录!G916</f>
        <v>0.38</v>
      </c>
      <c r="G87" s="67">
        <f>交易记录!H20+交易记录!H84+交易记录!H148+交易记录!H212+交易记录!H276+交易记录!H340+交易记录!H404+交易记录!H468+交易记录!H532+交易记录!H596+交易记录!H660+交易记录!H724+交易记录!H788+交易记录!H852+交易记录!H916</f>
        <v>0.13</v>
      </c>
      <c r="H87" s="67">
        <f>交易记录!I20+交易记录!I84+交易记录!I148+交易记录!I212+交易记录!I276+交易记录!I340+交易记录!I404+交易记录!I468+交易记录!I532+交易记录!I596+交易记录!I660+交易记录!I724+交易记录!I788+交易记录!I852+交易记录!I916</f>
        <v>0.13</v>
      </c>
      <c r="I87" s="67">
        <f>交易记录!J20+交易记录!J84+交易记录!J148+交易记录!J212+交易记录!J276+交易记录!J340+交易记录!J404+交易记录!J468+交易记录!J532+交易记录!J596+交易记录!J660+交易记录!J724+交易记录!J788+交易记录!J852+交易记录!J916</f>
        <v>0.38</v>
      </c>
      <c r="J87" s="67">
        <f>交易记录!K20+交易记录!K84+交易记录!K148+交易记录!K212+交易记录!K276+交易记录!K340+交易记录!K404+交易记录!K468+交易记录!K532+交易记录!K596+交易记录!K660+交易记录!K724+交易记录!K788+交易记录!K852+交易记录!K916</f>
        <v>0.38</v>
      </c>
      <c r="K87" s="67">
        <f>交易记录!L20+交易记录!L84+交易记录!L148+交易记录!L212+交易记录!L276+交易记录!L340+交易记录!L404+交易记录!L468+交易记录!L532+交易记录!L596+交易记录!L660+交易记录!L724+交易记录!L788+交易记录!L852+交易记录!L916</f>
        <v>0.38</v>
      </c>
      <c r="L87" s="67">
        <f>交易记录!M20+交易记录!M84+交易记录!M148+交易记录!M212+交易记录!M276+交易记录!M340+交易记录!M404+交易记录!M468+交易记录!M532+交易记录!M596+交易记录!M660+交易记录!M724+交易记录!M788+交易记录!M852+交易记录!M916</f>
        <v>0.38</v>
      </c>
      <c r="M87" s="67">
        <f>交易记录!N20+交易记录!N84+交易记录!N148+交易记录!N212+交易记录!N276+交易记录!N340+交易记录!N404+交易记录!N468+交易记录!N532+交易记录!N596+交易记录!N660+交易记录!N724+交易记录!N788+交易记录!N852+交易记录!N916</f>
        <v>0.38</v>
      </c>
      <c r="N87" s="67">
        <f>交易记录!O20+交易记录!O84+交易记录!O148+交易记录!O212+交易记录!O276+交易记录!O340+交易记录!O404+交易记录!O468+交易记录!O532+交易记录!O596+交易记录!O660+交易记录!O724+交易记录!O788+交易记录!O852+交易记录!O916</f>
        <v>0.13</v>
      </c>
      <c r="O87" s="67">
        <f>交易记录!P20+交易记录!P84+交易记录!P148+交易记录!P212+交易记录!P276+交易记录!P340+交易记录!P404+交易记录!P468+交易记录!P532+交易记录!P596+交易记录!P660+交易记录!P724+交易记录!P788+交易记录!P852+交易记录!P916</f>
        <v>0.13</v>
      </c>
      <c r="P87" s="67">
        <f>交易记录!Q20+交易记录!Q84+交易记录!Q148+交易记录!Q212+交易记录!Q276+交易记录!Q340+交易记录!Q404+交易记录!Q468+交易记录!Q532+交易记录!Q596+交易记录!Q660+交易记录!Q724+交易记录!Q788+交易记录!Q852+交易记录!Q916</f>
        <v>0.38</v>
      </c>
      <c r="Q87" s="67">
        <f>交易记录!R20+交易记录!R84+交易记录!R148+交易记录!R212+交易记录!R276+交易记录!R340+交易记录!R404+交易记录!R468+交易记录!R532+交易记录!R596+交易记录!R660+交易记录!R724+交易记录!R788+交易记录!R852+交易记录!R916</f>
        <v>0.38</v>
      </c>
      <c r="R87" s="67">
        <f>交易记录!S20+交易记录!S84+交易记录!S148+交易记录!S212+交易记录!S276+交易记录!S340+交易记录!S404+交易记录!S468+交易记录!S532+交易记录!S596+交易记录!S660+交易记录!S724+交易记录!S788+交易记录!S852+交易记录!S916</f>
        <v>0.38</v>
      </c>
      <c r="S87" s="67">
        <f>交易记录!T20+交易记录!T84+交易记录!T148+交易记录!T212+交易记录!T276+交易记录!T340+交易记录!T404+交易记录!T468+交易记录!T532+交易记录!T596+交易记录!T660+交易记录!T724+交易记录!T788+交易记录!T852+交易记录!T916</f>
        <v>0.38</v>
      </c>
      <c r="T87" s="67">
        <f>交易记录!U20+交易记录!U84+交易记录!U148+交易记录!U212+交易记录!U276+交易记录!U340+交易记录!U404+交易记录!U468+交易记录!U532+交易记录!U596+交易记录!U660+交易记录!U724+交易记录!U788+交易记录!U852+交易记录!U916</f>
        <v>0.38</v>
      </c>
      <c r="U87" s="67">
        <f>交易记录!V20+交易记录!V84+交易记录!V148+交易记录!V212+交易记录!V276+交易记录!V340+交易记录!V404+交易记录!V468+交易记录!V532+交易记录!V596+交易记录!V660+交易记录!V724+交易记录!V788+交易记录!V852+交易记录!V916</f>
        <v>0.13</v>
      </c>
      <c r="V87" s="67">
        <f>交易记录!W20+交易记录!W84+交易记录!W148+交易记录!W212+交易记录!W276+交易记录!W340+交易记录!W404+交易记录!W468+交易记录!W532+交易记录!W596+交易记录!W660+交易记录!W724+交易记录!W788+交易记录!W852+交易记录!W916</f>
        <v>0.13</v>
      </c>
      <c r="W87" s="67">
        <f>交易记录!X20+交易记录!X84+交易记录!X148+交易记录!X212+交易记录!X276+交易记录!X340+交易记录!X404+交易记录!X468+交易记录!X532+交易记录!X596+交易记录!X660+交易记录!X724+交易记录!X788+交易记录!X852+交易记录!X916</f>
        <v>0.38</v>
      </c>
      <c r="X87" s="67">
        <f>交易记录!Y20+交易记录!Y84+交易记录!Y148+交易记录!Y212+交易记录!Y276+交易记录!Y340+交易记录!Y404+交易记录!Y468+交易记录!Y532+交易记录!Y596+交易记录!Y660+交易记录!Y724+交易记录!Y788+交易记录!Y852+交易记录!Y916</f>
        <v>0.38</v>
      </c>
      <c r="Y87" s="67">
        <f>交易记录!Z20+交易记录!Z84+交易记录!Z148+交易记录!Z212+交易记录!Z276+交易记录!Z340+交易记录!Z404+交易记录!Z468+交易记录!Z532+交易记录!Z596+交易记录!Z660+交易记录!Z724+交易记录!Z788+交易记录!Z852+交易记录!Z916</f>
        <v>0.38</v>
      </c>
      <c r="Z87" s="67">
        <f>交易记录!AA20+交易记录!AA84+交易记录!AA148+交易记录!AA212+交易记录!AA276+交易记录!AA340+交易记录!AA404+交易记录!AA468+交易记录!AA532+交易记录!AA596+交易记录!AA660+交易记录!AA724+交易记录!AA788+交易记录!AA852+交易记录!AA916</f>
        <v>0.38</v>
      </c>
      <c r="AA87" s="67">
        <f>交易记录!AB20+交易记录!AB84+交易记录!AB148+交易记录!AB212+交易记录!AB276+交易记录!AB340+交易记录!AB404+交易记录!AB468+交易记录!AB532+交易记录!AB596+交易记录!AB660+交易记录!AB724+交易记录!AB788+交易记录!AB852+交易记录!AB916</f>
        <v>0.38</v>
      </c>
      <c r="AB87" s="67">
        <f>交易记录!AC20+交易记录!AC84+交易记录!AC148+交易记录!AC212+交易记录!AC276+交易记录!AC340+交易记录!AC404+交易记录!AC468+交易记录!AC532+交易记录!AC596+交易记录!AC660+交易记录!AC724+交易记录!AC788+交易记录!AC852+交易记录!AC916</f>
        <v>0.13</v>
      </c>
      <c r="AC87" s="67">
        <f>交易记录!AD20+交易记录!AD84+交易记录!AD148+交易记录!AD212+交易记录!AD276+交易记录!AD340+交易记录!AD404+交易记录!AD468+交易记录!AD532+交易记录!AD596+交易记录!AD660+交易记录!AD724+交易记录!AD788+交易记录!AD852+交易记录!AD916</f>
        <v>0.13</v>
      </c>
      <c r="AD87" s="67">
        <f>交易记录!AE20+交易记录!AE84+交易记录!AE148+交易记录!AE212+交易记录!AE276+交易记录!AE340+交易记录!AE404+交易记录!AE468+交易记录!AE532+交易记录!AE596+交易记录!AE660+交易记录!AE724+交易记录!AE788+交易记录!AE852+交易记录!AE916</f>
        <v>0.38</v>
      </c>
      <c r="AE87" s="67">
        <f>交易记录!AF20+交易记录!AF84+交易记录!AF148+交易记录!AF212+交易记录!AF276+交易记录!AF340+交易记录!AF404+交易记录!AF468+交易记录!AF532+交易记录!AF596+交易记录!AF660+交易记录!AF724+交易记录!AF788+交易记录!AF852+交易记录!AF916</f>
        <v>0.38</v>
      </c>
      <c r="AF87" s="67">
        <f>交易记录!AG20+交易记录!AG84+交易记录!AG148+交易记录!AG212+交易记录!AG276+交易记录!AG340+交易记录!AG404+交易记录!AG468+交易记录!AG532+交易记录!AG596+交易记录!AG660+交易记录!AG724+交易记录!AG788+交易记录!AG852+交易记录!AG916</f>
        <v>0.38</v>
      </c>
      <c r="AG87" s="67">
        <f>交易记录!AH20+交易记录!AH84+交易记录!AH148+交易记录!AH212+交易记录!AH276+交易记录!AH340+交易记录!AH404+交易记录!AH468+交易记录!AH532+交易记录!AH596+交易记录!AH660+交易记录!AH724+交易记录!AH788+交易记录!AH852+交易记录!AH916</f>
        <v>0.38</v>
      </c>
      <c r="AH87" s="53">
        <f t="shared" si="3"/>
        <v>9.6840000000000028</v>
      </c>
      <c r="AI87" s="54"/>
      <c r="AJ87" s="55"/>
      <c r="AK87" s="53"/>
    </row>
    <row r="88" spans="2:37" s="3" customFormat="1" ht="15">
      <c r="B88" s="7" t="s">
        <v>22</v>
      </c>
      <c r="C88" s="67">
        <f>交易记录!D21+交易记录!D85+交易记录!D149+交易记录!D213+交易记录!D277+交易记录!D341+交易记录!D405+交易记录!D469+交易记录!D533+交易记录!D597+交易记录!D661+交易记录!D725+交易记录!D789+交易记录!D853+交易记录!D917</f>
        <v>0.33799999999999997</v>
      </c>
      <c r="D88" s="67">
        <f>交易记录!E21+交易记录!E85+交易记录!E149+交易记录!E213+交易记录!E277+交易记录!E341+交易记录!E405+交易记录!E469+交易记录!E533+交易记录!E597+交易记录!E661+交易记录!E725+交易记录!E789+交易记录!E853+交易记录!E917</f>
        <v>0.58600000000000008</v>
      </c>
      <c r="E88" s="67">
        <f>交易记录!F21+交易记录!F85+交易记录!F149+交易记录!F213+交易记录!F277+交易记录!F341+交易记录!F405+交易记录!F469+交易记录!F533+交易记录!F597+交易记录!F661+交易记录!F725+交易记录!F789+交易记录!F853+交易记录!F917</f>
        <v>0.58600000000000008</v>
      </c>
      <c r="F88" s="67">
        <f>交易记录!G21+交易记录!G85+交易记录!G149+交易记录!G213+交易记录!G277+交易记录!G341+交易记录!G405+交易记录!G469+交易记录!G533+交易记录!G597+交易记录!G661+交易记录!G725+交易记录!G789+交易记录!G853+交易记录!G917</f>
        <v>0.58600000000000008</v>
      </c>
      <c r="G88" s="67">
        <f>交易记录!H21+交易记录!H85+交易记录!H149+交易记录!H213+交易记录!H277+交易记录!H341+交易记录!H405+交易记录!H469+交易记录!H533+交易记录!H597+交易记录!H661+交易记录!H725+交易记录!H789+交易记录!H853+交易记录!H917</f>
        <v>0.10200000000000001</v>
      </c>
      <c r="H88" s="67">
        <f>交易记录!I21+交易记录!I85+交易记录!I149+交易记录!I213+交易记录!I277+交易记录!I341+交易记录!I405+交易记录!I469+交易记录!I533+交易记录!I597+交易记录!I661+交易记录!I725+交易记录!I789+交易记录!I853+交易记录!I917</f>
        <v>0.10200000000000001</v>
      </c>
      <c r="I88" s="67">
        <f>交易记录!J21+交易记录!J85+交易记录!J149+交易记录!J213+交易记录!J277+交易记录!J341+交易记录!J405+交易记录!J469+交易记录!J533+交易记录!J597+交易记录!J661+交易记录!J725+交易记录!J789+交易记录!J853+交易记录!J917</f>
        <v>0.58600000000000008</v>
      </c>
      <c r="J88" s="67">
        <f>交易记录!K21+交易记录!K85+交易记录!K149+交易记录!K213+交易记录!K277+交易记录!K341+交易记录!K405+交易记录!K469+交易记录!K533+交易记录!K597+交易记录!K661+交易记录!K725+交易记录!K789+交易记录!K853+交易记录!K917</f>
        <v>0.58600000000000008</v>
      </c>
      <c r="K88" s="67">
        <f>交易记录!L21+交易记录!L85+交易记录!L149+交易记录!L213+交易记录!L277+交易记录!L341+交易记录!L405+交易记录!L469+交易记录!L533+交易记录!L597+交易记录!L661+交易记录!L725+交易记录!L789+交易记录!L853+交易记录!L917</f>
        <v>0.58600000000000008</v>
      </c>
      <c r="L88" s="67">
        <f>交易记录!M21+交易记录!M85+交易记录!M149+交易记录!M213+交易记录!M277+交易记录!M341+交易记录!M405+交易记录!M469+交易记录!M533+交易记录!M597+交易记录!M661+交易记录!M725+交易记录!M789+交易记录!M853+交易记录!M917</f>
        <v>0.58600000000000008</v>
      </c>
      <c r="M88" s="67">
        <f>交易记录!N21+交易记录!N85+交易记录!N149+交易记录!N213+交易记录!N277+交易记录!N341+交易记录!N405+交易记录!N469+交易记录!N533+交易记录!N597+交易记录!N661+交易记录!N725+交易记录!N789+交易记录!N853+交易记录!N917</f>
        <v>0.58600000000000008</v>
      </c>
      <c r="N88" s="67">
        <f>交易记录!O21+交易记录!O85+交易记录!O149+交易记录!O213+交易记录!O277+交易记录!O341+交易记录!O405+交易记录!O469+交易记录!O533+交易记录!O597+交易记录!O661+交易记录!O725+交易记录!O789+交易记录!O853+交易记录!O917</f>
        <v>0.10200000000000001</v>
      </c>
      <c r="O88" s="67">
        <f>交易记录!P21+交易记录!P85+交易记录!P149+交易记录!P213+交易记录!P277+交易记录!P341+交易记录!P405+交易记录!P469+交易记录!P533+交易记录!P597+交易记录!P661+交易记录!P725+交易记录!P789+交易记录!P853+交易记录!P917</f>
        <v>0.10200000000000001</v>
      </c>
      <c r="P88" s="67">
        <f>交易记录!Q21+交易记录!Q85+交易记录!Q149+交易记录!Q213+交易记录!Q277+交易记录!Q341+交易记录!Q405+交易记录!Q469+交易记录!Q533+交易记录!Q597+交易记录!Q661+交易记录!Q725+交易记录!Q789+交易记录!Q853+交易记录!Q917</f>
        <v>0.58600000000000008</v>
      </c>
      <c r="Q88" s="67">
        <f>交易记录!R21+交易记录!R85+交易记录!R149+交易记录!R213+交易记录!R277+交易记录!R341+交易记录!R405+交易记录!R469+交易记录!R533+交易记录!R597+交易记录!R661+交易记录!R725+交易记录!R789+交易记录!R853+交易记录!R917</f>
        <v>0.58600000000000008</v>
      </c>
      <c r="R88" s="67">
        <f>交易记录!S21+交易记录!S85+交易记录!S149+交易记录!S213+交易记录!S277+交易记录!S341+交易记录!S405+交易记录!S469+交易记录!S533+交易记录!S597+交易记录!S661+交易记录!S725+交易记录!S789+交易记录!S853+交易记录!S917</f>
        <v>0.58600000000000008</v>
      </c>
      <c r="S88" s="67">
        <f>交易记录!T21+交易记录!T85+交易记录!T149+交易记录!T213+交易记录!T277+交易记录!T341+交易记录!T405+交易记录!T469+交易记录!T533+交易记录!T597+交易记录!T661+交易记录!T725+交易记录!T789+交易记录!T853+交易记录!T917</f>
        <v>0.58600000000000008</v>
      </c>
      <c r="T88" s="67">
        <f>交易记录!U21+交易记录!U85+交易记录!U149+交易记录!U213+交易记录!U277+交易记录!U341+交易记录!U405+交易记录!U469+交易记录!U533+交易记录!U597+交易记录!U661+交易记录!U725+交易记录!U789+交易记录!U853+交易记录!U917</f>
        <v>0.58600000000000008</v>
      </c>
      <c r="U88" s="67">
        <f>交易记录!V21+交易记录!V85+交易记录!V149+交易记录!V213+交易记录!V277+交易记录!V341+交易记录!V405+交易记录!V469+交易记录!V533+交易记录!V597+交易记录!V661+交易记录!V725+交易记录!V789+交易记录!V853+交易记录!V917</f>
        <v>0.10200000000000001</v>
      </c>
      <c r="V88" s="67">
        <f>交易记录!W21+交易记录!W85+交易记录!W149+交易记录!W213+交易记录!W277+交易记录!W341+交易记录!W405+交易记录!W469+交易记录!W533+交易记录!W597+交易记录!W661+交易记录!W725+交易记录!W789+交易记录!W853+交易记录!W917</f>
        <v>0.10200000000000001</v>
      </c>
      <c r="W88" s="67">
        <f>交易记录!X21+交易记录!X85+交易记录!X149+交易记录!X213+交易记录!X277+交易记录!X341+交易记录!X405+交易记录!X469+交易记录!X533+交易记录!X597+交易记录!X661+交易记录!X725+交易记录!X789+交易记录!X853+交易记录!X917</f>
        <v>0.58600000000000008</v>
      </c>
      <c r="X88" s="67">
        <f>交易记录!Y21+交易记录!Y85+交易记录!Y149+交易记录!Y213+交易记录!Y277+交易记录!Y341+交易记录!Y405+交易记录!Y469+交易记录!Y533+交易记录!Y597+交易记录!Y661+交易记录!Y725+交易记录!Y789+交易记录!Y853+交易记录!Y917</f>
        <v>0.58600000000000008</v>
      </c>
      <c r="Y88" s="67">
        <f>交易记录!Z21+交易记录!Z85+交易记录!Z149+交易记录!Z213+交易记录!Z277+交易记录!Z341+交易记录!Z405+交易记录!Z469+交易记录!Z533+交易记录!Z597+交易记录!Z661+交易记录!Z725+交易记录!Z789+交易记录!Z853+交易记录!Z917</f>
        <v>0.58600000000000008</v>
      </c>
      <c r="Z88" s="67">
        <f>交易记录!AA21+交易记录!AA85+交易记录!AA149+交易记录!AA213+交易记录!AA277+交易记录!AA341+交易记录!AA405+交易记录!AA469+交易记录!AA533+交易记录!AA597+交易记录!AA661+交易记录!AA725+交易记录!AA789+交易记录!AA853+交易记录!AA917</f>
        <v>0.58600000000000008</v>
      </c>
      <c r="AA88" s="67">
        <f>交易记录!AB21+交易记录!AB85+交易记录!AB149+交易记录!AB213+交易记录!AB277+交易记录!AB341+交易记录!AB405+交易记录!AB469+交易记录!AB533+交易记录!AB597+交易记录!AB661+交易记录!AB725+交易记录!AB789+交易记录!AB853+交易记录!AB917</f>
        <v>0.58600000000000008</v>
      </c>
      <c r="AB88" s="67">
        <f>交易记录!AC21+交易记录!AC85+交易记录!AC149+交易记录!AC213+交易记录!AC277+交易记录!AC341+交易记录!AC405+交易记录!AC469+交易记录!AC533+交易记录!AC597+交易记录!AC661+交易记录!AC725+交易记录!AC789+交易记录!AC853+交易记录!AC917</f>
        <v>0.10200000000000001</v>
      </c>
      <c r="AC88" s="67">
        <f>交易记录!AD21+交易记录!AD85+交易记录!AD149+交易记录!AD213+交易记录!AD277+交易记录!AD341+交易记录!AD405+交易记录!AD469+交易记录!AD533+交易记录!AD597+交易记录!AD661+交易记录!AD725+交易记录!AD789+交易记录!AD853+交易记录!AD917</f>
        <v>0.10200000000000001</v>
      </c>
      <c r="AD88" s="67">
        <f>交易记录!AE21+交易记录!AE85+交易记录!AE149+交易记录!AE213+交易记录!AE277+交易记录!AE341+交易记录!AE405+交易记录!AE469+交易记录!AE533+交易记录!AE597+交易记录!AE661+交易记录!AE725+交易记录!AE789+交易记录!AE853+交易记录!AE917</f>
        <v>0.58600000000000008</v>
      </c>
      <c r="AE88" s="67">
        <f>交易记录!AF21+交易记录!AF85+交易记录!AF149+交易记录!AF213+交易记录!AF277+交易记录!AF341+交易记录!AF405+交易记录!AF469+交易记录!AF533+交易记录!AF597+交易记录!AF661+交易记录!AF725+交易记录!AF789+交易记录!AF853+交易记录!AF917</f>
        <v>0.58600000000000008</v>
      </c>
      <c r="AF88" s="67">
        <f>交易记录!AG21+交易记录!AG85+交易记录!AG149+交易记录!AG213+交易记录!AG277+交易记录!AG341+交易记录!AG405+交易记录!AG469+交易记录!AG533+交易记录!AG597+交易记录!AG661+交易记录!AG725+交易记录!AG789+交易记录!AG853+交易记录!AG917</f>
        <v>0.58600000000000008</v>
      </c>
      <c r="AG88" s="67">
        <f>交易记录!AH21+交易记录!AH85+交易记录!AH149+交易记录!AH213+交易记录!AH277+交易记录!AH341+交易记录!AH405+交易记录!AH469+交易记录!AH533+交易记录!AH597+交易记录!AH661+交易记录!AH725+交易记录!AH789+交易记录!AH853+交易记录!AH917</f>
        <v>0.58600000000000008</v>
      </c>
      <c r="AH88" s="53">
        <f t="shared" si="3"/>
        <v>14.046000000000006</v>
      </c>
      <c r="AI88" s="54"/>
      <c r="AJ88" s="55"/>
      <c r="AK88" s="53"/>
    </row>
    <row r="89" spans="2:37" s="3" customFormat="1" ht="15">
      <c r="B89" s="7" t="s">
        <v>23</v>
      </c>
      <c r="C89" s="67">
        <f>交易记录!D22+交易记录!D86+交易记录!D150+交易记录!D214+交易记录!D278+交易记录!D342+交易记录!D406+交易记录!D470+交易记录!D534+交易记录!D598+交易记录!D662+交易记录!D726+交易记录!D790+交易记录!D854+交易记录!D918</f>
        <v>0.54099999999999993</v>
      </c>
      <c r="D89" s="67">
        <f>交易记录!E22+交易记录!E86+交易记录!E150+交易记录!E214+交易记录!E278+交易记录!E342+交易记录!E406+交易记录!E470+交易记录!E534+交易记录!E598+交易记录!E662+交易记录!E726+交易记录!E790+交易记录!E854+交易记录!E918</f>
        <v>0.63300000000000001</v>
      </c>
      <c r="E89" s="67">
        <f>交易记录!F22+交易记录!F86+交易记录!F150+交易记录!F214+交易记录!F278+交易记录!F342+交易记录!F406+交易记录!F470+交易记录!F534+交易记录!F598+交易记录!F662+交易记录!F726+交易记录!F790+交易记录!F854+交易记录!F918</f>
        <v>0.63300000000000001</v>
      </c>
      <c r="F89" s="67">
        <f>交易记录!G22+交易记录!G86+交易记录!G150+交易记录!G214+交易记录!G278+交易记录!G342+交易记录!G406+交易记录!G470+交易记录!G534+交易记录!G598+交易记录!G662+交易记录!G726+交易记录!G790+交易记录!G854+交易记录!G918</f>
        <v>0.63300000000000001</v>
      </c>
      <c r="G89" s="67">
        <f>交易记录!H22+交易记录!H86+交易记录!H150+交易记录!H214+交易记录!H278+交易记录!H342+交易记录!H406+交易记录!H470+交易记录!H534+交易记录!H598+交易记录!H662+交易记录!H726+交易记录!H790+交易记录!H854+交易记录!H918</f>
        <v>0.127</v>
      </c>
      <c r="H89" s="67">
        <f>交易记录!I22+交易记录!I86+交易记录!I150+交易记录!I214+交易记录!I278+交易记录!I342+交易记录!I406+交易记录!I470+交易记录!I534+交易记录!I598+交易记录!I662+交易记录!I726+交易记录!I790+交易记录!I854+交易记录!I918</f>
        <v>0.127</v>
      </c>
      <c r="I89" s="67">
        <f>交易记录!J22+交易记录!J86+交易记录!J150+交易记录!J214+交易记录!J278+交易记录!J342+交易记录!J406+交易记录!J470+交易记录!J534+交易记录!J598+交易记录!J662+交易记录!J726+交易记录!J790+交易记录!J854+交易记录!J918</f>
        <v>0.63300000000000001</v>
      </c>
      <c r="J89" s="67">
        <f>交易记录!K22+交易记录!K86+交易记录!K150+交易记录!K214+交易记录!K278+交易记录!K342+交易记录!K406+交易记录!K470+交易记录!K534+交易记录!K598+交易记录!K662+交易记录!K726+交易记录!K790+交易记录!K854+交易记录!K918</f>
        <v>0.63300000000000001</v>
      </c>
      <c r="K89" s="67">
        <f>交易记录!L22+交易记录!L86+交易记录!L150+交易记录!L214+交易记录!L278+交易记录!L342+交易记录!L406+交易记录!L470+交易记录!L534+交易记录!L598+交易记录!L662+交易记录!L726+交易记录!L790+交易记录!L854+交易记录!L918</f>
        <v>0.63300000000000001</v>
      </c>
      <c r="L89" s="67">
        <f>交易记录!M22+交易记录!M86+交易记录!M150+交易记录!M214+交易记录!M278+交易记录!M342+交易记录!M406+交易记录!M470+交易记录!M534+交易记录!M598+交易记录!M662+交易记录!M726+交易记录!M790+交易记录!M854+交易记录!M918</f>
        <v>0.63300000000000001</v>
      </c>
      <c r="M89" s="67">
        <f>交易记录!N22+交易记录!N86+交易记录!N150+交易记录!N214+交易记录!N278+交易记录!N342+交易记录!N406+交易记录!N470+交易记录!N534+交易记录!N598+交易记录!N662+交易记录!N726+交易记录!N790+交易记录!N854+交易记录!N918</f>
        <v>0.63300000000000001</v>
      </c>
      <c r="N89" s="67">
        <f>交易记录!O22+交易记录!O86+交易记录!O150+交易记录!O214+交易记录!O278+交易记录!O342+交易记录!O406+交易记录!O470+交易记录!O534+交易记录!O598+交易记录!O662+交易记录!O726+交易记录!O790+交易记录!O854+交易记录!O918</f>
        <v>0.127</v>
      </c>
      <c r="O89" s="67">
        <f>交易记录!P22+交易记录!P86+交易记录!P150+交易记录!P214+交易记录!P278+交易记录!P342+交易记录!P406+交易记录!P470+交易记录!P534+交易记录!P598+交易记录!P662+交易记录!P726+交易记录!P790+交易记录!P854+交易记录!P918</f>
        <v>0.127</v>
      </c>
      <c r="P89" s="67">
        <f>交易记录!Q22+交易记录!Q86+交易记录!Q150+交易记录!Q214+交易记录!Q278+交易记录!Q342+交易记录!Q406+交易记录!Q470+交易记录!Q534+交易记录!Q598+交易记录!Q662+交易记录!Q726+交易记录!Q790+交易记录!Q854+交易记录!Q918</f>
        <v>0.63300000000000001</v>
      </c>
      <c r="Q89" s="67">
        <f>交易记录!R22+交易记录!R86+交易记录!R150+交易记录!R214+交易记录!R278+交易记录!R342+交易记录!R406+交易记录!R470+交易记录!R534+交易记录!R598+交易记录!R662+交易记录!R726+交易记录!R790+交易记录!R854+交易记录!R918</f>
        <v>0.63300000000000001</v>
      </c>
      <c r="R89" s="67">
        <f>交易记录!S22+交易记录!S86+交易记录!S150+交易记录!S214+交易记录!S278+交易记录!S342+交易记录!S406+交易记录!S470+交易记录!S534+交易记录!S598+交易记录!S662+交易记录!S726+交易记录!S790+交易记录!S854+交易记录!S918</f>
        <v>0.63300000000000001</v>
      </c>
      <c r="S89" s="67">
        <f>交易记录!T22+交易记录!T86+交易记录!T150+交易记录!T214+交易记录!T278+交易记录!T342+交易记录!T406+交易记录!T470+交易记录!T534+交易记录!T598+交易记录!T662+交易记录!T726+交易记录!T790+交易记录!T854+交易记录!T918</f>
        <v>0.63300000000000001</v>
      </c>
      <c r="T89" s="67">
        <f>交易记录!U22+交易记录!U86+交易记录!U150+交易记录!U214+交易记录!U278+交易记录!U342+交易记录!U406+交易记录!U470+交易记录!U534+交易记录!U598+交易记录!U662+交易记录!U726+交易记录!U790+交易记录!U854+交易记录!U918</f>
        <v>0.63300000000000001</v>
      </c>
      <c r="U89" s="67">
        <f>交易记录!V22+交易记录!V86+交易记录!V150+交易记录!V214+交易记录!V278+交易记录!V342+交易记录!V406+交易记录!V470+交易记录!V534+交易记录!V598+交易记录!V662+交易记录!V726+交易记录!V790+交易记录!V854+交易记录!V918</f>
        <v>0.127</v>
      </c>
      <c r="V89" s="67">
        <f>交易记录!W22+交易记录!W86+交易记录!W150+交易记录!W214+交易记录!W278+交易记录!W342+交易记录!W406+交易记录!W470+交易记录!W534+交易记录!W598+交易记录!W662+交易记录!W726+交易记录!W790+交易记录!W854+交易记录!W918</f>
        <v>0.127</v>
      </c>
      <c r="W89" s="67">
        <f>交易记录!X22+交易记录!X86+交易记录!X150+交易记录!X214+交易记录!X278+交易记录!X342+交易记录!X406+交易记录!X470+交易记录!X534+交易记录!X598+交易记录!X662+交易记录!X726+交易记录!X790+交易记录!X854+交易记录!X918</f>
        <v>0.63300000000000001</v>
      </c>
      <c r="X89" s="67">
        <f>交易记录!Y22+交易记录!Y86+交易记录!Y150+交易记录!Y214+交易记录!Y278+交易记录!Y342+交易记录!Y406+交易记录!Y470+交易记录!Y534+交易记录!Y598+交易记录!Y662+交易记录!Y726+交易记录!Y790+交易记录!Y854+交易记录!Y918</f>
        <v>0.63300000000000001</v>
      </c>
      <c r="Y89" s="67">
        <f>交易记录!Z22+交易记录!Z86+交易记录!Z150+交易记录!Z214+交易记录!Z278+交易记录!Z342+交易记录!Z406+交易记录!Z470+交易记录!Z534+交易记录!Z598+交易记录!Z662+交易记录!Z726+交易记录!Z790+交易记录!Z854+交易记录!Z918</f>
        <v>0.63300000000000001</v>
      </c>
      <c r="Z89" s="67">
        <f>交易记录!AA22+交易记录!AA86+交易记录!AA150+交易记录!AA214+交易记录!AA278+交易记录!AA342+交易记录!AA406+交易记录!AA470+交易记录!AA534+交易记录!AA598+交易记录!AA662+交易记录!AA726+交易记录!AA790+交易记录!AA854+交易记录!AA918</f>
        <v>0.63300000000000001</v>
      </c>
      <c r="AA89" s="67">
        <f>交易记录!AB22+交易记录!AB86+交易记录!AB150+交易记录!AB214+交易记录!AB278+交易记录!AB342+交易记录!AB406+交易记录!AB470+交易记录!AB534+交易记录!AB598+交易记录!AB662+交易记录!AB726+交易记录!AB790+交易记录!AB854+交易记录!AB918</f>
        <v>0.63300000000000001</v>
      </c>
      <c r="AB89" s="67">
        <f>交易记录!AC22+交易记录!AC86+交易记录!AC150+交易记录!AC214+交易记录!AC278+交易记录!AC342+交易记录!AC406+交易记录!AC470+交易记录!AC534+交易记录!AC598+交易记录!AC662+交易记录!AC726+交易记录!AC790+交易记录!AC854+交易记录!AC918</f>
        <v>0.127</v>
      </c>
      <c r="AC89" s="67">
        <f>交易记录!AD22+交易记录!AD86+交易记录!AD150+交易记录!AD214+交易记录!AD278+交易记录!AD342+交易记录!AD406+交易记录!AD470+交易记录!AD534+交易记录!AD598+交易记录!AD662+交易记录!AD726+交易记录!AD790+交易记录!AD854+交易记录!AD918</f>
        <v>0.127</v>
      </c>
      <c r="AD89" s="67">
        <f>交易记录!AE22+交易记录!AE86+交易记录!AE150+交易记录!AE214+交易记录!AE278+交易记录!AE342+交易记录!AE406+交易记录!AE470+交易记录!AE534+交易记录!AE598+交易记录!AE662+交易记录!AE726+交易记录!AE790+交易记录!AE854+交易记录!AE918</f>
        <v>0.63300000000000001</v>
      </c>
      <c r="AE89" s="67">
        <f>交易记录!AF22+交易记录!AF86+交易记录!AF150+交易记录!AF214+交易记录!AF278+交易记录!AF342+交易记录!AF406+交易记录!AF470+交易记录!AF534+交易记录!AF598+交易记录!AF662+交易记录!AF726+交易记录!AF790+交易记录!AF854+交易记录!AF918</f>
        <v>0.63300000000000001</v>
      </c>
      <c r="AF89" s="67">
        <f>交易记录!AG22+交易记录!AG86+交易记录!AG150+交易记录!AG214+交易记录!AG278+交易记录!AG342+交易记录!AG406+交易记录!AG470+交易记录!AG534+交易记录!AG598+交易记录!AG662+交易记录!AG726+交易记录!AG790+交易记录!AG854+交易记录!AG918</f>
        <v>0.63300000000000001</v>
      </c>
      <c r="AG89" s="67">
        <f>交易记录!AH22+交易记录!AH86+交易记录!AH150+交易记录!AH214+交易记录!AH278+交易记录!AH342+交易记录!AH406+交易记录!AH470+交易记录!AH534+交易记录!AH598+交易记录!AH662+交易记录!AH726+交易记录!AH790+交易记录!AH854+交易记录!AH918</f>
        <v>0.63300000000000001</v>
      </c>
      <c r="AH89" s="53">
        <f t="shared" si="3"/>
        <v>15.482999999999993</v>
      </c>
      <c r="AI89" s="54"/>
      <c r="AJ89" s="55"/>
      <c r="AK89" s="53"/>
    </row>
    <row r="90" spans="2:37" s="3" customFormat="1" ht="15">
      <c r="B90" s="7" t="s">
        <v>24</v>
      </c>
      <c r="C90" s="67">
        <f>交易记录!D23+交易记录!D87+交易记录!D151+交易记录!D215+交易记录!D279+交易记录!D343+交易记录!D407+交易记录!D471+交易记录!D535+交易记录!D599+交易记录!D663+交易记录!D727+交易记录!D791+交易记录!D855+交易记录!D919</f>
        <v>0.46600000000000003</v>
      </c>
      <c r="D90" s="67">
        <f>交易记录!E23+交易记录!E87+交易记录!E151+交易记录!E215+交易记录!E279+交易记录!E343+交易记录!E407+交易记录!E471+交易记录!E535+交易记录!E599+交易记录!E663+交易记录!E727+交易记录!E791+交易记录!E855+交易记录!E919</f>
        <v>0.45400000000000001</v>
      </c>
      <c r="E90" s="67">
        <f>交易记录!F23+交易记录!F87+交易记录!F151+交易记录!F215+交易记录!F279+交易记录!F343+交易记录!F407+交易记录!F471+交易记录!F535+交易记录!F599+交易记录!F663+交易记录!F727+交易记录!F791+交易记录!F855+交易记录!F919</f>
        <v>0.45400000000000001</v>
      </c>
      <c r="F90" s="67">
        <f>交易记录!G23+交易记录!G87+交易记录!G151+交易记录!G215+交易记录!G279+交易记录!G343+交易记录!G407+交易记录!G471+交易记录!G535+交易记录!G599+交易记录!G663+交易记录!G727+交易记录!G791+交易记录!G855+交易记录!G919</f>
        <v>0.45400000000000001</v>
      </c>
      <c r="G90" s="67">
        <f>交易记录!H23+交易记录!H87+交易记录!H151+交易记录!H215+交易记录!H279+交易记录!H343+交易记录!H407+交易记录!H471+交易记录!H535+交易记录!H599+交易记录!H663+交易记录!H727+交易记录!H791+交易记录!H855+交易记录!H919</f>
        <v>0.128</v>
      </c>
      <c r="H90" s="67">
        <f>交易记录!I23+交易记录!I87+交易记录!I151+交易记录!I215+交易记录!I279+交易记录!I343+交易记录!I407+交易记录!I471+交易记录!I535+交易记录!I599+交易记录!I663+交易记录!I727+交易记录!I791+交易记录!I855+交易记录!I919</f>
        <v>0.128</v>
      </c>
      <c r="I90" s="67">
        <f>交易记录!J23+交易记录!J87+交易记录!J151+交易记录!J215+交易记录!J279+交易记录!J343+交易记录!J407+交易记录!J471+交易记录!J535+交易记录!J599+交易记录!J663+交易记录!J727+交易记录!J791+交易记录!J855+交易记录!J919</f>
        <v>0.45400000000000001</v>
      </c>
      <c r="J90" s="67">
        <f>交易记录!K23+交易记录!K87+交易记录!K151+交易记录!K215+交易记录!K279+交易记录!K343+交易记录!K407+交易记录!K471+交易记录!K535+交易记录!K599+交易记录!K663+交易记录!K727+交易记录!K791+交易记录!K855+交易记录!K919</f>
        <v>0.45400000000000001</v>
      </c>
      <c r="K90" s="67">
        <f>交易记录!L23+交易记录!L87+交易记录!L151+交易记录!L215+交易记录!L279+交易记录!L343+交易记录!L407+交易记录!L471+交易记录!L535+交易记录!L599+交易记录!L663+交易记录!L727+交易记录!L791+交易记录!L855+交易记录!L919</f>
        <v>0.45400000000000001</v>
      </c>
      <c r="L90" s="67">
        <f>交易记录!M23+交易记录!M87+交易记录!M151+交易记录!M215+交易记录!M279+交易记录!M343+交易记录!M407+交易记录!M471+交易记录!M535+交易记录!M599+交易记录!M663+交易记录!M727+交易记录!M791+交易记录!M855+交易记录!M919</f>
        <v>0.45400000000000001</v>
      </c>
      <c r="M90" s="67">
        <f>交易记录!N23+交易记录!N87+交易记录!N151+交易记录!N215+交易记录!N279+交易记录!N343+交易记录!N407+交易记录!N471+交易记录!N535+交易记录!N599+交易记录!N663+交易记录!N727+交易记录!N791+交易记录!N855+交易记录!N919</f>
        <v>0.45400000000000001</v>
      </c>
      <c r="N90" s="67">
        <f>交易记录!O23+交易记录!O87+交易记录!O151+交易记录!O215+交易记录!O279+交易记录!O343+交易记录!O407+交易记录!O471+交易记录!O535+交易记录!O599+交易记录!O663+交易记录!O727+交易记录!O791+交易记录!O855+交易记录!O919</f>
        <v>0.128</v>
      </c>
      <c r="O90" s="67">
        <f>交易记录!P23+交易记录!P87+交易记录!P151+交易记录!P215+交易记录!P279+交易记录!P343+交易记录!P407+交易记录!P471+交易记录!P535+交易记录!P599+交易记录!P663+交易记录!P727+交易记录!P791+交易记录!P855+交易记录!P919</f>
        <v>0.128</v>
      </c>
      <c r="P90" s="67">
        <f>交易记录!Q23+交易记录!Q87+交易记录!Q151+交易记录!Q215+交易记录!Q279+交易记录!Q343+交易记录!Q407+交易记录!Q471+交易记录!Q535+交易记录!Q599+交易记录!Q663+交易记录!Q727+交易记录!Q791+交易记录!Q855+交易记录!Q919</f>
        <v>0.45400000000000001</v>
      </c>
      <c r="Q90" s="67">
        <f>交易记录!R23+交易记录!R87+交易记录!R151+交易记录!R215+交易记录!R279+交易记录!R343+交易记录!R407+交易记录!R471+交易记录!R535+交易记录!R599+交易记录!R663+交易记录!R727+交易记录!R791+交易记录!R855+交易记录!R919</f>
        <v>0.45400000000000001</v>
      </c>
      <c r="R90" s="67">
        <f>交易记录!S23+交易记录!S87+交易记录!S151+交易记录!S215+交易记录!S279+交易记录!S343+交易记录!S407+交易记录!S471+交易记录!S535+交易记录!S599+交易记录!S663+交易记录!S727+交易记录!S791+交易记录!S855+交易记录!S919</f>
        <v>0.45400000000000001</v>
      </c>
      <c r="S90" s="67">
        <f>交易记录!T23+交易记录!T87+交易记录!T151+交易记录!T215+交易记录!T279+交易记录!T343+交易记录!T407+交易记录!T471+交易记录!T535+交易记录!T599+交易记录!T663+交易记录!T727+交易记录!T791+交易记录!T855+交易记录!T919</f>
        <v>0.45400000000000001</v>
      </c>
      <c r="T90" s="67">
        <f>交易记录!U23+交易记录!U87+交易记录!U151+交易记录!U215+交易记录!U279+交易记录!U343+交易记录!U407+交易记录!U471+交易记录!U535+交易记录!U599+交易记录!U663+交易记录!U727+交易记录!U791+交易记录!U855+交易记录!U919</f>
        <v>0.45400000000000001</v>
      </c>
      <c r="U90" s="67">
        <f>交易记录!V23+交易记录!V87+交易记录!V151+交易记录!V215+交易记录!V279+交易记录!V343+交易记录!V407+交易记录!V471+交易记录!V535+交易记录!V599+交易记录!V663+交易记录!V727+交易记录!V791+交易记录!V855+交易记录!V919</f>
        <v>0.128</v>
      </c>
      <c r="V90" s="67">
        <f>交易记录!W23+交易记录!W87+交易记录!W151+交易记录!W215+交易记录!W279+交易记录!W343+交易记录!W407+交易记录!W471+交易记录!W535+交易记录!W599+交易记录!W663+交易记录!W727+交易记录!W791+交易记录!W855+交易记录!W919</f>
        <v>0.128</v>
      </c>
      <c r="W90" s="67">
        <f>交易记录!X23+交易记录!X87+交易记录!X151+交易记录!X215+交易记录!X279+交易记录!X343+交易记录!X407+交易记录!X471+交易记录!X535+交易记录!X599+交易记录!X663+交易记录!X727+交易记录!X791+交易记录!X855+交易记录!X919</f>
        <v>0.45400000000000001</v>
      </c>
      <c r="X90" s="67">
        <f>交易记录!Y23+交易记录!Y87+交易记录!Y151+交易记录!Y215+交易记录!Y279+交易记录!Y343+交易记录!Y407+交易记录!Y471+交易记录!Y535+交易记录!Y599+交易记录!Y663+交易记录!Y727+交易记录!Y791+交易记录!Y855+交易记录!Y919</f>
        <v>0.45400000000000001</v>
      </c>
      <c r="Y90" s="67">
        <f>交易记录!Z23+交易记录!Z87+交易记录!Z151+交易记录!Z215+交易记录!Z279+交易记录!Z343+交易记录!Z407+交易记录!Z471+交易记录!Z535+交易记录!Z599+交易记录!Z663+交易记录!Z727+交易记录!Z791+交易记录!Z855+交易记录!Z919</f>
        <v>0.45400000000000001</v>
      </c>
      <c r="Z90" s="67">
        <f>交易记录!AA23+交易记录!AA87+交易记录!AA151+交易记录!AA215+交易记录!AA279+交易记录!AA343+交易记录!AA407+交易记录!AA471+交易记录!AA535+交易记录!AA599+交易记录!AA663+交易记录!AA727+交易记录!AA791+交易记录!AA855+交易记录!AA919</f>
        <v>0.45400000000000001</v>
      </c>
      <c r="AA90" s="67">
        <f>交易记录!AB23+交易记录!AB87+交易记录!AB151+交易记录!AB215+交易记录!AB279+交易记录!AB343+交易记录!AB407+交易记录!AB471+交易记录!AB535+交易记录!AB599+交易记录!AB663+交易记录!AB727+交易记录!AB791+交易记录!AB855+交易记录!AB919</f>
        <v>0.45400000000000001</v>
      </c>
      <c r="AB90" s="67">
        <f>交易记录!AC23+交易记录!AC87+交易记录!AC151+交易记录!AC215+交易记录!AC279+交易记录!AC343+交易记录!AC407+交易记录!AC471+交易记录!AC535+交易记录!AC599+交易记录!AC663+交易记录!AC727+交易记录!AC791+交易记录!AC855+交易记录!AC919</f>
        <v>0.128</v>
      </c>
      <c r="AC90" s="67">
        <f>交易记录!AD23+交易记录!AD87+交易记录!AD151+交易记录!AD215+交易记录!AD279+交易记录!AD343+交易记录!AD407+交易记录!AD471+交易记录!AD535+交易记录!AD599+交易记录!AD663+交易记录!AD727+交易记录!AD791+交易记录!AD855+交易记录!AD919</f>
        <v>0.128</v>
      </c>
      <c r="AD90" s="67">
        <f>交易记录!AE23+交易记录!AE87+交易记录!AE151+交易记录!AE215+交易记录!AE279+交易记录!AE343+交易记录!AE407+交易记录!AE471+交易记录!AE535+交易记录!AE599+交易记录!AE663+交易记录!AE727+交易记录!AE791+交易记录!AE855+交易记录!AE919</f>
        <v>0.45400000000000001</v>
      </c>
      <c r="AE90" s="67">
        <f>交易记录!AF23+交易记录!AF87+交易记录!AF151+交易记录!AF215+交易记录!AF279+交易记录!AF343+交易记录!AF407+交易记录!AF471+交易记录!AF535+交易记录!AF599+交易记录!AF663+交易记录!AF727+交易记录!AF791+交易记录!AF855+交易记录!AF919</f>
        <v>0.45400000000000001</v>
      </c>
      <c r="AF90" s="67">
        <f>交易记录!AG23+交易记录!AG87+交易记录!AG151+交易记录!AG215+交易记录!AG279+交易记录!AG343+交易记录!AG407+交易记录!AG471+交易记录!AG535+交易记录!AG599+交易记录!AG663+交易记录!AG727+交易记录!AG791+交易记录!AG855+交易记录!AG919</f>
        <v>0.45400000000000001</v>
      </c>
      <c r="AG90" s="67">
        <f>交易记录!AH23+交易记录!AH87+交易记录!AH151+交易记录!AH215+交易记录!AH279+交易记录!AH343+交易记录!AH407+交易记录!AH471+交易记录!AH535+交易记录!AH599+交易记录!AH663+交易记录!AH727+交易记录!AH791+交易记录!AH855+交易记录!AH919</f>
        <v>0.45400000000000001</v>
      </c>
      <c r="AH90" s="53">
        <f t="shared" si="3"/>
        <v>11.478000000000005</v>
      </c>
      <c r="AI90" s="54"/>
      <c r="AJ90" s="55"/>
      <c r="AK90" s="53"/>
    </row>
    <row r="91" spans="2:37" s="3" customFormat="1" ht="15">
      <c r="B91" s="7" t="s">
        <v>25</v>
      </c>
      <c r="C91" s="67">
        <f>交易记录!D24+交易记录!D88+交易记录!D152+交易记录!D216+交易记录!D280+交易记录!D344+交易记录!D408+交易记录!D472+交易记录!D536+交易记录!D600+交易记录!D664+交易记录!D728+交易记录!D792+交易记录!D856+交易记录!D920</f>
        <v>1.028</v>
      </c>
      <c r="D91" s="67">
        <f>交易记录!E24+交易记录!E88+交易记录!E152+交易记录!E216+交易记录!E280+交易记录!E344+交易记录!E408+交易记录!E472+交易记录!E536+交易记录!E600+交易记录!E664+交易记录!E728+交易记录!E792+交易记录!E856+交易记录!E920</f>
        <v>1.1160000000000001</v>
      </c>
      <c r="E91" s="67">
        <f>交易记录!F24+交易记录!F88+交易记录!F152+交易记录!F216+交易记录!F280+交易记录!F344+交易记录!F408+交易记录!F472+交易记录!F536+交易记录!F600+交易记录!F664+交易记录!F728+交易记录!F792+交易记录!F856+交易记录!F920</f>
        <v>1.1160000000000001</v>
      </c>
      <c r="F91" s="67">
        <f>交易记录!G24+交易记录!G88+交易记录!G152+交易记录!G216+交易记录!G280+交易记录!G344+交易记录!G408+交易记录!G472+交易记录!G536+交易记录!G600+交易记录!G664+交易记录!G728+交易记录!G792+交易记录!G856+交易记录!G920</f>
        <v>1.1160000000000001</v>
      </c>
      <c r="G91" s="67">
        <f>交易记录!H24+交易记录!H88+交易记录!H152+交易记录!H216+交易记录!H280+交易记录!H344+交易记录!H408+交易记录!H472+交易记录!H536+交易记录!H600+交易记录!H664+交易记录!H728+交易记录!H792+交易记录!H856+交易记录!H920</f>
        <v>0.22399999999999998</v>
      </c>
      <c r="H91" s="67">
        <f>交易记录!I24+交易记录!I88+交易记录!I152+交易记录!I216+交易记录!I280+交易记录!I344+交易记录!I408+交易记录!I472+交易记录!I536+交易记录!I600+交易记录!I664+交易记录!I728+交易记录!I792+交易记录!I856+交易记录!I920</f>
        <v>0.22399999999999998</v>
      </c>
      <c r="I91" s="67">
        <f>交易记录!J24+交易记录!J88+交易记录!J152+交易记录!J216+交易记录!J280+交易记录!J344+交易记录!J408+交易记录!J472+交易记录!J536+交易记录!J600+交易记录!J664+交易记录!J728+交易记录!J792+交易记录!J856+交易记录!J920</f>
        <v>1.1160000000000001</v>
      </c>
      <c r="J91" s="67">
        <f>交易记录!K24+交易记录!K88+交易记录!K152+交易记录!K216+交易记录!K280+交易记录!K344+交易记录!K408+交易记录!K472+交易记录!K536+交易记录!K600+交易记录!K664+交易记录!K728+交易记录!K792+交易记录!K856+交易记录!K920</f>
        <v>1.1160000000000001</v>
      </c>
      <c r="K91" s="67">
        <f>交易记录!L24+交易记录!L88+交易记录!L152+交易记录!L216+交易记录!L280+交易记录!L344+交易记录!L408+交易记录!L472+交易记录!L536+交易记录!L600+交易记录!L664+交易记录!L728+交易记录!L792+交易记录!L856+交易记录!L920</f>
        <v>1.1160000000000001</v>
      </c>
      <c r="L91" s="67">
        <f>交易记录!M24+交易记录!M88+交易记录!M152+交易记录!M216+交易记录!M280+交易记录!M344+交易记录!M408+交易记录!M472+交易记录!M536+交易记录!M600+交易记录!M664+交易记录!M728+交易记录!M792+交易记录!M856+交易记录!M920</f>
        <v>1.1160000000000001</v>
      </c>
      <c r="M91" s="67">
        <f>交易记录!N24+交易记录!N88+交易记录!N152+交易记录!N216+交易记录!N280+交易记录!N344+交易记录!N408+交易记录!N472+交易记录!N536+交易记录!N600+交易记录!N664+交易记录!N728+交易记录!N792+交易记录!N856+交易记录!N920</f>
        <v>1.1160000000000001</v>
      </c>
      <c r="N91" s="67">
        <f>交易记录!O24+交易记录!O88+交易记录!O152+交易记录!O216+交易记录!O280+交易记录!O344+交易记录!O408+交易记录!O472+交易记录!O536+交易记录!O600+交易记录!O664+交易记录!O728+交易记录!O792+交易记录!O856+交易记录!O920</f>
        <v>0.22399999999999998</v>
      </c>
      <c r="O91" s="67">
        <f>交易记录!P24+交易记录!P88+交易记录!P152+交易记录!P216+交易记录!P280+交易记录!P344+交易记录!P408+交易记录!P472+交易记录!P536+交易记录!P600+交易记录!P664+交易记录!P728+交易记录!P792+交易记录!P856+交易记录!P920</f>
        <v>0.22399999999999998</v>
      </c>
      <c r="P91" s="67">
        <f>交易记录!Q24+交易记录!Q88+交易记录!Q152+交易记录!Q216+交易记录!Q280+交易记录!Q344+交易记录!Q408+交易记录!Q472+交易记录!Q536+交易记录!Q600+交易记录!Q664+交易记录!Q728+交易记录!Q792+交易记录!Q856+交易记录!Q920</f>
        <v>1.1160000000000001</v>
      </c>
      <c r="Q91" s="67">
        <f>交易记录!R24+交易记录!R88+交易记录!R152+交易记录!R216+交易记录!R280+交易记录!R344+交易记录!R408+交易记录!R472+交易记录!R536+交易记录!R600+交易记录!R664+交易记录!R728+交易记录!R792+交易记录!R856+交易记录!R920</f>
        <v>1.1160000000000001</v>
      </c>
      <c r="R91" s="67">
        <f>交易记录!S24+交易记录!S88+交易记录!S152+交易记录!S216+交易记录!S280+交易记录!S344+交易记录!S408+交易记录!S472+交易记录!S536+交易记录!S600+交易记录!S664+交易记录!S728+交易记录!S792+交易记录!S856+交易记录!S920</f>
        <v>1.1160000000000001</v>
      </c>
      <c r="S91" s="67">
        <f>交易记录!T24+交易记录!T88+交易记录!T152+交易记录!T216+交易记录!T280+交易记录!T344+交易记录!T408+交易记录!T472+交易记录!T536+交易记录!T600+交易记录!T664+交易记录!T728+交易记录!T792+交易记录!T856+交易记录!T920</f>
        <v>1.1160000000000001</v>
      </c>
      <c r="T91" s="67">
        <f>交易记录!U24+交易记录!U88+交易记录!U152+交易记录!U216+交易记录!U280+交易记录!U344+交易记录!U408+交易记录!U472+交易记录!U536+交易记录!U600+交易记录!U664+交易记录!U728+交易记录!U792+交易记录!U856+交易记录!U920</f>
        <v>1.1160000000000001</v>
      </c>
      <c r="U91" s="67">
        <f>交易记录!V24+交易记录!V88+交易记录!V152+交易记录!V216+交易记录!V280+交易记录!V344+交易记录!V408+交易记录!V472+交易记录!V536+交易记录!V600+交易记录!V664+交易记录!V728+交易记录!V792+交易记录!V856+交易记录!V920</f>
        <v>0.22399999999999998</v>
      </c>
      <c r="V91" s="67">
        <f>交易记录!W24+交易记录!W88+交易记录!W152+交易记录!W216+交易记录!W280+交易记录!W344+交易记录!W408+交易记录!W472+交易记录!W536+交易记录!W600+交易记录!W664+交易记录!W728+交易记录!W792+交易记录!W856+交易记录!W920</f>
        <v>0.22399999999999998</v>
      </c>
      <c r="W91" s="67">
        <f>交易记录!X24+交易记录!X88+交易记录!X152+交易记录!X216+交易记录!X280+交易记录!X344+交易记录!X408+交易记录!X472+交易记录!X536+交易记录!X600+交易记录!X664+交易记录!X728+交易记录!X792+交易记录!X856+交易记录!X920</f>
        <v>1.1160000000000001</v>
      </c>
      <c r="X91" s="67">
        <f>交易记录!Y24+交易记录!Y88+交易记录!Y152+交易记录!Y216+交易记录!Y280+交易记录!Y344+交易记录!Y408+交易记录!Y472+交易记录!Y536+交易记录!Y600+交易记录!Y664+交易记录!Y728+交易记录!Y792+交易记录!Y856+交易记录!Y920</f>
        <v>1.1160000000000001</v>
      </c>
      <c r="Y91" s="67">
        <f>交易记录!Z24+交易记录!Z88+交易记录!Z152+交易记录!Z216+交易记录!Z280+交易记录!Z344+交易记录!Z408+交易记录!Z472+交易记录!Z536+交易记录!Z600+交易记录!Z664+交易记录!Z728+交易记录!Z792+交易记录!Z856+交易记录!Z920</f>
        <v>1.1160000000000001</v>
      </c>
      <c r="Z91" s="67">
        <f>交易记录!AA24+交易记录!AA88+交易记录!AA152+交易记录!AA216+交易记录!AA280+交易记录!AA344+交易记录!AA408+交易记录!AA472+交易记录!AA536+交易记录!AA600+交易记录!AA664+交易记录!AA728+交易记录!AA792+交易记录!AA856+交易记录!AA920</f>
        <v>1.1160000000000001</v>
      </c>
      <c r="AA91" s="67">
        <f>交易记录!AB24+交易记录!AB88+交易记录!AB152+交易记录!AB216+交易记录!AB280+交易记录!AB344+交易记录!AB408+交易记录!AB472+交易记录!AB536+交易记录!AB600+交易记录!AB664+交易记录!AB728+交易记录!AB792+交易记录!AB856+交易记录!AB920</f>
        <v>1.1160000000000001</v>
      </c>
      <c r="AB91" s="67">
        <f>交易记录!AC24+交易记录!AC88+交易记录!AC152+交易记录!AC216+交易记录!AC280+交易记录!AC344+交易记录!AC408+交易记录!AC472+交易记录!AC536+交易记录!AC600+交易记录!AC664+交易记录!AC728+交易记录!AC792+交易记录!AC856+交易记录!AC920</f>
        <v>0.22399999999999998</v>
      </c>
      <c r="AC91" s="67">
        <f>交易记录!AD24+交易记录!AD88+交易记录!AD152+交易记录!AD216+交易记录!AD280+交易记录!AD344+交易记录!AD408+交易记录!AD472+交易记录!AD536+交易记录!AD600+交易记录!AD664+交易记录!AD728+交易记录!AD792+交易记录!AD856+交易记录!AD920</f>
        <v>0.22399999999999998</v>
      </c>
      <c r="AD91" s="67">
        <f>交易记录!AE24+交易记录!AE88+交易记录!AE152+交易记录!AE216+交易记录!AE280+交易记录!AE344+交易记录!AE408+交易记录!AE472+交易记录!AE536+交易记录!AE600+交易记录!AE664+交易记录!AE728+交易记录!AE792+交易记录!AE856+交易记录!AE920</f>
        <v>1.1160000000000001</v>
      </c>
      <c r="AE91" s="67">
        <f>交易记录!AF24+交易记录!AF88+交易记录!AF152+交易记录!AF216+交易记录!AF280+交易记录!AF344+交易记录!AF408+交易记录!AF472+交易记录!AF536+交易记录!AF600+交易记录!AF664+交易记录!AF728+交易记录!AF792+交易记录!AF856+交易记录!AF920</f>
        <v>1.1160000000000001</v>
      </c>
      <c r="AF91" s="67">
        <f>交易记录!AG24+交易记录!AG88+交易记录!AG152+交易记录!AG216+交易记录!AG280+交易记录!AG344+交易记录!AG408+交易记录!AG472+交易记录!AG536+交易记录!AG600+交易记录!AG664+交易记录!AG728+交易记录!AG792+交易记录!AG856+交易记录!AG920</f>
        <v>1.1160000000000001</v>
      </c>
      <c r="AG91" s="67">
        <f>交易记录!AH24+交易记录!AH88+交易记录!AH152+交易记录!AH216+交易记录!AH280+交易记录!AH344+交易记录!AH408+交易记录!AH472+交易记录!AH536+交易记录!AH600+交易记录!AH664+交易记录!AH728+交易记录!AH792+交易记录!AH856+交易记录!AH920</f>
        <v>1.1160000000000001</v>
      </c>
      <c r="AH91" s="53">
        <f t="shared" si="3"/>
        <v>27.371999999999996</v>
      </c>
      <c r="AI91" s="54"/>
      <c r="AJ91" s="55"/>
      <c r="AK91" s="53"/>
    </row>
    <row r="92" spans="2:37" s="3" customFormat="1" ht="15">
      <c r="B92" s="7" t="s">
        <v>26</v>
      </c>
      <c r="C92" s="67">
        <f>交易记录!D25+交易记录!D89+交易记录!D153+交易记录!D217+交易记录!D281+交易记录!D345+交易记录!D409+交易记录!D473+交易记录!D537+交易记录!D601+交易记录!D665+交易记录!D729+交易记录!D793+交易记录!D857+交易记录!D921</f>
        <v>0.89100000000000001</v>
      </c>
      <c r="D92" s="67">
        <f>交易记录!E25+交易记录!E89+交易记录!E153+交易记录!E217+交易记录!E281+交易记录!E345+交易记录!E409+交易记录!E473+交易记录!E537+交易记录!E601+交易记录!E665+交易记录!E729+交易记录!E793+交易记录!E857+交易记录!E921</f>
        <v>1</v>
      </c>
      <c r="E92" s="67">
        <f>交易记录!F25+交易记录!F89+交易记录!F153+交易记录!F217+交易记录!F281+交易记录!F345+交易记录!F409+交易记录!F473+交易记录!F537+交易记录!F601+交易记录!F665+交易记录!F729+交易记录!F793+交易记录!F857+交易记录!F921</f>
        <v>1</v>
      </c>
      <c r="F92" s="67">
        <f>交易记录!G25+交易记录!G89+交易记录!G153+交易记录!G217+交易记录!G281+交易记录!G345+交易记录!G409+交易记录!G473+交易记录!G537+交易记录!G601+交易记录!G665+交易记录!G729+交易记录!G793+交易记录!G857+交易记录!G921</f>
        <v>1</v>
      </c>
      <c r="G92" s="67">
        <f>交易记录!H25+交易记录!H89+交易记录!H153+交易记录!H217+交易记录!H281+交易记录!H345+交易记录!H409+交易记录!H473+交易记录!H537+交易记录!H601+交易记录!H665+交易记录!H729+交易记录!H793+交易记录!H857+交易记录!H921</f>
        <v>0.16399999999999998</v>
      </c>
      <c r="H92" s="67">
        <f>交易记录!I25+交易记录!I89+交易记录!I153+交易记录!I217+交易记录!I281+交易记录!I345+交易记录!I409+交易记录!I473+交易记录!I537+交易记录!I601+交易记录!I665+交易记录!I729+交易记录!I793+交易记录!I857+交易记录!I921</f>
        <v>0.16399999999999998</v>
      </c>
      <c r="I92" s="67">
        <f>交易记录!J25+交易记录!J89+交易记录!J153+交易记录!J217+交易记录!J281+交易记录!J345+交易记录!J409+交易记录!J473+交易记录!J537+交易记录!J601+交易记录!J665+交易记录!J729+交易记录!J793+交易记录!J857+交易记录!J921</f>
        <v>1</v>
      </c>
      <c r="J92" s="67">
        <f>交易记录!K25+交易记录!K89+交易记录!K153+交易记录!K217+交易记录!K281+交易记录!K345+交易记录!K409+交易记录!K473+交易记录!K537+交易记录!K601+交易记录!K665+交易记录!K729+交易记录!K793+交易记录!K857+交易记录!K921</f>
        <v>1</v>
      </c>
      <c r="K92" s="67">
        <f>交易记录!L25+交易记录!L89+交易记录!L153+交易记录!L217+交易记录!L281+交易记录!L345+交易记录!L409+交易记录!L473+交易记录!L537+交易记录!L601+交易记录!L665+交易记录!L729+交易记录!L793+交易记录!L857+交易记录!L921</f>
        <v>1</v>
      </c>
      <c r="L92" s="67">
        <f>交易记录!M25+交易记录!M89+交易记录!M153+交易记录!M217+交易记录!M281+交易记录!M345+交易记录!M409+交易记录!M473+交易记录!M537+交易记录!M601+交易记录!M665+交易记录!M729+交易记录!M793+交易记录!M857+交易记录!M921</f>
        <v>1</v>
      </c>
      <c r="M92" s="67">
        <f>交易记录!N25+交易记录!N89+交易记录!N153+交易记录!N217+交易记录!N281+交易记录!N345+交易记录!N409+交易记录!N473+交易记录!N537+交易记录!N601+交易记录!N665+交易记录!N729+交易记录!N793+交易记录!N857+交易记录!N921</f>
        <v>1</v>
      </c>
      <c r="N92" s="67">
        <f>交易记录!O25+交易记录!O89+交易记录!O153+交易记录!O217+交易记录!O281+交易记录!O345+交易记录!O409+交易记录!O473+交易记录!O537+交易记录!O601+交易记录!O665+交易记录!O729+交易记录!O793+交易记录!O857+交易记录!O921</f>
        <v>0.16399999999999998</v>
      </c>
      <c r="O92" s="67">
        <f>交易记录!P25+交易记录!P89+交易记录!P153+交易记录!P217+交易记录!P281+交易记录!P345+交易记录!P409+交易记录!P473+交易记录!P537+交易记录!P601+交易记录!P665+交易记录!P729+交易记录!P793+交易记录!P857+交易记录!P921</f>
        <v>0.16399999999999998</v>
      </c>
      <c r="P92" s="67">
        <f>交易记录!Q25+交易记录!Q89+交易记录!Q153+交易记录!Q217+交易记录!Q281+交易记录!Q345+交易记录!Q409+交易记录!Q473+交易记录!Q537+交易记录!Q601+交易记录!Q665+交易记录!Q729+交易记录!Q793+交易记录!Q857+交易记录!Q921</f>
        <v>1</v>
      </c>
      <c r="Q92" s="67">
        <f>交易记录!R25+交易记录!R89+交易记录!R153+交易记录!R217+交易记录!R281+交易记录!R345+交易记录!R409+交易记录!R473+交易记录!R537+交易记录!R601+交易记录!R665+交易记录!R729+交易记录!R793+交易记录!R857+交易记录!R921</f>
        <v>1</v>
      </c>
      <c r="R92" s="67">
        <f>交易记录!S25+交易记录!S89+交易记录!S153+交易记录!S217+交易记录!S281+交易记录!S345+交易记录!S409+交易记录!S473+交易记录!S537+交易记录!S601+交易记录!S665+交易记录!S729+交易记录!S793+交易记录!S857+交易记录!S921</f>
        <v>1</v>
      </c>
      <c r="S92" s="67">
        <f>交易记录!T25+交易记录!T89+交易记录!T153+交易记录!T217+交易记录!T281+交易记录!T345+交易记录!T409+交易记录!T473+交易记录!T537+交易记录!T601+交易记录!T665+交易记录!T729+交易记录!T793+交易记录!T857+交易记录!T921</f>
        <v>1</v>
      </c>
      <c r="T92" s="67">
        <f>交易记录!U25+交易记录!U89+交易记录!U153+交易记录!U217+交易记录!U281+交易记录!U345+交易记录!U409+交易记录!U473+交易记录!U537+交易记录!U601+交易记录!U665+交易记录!U729+交易记录!U793+交易记录!U857+交易记录!U921</f>
        <v>1</v>
      </c>
      <c r="U92" s="67">
        <f>交易记录!V25+交易记录!V89+交易记录!V153+交易记录!V217+交易记录!V281+交易记录!V345+交易记录!V409+交易记录!V473+交易记录!V537+交易记录!V601+交易记录!V665+交易记录!V729+交易记录!V793+交易记录!V857+交易记录!V921</f>
        <v>0.16399999999999998</v>
      </c>
      <c r="V92" s="67">
        <f>交易记录!W25+交易记录!W89+交易记录!W153+交易记录!W217+交易记录!W281+交易记录!W345+交易记录!W409+交易记录!W473+交易记录!W537+交易记录!W601+交易记录!W665+交易记录!W729+交易记录!W793+交易记录!W857+交易记录!W921</f>
        <v>0.16399999999999998</v>
      </c>
      <c r="W92" s="67">
        <f>交易记录!X25+交易记录!X89+交易记录!X153+交易记录!X217+交易记录!X281+交易记录!X345+交易记录!X409+交易记录!X473+交易记录!X537+交易记录!X601+交易记录!X665+交易记录!X729+交易记录!X793+交易记录!X857+交易记录!X921</f>
        <v>1</v>
      </c>
      <c r="X92" s="67">
        <f>交易记录!Y25+交易记录!Y89+交易记录!Y153+交易记录!Y217+交易记录!Y281+交易记录!Y345+交易记录!Y409+交易记录!Y473+交易记录!Y537+交易记录!Y601+交易记录!Y665+交易记录!Y729+交易记录!Y793+交易记录!Y857+交易记录!Y921</f>
        <v>1</v>
      </c>
      <c r="Y92" s="67">
        <f>交易记录!Z25+交易记录!Z89+交易记录!Z153+交易记录!Z217+交易记录!Z281+交易记录!Z345+交易记录!Z409+交易记录!Z473+交易记录!Z537+交易记录!Z601+交易记录!Z665+交易记录!Z729+交易记录!Z793+交易记录!Z857+交易记录!Z921</f>
        <v>1</v>
      </c>
      <c r="Z92" s="67">
        <f>交易记录!AA25+交易记录!AA89+交易记录!AA153+交易记录!AA217+交易记录!AA281+交易记录!AA345+交易记录!AA409+交易记录!AA473+交易记录!AA537+交易记录!AA601+交易记录!AA665+交易记录!AA729+交易记录!AA793+交易记录!AA857+交易记录!AA921</f>
        <v>1</v>
      </c>
      <c r="AA92" s="67">
        <f>交易记录!AB25+交易记录!AB89+交易记录!AB153+交易记录!AB217+交易记录!AB281+交易记录!AB345+交易记录!AB409+交易记录!AB473+交易记录!AB537+交易记录!AB601+交易记录!AB665+交易记录!AB729+交易记录!AB793+交易记录!AB857+交易记录!AB921</f>
        <v>1</v>
      </c>
      <c r="AB92" s="67">
        <f>交易记录!AC25+交易记录!AC89+交易记录!AC153+交易记录!AC217+交易记录!AC281+交易记录!AC345+交易记录!AC409+交易记录!AC473+交易记录!AC537+交易记录!AC601+交易记录!AC665+交易记录!AC729+交易记录!AC793+交易记录!AC857+交易记录!AC921</f>
        <v>0.16399999999999998</v>
      </c>
      <c r="AC92" s="67">
        <f>交易记录!AD25+交易记录!AD89+交易记录!AD153+交易记录!AD217+交易记录!AD281+交易记录!AD345+交易记录!AD409+交易记录!AD473+交易记录!AD537+交易记录!AD601+交易记录!AD665+交易记录!AD729+交易记录!AD793+交易记录!AD857+交易记录!AD921</f>
        <v>0.16399999999999998</v>
      </c>
      <c r="AD92" s="67">
        <f>交易记录!AE25+交易记录!AE89+交易记录!AE153+交易记录!AE217+交易记录!AE281+交易记录!AE345+交易记录!AE409+交易记录!AE473+交易记录!AE537+交易记录!AE601+交易记录!AE665+交易记录!AE729+交易记录!AE793+交易记录!AE857+交易记录!AE921</f>
        <v>1</v>
      </c>
      <c r="AE92" s="67">
        <f>交易记录!AF25+交易记录!AF89+交易记录!AF153+交易记录!AF217+交易记录!AF281+交易记录!AF345+交易记录!AF409+交易记录!AF473+交易记录!AF537+交易记录!AF601+交易记录!AF665+交易记录!AF729+交易记录!AF793+交易记录!AF857+交易记录!AF921</f>
        <v>1</v>
      </c>
      <c r="AF92" s="67">
        <f>交易记录!AG25+交易记录!AG89+交易记录!AG153+交易记录!AG217+交易记录!AG281+交易记录!AG345+交易记录!AG409+交易记录!AG473+交易记录!AG537+交易记录!AG601+交易记录!AG665+交易记录!AG729+交易记录!AG793+交易记录!AG857+交易记录!AG921</f>
        <v>1</v>
      </c>
      <c r="AG92" s="67">
        <f>交易记录!AH25+交易记录!AH89+交易记录!AH153+交易记录!AH217+交易记录!AH281+交易记录!AH345+交易记录!AH409+交易记录!AH473+交易记录!AH537+交易记录!AH601+交易记录!AH665+交易记录!AH729+交易记录!AH793+交易记录!AH857+交易记录!AH921</f>
        <v>1</v>
      </c>
      <c r="AH92" s="53">
        <f t="shared" si="3"/>
        <v>24.203000000000003</v>
      </c>
      <c r="AI92" s="54"/>
      <c r="AJ92" s="55"/>
      <c r="AK92" s="53"/>
    </row>
    <row r="93" spans="2:37" s="3" customFormat="1" ht="15">
      <c r="B93" s="7" t="s">
        <v>27</v>
      </c>
      <c r="C93" s="67">
        <f>交易记录!D26+交易记录!D90+交易记录!D154+交易记录!D218+交易记录!D282+交易记录!D346+交易记录!D410+交易记录!D474+交易记录!D538+交易记录!D602+交易记录!D666+交易记录!D730+交易记录!D794+交易记录!D858+交易记录!D922</f>
        <v>0.85499999999999998</v>
      </c>
      <c r="D93" s="67">
        <f>交易记录!E26+交易记录!E90+交易记录!E154+交易记录!E218+交易记录!E282+交易记录!E346+交易记录!E410+交易记录!E474+交易记录!E538+交易记录!E602+交易记录!E666+交易记录!E730+交易记录!E794+交易记录!E858+交易记录!E922</f>
        <v>0.95199999999999996</v>
      </c>
      <c r="E93" s="67">
        <f>交易记录!F26+交易记录!F90+交易记录!F154+交易记录!F218+交易记录!F282+交易记录!F346+交易记录!F410+交易记录!F474+交易记录!F538+交易记录!F602+交易记录!F666+交易记录!F730+交易记录!F794+交易记录!F858+交易记录!F922</f>
        <v>0.95199999999999996</v>
      </c>
      <c r="F93" s="67">
        <f>交易记录!G26+交易记录!G90+交易记录!G154+交易记录!G218+交易记录!G282+交易记录!G346+交易记录!G410+交易记录!G474+交易记录!G538+交易记录!G602+交易记录!G666+交易记录!G730+交易记录!G794+交易记录!G858+交易记录!G922</f>
        <v>0.95199999999999996</v>
      </c>
      <c r="G93" s="67">
        <f>交易记录!H26+交易记录!H90+交易记录!H154+交易记录!H218+交易记录!H282+交易记录!H346+交易记录!H410+交易记录!H474+交易记录!H538+交易记录!H602+交易记录!H666+交易记录!H730+交易记录!H794+交易记录!H858+交易记录!H922</f>
        <v>0.15200000000000002</v>
      </c>
      <c r="H93" s="67">
        <f>交易记录!I26+交易记录!I90+交易记录!I154+交易记录!I218+交易记录!I282+交易记录!I346+交易记录!I410+交易记录!I474+交易记录!I538+交易记录!I602+交易记录!I666+交易记录!I730+交易记录!I794+交易记录!I858+交易记录!I922</f>
        <v>0.15200000000000002</v>
      </c>
      <c r="I93" s="67">
        <f>交易记录!J26+交易记录!J90+交易记录!J154+交易记录!J218+交易记录!J282+交易记录!J346+交易记录!J410+交易记录!J474+交易记录!J538+交易记录!J602+交易记录!J666+交易记录!J730+交易记录!J794+交易记录!J858+交易记录!J922</f>
        <v>0.95199999999999996</v>
      </c>
      <c r="J93" s="67">
        <f>交易记录!K26+交易记录!K90+交易记录!K154+交易记录!K218+交易记录!K282+交易记录!K346+交易记录!K410+交易记录!K474+交易记录!K538+交易记录!K602+交易记录!K666+交易记录!K730+交易记录!K794+交易记录!K858+交易记录!K922</f>
        <v>0.95199999999999996</v>
      </c>
      <c r="K93" s="67">
        <f>交易记录!L26+交易记录!L90+交易记录!L154+交易记录!L218+交易记录!L282+交易记录!L346+交易记录!L410+交易记录!L474+交易记录!L538+交易记录!L602+交易记录!L666+交易记录!L730+交易记录!L794+交易记录!L858+交易记录!L922</f>
        <v>0.95199999999999996</v>
      </c>
      <c r="L93" s="67">
        <f>交易记录!M26+交易记录!M90+交易记录!M154+交易记录!M218+交易记录!M282+交易记录!M346+交易记录!M410+交易记录!M474+交易记录!M538+交易记录!M602+交易记录!M666+交易记录!M730+交易记录!M794+交易记录!M858+交易记录!M922</f>
        <v>0.95199999999999996</v>
      </c>
      <c r="M93" s="67">
        <f>交易记录!N26+交易记录!N90+交易记录!N154+交易记录!N218+交易记录!N282+交易记录!N346+交易记录!N410+交易记录!N474+交易记录!N538+交易记录!N602+交易记录!N666+交易记录!N730+交易记录!N794+交易记录!N858+交易记录!N922</f>
        <v>0.95199999999999996</v>
      </c>
      <c r="N93" s="67">
        <f>交易记录!O26+交易记录!O90+交易记录!O154+交易记录!O218+交易记录!O282+交易记录!O346+交易记录!O410+交易记录!O474+交易记录!O538+交易记录!O602+交易记录!O666+交易记录!O730+交易记录!O794+交易记录!O858+交易记录!O922</f>
        <v>0.15200000000000002</v>
      </c>
      <c r="O93" s="67">
        <f>交易记录!P26+交易记录!P90+交易记录!P154+交易记录!P218+交易记录!P282+交易记录!P346+交易记录!P410+交易记录!P474+交易记录!P538+交易记录!P602+交易记录!P666+交易记录!P730+交易记录!P794+交易记录!P858+交易记录!P922</f>
        <v>0.15200000000000002</v>
      </c>
      <c r="P93" s="67">
        <f>交易记录!Q26+交易记录!Q90+交易记录!Q154+交易记录!Q218+交易记录!Q282+交易记录!Q346+交易记录!Q410+交易记录!Q474+交易记录!Q538+交易记录!Q602+交易记录!Q666+交易记录!Q730+交易记录!Q794+交易记录!Q858+交易记录!Q922</f>
        <v>0.95199999999999996</v>
      </c>
      <c r="Q93" s="67">
        <f>交易记录!R26+交易记录!R90+交易记录!R154+交易记录!R218+交易记录!R282+交易记录!R346+交易记录!R410+交易记录!R474+交易记录!R538+交易记录!R602+交易记录!R666+交易记录!R730+交易记录!R794+交易记录!R858+交易记录!R922</f>
        <v>0.95199999999999996</v>
      </c>
      <c r="R93" s="67">
        <f>交易记录!S26+交易记录!S90+交易记录!S154+交易记录!S218+交易记录!S282+交易记录!S346+交易记录!S410+交易记录!S474+交易记录!S538+交易记录!S602+交易记录!S666+交易记录!S730+交易记录!S794+交易记录!S858+交易记录!S922</f>
        <v>0.95199999999999996</v>
      </c>
      <c r="S93" s="67">
        <f>交易记录!T26+交易记录!T90+交易记录!T154+交易记录!T218+交易记录!T282+交易记录!T346+交易记录!T410+交易记录!T474+交易记录!T538+交易记录!T602+交易记录!T666+交易记录!T730+交易记录!T794+交易记录!T858+交易记录!T922</f>
        <v>0.95199999999999996</v>
      </c>
      <c r="T93" s="67">
        <f>交易记录!U26+交易记录!U90+交易记录!U154+交易记录!U218+交易记录!U282+交易记录!U346+交易记录!U410+交易记录!U474+交易记录!U538+交易记录!U602+交易记录!U666+交易记录!U730+交易记录!U794+交易记录!U858+交易记录!U922</f>
        <v>0.95199999999999996</v>
      </c>
      <c r="U93" s="67">
        <f>交易记录!V26+交易记录!V90+交易记录!V154+交易记录!V218+交易记录!V282+交易记录!V346+交易记录!V410+交易记录!V474+交易记录!V538+交易记录!V602+交易记录!V666+交易记录!V730+交易记录!V794+交易记录!V858+交易记录!V922</f>
        <v>0.15200000000000002</v>
      </c>
      <c r="V93" s="67">
        <f>交易记录!W26+交易记录!W90+交易记录!W154+交易记录!W218+交易记录!W282+交易记录!W346+交易记录!W410+交易记录!W474+交易记录!W538+交易记录!W602+交易记录!W666+交易记录!W730+交易记录!W794+交易记录!W858+交易记录!W922</f>
        <v>0.15200000000000002</v>
      </c>
      <c r="W93" s="67">
        <f>交易记录!X26+交易记录!X90+交易记录!X154+交易记录!X218+交易记录!X282+交易记录!X346+交易记录!X410+交易记录!X474+交易记录!X538+交易记录!X602+交易记录!X666+交易记录!X730+交易记录!X794+交易记录!X858+交易记录!X922</f>
        <v>0.95199999999999996</v>
      </c>
      <c r="X93" s="67">
        <f>交易记录!Y26+交易记录!Y90+交易记录!Y154+交易记录!Y218+交易记录!Y282+交易记录!Y346+交易记录!Y410+交易记录!Y474+交易记录!Y538+交易记录!Y602+交易记录!Y666+交易记录!Y730+交易记录!Y794+交易记录!Y858+交易记录!Y922</f>
        <v>0.95199999999999996</v>
      </c>
      <c r="Y93" s="67">
        <f>交易记录!Z26+交易记录!Z90+交易记录!Z154+交易记录!Z218+交易记录!Z282+交易记录!Z346+交易记录!Z410+交易记录!Z474+交易记录!Z538+交易记录!Z602+交易记录!Z666+交易记录!Z730+交易记录!Z794+交易记录!Z858+交易记录!Z922</f>
        <v>0.95199999999999996</v>
      </c>
      <c r="Z93" s="67">
        <f>交易记录!AA26+交易记录!AA90+交易记录!AA154+交易记录!AA218+交易记录!AA282+交易记录!AA346+交易记录!AA410+交易记录!AA474+交易记录!AA538+交易记录!AA602+交易记录!AA666+交易记录!AA730+交易记录!AA794+交易记录!AA858+交易记录!AA922</f>
        <v>0.95199999999999996</v>
      </c>
      <c r="AA93" s="67">
        <f>交易记录!AB26+交易记录!AB90+交易记录!AB154+交易记录!AB218+交易记录!AB282+交易记录!AB346+交易记录!AB410+交易记录!AB474+交易记录!AB538+交易记录!AB602+交易记录!AB666+交易记录!AB730+交易记录!AB794+交易记录!AB858+交易记录!AB922</f>
        <v>0.95199999999999996</v>
      </c>
      <c r="AB93" s="67">
        <f>交易记录!AC26+交易记录!AC90+交易记录!AC154+交易记录!AC218+交易记录!AC282+交易记录!AC346+交易记录!AC410+交易记录!AC474+交易记录!AC538+交易记录!AC602+交易记录!AC666+交易记录!AC730+交易记录!AC794+交易记录!AC858+交易记录!AC922</f>
        <v>0.15200000000000002</v>
      </c>
      <c r="AC93" s="67">
        <f>交易记录!AD26+交易记录!AD90+交易记录!AD154+交易记录!AD218+交易记录!AD282+交易记录!AD346+交易记录!AD410+交易记录!AD474+交易记录!AD538+交易记录!AD602+交易记录!AD666+交易记录!AD730+交易记录!AD794+交易记录!AD858+交易记录!AD922</f>
        <v>0.15200000000000002</v>
      </c>
      <c r="AD93" s="67">
        <f>交易记录!AE26+交易记录!AE90+交易记录!AE154+交易记录!AE218+交易记录!AE282+交易记录!AE346+交易记录!AE410+交易记录!AE474+交易记录!AE538+交易记录!AE602+交易记录!AE666+交易记录!AE730+交易记录!AE794+交易记录!AE858+交易记录!AE922</f>
        <v>0.95199999999999996</v>
      </c>
      <c r="AE93" s="67">
        <f>交易记录!AF26+交易记录!AF90+交易记录!AF154+交易记录!AF218+交易记录!AF282+交易记录!AF346+交易记录!AF410+交易记录!AF474+交易记录!AF538+交易记录!AF602+交易记录!AF666+交易记录!AF730+交易记录!AF794+交易记录!AF858+交易记录!AF922</f>
        <v>0.95199999999999996</v>
      </c>
      <c r="AF93" s="67">
        <f>交易记录!AG26+交易记录!AG90+交易记录!AG154+交易记录!AG218+交易记录!AG282+交易记录!AG346+交易记录!AG410+交易记录!AG474+交易记录!AG538+交易记录!AG602+交易记录!AG666+交易记录!AG730+交易记录!AG794+交易记录!AG858+交易记录!AG922</f>
        <v>0.95199999999999996</v>
      </c>
      <c r="AG93" s="67">
        <f>交易记录!AH26+交易记录!AH90+交易记录!AH154+交易记录!AH218+交易记录!AH282+交易记录!AH346+交易记录!AH410+交易记录!AH474+交易记录!AH538+交易记录!AH602+交易记录!AH666+交易记录!AH730+交易记录!AH794+交易记录!AH858+交易记录!AH922</f>
        <v>0.95199999999999996</v>
      </c>
      <c r="AH93" s="53">
        <f t="shared" si="3"/>
        <v>23.014999999999986</v>
      </c>
      <c r="AI93" s="54"/>
      <c r="AJ93" s="55"/>
      <c r="AK93" s="53"/>
    </row>
    <row r="94" spans="2:37" s="3" customFormat="1" ht="15">
      <c r="B94" s="7" t="s">
        <v>28</v>
      </c>
      <c r="C94" s="67">
        <f>交易记录!D27+交易记录!D91+交易记录!D155+交易记录!D219+交易记录!D283+交易记录!D347+交易记录!D411+交易记录!D475+交易记录!D539+交易记录!D603+交易记录!D667+交易记录!D731+交易记录!D795+交易记录!D859+交易记录!D923</f>
        <v>0.77200000000000002</v>
      </c>
      <c r="D94" s="67">
        <f>交易记录!E27+交易记录!E91+交易记录!E155+交易记录!E219+交易记录!E283+交易记录!E347+交易记录!E411+交易记录!E475+交易记录!E539+交易记录!E603+交易记录!E667+交易记录!E731+交易记录!E795+交易记录!E859+交易记录!E923</f>
        <v>0.84300000000000008</v>
      </c>
      <c r="E94" s="67">
        <f>交易记录!F27+交易记录!F91+交易记录!F155+交易记录!F219+交易记录!F283+交易记录!F347+交易记录!F411+交易记录!F475+交易记录!F539+交易记录!F603+交易记录!F667+交易记录!F731+交易记录!F795+交易记录!F859+交易记录!F923</f>
        <v>0.84300000000000008</v>
      </c>
      <c r="F94" s="67">
        <f>交易记录!G27+交易记录!G91+交易记录!G155+交易记录!G219+交易记录!G283+交易记录!G347+交易记录!G411+交易记录!G475+交易记录!G539+交易记录!G603+交易记录!G667+交易记录!G731+交易记录!G795+交易记录!G859+交易记录!G923</f>
        <v>0.84300000000000008</v>
      </c>
      <c r="G94" s="67">
        <f>交易记录!H27+交易记录!H91+交易记录!H155+交易记录!H219+交易记录!H283+交易记录!H347+交易记录!H411+交易记录!H475+交易记录!H539+交易记录!H603+交易记录!H667+交易记录!H731+交易记录!H795+交易记录!H859+交易记录!H923</f>
        <v>0.111</v>
      </c>
      <c r="H94" s="67">
        <f>交易记录!I27+交易记录!I91+交易记录!I155+交易记录!I219+交易记录!I283+交易记录!I347+交易记录!I411+交易记录!I475+交易记录!I539+交易记录!I603+交易记录!I667+交易记录!I731+交易记录!I795+交易记录!I859+交易记录!I923</f>
        <v>0.111</v>
      </c>
      <c r="I94" s="67">
        <f>交易记录!J27+交易记录!J91+交易记录!J155+交易记录!J219+交易记录!J283+交易记录!J347+交易记录!J411+交易记录!J475+交易记录!J539+交易记录!J603+交易记录!J667+交易记录!J731+交易记录!J795+交易记录!J859+交易记录!J923</f>
        <v>0.84300000000000008</v>
      </c>
      <c r="J94" s="67">
        <f>交易记录!K27+交易记录!K91+交易记录!K155+交易记录!K219+交易记录!K283+交易记录!K347+交易记录!K411+交易记录!K475+交易记录!K539+交易记录!K603+交易记录!K667+交易记录!K731+交易记录!K795+交易记录!K859+交易记录!K923</f>
        <v>0.84300000000000008</v>
      </c>
      <c r="K94" s="67">
        <f>交易记录!L27+交易记录!L91+交易记录!L155+交易记录!L219+交易记录!L283+交易记录!L347+交易记录!L411+交易记录!L475+交易记录!L539+交易记录!L603+交易记录!L667+交易记录!L731+交易记录!L795+交易记录!L859+交易记录!L923</f>
        <v>0.84300000000000008</v>
      </c>
      <c r="L94" s="67">
        <f>交易记录!M27+交易记录!M91+交易记录!M155+交易记录!M219+交易记录!M283+交易记录!M347+交易记录!M411+交易记录!M475+交易记录!M539+交易记录!M603+交易记录!M667+交易记录!M731+交易记录!M795+交易记录!M859+交易记录!M923</f>
        <v>0.84300000000000008</v>
      </c>
      <c r="M94" s="67">
        <f>交易记录!N27+交易记录!N91+交易记录!N155+交易记录!N219+交易记录!N283+交易记录!N347+交易记录!N411+交易记录!N475+交易记录!N539+交易记录!N603+交易记录!N667+交易记录!N731+交易记录!N795+交易记录!N859+交易记录!N923</f>
        <v>0.84300000000000008</v>
      </c>
      <c r="N94" s="67">
        <f>交易记录!O27+交易记录!O91+交易记录!O155+交易记录!O219+交易记录!O283+交易记录!O347+交易记录!O411+交易记录!O475+交易记录!O539+交易记录!O603+交易记录!O667+交易记录!O731+交易记录!O795+交易记录!O859+交易记录!O923</f>
        <v>0.111</v>
      </c>
      <c r="O94" s="67">
        <f>交易记录!P27+交易记录!P91+交易记录!P155+交易记录!P219+交易记录!P283+交易记录!P347+交易记录!P411+交易记录!P475+交易记录!P539+交易记录!P603+交易记录!P667+交易记录!P731+交易记录!P795+交易记录!P859+交易记录!P923</f>
        <v>0.111</v>
      </c>
      <c r="P94" s="67">
        <f>交易记录!Q27+交易记录!Q91+交易记录!Q155+交易记录!Q219+交易记录!Q283+交易记录!Q347+交易记录!Q411+交易记录!Q475+交易记录!Q539+交易记录!Q603+交易记录!Q667+交易记录!Q731+交易记录!Q795+交易记录!Q859+交易记录!Q923</f>
        <v>0.84300000000000008</v>
      </c>
      <c r="Q94" s="67">
        <f>交易记录!R27+交易记录!R91+交易记录!R155+交易记录!R219+交易记录!R283+交易记录!R347+交易记录!R411+交易记录!R475+交易记录!R539+交易记录!R603+交易记录!R667+交易记录!R731+交易记录!R795+交易记录!R859+交易记录!R923</f>
        <v>0.84300000000000008</v>
      </c>
      <c r="R94" s="67">
        <f>交易记录!S27+交易记录!S91+交易记录!S155+交易记录!S219+交易记录!S283+交易记录!S347+交易记录!S411+交易记录!S475+交易记录!S539+交易记录!S603+交易记录!S667+交易记录!S731+交易记录!S795+交易记录!S859+交易记录!S923</f>
        <v>0.84300000000000008</v>
      </c>
      <c r="S94" s="67">
        <f>交易记录!T27+交易记录!T91+交易记录!T155+交易记录!T219+交易记录!T283+交易记录!T347+交易记录!T411+交易记录!T475+交易记录!T539+交易记录!T603+交易记录!T667+交易记录!T731+交易记录!T795+交易记录!T859+交易记录!T923</f>
        <v>0.84300000000000008</v>
      </c>
      <c r="T94" s="67">
        <f>交易记录!U27+交易记录!U91+交易记录!U155+交易记录!U219+交易记录!U283+交易记录!U347+交易记录!U411+交易记录!U475+交易记录!U539+交易记录!U603+交易记录!U667+交易记录!U731+交易记录!U795+交易记录!U859+交易记录!U923</f>
        <v>0.84300000000000008</v>
      </c>
      <c r="U94" s="67">
        <f>交易记录!V27+交易记录!V91+交易记录!V155+交易记录!V219+交易记录!V283+交易记录!V347+交易记录!V411+交易记录!V475+交易记录!V539+交易记录!V603+交易记录!V667+交易记录!V731+交易记录!V795+交易记录!V859+交易记录!V923</f>
        <v>0.111</v>
      </c>
      <c r="V94" s="67">
        <f>交易记录!W27+交易记录!W91+交易记录!W155+交易记录!W219+交易记录!W283+交易记录!W347+交易记录!W411+交易记录!W475+交易记录!W539+交易记录!W603+交易记录!W667+交易记录!W731+交易记录!W795+交易记录!W859+交易记录!W923</f>
        <v>0.111</v>
      </c>
      <c r="W94" s="67">
        <f>交易记录!X27+交易记录!X91+交易记录!X155+交易记录!X219+交易记录!X283+交易记录!X347+交易记录!X411+交易记录!X475+交易记录!X539+交易记录!X603+交易记录!X667+交易记录!X731+交易记录!X795+交易记录!X859+交易记录!X923</f>
        <v>0.84300000000000008</v>
      </c>
      <c r="X94" s="67">
        <f>交易记录!Y27+交易记录!Y91+交易记录!Y155+交易记录!Y219+交易记录!Y283+交易记录!Y347+交易记录!Y411+交易记录!Y475+交易记录!Y539+交易记录!Y603+交易记录!Y667+交易记录!Y731+交易记录!Y795+交易记录!Y859+交易记录!Y923</f>
        <v>0.84300000000000008</v>
      </c>
      <c r="Y94" s="67">
        <f>交易记录!Z27+交易记录!Z91+交易记录!Z155+交易记录!Z219+交易记录!Z283+交易记录!Z347+交易记录!Z411+交易记录!Z475+交易记录!Z539+交易记录!Z603+交易记录!Z667+交易记录!Z731+交易记录!Z795+交易记录!Z859+交易记录!Z923</f>
        <v>0.84300000000000008</v>
      </c>
      <c r="Z94" s="67">
        <f>交易记录!AA27+交易记录!AA91+交易记录!AA155+交易记录!AA219+交易记录!AA283+交易记录!AA347+交易记录!AA411+交易记录!AA475+交易记录!AA539+交易记录!AA603+交易记录!AA667+交易记录!AA731+交易记录!AA795+交易记录!AA859+交易记录!AA923</f>
        <v>0.84300000000000008</v>
      </c>
      <c r="AA94" s="67">
        <f>交易记录!AB27+交易记录!AB91+交易记录!AB155+交易记录!AB219+交易记录!AB283+交易记录!AB347+交易记录!AB411+交易记录!AB475+交易记录!AB539+交易记录!AB603+交易记录!AB667+交易记录!AB731+交易记录!AB795+交易记录!AB859+交易记录!AB923</f>
        <v>0.84300000000000008</v>
      </c>
      <c r="AB94" s="67">
        <f>交易记录!AC27+交易记录!AC91+交易记录!AC155+交易记录!AC219+交易记录!AC283+交易记录!AC347+交易记录!AC411+交易记录!AC475+交易记录!AC539+交易记录!AC603+交易记录!AC667+交易记录!AC731+交易记录!AC795+交易记录!AC859+交易记录!AC923</f>
        <v>0.111</v>
      </c>
      <c r="AC94" s="67">
        <f>交易记录!AD27+交易记录!AD91+交易记录!AD155+交易记录!AD219+交易记录!AD283+交易记录!AD347+交易记录!AD411+交易记录!AD475+交易记录!AD539+交易记录!AD603+交易记录!AD667+交易记录!AD731+交易记录!AD795+交易记录!AD859+交易记录!AD923</f>
        <v>0.111</v>
      </c>
      <c r="AD94" s="67">
        <f>交易记录!AE27+交易记录!AE91+交易记录!AE155+交易记录!AE219+交易记录!AE283+交易记录!AE347+交易记录!AE411+交易记录!AE475+交易记录!AE539+交易记录!AE603+交易记录!AE667+交易记录!AE731+交易记录!AE795+交易记录!AE859+交易记录!AE923</f>
        <v>0.84300000000000008</v>
      </c>
      <c r="AE94" s="67">
        <f>交易记录!AF27+交易记录!AF91+交易记录!AF155+交易记录!AF219+交易记录!AF283+交易记录!AF347+交易记录!AF411+交易记录!AF475+交易记录!AF539+交易记录!AF603+交易记录!AF667+交易记录!AF731+交易记录!AF795+交易记录!AF859+交易记录!AF923</f>
        <v>0.84300000000000008</v>
      </c>
      <c r="AF94" s="67">
        <f>交易记录!AG27+交易记录!AG91+交易记录!AG155+交易记录!AG219+交易记录!AG283+交易记录!AG347+交易记录!AG411+交易记录!AG475+交易记录!AG539+交易记录!AG603+交易记录!AG667+交易记录!AG731+交易记录!AG795+交易记录!AG859+交易记录!AG923</f>
        <v>0.84300000000000008</v>
      </c>
      <c r="AG94" s="67">
        <f>交易记录!AH27+交易记录!AH91+交易记录!AH155+交易记录!AH219+交易记录!AH283+交易记录!AH347+交易记录!AH411+交易记录!AH475+交易记录!AH539+交易记录!AH603+交易记录!AH667+交易记录!AH731+交易记录!AH795+交易记录!AH859+交易记录!AH923</f>
        <v>0.84300000000000008</v>
      </c>
      <c r="AH94" s="53">
        <f t="shared" si="3"/>
        <v>20.206000000000003</v>
      </c>
      <c r="AI94" s="54"/>
      <c r="AJ94" s="55"/>
      <c r="AK94" s="53"/>
    </row>
    <row r="95" spans="2:37" s="3" customFormat="1" ht="15">
      <c r="B95" s="7" t="s">
        <v>29</v>
      </c>
      <c r="C95" s="67">
        <f>交易记录!D28+交易记录!D92+交易记录!D156+交易记录!D220+交易记录!D284+交易记录!D348+交易记录!D412+交易记录!D476+交易记录!D540+交易记录!D604+交易记录!D668+交易记录!D732+交易记录!D796+交易记录!D860+交易记录!D924</f>
        <v>0.318</v>
      </c>
      <c r="D95" s="67">
        <f>交易记录!E28+交易记录!E92+交易记录!E156+交易记录!E220+交易记录!E284+交易记录!E348+交易记录!E412+交易记录!E476+交易记录!E540+交易记录!E604+交易记录!E668+交易记录!E732+交易记录!E796+交易记录!E860+交易记录!E924</f>
        <v>0.33299999999999996</v>
      </c>
      <c r="E95" s="67">
        <f>交易记录!F28+交易记录!F92+交易记录!F156+交易记录!F220+交易记录!F284+交易记录!F348+交易记录!F412+交易记录!F476+交易记录!F540+交易记录!F604+交易记录!F668+交易记录!F732+交易记录!F796+交易记录!F860+交易记录!F924</f>
        <v>0.33299999999999996</v>
      </c>
      <c r="F95" s="67">
        <f>交易记录!G28+交易记录!G92+交易记录!G156+交易记录!G220+交易记录!G284+交易记录!G348+交易记录!G412+交易记录!G476+交易记录!G540+交易记录!G604+交易记录!G668+交易记录!G732+交易记录!G796+交易记录!G860+交易记录!G924</f>
        <v>0.33299999999999996</v>
      </c>
      <c r="G95" s="67">
        <f>交易记录!H28+交易记录!H92+交易记录!H156+交易记录!H220+交易记录!H284+交易记录!H348+交易记录!H412+交易记录!H476+交易记录!H540+交易记录!H604+交易记录!H668+交易记录!H732+交易记录!H796+交易记录!H860+交易记录!H924</f>
        <v>9.2999999999999999E-2</v>
      </c>
      <c r="H95" s="67">
        <f>交易记录!I28+交易记录!I92+交易记录!I156+交易记录!I220+交易记录!I284+交易记录!I348+交易记录!I412+交易记录!I476+交易记录!I540+交易记录!I604+交易记录!I668+交易记录!I732+交易记录!I796+交易记录!I860+交易记录!I924</f>
        <v>9.2999999999999999E-2</v>
      </c>
      <c r="I95" s="67">
        <f>交易记录!J28+交易记录!J92+交易记录!J156+交易记录!J220+交易记录!J284+交易记录!J348+交易记录!J412+交易记录!J476+交易记录!J540+交易记录!J604+交易记录!J668+交易记录!J732+交易记录!J796+交易记录!J860+交易记录!J924</f>
        <v>0.33299999999999996</v>
      </c>
      <c r="J95" s="67">
        <f>交易记录!K28+交易记录!K92+交易记录!K156+交易记录!K220+交易记录!K284+交易记录!K348+交易记录!K412+交易记录!K476+交易记录!K540+交易记录!K604+交易记录!K668+交易记录!K732+交易记录!K796+交易记录!K860+交易记录!K924</f>
        <v>0.33299999999999996</v>
      </c>
      <c r="K95" s="67">
        <f>交易记录!L28+交易记录!L92+交易记录!L156+交易记录!L220+交易记录!L284+交易记录!L348+交易记录!L412+交易记录!L476+交易记录!L540+交易记录!L604+交易记录!L668+交易记录!L732+交易记录!L796+交易记录!L860+交易记录!L924</f>
        <v>0.33299999999999996</v>
      </c>
      <c r="L95" s="67">
        <f>交易记录!M28+交易记录!M92+交易记录!M156+交易记录!M220+交易记录!M284+交易记录!M348+交易记录!M412+交易记录!M476+交易记录!M540+交易记录!M604+交易记录!M668+交易记录!M732+交易记录!M796+交易记录!M860+交易记录!M924</f>
        <v>0.33299999999999996</v>
      </c>
      <c r="M95" s="67">
        <f>交易记录!N28+交易记录!N92+交易记录!N156+交易记录!N220+交易记录!N284+交易记录!N348+交易记录!N412+交易记录!N476+交易记录!N540+交易记录!N604+交易记录!N668+交易记录!N732+交易记录!N796+交易记录!N860+交易记录!N924</f>
        <v>0.33299999999999996</v>
      </c>
      <c r="N95" s="67">
        <f>交易记录!O28+交易记录!O92+交易记录!O156+交易记录!O220+交易记录!O284+交易记录!O348+交易记录!O412+交易记录!O476+交易记录!O540+交易记录!O604+交易记录!O668+交易记录!O732+交易记录!O796+交易记录!O860+交易记录!O924</f>
        <v>9.2999999999999999E-2</v>
      </c>
      <c r="O95" s="67">
        <f>交易记录!P28+交易记录!P92+交易记录!P156+交易记录!P220+交易记录!P284+交易记录!P348+交易记录!P412+交易记录!P476+交易记录!P540+交易记录!P604+交易记录!P668+交易记录!P732+交易记录!P796+交易记录!P860+交易记录!P924</f>
        <v>9.2999999999999999E-2</v>
      </c>
      <c r="P95" s="67">
        <f>交易记录!Q28+交易记录!Q92+交易记录!Q156+交易记录!Q220+交易记录!Q284+交易记录!Q348+交易记录!Q412+交易记录!Q476+交易记录!Q540+交易记录!Q604+交易记录!Q668+交易记录!Q732+交易记录!Q796+交易记录!Q860+交易记录!Q924</f>
        <v>0.33299999999999996</v>
      </c>
      <c r="Q95" s="67">
        <f>交易记录!R28+交易记录!R92+交易记录!R156+交易记录!R220+交易记录!R284+交易记录!R348+交易记录!R412+交易记录!R476+交易记录!R540+交易记录!R604+交易记录!R668+交易记录!R732+交易记录!R796+交易记录!R860+交易记录!R924</f>
        <v>0.33299999999999996</v>
      </c>
      <c r="R95" s="67">
        <f>交易记录!S28+交易记录!S92+交易记录!S156+交易记录!S220+交易记录!S284+交易记录!S348+交易记录!S412+交易记录!S476+交易记录!S540+交易记录!S604+交易记录!S668+交易记录!S732+交易记录!S796+交易记录!S860+交易记录!S924</f>
        <v>0.33299999999999996</v>
      </c>
      <c r="S95" s="67">
        <f>交易记录!T28+交易记录!T92+交易记录!T156+交易记录!T220+交易记录!T284+交易记录!T348+交易记录!T412+交易记录!T476+交易记录!T540+交易记录!T604+交易记录!T668+交易记录!T732+交易记录!T796+交易记录!T860+交易记录!T924</f>
        <v>0.33299999999999996</v>
      </c>
      <c r="T95" s="67">
        <f>交易记录!U28+交易记录!U92+交易记录!U156+交易记录!U220+交易记录!U284+交易记录!U348+交易记录!U412+交易记录!U476+交易记录!U540+交易记录!U604+交易记录!U668+交易记录!U732+交易记录!U796+交易记录!U860+交易记录!U924</f>
        <v>0.33299999999999996</v>
      </c>
      <c r="U95" s="67">
        <f>交易记录!V28+交易记录!V92+交易记录!V156+交易记录!V220+交易记录!V284+交易记录!V348+交易记录!V412+交易记录!V476+交易记录!V540+交易记录!V604+交易记录!V668+交易记录!V732+交易记录!V796+交易记录!V860+交易记录!V924</f>
        <v>9.2999999999999999E-2</v>
      </c>
      <c r="V95" s="67">
        <f>交易记录!W28+交易记录!W92+交易记录!W156+交易记录!W220+交易记录!W284+交易记录!W348+交易记录!W412+交易记录!W476+交易记录!W540+交易记录!W604+交易记录!W668+交易记录!W732+交易记录!W796+交易记录!W860+交易记录!W924</f>
        <v>9.2999999999999999E-2</v>
      </c>
      <c r="W95" s="67">
        <f>交易记录!X28+交易记录!X92+交易记录!X156+交易记录!X220+交易记录!X284+交易记录!X348+交易记录!X412+交易记录!X476+交易记录!X540+交易记录!X604+交易记录!X668+交易记录!X732+交易记录!X796+交易记录!X860+交易记录!X924</f>
        <v>0.33299999999999996</v>
      </c>
      <c r="X95" s="67">
        <f>交易记录!Y28+交易记录!Y92+交易记录!Y156+交易记录!Y220+交易记录!Y284+交易记录!Y348+交易记录!Y412+交易记录!Y476+交易记录!Y540+交易记录!Y604+交易记录!Y668+交易记录!Y732+交易记录!Y796+交易记录!Y860+交易记录!Y924</f>
        <v>0.33299999999999996</v>
      </c>
      <c r="Y95" s="67">
        <f>交易记录!Z28+交易记录!Z92+交易记录!Z156+交易记录!Z220+交易记录!Z284+交易记录!Z348+交易记录!Z412+交易记录!Z476+交易记录!Z540+交易记录!Z604+交易记录!Z668+交易记录!Z732+交易记录!Z796+交易记录!Z860+交易记录!Z924</f>
        <v>0.33299999999999996</v>
      </c>
      <c r="Z95" s="67">
        <f>交易记录!AA28+交易记录!AA92+交易记录!AA156+交易记录!AA220+交易记录!AA284+交易记录!AA348+交易记录!AA412+交易记录!AA476+交易记录!AA540+交易记录!AA604+交易记录!AA668+交易记录!AA732+交易记录!AA796+交易记录!AA860+交易记录!AA924</f>
        <v>0.33299999999999996</v>
      </c>
      <c r="AA95" s="67">
        <f>交易记录!AB28+交易记录!AB92+交易记录!AB156+交易记录!AB220+交易记录!AB284+交易记录!AB348+交易记录!AB412+交易记录!AB476+交易记录!AB540+交易记录!AB604+交易记录!AB668+交易记录!AB732+交易记录!AB796+交易记录!AB860+交易记录!AB924</f>
        <v>0.33299999999999996</v>
      </c>
      <c r="AB95" s="67">
        <f>交易记录!AC28+交易记录!AC92+交易记录!AC156+交易记录!AC220+交易记录!AC284+交易记录!AC348+交易记录!AC412+交易记录!AC476+交易记录!AC540+交易记录!AC604+交易记录!AC668+交易记录!AC732+交易记录!AC796+交易记录!AC860+交易记录!AC924</f>
        <v>9.2999999999999999E-2</v>
      </c>
      <c r="AC95" s="67">
        <f>交易记录!AD28+交易记录!AD92+交易记录!AD156+交易记录!AD220+交易记录!AD284+交易记录!AD348+交易记录!AD412+交易记录!AD476+交易记录!AD540+交易记录!AD604+交易记录!AD668+交易记录!AD732+交易记录!AD796+交易记录!AD860+交易记录!AD924</f>
        <v>9.2999999999999999E-2</v>
      </c>
      <c r="AD95" s="67">
        <f>交易记录!AE28+交易记录!AE92+交易记录!AE156+交易记录!AE220+交易记录!AE284+交易记录!AE348+交易记录!AE412+交易记录!AE476+交易记录!AE540+交易记录!AE604+交易记录!AE668+交易记录!AE732+交易记录!AE796+交易记录!AE860+交易记录!AE924</f>
        <v>0.33299999999999996</v>
      </c>
      <c r="AE95" s="67">
        <f>交易记录!AF28+交易记录!AF92+交易记录!AF156+交易记录!AF220+交易记录!AF284+交易记录!AF348+交易记录!AF412+交易记录!AF476+交易记录!AF540+交易记录!AF604+交易记录!AF668+交易记录!AF732+交易记录!AF796+交易记录!AF860+交易记录!AF924</f>
        <v>0.33299999999999996</v>
      </c>
      <c r="AF95" s="67">
        <f>交易记录!AG28+交易记录!AG92+交易记录!AG156+交易记录!AG220+交易记录!AG284+交易记录!AG348+交易记录!AG412+交易记录!AG476+交易记录!AG540+交易记录!AG604+交易记录!AG668+交易记录!AG732+交易记录!AG796+交易记录!AG860+交易记录!AG924</f>
        <v>0.33299999999999996</v>
      </c>
      <c r="AG95" s="67">
        <f>交易记录!AH28+交易记录!AH92+交易记录!AH156+交易记录!AH220+交易记录!AH284+交易记录!AH348+交易记录!AH412+交易记录!AH476+交易记录!AH540+交易记录!AH604+交易记录!AH668+交易记录!AH732+交易记录!AH796+交易记录!AH860+交易记录!AH924</f>
        <v>0.33299999999999996</v>
      </c>
      <c r="AH95" s="53">
        <f t="shared" si="3"/>
        <v>8.3880000000000017</v>
      </c>
      <c r="AI95" s="54"/>
      <c r="AJ95" s="55"/>
      <c r="AK95" s="53"/>
    </row>
    <row r="96" spans="2:37" s="3" customFormat="1" ht="15.75" thickBot="1"/>
    <row r="97" spans="2:33" s="3" customFormat="1" ht="15.75" thickBot="1">
      <c r="B97" s="8" t="s">
        <v>63</v>
      </c>
      <c r="C97" s="9">
        <f>SUM(C72:C95)</f>
        <v>8.4540000000000006</v>
      </c>
      <c r="D97" s="10">
        <f>SUM(D72:D95)</f>
        <v>10.213000000000001</v>
      </c>
      <c r="E97" s="10">
        <f t="shared" ref="E97:AG97" si="4">SUM(E72:E95)</f>
        <v>10.213000000000001</v>
      </c>
      <c r="F97" s="10">
        <f t="shared" si="4"/>
        <v>10.213000000000001</v>
      </c>
      <c r="G97" s="10">
        <f t="shared" si="4"/>
        <v>2.74</v>
      </c>
      <c r="H97" s="10">
        <f t="shared" si="4"/>
        <v>2.74</v>
      </c>
      <c r="I97" s="10">
        <f t="shared" si="4"/>
        <v>10.213000000000001</v>
      </c>
      <c r="J97" s="10">
        <f t="shared" si="4"/>
        <v>10.213000000000001</v>
      </c>
      <c r="K97" s="10">
        <f t="shared" si="4"/>
        <v>10.213000000000001</v>
      </c>
      <c r="L97" s="10">
        <f t="shared" si="4"/>
        <v>10.213000000000001</v>
      </c>
      <c r="M97" s="10">
        <f t="shared" si="4"/>
        <v>10.213000000000001</v>
      </c>
      <c r="N97" s="10">
        <f t="shared" si="4"/>
        <v>2.74</v>
      </c>
      <c r="O97" s="10">
        <f t="shared" si="4"/>
        <v>2.74</v>
      </c>
      <c r="P97" s="10">
        <f t="shared" si="4"/>
        <v>10.213000000000001</v>
      </c>
      <c r="Q97" s="10">
        <f t="shared" si="4"/>
        <v>10.213000000000001</v>
      </c>
      <c r="R97" s="10">
        <f t="shared" si="4"/>
        <v>10.213000000000001</v>
      </c>
      <c r="S97" s="10">
        <f t="shared" si="4"/>
        <v>10.213000000000001</v>
      </c>
      <c r="T97" s="10">
        <f t="shared" si="4"/>
        <v>10.213000000000001</v>
      </c>
      <c r="U97" s="10">
        <f t="shared" si="4"/>
        <v>2.74</v>
      </c>
      <c r="V97" s="10">
        <f t="shared" si="4"/>
        <v>2.74</v>
      </c>
      <c r="W97" s="10">
        <f t="shared" si="4"/>
        <v>10.213000000000001</v>
      </c>
      <c r="X97" s="10">
        <f t="shared" si="4"/>
        <v>10.213000000000001</v>
      </c>
      <c r="Y97" s="10">
        <f t="shared" si="4"/>
        <v>10.213000000000001</v>
      </c>
      <c r="Z97" s="10">
        <f t="shared" si="4"/>
        <v>10.213000000000001</v>
      </c>
      <c r="AA97" s="10">
        <f t="shared" si="4"/>
        <v>10.213000000000001</v>
      </c>
      <c r="AB97" s="10">
        <f t="shared" si="4"/>
        <v>2.74</v>
      </c>
      <c r="AC97" s="10">
        <f t="shared" si="4"/>
        <v>2.74</v>
      </c>
      <c r="AD97" s="10">
        <f t="shared" si="4"/>
        <v>10.213000000000001</v>
      </c>
      <c r="AE97" s="10">
        <f t="shared" si="4"/>
        <v>10.213000000000001</v>
      </c>
      <c r="AF97" s="10">
        <f t="shared" si="4"/>
        <v>10.213000000000001</v>
      </c>
      <c r="AG97" s="10">
        <f t="shared" si="4"/>
        <v>10.213000000000001</v>
      </c>
    </row>
    <row r="98" spans="2:33" s="3" customFormat="1" ht="15.75" thickBot="1">
      <c r="C98" s="15">
        <f>SUMIF('计算过程-数据汇总'!$A:$A,'维护-日期'!B2,'计算过程-数据汇总'!$C:$C)*$F$30</f>
        <v>0</v>
      </c>
      <c r="D98" s="15">
        <f>SUMIF('计算过程-数据汇总'!$A:$A,'维护-日期'!C2,'计算过程-数据汇总'!$C:$C)*$F$30</f>
        <v>0</v>
      </c>
      <c r="E98" s="15">
        <f>SUMIF('计算过程-数据汇总'!$A:$A,'维护-日期'!D2,'计算过程-数据汇总'!$C:$C)*$F$30</f>
        <v>0</v>
      </c>
      <c r="F98" s="15">
        <f>SUMIF('计算过程-数据汇总'!$A:$A,'维护-日期'!E2,'计算过程-数据汇总'!$C:$C)*$F$30</f>
        <v>0</v>
      </c>
      <c r="G98" s="15">
        <f>SUMIF('计算过程-数据汇总'!$A:$A,'维护-日期'!F2,'计算过程-数据汇总'!$C:$C)*$F$30</f>
        <v>0</v>
      </c>
      <c r="H98" s="15">
        <f>SUMIF('计算过程-数据汇总'!$A:$A,'维护-日期'!G2,'计算过程-数据汇总'!$C:$C)*$F$30</f>
        <v>0</v>
      </c>
      <c r="I98" s="15">
        <f>SUMIF('计算过程-数据汇总'!$A:$A,'维护-日期'!H2,'计算过程-数据汇总'!$C:$C)*$F$30</f>
        <v>0</v>
      </c>
      <c r="J98" s="15">
        <f>SUMIF('计算过程-数据汇总'!$A:$A,'维护-日期'!I2,'计算过程-数据汇总'!$C:$C)*$F$30</f>
        <v>0</v>
      </c>
      <c r="K98" s="15">
        <f>SUMIF('计算过程-数据汇总'!$A:$A,'维护-日期'!J2,'计算过程-数据汇总'!$C:$C)*$F$30</f>
        <v>0</v>
      </c>
      <c r="L98" s="15">
        <f>SUMIF('计算过程-数据汇总'!$A:$A,'维护-日期'!K2,'计算过程-数据汇总'!$C:$C)*$F$30</f>
        <v>0</v>
      </c>
      <c r="M98" s="15">
        <f>SUMIF('计算过程-数据汇总'!$A:$A,'维护-日期'!L2,'计算过程-数据汇总'!$C:$C)*$F$30</f>
        <v>0</v>
      </c>
      <c r="N98" s="15">
        <f>SUMIF('计算过程-数据汇总'!$A:$A,'维护-日期'!M2,'计算过程-数据汇总'!$C:$C)*$F$30</f>
        <v>0</v>
      </c>
      <c r="O98" s="15">
        <f>SUMIF('计算过程-数据汇总'!$A:$A,'维护-日期'!N2,'计算过程-数据汇总'!$C:$C)*$F$30</f>
        <v>0</v>
      </c>
      <c r="P98" s="15">
        <f>SUMIF('计算过程-数据汇总'!$A:$A,'维护-日期'!O2,'计算过程-数据汇总'!$C:$C)*$F$30</f>
        <v>0</v>
      </c>
      <c r="Q98" s="15">
        <f>SUMIF('计算过程-数据汇总'!$A:$A,'维护-日期'!P2,'计算过程-数据汇总'!$C:$C)*$F$30</f>
        <v>0</v>
      </c>
      <c r="R98" s="15">
        <f>SUMIF('计算过程-数据汇总'!$A:$A,'维护-日期'!Q2,'计算过程-数据汇总'!$C:$C)*$F$30</f>
        <v>0</v>
      </c>
      <c r="S98" s="15">
        <f>SUMIF('计算过程-数据汇总'!$A:$A,'维护-日期'!R2,'计算过程-数据汇总'!$C:$C)*$F$30</f>
        <v>0</v>
      </c>
      <c r="T98" s="15">
        <f>SUMIF('计算过程-数据汇总'!$A:$A,'维护-日期'!S2,'计算过程-数据汇总'!$C:$C)*$F$30</f>
        <v>0</v>
      </c>
      <c r="U98" s="15">
        <f>SUMIF('计算过程-数据汇总'!$A:$A,'维护-日期'!T2,'计算过程-数据汇总'!$C:$C)*$F$30</f>
        <v>0</v>
      </c>
      <c r="V98" s="15">
        <f>SUMIF('计算过程-数据汇总'!$A:$A,'维护-日期'!U2,'计算过程-数据汇总'!$C:$C)*$F$30</f>
        <v>0</v>
      </c>
      <c r="W98" s="15">
        <f>SUMIF('计算过程-数据汇总'!$A:$A,'维护-日期'!V2,'计算过程-数据汇总'!$C:$C)*$F$30</f>
        <v>0</v>
      </c>
      <c r="X98" s="15">
        <f>SUMIF('计算过程-数据汇总'!$A:$A,'维护-日期'!W2,'计算过程-数据汇总'!$C:$C)*$F$30</f>
        <v>0</v>
      </c>
      <c r="Y98" s="15">
        <f>SUMIF('计算过程-数据汇总'!$A:$A,'维护-日期'!X2,'计算过程-数据汇总'!$C:$C)*$F$30</f>
        <v>0</v>
      </c>
      <c r="Z98" s="15">
        <f>SUMIF('计算过程-数据汇总'!$A:$A,'维护-日期'!Y2,'计算过程-数据汇总'!$C:$C)*$F$30</f>
        <v>0</v>
      </c>
      <c r="AA98" s="15">
        <f>SUMIF('计算过程-数据汇总'!$A:$A,'维护-日期'!Z2,'计算过程-数据汇总'!$C:$C)*$F$30</f>
        <v>0</v>
      </c>
      <c r="AB98" s="15">
        <f>SUMIF('计算过程-数据汇总'!$A:$A,'维护-日期'!AA2,'计算过程-数据汇总'!$C:$C)*$F$30</f>
        <v>0</v>
      </c>
      <c r="AC98" s="15">
        <f>SUMIF('计算过程-数据汇总'!$A:$A,'维护-日期'!AB2,'计算过程-数据汇总'!$C:$C)*$F$30</f>
        <v>0</v>
      </c>
      <c r="AD98" s="15">
        <f>SUMIF('计算过程-数据汇总'!$A:$A,'维护-日期'!AC2,'计算过程-数据汇总'!$C:$C)*$F$30</f>
        <v>0</v>
      </c>
      <c r="AE98" s="15">
        <f>SUMIF('计算过程-数据汇总'!$A:$A,'维护-日期'!AD2,'计算过程-数据汇总'!$C:$C)*$F$30</f>
        <v>0</v>
      </c>
      <c r="AF98" s="15">
        <f>SUMIF('计算过程-数据汇总'!$A:$A,'维护-日期'!AE2,'计算过程-数据汇总'!$C:$C)*$F$30</f>
        <v>0</v>
      </c>
      <c r="AG98" s="15">
        <f>SUMIF('计算过程-数据汇总'!$A:$A,'维护-日期'!AF2,'计算过程-数据汇总'!$C:$C)*$F$30</f>
        <v>0</v>
      </c>
    </row>
    <row r="99" spans="2:33" s="3" customFormat="1" ht="15.75" thickBot="1">
      <c r="B99" s="8" t="s">
        <v>64</v>
      </c>
      <c r="C99" s="38">
        <f>SUM(C97:AG97)</f>
        <v>255.05999999999995</v>
      </c>
      <c r="X99" s="13"/>
      <c r="Y99" s="13"/>
      <c r="Z99" s="13"/>
      <c r="AA99" s="13"/>
      <c r="AB99" s="13"/>
      <c r="AC99" s="13"/>
      <c r="AD99" s="13"/>
    </row>
    <row r="100" spans="2:33" s="3" customFormat="1" ht="15"/>
    <row r="101" spans="2:33" s="3" customFormat="1" ht="13.9" customHeight="1"/>
    <row r="102" spans="2:33" s="3" customFormat="1" ht="15"/>
    <row r="103" spans="2:33" s="3" customFormat="1" ht="15.75">
      <c r="B103" s="145" t="s">
        <v>65</v>
      </c>
      <c r="C103" s="146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  <c r="AB103" s="146"/>
      <c r="AC103" s="146"/>
      <c r="AD103" s="146"/>
      <c r="AE103" s="146"/>
      <c r="AF103" s="146"/>
      <c r="AG103" s="147"/>
    </row>
    <row r="104" spans="2:33" s="3" customFormat="1" ht="15">
      <c r="B104" s="4" t="s">
        <v>31</v>
      </c>
      <c r="C104" s="5" t="s">
        <v>32</v>
      </c>
      <c r="D104" s="6" t="s">
        <v>33</v>
      </c>
      <c r="E104" s="6" t="s">
        <v>34</v>
      </c>
      <c r="F104" s="6" t="s">
        <v>35</v>
      </c>
      <c r="G104" s="6" t="s">
        <v>36</v>
      </c>
      <c r="H104" s="6" t="s">
        <v>37</v>
      </c>
      <c r="I104" s="6" t="s">
        <v>38</v>
      </c>
      <c r="J104" s="6" t="s">
        <v>39</v>
      </c>
      <c r="K104" s="6" t="s">
        <v>40</v>
      </c>
      <c r="L104" s="6" t="s">
        <v>41</v>
      </c>
      <c r="M104" s="6" t="s">
        <v>42</v>
      </c>
      <c r="N104" s="6" t="s">
        <v>43</v>
      </c>
      <c r="O104" s="6" t="s">
        <v>44</v>
      </c>
      <c r="P104" s="6" t="s">
        <v>45</v>
      </c>
      <c r="Q104" s="6" t="s">
        <v>46</v>
      </c>
      <c r="R104" s="6" t="s">
        <v>47</v>
      </c>
      <c r="S104" s="6" t="s">
        <v>48</v>
      </c>
      <c r="T104" s="6" t="s">
        <v>49</v>
      </c>
      <c r="U104" s="6" t="s">
        <v>50</v>
      </c>
      <c r="V104" s="6" t="s">
        <v>51</v>
      </c>
      <c r="W104" s="6" t="s">
        <v>52</v>
      </c>
      <c r="X104" s="6" t="s">
        <v>53</v>
      </c>
      <c r="Y104" s="6" t="s">
        <v>54</v>
      </c>
      <c r="Z104" s="6" t="s">
        <v>55</v>
      </c>
      <c r="AA104" s="6" t="s">
        <v>56</v>
      </c>
      <c r="AB104" s="6" t="s">
        <v>57</v>
      </c>
      <c r="AC104" s="6" t="s">
        <v>58</v>
      </c>
      <c r="AD104" s="6" t="s">
        <v>59</v>
      </c>
      <c r="AE104" s="6" t="s">
        <v>60</v>
      </c>
      <c r="AF104" s="6" t="s">
        <v>61</v>
      </c>
      <c r="AG104" s="6" t="s">
        <v>62</v>
      </c>
    </row>
    <row r="105" spans="2:33" s="3" customFormat="1" ht="15">
      <c r="B105" s="7" t="s">
        <v>6</v>
      </c>
      <c r="C105" s="14">
        <f>IF(C72=0,"",(交易记录!D5*交易记录!D36+交易记录!D69*交易记录!D100+交易记录!D133*交易记录!D164+交易记录!D197*交易记录!D228+交易记录!D261*交易记录!D292+交易记录!D325*交易记录!D356+交易记录!D389*交易记录!D420+交易记录!D453*交易记录!D484+交易记录!D517*交易记录!D548+交易记录!D581*交易记录!D612+交易记录!D645*交易记录!D676+交易记录!D709*交易记录!D740+交易记录!D773*交易记录!D804+交易记录!D837*交易记录!D868+交易记录!D901*交易记录!D932)/C72)</f>
        <v>372</v>
      </c>
      <c r="D105" s="14">
        <f>IF(D72=0,"",(交易记录!E5*交易记录!E36+交易记录!E69*交易记录!E100+交易记录!E133*交易记录!E164+交易记录!E197*交易记录!E228+交易记录!E261*交易记录!E292+交易记录!E325*交易记录!E356+交易记录!E389*交易记录!E420+交易记录!E453*交易记录!E484+交易记录!E517*交易记录!E548+交易记录!E581*交易记录!E612+交易记录!E645*交易记录!E676+交易记录!E709*交易记录!E740+交易记录!E773*交易记录!E804+交易记录!E837*交易记录!E868+交易记录!E901*交易记录!E932)/D72)</f>
        <v>372</v>
      </c>
      <c r="E105" s="14">
        <f>IF(E72=0,"",(交易记录!F5*交易记录!F36+交易记录!F69*交易记录!F100+交易记录!F133*交易记录!F164+交易记录!F197*交易记录!F228+交易记录!F261*交易记录!F292+交易记录!F325*交易记录!F356+交易记录!F389*交易记录!F420+交易记录!F453*交易记录!F484+交易记录!F517*交易记录!F548+交易记录!F581*交易记录!F612+交易记录!F645*交易记录!F676+交易记录!F709*交易记录!F740+交易记录!F773*交易记录!F804+交易记录!F837*交易记录!F868+交易记录!F901*交易记录!F932)/E72)</f>
        <v>372</v>
      </c>
      <c r="F105" s="14">
        <f>IF(F72=0,"",(交易记录!G5*交易记录!G36+交易记录!G69*交易记录!G100+交易记录!G133*交易记录!G164+交易记录!G197*交易记录!G228+交易记录!G261*交易记录!G292+交易记录!G325*交易记录!G356+交易记录!G389*交易记录!G420+交易记录!G453*交易记录!G484+交易记录!G517*交易记录!G548+交易记录!G581*交易记录!G612+交易记录!G645*交易记录!G676+交易记录!G709*交易记录!G740+交易记录!G773*交易记录!G804+交易记录!G837*交易记录!G868+交易记录!G901*交易记录!G932)/F72)</f>
        <v>372</v>
      </c>
      <c r="G105" s="14">
        <f>IF(G72=0,"",(交易记录!H5*交易记录!H36+交易记录!H69*交易记录!H100+交易记录!H133*交易记录!H164+交易记录!H197*交易记录!H228+交易记录!H261*交易记录!H292+交易记录!H325*交易记录!H356+交易记录!H389*交易记录!H420+交易记录!H453*交易记录!H484+交易记录!H517*交易记录!H548+交易记录!H581*交易记录!H612+交易记录!H645*交易记录!H676+交易记录!H709*交易记录!H740+交易记录!H773*交易记录!H804+交易记录!H837*交易记录!H868+交易记录!H901*交易记录!H932)/G72)</f>
        <v>372</v>
      </c>
      <c r="H105" s="14">
        <f>IF(H72=0,"",(交易记录!I5*交易记录!I36+交易记录!I69*交易记录!I100+交易记录!I133*交易记录!I164+交易记录!I197*交易记录!I228+交易记录!I261*交易记录!I292+交易记录!I325*交易记录!I356+交易记录!I389*交易记录!I420+交易记录!I453*交易记录!I484+交易记录!I517*交易记录!I548+交易记录!I581*交易记录!I612+交易记录!I645*交易记录!I676+交易记录!I709*交易记录!I740+交易记录!I773*交易记录!I804+交易记录!I837*交易记录!I868+交易记录!I901*交易记录!I932)/H72)</f>
        <v>372</v>
      </c>
      <c r="I105" s="14">
        <f>IF(I72=0,"",(交易记录!J5*交易记录!J36+交易记录!J69*交易记录!J100+交易记录!J133*交易记录!J164+交易记录!J197*交易记录!J228+交易记录!J261*交易记录!J292+交易记录!J325*交易记录!J356+交易记录!J389*交易记录!J420+交易记录!J453*交易记录!J484+交易记录!J517*交易记录!J548+交易记录!J581*交易记录!J612+交易记录!J645*交易记录!J676+交易记录!J709*交易记录!J740+交易记录!J773*交易记录!J804+交易记录!J837*交易记录!J868+交易记录!J901*交易记录!J932)/I72)</f>
        <v>372</v>
      </c>
      <c r="J105" s="14">
        <f>IF(J72=0,"",(交易记录!K5*交易记录!K36+交易记录!K69*交易记录!K100+交易记录!K133*交易记录!K164+交易记录!K197*交易记录!K228+交易记录!K261*交易记录!K292+交易记录!K325*交易记录!K356+交易记录!K389*交易记录!K420+交易记录!K453*交易记录!K484+交易记录!K517*交易记录!K548+交易记录!K581*交易记录!K612+交易记录!K645*交易记录!K676+交易记录!K709*交易记录!K740+交易记录!K773*交易记录!K804+交易记录!K837*交易记录!K868+交易记录!K901*交易记录!K932)/J72)</f>
        <v>372</v>
      </c>
      <c r="K105" s="14">
        <f>IF(K72=0,"",(交易记录!L5*交易记录!L36+交易记录!L69*交易记录!L100+交易记录!L133*交易记录!L164+交易记录!L197*交易记录!L228+交易记录!L261*交易记录!L292+交易记录!L325*交易记录!L356+交易记录!L389*交易记录!L420+交易记录!L453*交易记录!L484+交易记录!L517*交易记录!L548+交易记录!L581*交易记录!L612+交易记录!L645*交易记录!L676+交易记录!L709*交易记录!L740+交易记录!L773*交易记录!L804+交易记录!L837*交易记录!L868+交易记录!L901*交易记录!L932)/K72)</f>
        <v>372</v>
      </c>
      <c r="L105" s="14">
        <f>IF(L72=0,"",(交易记录!M5*交易记录!M36+交易记录!M69*交易记录!M100+交易记录!M133*交易记录!M164+交易记录!M197*交易记录!M228+交易记录!M261*交易记录!M292+交易记录!M325*交易记录!M356+交易记录!M389*交易记录!M420+交易记录!M453*交易记录!M484+交易记录!M517*交易记录!M548+交易记录!M581*交易记录!M612+交易记录!M645*交易记录!M676+交易记录!M709*交易记录!M740+交易记录!M773*交易记录!M804+交易记录!M837*交易记录!M868+交易记录!M901*交易记录!M932)/L72)</f>
        <v>372</v>
      </c>
      <c r="M105" s="14">
        <f>IF(M72=0,"",(交易记录!N5*交易记录!N36+交易记录!N69*交易记录!N100+交易记录!N133*交易记录!N164+交易记录!N197*交易记录!N228+交易记录!N261*交易记录!N292+交易记录!N325*交易记录!N356+交易记录!N389*交易记录!N420+交易记录!N453*交易记录!N484+交易记录!N517*交易记录!N548+交易记录!N581*交易记录!N612+交易记录!N645*交易记录!N676+交易记录!N709*交易记录!N740+交易记录!N773*交易记录!N804+交易记录!N837*交易记录!N868+交易记录!N901*交易记录!N932)/M72)</f>
        <v>372</v>
      </c>
      <c r="N105" s="14">
        <f>IF(N72=0,"",(交易记录!O5*交易记录!O36+交易记录!O69*交易记录!O100+交易记录!O133*交易记录!O164+交易记录!O197*交易记录!O228+交易记录!O261*交易记录!O292+交易记录!O325*交易记录!O356+交易记录!O389*交易记录!O420+交易记录!O453*交易记录!O484+交易记录!O517*交易记录!O548+交易记录!O581*交易记录!O612+交易记录!O645*交易记录!O676+交易记录!O709*交易记录!O740+交易记录!O773*交易记录!O804+交易记录!O837*交易记录!O868+交易记录!O901*交易记录!O932)/N72)</f>
        <v>372</v>
      </c>
      <c r="O105" s="14">
        <f>IF(O72=0,"",(交易记录!P5*交易记录!P36+交易记录!P69*交易记录!P100+交易记录!P133*交易记录!P164+交易记录!P197*交易记录!P228+交易记录!P261*交易记录!P292+交易记录!P325*交易记录!P356+交易记录!P389*交易记录!P420+交易记录!P453*交易记录!P484+交易记录!P517*交易记录!P548+交易记录!P581*交易记录!P612+交易记录!P645*交易记录!P676+交易记录!P709*交易记录!P740+交易记录!P773*交易记录!P804+交易记录!P837*交易记录!P868+交易记录!P901*交易记录!P932)/O72)</f>
        <v>372</v>
      </c>
      <c r="P105" s="14">
        <f>IF(P72=0,"",(交易记录!Q5*交易记录!Q36+交易记录!Q69*交易记录!Q100+交易记录!Q133*交易记录!Q164+交易记录!Q197*交易记录!Q228+交易记录!Q261*交易记录!Q292+交易记录!Q325*交易记录!Q356+交易记录!Q389*交易记录!Q420+交易记录!Q453*交易记录!Q484+交易记录!Q517*交易记录!Q548+交易记录!Q581*交易记录!Q612+交易记录!Q645*交易记录!Q676+交易记录!Q709*交易记录!Q740+交易记录!Q773*交易记录!Q804+交易记录!Q837*交易记录!Q868+交易记录!Q901*交易记录!Q932)/P72)</f>
        <v>372</v>
      </c>
      <c r="Q105" s="14">
        <f>IF(Q72=0,"",(交易记录!R5*交易记录!R36+交易记录!R69*交易记录!R100+交易记录!R133*交易记录!R164+交易记录!R197*交易记录!R228+交易记录!R261*交易记录!R292+交易记录!R325*交易记录!R356+交易记录!R389*交易记录!R420+交易记录!R453*交易记录!R484+交易记录!R517*交易记录!R548+交易记录!R581*交易记录!R612+交易记录!R645*交易记录!R676+交易记录!R709*交易记录!R740+交易记录!R773*交易记录!R804+交易记录!R837*交易记录!R868+交易记录!R901*交易记录!R932)/Q72)</f>
        <v>372</v>
      </c>
      <c r="R105" s="14">
        <f>IF(R72=0,"",(交易记录!S5*交易记录!S36+交易记录!S69*交易记录!S100+交易记录!S133*交易记录!S164+交易记录!S197*交易记录!S228+交易记录!S261*交易记录!S292+交易记录!S325*交易记录!S356+交易记录!S389*交易记录!S420+交易记录!S453*交易记录!S484+交易记录!S517*交易记录!S548+交易记录!S581*交易记录!S612+交易记录!S645*交易记录!S676+交易记录!S709*交易记录!S740+交易记录!S773*交易记录!S804+交易记录!S837*交易记录!S868+交易记录!S901*交易记录!S932)/R72)</f>
        <v>372</v>
      </c>
      <c r="S105" s="14">
        <f>IF(S72=0,"",(交易记录!T5*交易记录!T36+交易记录!T69*交易记录!T100+交易记录!T133*交易记录!T164+交易记录!T197*交易记录!T228+交易记录!T261*交易记录!T292+交易记录!T325*交易记录!T356+交易记录!T389*交易记录!T420+交易记录!T453*交易记录!T484+交易记录!T517*交易记录!T548+交易记录!T581*交易记录!T612+交易记录!T645*交易记录!T676+交易记录!T709*交易记录!T740+交易记录!T773*交易记录!T804+交易记录!T837*交易记录!T868+交易记录!T901*交易记录!T932)/S72)</f>
        <v>372</v>
      </c>
      <c r="T105" s="14">
        <f>IF(T72=0,"",(交易记录!U5*交易记录!U36+交易记录!U69*交易记录!U100+交易记录!U133*交易记录!U164+交易记录!U197*交易记录!U228+交易记录!U261*交易记录!U292+交易记录!U325*交易记录!U356+交易记录!U389*交易记录!U420+交易记录!U453*交易记录!U484+交易记录!U517*交易记录!U548+交易记录!U581*交易记录!U612+交易记录!U645*交易记录!U676+交易记录!U709*交易记录!U740+交易记录!U773*交易记录!U804+交易记录!U837*交易记录!U868+交易记录!U901*交易记录!U932)/T72)</f>
        <v>372</v>
      </c>
      <c r="U105" s="14">
        <f>IF(U72=0,"",(交易记录!V5*交易记录!V36+交易记录!V69*交易记录!V100+交易记录!V133*交易记录!V164+交易记录!V197*交易记录!V228+交易记录!V261*交易记录!V292+交易记录!V325*交易记录!V356+交易记录!V389*交易记录!V420+交易记录!V453*交易记录!V484+交易记录!V517*交易记录!V548+交易记录!V581*交易记录!V612+交易记录!V645*交易记录!V676+交易记录!V709*交易记录!V740+交易记录!V773*交易记录!V804+交易记录!V837*交易记录!V868+交易记录!V901*交易记录!V932)/U72)</f>
        <v>372</v>
      </c>
      <c r="V105" s="14">
        <f>IF(V72=0,"",(交易记录!W5*交易记录!W36+交易记录!W69*交易记录!W100+交易记录!W133*交易记录!W164+交易记录!W197*交易记录!W228+交易记录!W261*交易记录!W292+交易记录!W325*交易记录!W356+交易记录!W389*交易记录!W420+交易记录!W453*交易记录!W484+交易记录!W517*交易记录!W548+交易记录!W581*交易记录!W612+交易记录!W645*交易记录!W676+交易记录!W709*交易记录!W740+交易记录!W773*交易记录!W804+交易记录!W837*交易记录!W868+交易记录!W901*交易记录!W932)/V72)</f>
        <v>372</v>
      </c>
      <c r="W105" s="14">
        <f>IF(W72=0,"",(交易记录!X5*交易记录!X36+交易记录!X69*交易记录!X100+交易记录!X133*交易记录!X164+交易记录!X197*交易记录!X228+交易记录!X261*交易记录!X292+交易记录!X325*交易记录!X356+交易记录!X389*交易记录!X420+交易记录!X453*交易记录!X484+交易记录!X517*交易记录!X548+交易记录!X581*交易记录!X612+交易记录!X645*交易记录!X676+交易记录!X709*交易记录!X740+交易记录!X773*交易记录!X804+交易记录!X837*交易记录!X868+交易记录!X901*交易记录!X932)/W72)</f>
        <v>372</v>
      </c>
      <c r="X105" s="14">
        <f>IF(X72=0,"",(交易记录!Y5*交易记录!Y36+交易记录!Y69*交易记录!Y100+交易记录!Y133*交易记录!Y164+交易记录!Y197*交易记录!Y228+交易记录!Y261*交易记录!Y292+交易记录!Y325*交易记录!Y356+交易记录!Y389*交易记录!Y420+交易记录!Y453*交易记录!Y484+交易记录!Y517*交易记录!Y548+交易记录!Y581*交易记录!Y612+交易记录!Y645*交易记录!Y676+交易记录!Y709*交易记录!Y740+交易记录!Y773*交易记录!Y804+交易记录!Y837*交易记录!Y868+交易记录!Y901*交易记录!Y932)/X72)</f>
        <v>372</v>
      </c>
      <c r="Y105" s="14">
        <f>IF(Y72=0,"",(交易记录!Z5*交易记录!Z36+交易记录!Z69*交易记录!Z100+交易记录!Z133*交易记录!Z164+交易记录!Z197*交易记录!Z228+交易记录!Z261*交易记录!Z292+交易记录!Z325*交易记录!Z356+交易记录!Z389*交易记录!Z420+交易记录!Z453*交易记录!Z484+交易记录!Z517*交易记录!Z548+交易记录!Z581*交易记录!Z612+交易记录!Z645*交易记录!Z676+交易记录!Z709*交易记录!Z740+交易记录!Z773*交易记录!Z804+交易记录!Z837*交易记录!Z868+交易记录!Z901*交易记录!Z932)/Y72)</f>
        <v>372</v>
      </c>
      <c r="Z105" s="14">
        <f>IF(Z72=0,"",(交易记录!AA5*交易记录!AA36+交易记录!AA69*交易记录!AA100+交易记录!AA133*交易记录!AA164+交易记录!AA197*交易记录!AA228+交易记录!AA261*交易记录!AA292+交易记录!AA325*交易记录!AA356+交易记录!AA389*交易记录!AA420+交易记录!AA453*交易记录!AA484+交易记录!AA517*交易记录!AA548+交易记录!AA581*交易记录!AA612+交易记录!AA645*交易记录!AA676+交易记录!AA709*交易记录!AA740+交易记录!AA773*交易记录!AA804+交易记录!AA837*交易记录!AA868+交易记录!AA901*交易记录!AA932)/Z72)</f>
        <v>372</v>
      </c>
      <c r="AA105" s="14">
        <f>IF(AA72=0,"",(交易记录!AB5*交易记录!AB36+交易记录!AB69*交易记录!AB100+交易记录!AB133*交易记录!AB164+交易记录!AB197*交易记录!AB228+交易记录!AB261*交易记录!AB292+交易记录!AB325*交易记录!AB356+交易记录!AB389*交易记录!AB420+交易记录!AB453*交易记录!AB484+交易记录!AB517*交易记录!AB548+交易记录!AB581*交易记录!AB612+交易记录!AB645*交易记录!AB676+交易记录!AB709*交易记录!AB740+交易记录!AB773*交易记录!AB804+交易记录!AB837*交易记录!AB868+交易记录!AB901*交易记录!AB932)/AA72)</f>
        <v>372</v>
      </c>
      <c r="AB105" s="14">
        <f>IF(AB72=0,"",(交易记录!AC5*交易记录!AC36+交易记录!AC69*交易记录!AC100+交易记录!AC133*交易记录!AC164+交易记录!AC197*交易记录!AC228+交易记录!AC261*交易记录!AC292+交易记录!AC325*交易记录!AC356+交易记录!AC389*交易记录!AC420+交易记录!AC453*交易记录!AC484+交易记录!AC517*交易记录!AC548+交易记录!AC581*交易记录!AC612+交易记录!AC645*交易记录!AC676+交易记录!AC709*交易记录!AC740+交易记录!AC773*交易记录!AC804+交易记录!AC837*交易记录!AC868+交易记录!AC901*交易记录!AC932)/AB72)</f>
        <v>372</v>
      </c>
      <c r="AC105" s="14">
        <f>IF(AC72=0,"",(交易记录!AD5*交易记录!AD36+交易记录!AD69*交易记录!AD100+交易记录!AD133*交易记录!AD164+交易记录!AD197*交易记录!AD228+交易记录!AD261*交易记录!AD292+交易记录!AD325*交易记录!AD356+交易记录!AD389*交易记录!AD420+交易记录!AD453*交易记录!AD484+交易记录!AD517*交易记录!AD548+交易记录!AD581*交易记录!AD612+交易记录!AD645*交易记录!AD676+交易记录!AD709*交易记录!AD740+交易记录!AD773*交易记录!AD804+交易记录!AD837*交易记录!AD868+交易记录!AD901*交易记录!AD932)/AC72)</f>
        <v>372</v>
      </c>
      <c r="AD105" s="14">
        <f>IF(AD72=0,"",(交易记录!AE5*交易记录!AE36+交易记录!AE69*交易记录!AE100+交易记录!AE133*交易记录!AE164+交易记录!AE197*交易记录!AE228+交易记录!AE261*交易记录!AE292+交易记录!AE325*交易记录!AE356+交易记录!AE389*交易记录!AE420+交易记录!AE453*交易记录!AE484+交易记录!AE517*交易记录!AE548+交易记录!AE581*交易记录!AE612+交易记录!AE645*交易记录!AE676+交易记录!AE709*交易记录!AE740+交易记录!AE773*交易记录!AE804+交易记录!AE837*交易记录!AE868+交易记录!AE901*交易记录!AE932)/AD72)</f>
        <v>372</v>
      </c>
      <c r="AE105" s="14">
        <f>IF(AE72=0,"",(交易记录!AF5*交易记录!AF36+交易记录!AF69*交易记录!AF100+交易记录!AF133*交易记录!AF164+交易记录!AF197*交易记录!AF228+交易记录!AF261*交易记录!AF292+交易记录!AF325*交易记录!AF356+交易记录!AF389*交易记录!AF420+交易记录!AF453*交易记录!AF484+交易记录!AF517*交易记录!AF548+交易记录!AF581*交易记录!AF612+交易记录!AF645*交易记录!AF676+交易记录!AF709*交易记录!AF740+交易记录!AF773*交易记录!AF804+交易记录!AF837*交易记录!AF868+交易记录!AF901*交易记录!AF932)/AE72)</f>
        <v>372</v>
      </c>
      <c r="AF105" s="14">
        <f>IF(AF72=0,"",(交易记录!AG5*交易记录!AG36+交易记录!AG69*交易记录!AG100+交易记录!AG133*交易记录!AG164+交易记录!AG197*交易记录!AG228+交易记录!AG261*交易记录!AG292+交易记录!AG325*交易记录!AG356+交易记录!AG389*交易记录!AG420+交易记录!AG453*交易记录!AG484+交易记录!AG517*交易记录!AG548+交易记录!AG581*交易记录!AG612+交易记录!AG645*交易记录!AG676+交易记录!AG709*交易记录!AG740+交易记录!AG773*交易记录!AG804+交易记录!AG837*交易记录!AG868+交易记录!AG901*交易记录!AG932)/AF72)</f>
        <v>372</v>
      </c>
      <c r="AG105" s="14">
        <f>IF(AG72=0,"",(交易记录!AH5*交易记录!AH36+交易记录!AH69*交易记录!AH100+交易记录!AH133*交易记录!AH164+交易记录!AH197*交易记录!AH228+交易记录!AH261*交易记录!AH292+交易记录!AH325*交易记录!AH356+交易记录!AH389*交易记录!AH420+交易记录!AH453*交易记录!AH484+交易记录!AH517*交易记录!AH548+交易记录!AH581*交易记录!AH612+交易记录!AH645*交易记录!AH676+交易记录!AH709*交易记录!AH740+交易记录!AH773*交易记录!AH804+交易记录!AH837*交易记录!AH868+交易记录!AH901*交易记录!AH932)/AG72)</f>
        <v>372</v>
      </c>
    </row>
    <row r="106" spans="2:33" s="3" customFormat="1" ht="15">
      <c r="B106" s="7" t="s">
        <v>7</v>
      </c>
      <c r="C106" s="14">
        <f>IF(C73=0,"",(交易记录!D6*交易记录!D37+交易记录!D70*交易记录!D101+交易记录!D134*交易记录!D165+交易记录!D198*交易记录!D229+交易记录!D262*交易记录!D293+交易记录!D326*交易记录!D357+交易记录!D390*交易记录!D421+交易记录!D454*交易记录!D485+交易记录!D518*交易记录!D549+交易记录!D582*交易记录!D613+交易记录!D646*交易记录!D677+交易记录!D710*交易记录!D741+交易记录!D774*交易记录!D805+交易记录!D838*交易记录!D869+交易记录!D902*交易记录!D933)/C73)</f>
        <v>372</v>
      </c>
      <c r="D106" s="14">
        <f>IF(D73=0,"",(交易记录!E6*交易记录!E37+交易记录!E70*交易记录!E101+交易记录!E134*交易记录!E165+交易记录!E198*交易记录!E229+交易记录!E262*交易记录!E293+交易记录!E326*交易记录!E357+交易记录!E390*交易记录!E421+交易记录!E454*交易记录!E485+交易记录!E518*交易记录!E549+交易记录!E582*交易记录!E613+交易记录!E646*交易记录!E677+交易记录!E710*交易记录!E741+交易记录!E774*交易记录!E805+交易记录!E838*交易记录!E869+交易记录!E902*交易记录!E933)/D73)</f>
        <v>372</v>
      </c>
      <c r="E106" s="14">
        <f>IF(E73=0,"",(交易记录!F6*交易记录!F37+交易记录!F70*交易记录!F101+交易记录!F134*交易记录!F165+交易记录!F198*交易记录!F229+交易记录!F262*交易记录!F293+交易记录!F326*交易记录!F357+交易记录!F390*交易记录!F421+交易记录!F454*交易记录!F485+交易记录!F518*交易记录!F549+交易记录!F582*交易记录!F613+交易记录!F646*交易记录!F677+交易记录!F710*交易记录!F741+交易记录!F774*交易记录!F805+交易记录!F838*交易记录!F869+交易记录!F902*交易记录!F933)/E73)</f>
        <v>372</v>
      </c>
      <c r="F106" s="14">
        <f>IF(F73=0,"",(交易记录!G6*交易记录!G37+交易记录!G70*交易记录!G101+交易记录!G134*交易记录!G165+交易记录!G198*交易记录!G229+交易记录!G262*交易记录!G293+交易记录!G326*交易记录!G357+交易记录!G390*交易记录!G421+交易记录!G454*交易记录!G485+交易记录!G518*交易记录!G549+交易记录!G582*交易记录!G613+交易记录!G646*交易记录!G677+交易记录!G710*交易记录!G741+交易记录!G774*交易记录!G805+交易记录!G838*交易记录!G869+交易记录!G902*交易记录!G933)/F73)</f>
        <v>372</v>
      </c>
      <c r="G106" s="14">
        <f>IF(G73=0,"",(交易记录!H6*交易记录!H37+交易记录!H70*交易记录!H101+交易记录!H134*交易记录!H165+交易记录!H198*交易记录!H229+交易记录!H262*交易记录!H293+交易记录!H326*交易记录!H357+交易记录!H390*交易记录!H421+交易记录!H454*交易记录!H485+交易记录!H518*交易记录!H549+交易记录!H582*交易记录!H613+交易记录!H646*交易记录!H677+交易记录!H710*交易记录!H741+交易记录!H774*交易记录!H805+交易记录!H838*交易记录!H869+交易记录!H902*交易记录!H933)/G73)</f>
        <v>372.00000000000006</v>
      </c>
      <c r="H106" s="14">
        <f>IF(H73=0,"",(交易记录!I6*交易记录!I37+交易记录!I70*交易记录!I101+交易记录!I134*交易记录!I165+交易记录!I198*交易记录!I229+交易记录!I262*交易记录!I293+交易记录!I326*交易记录!I357+交易记录!I390*交易记录!I421+交易记录!I454*交易记录!I485+交易记录!I518*交易记录!I549+交易记录!I582*交易记录!I613+交易记录!I646*交易记录!I677+交易记录!I710*交易记录!I741+交易记录!I774*交易记录!I805+交易记录!I838*交易记录!I869+交易记录!I902*交易记录!I933)/H73)</f>
        <v>372.00000000000006</v>
      </c>
      <c r="I106" s="14">
        <f>IF(I73=0,"",(交易记录!J6*交易记录!J37+交易记录!J70*交易记录!J101+交易记录!J134*交易记录!J165+交易记录!J198*交易记录!J229+交易记录!J262*交易记录!J293+交易记录!J326*交易记录!J357+交易记录!J390*交易记录!J421+交易记录!J454*交易记录!J485+交易记录!J518*交易记录!J549+交易记录!J582*交易记录!J613+交易记录!J646*交易记录!J677+交易记录!J710*交易记录!J741+交易记录!J774*交易记录!J805+交易记录!J838*交易记录!J869+交易记录!J902*交易记录!J933)/I73)</f>
        <v>372</v>
      </c>
      <c r="J106" s="14">
        <f>IF(J73=0,"",(交易记录!K6*交易记录!K37+交易记录!K70*交易记录!K101+交易记录!K134*交易记录!K165+交易记录!K198*交易记录!K229+交易记录!K262*交易记录!K293+交易记录!K326*交易记录!K357+交易记录!K390*交易记录!K421+交易记录!K454*交易记录!K485+交易记录!K518*交易记录!K549+交易记录!K582*交易记录!K613+交易记录!K646*交易记录!K677+交易记录!K710*交易记录!K741+交易记录!K774*交易记录!K805+交易记录!K838*交易记录!K869+交易记录!K902*交易记录!K933)/J73)</f>
        <v>372</v>
      </c>
      <c r="K106" s="14">
        <f>IF(K73=0,"",(交易记录!L6*交易记录!L37+交易记录!L70*交易记录!L101+交易记录!L134*交易记录!L165+交易记录!L198*交易记录!L229+交易记录!L262*交易记录!L293+交易记录!L326*交易记录!L357+交易记录!L390*交易记录!L421+交易记录!L454*交易记录!L485+交易记录!L518*交易记录!L549+交易记录!L582*交易记录!L613+交易记录!L646*交易记录!L677+交易记录!L710*交易记录!L741+交易记录!L774*交易记录!L805+交易记录!L838*交易记录!L869+交易记录!L902*交易记录!L933)/K73)</f>
        <v>372</v>
      </c>
      <c r="L106" s="14">
        <f>IF(L73=0,"",(交易记录!M6*交易记录!M37+交易记录!M70*交易记录!M101+交易记录!M134*交易记录!M165+交易记录!M198*交易记录!M229+交易记录!M262*交易记录!M293+交易记录!M326*交易记录!M357+交易记录!M390*交易记录!M421+交易记录!M454*交易记录!M485+交易记录!M518*交易记录!M549+交易记录!M582*交易记录!M613+交易记录!M646*交易记录!M677+交易记录!M710*交易记录!M741+交易记录!M774*交易记录!M805+交易记录!M838*交易记录!M869+交易记录!M902*交易记录!M933)/L73)</f>
        <v>372</v>
      </c>
      <c r="M106" s="14">
        <f>IF(M73=0,"",(交易记录!N6*交易记录!N37+交易记录!N70*交易记录!N101+交易记录!N134*交易记录!N165+交易记录!N198*交易记录!N229+交易记录!N262*交易记录!N293+交易记录!N326*交易记录!N357+交易记录!N390*交易记录!N421+交易记录!N454*交易记录!N485+交易记录!N518*交易记录!N549+交易记录!N582*交易记录!N613+交易记录!N646*交易记录!N677+交易记录!N710*交易记录!N741+交易记录!N774*交易记录!N805+交易记录!N838*交易记录!N869+交易记录!N902*交易记录!N933)/M73)</f>
        <v>372</v>
      </c>
      <c r="N106" s="14">
        <f>IF(N73=0,"",(交易记录!O6*交易记录!O37+交易记录!O70*交易记录!O101+交易记录!O134*交易记录!O165+交易记录!O198*交易记录!O229+交易记录!O262*交易记录!O293+交易记录!O326*交易记录!O357+交易记录!O390*交易记录!O421+交易记录!O454*交易记录!O485+交易记录!O518*交易记录!O549+交易记录!O582*交易记录!O613+交易记录!O646*交易记录!O677+交易记录!O710*交易记录!O741+交易记录!O774*交易记录!O805+交易记录!O838*交易记录!O869+交易记录!O902*交易记录!O933)/N73)</f>
        <v>372.00000000000006</v>
      </c>
      <c r="O106" s="14">
        <f>IF(O73=0,"",(交易记录!P6*交易记录!P37+交易记录!P70*交易记录!P101+交易记录!P134*交易记录!P165+交易记录!P198*交易记录!P229+交易记录!P262*交易记录!P293+交易记录!P326*交易记录!P357+交易记录!P390*交易记录!P421+交易记录!P454*交易记录!P485+交易记录!P518*交易记录!P549+交易记录!P582*交易记录!P613+交易记录!P646*交易记录!P677+交易记录!P710*交易记录!P741+交易记录!P774*交易记录!P805+交易记录!P838*交易记录!P869+交易记录!P902*交易记录!P933)/O73)</f>
        <v>372.00000000000006</v>
      </c>
      <c r="P106" s="14">
        <f>IF(P73=0,"",(交易记录!Q6*交易记录!Q37+交易记录!Q70*交易记录!Q101+交易记录!Q134*交易记录!Q165+交易记录!Q198*交易记录!Q229+交易记录!Q262*交易记录!Q293+交易记录!Q326*交易记录!Q357+交易记录!Q390*交易记录!Q421+交易记录!Q454*交易记录!Q485+交易记录!Q518*交易记录!Q549+交易记录!Q582*交易记录!Q613+交易记录!Q646*交易记录!Q677+交易记录!Q710*交易记录!Q741+交易记录!Q774*交易记录!Q805+交易记录!Q838*交易记录!Q869+交易记录!Q902*交易记录!Q933)/P73)</f>
        <v>372</v>
      </c>
      <c r="Q106" s="14">
        <f>IF(Q73=0,"",(交易记录!R6*交易记录!R37+交易记录!R70*交易记录!R101+交易记录!R134*交易记录!R165+交易记录!R198*交易记录!R229+交易记录!R262*交易记录!R293+交易记录!R326*交易记录!R357+交易记录!R390*交易记录!R421+交易记录!R454*交易记录!R485+交易记录!R518*交易记录!R549+交易记录!R582*交易记录!R613+交易记录!R646*交易记录!R677+交易记录!R710*交易记录!R741+交易记录!R774*交易记录!R805+交易记录!R838*交易记录!R869+交易记录!R902*交易记录!R933)/Q73)</f>
        <v>372</v>
      </c>
      <c r="R106" s="14">
        <f>IF(R73=0,"",(交易记录!S6*交易记录!S37+交易记录!S70*交易记录!S101+交易记录!S134*交易记录!S165+交易记录!S198*交易记录!S229+交易记录!S262*交易记录!S293+交易记录!S326*交易记录!S357+交易记录!S390*交易记录!S421+交易记录!S454*交易记录!S485+交易记录!S518*交易记录!S549+交易记录!S582*交易记录!S613+交易记录!S646*交易记录!S677+交易记录!S710*交易记录!S741+交易记录!S774*交易记录!S805+交易记录!S838*交易记录!S869+交易记录!S902*交易记录!S933)/R73)</f>
        <v>372</v>
      </c>
      <c r="S106" s="14">
        <f>IF(S73=0,"",(交易记录!T6*交易记录!T37+交易记录!T70*交易记录!T101+交易记录!T134*交易记录!T165+交易记录!T198*交易记录!T229+交易记录!T262*交易记录!T293+交易记录!T326*交易记录!T357+交易记录!T390*交易记录!T421+交易记录!T454*交易记录!T485+交易记录!T518*交易记录!T549+交易记录!T582*交易记录!T613+交易记录!T646*交易记录!T677+交易记录!T710*交易记录!T741+交易记录!T774*交易记录!T805+交易记录!T838*交易记录!T869+交易记录!T902*交易记录!T933)/S73)</f>
        <v>372</v>
      </c>
      <c r="T106" s="14">
        <f>IF(T73=0,"",(交易记录!U6*交易记录!U37+交易记录!U70*交易记录!U101+交易记录!U134*交易记录!U165+交易记录!U198*交易记录!U229+交易记录!U262*交易记录!U293+交易记录!U326*交易记录!U357+交易记录!U390*交易记录!U421+交易记录!U454*交易记录!U485+交易记录!U518*交易记录!U549+交易记录!U582*交易记录!U613+交易记录!U646*交易记录!U677+交易记录!U710*交易记录!U741+交易记录!U774*交易记录!U805+交易记录!U838*交易记录!U869+交易记录!U902*交易记录!U933)/T73)</f>
        <v>372</v>
      </c>
      <c r="U106" s="14">
        <f>IF(U73=0,"",(交易记录!V6*交易记录!V37+交易记录!V70*交易记录!V101+交易记录!V134*交易记录!V165+交易记录!V198*交易记录!V229+交易记录!V262*交易记录!V293+交易记录!V326*交易记录!V357+交易记录!V390*交易记录!V421+交易记录!V454*交易记录!V485+交易记录!V518*交易记录!V549+交易记录!V582*交易记录!V613+交易记录!V646*交易记录!V677+交易记录!V710*交易记录!V741+交易记录!V774*交易记录!V805+交易记录!V838*交易记录!V869+交易记录!V902*交易记录!V933)/U73)</f>
        <v>372.00000000000006</v>
      </c>
      <c r="V106" s="14">
        <f>IF(V73=0,"",(交易记录!W6*交易记录!W37+交易记录!W70*交易记录!W101+交易记录!W134*交易记录!W165+交易记录!W198*交易记录!W229+交易记录!W262*交易记录!W293+交易记录!W326*交易记录!W357+交易记录!W390*交易记录!W421+交易记录!W454*交易记录!W485+交易记录!W518*交易记录!W549+交易记录!W582*交易记录!W613+交易记录!W646*交易记录!W677+交易记录!W710*交易记录!W741+交易记录!W774*交易记录!W805+交易记录!W838*交易记录!W869+交易记录!W902*交易记录!W933)/V73)</f>
        <v>372.00000000000006</v>
      </c>
      <c r="W106" s="14">
        <f>IF(W73=0,"",(交易记录!X6*交易记录!X37+交易记录!X70*交易记录!X101+交易记录!X134*交易记录!X165+交易记录!X198*交易记录!X229+交易记录!X262*交易记录!X293+交易记录!X326*交易记录!X357+交易记录!X390*交易记录!X421+交易记录!X454*交易记录!X485+交易记录!X518*交易记录!X549+交易记录!X582*交易记录!X613+交易记录!X646*交易记录!X677+交易记录!X710*交易记录!X741+交易记录!X774*交易记录!X805+交易记录!X838*交易记录!X869+交易记录!X902*交易记录!X933)/W73)</f>
        <v>372</v>
      </c>
      <c r="X106" s="14">
        <f>IF(X73=0,"",(交易记录!Y6*交易记录!Y37+交易记录!Y70*交易记录!Y101+交易记录!Y134*交易记录!Y165+交易记录!Y198*交易记录!Y229+交易记录!Y262*交易记录!Y293+交易记录!Y326*交易记录!Y357+交易记录!Y390*交易记录!Y421+交易记录!Y454*交易记录!Y485+交易记录!Y518*交易记录!Y549+交易记录!Y582*交易记录!Y613+交易记录!Y646*交易记录!Y677+交易记录!Y710*交易记录!Y741+交易记录!Y774*交易记录!Y805+交易记录!Y838*交易记录!Y869+交易记录!Y902*交易记录!Y933)/X73)</f>
        <v>372</v>
      </c>
      <c r="Y106" s="14">
        <f>IF(Y73=0,"",(交易记录!Z6*交易记录!Z37+交易记录!Z70*交易记录!Z101+交易记录!Z134*交易记录!Z165+交易记录!Z198*交易记录!Z229+交易记录!Z262*交易记录!Z293+交易记录!Z326*交易记录!Z357+交易记录!Z390*交易记录!Z421+交易记录!Z454*交易记录!Z485+交易记录!Z518*交易记录!Z549+交易记录!Z582*交易记录!Z613+交易记录!Z646*交易记录!Z677+交易记录!Z710*交易记录!Z741+交易记录!Z774*交易记录!Z805+交易记录!Z838*交易记录!Z869+交易记录!Z902*交易记录!Z933)/Y73)</f>
        <v>372</v>
      </c>
      <c r="Z106" s="14">
        <f>IF(Z73=0,"",(交易记录!AA6*交易记录!AA37+交易记录!AA70*交易记录!AA101+交易记录!AA134*交易记录!AA165+交易记录!AA198*交易记录!AA229+交易记录!AA262*交易记录!AA293+交易记录!AA326*交易记录!AA357+交易记录!AA390*交易记录!AA421+交易记录!AA454*交易记录!AA485+交易记录!AA518*交易记录!AA549+交易记录!AA582*交易记录!AA613+交易记录!AA646*交易记录!AA677+交易记录!AA710*交易记录!AA741+交易记录!AA774*交易记录!AA805+交易记录!AA838*交易记录!AA869+交易记录!AA902*交易记录!AA933)/Z73)</f>
        <v>372</v>
      </c>
      <c r="AA106" s="14">
        <f>IF(AA73=0,"",(交易记录!AB6*交易记录!AB37+交易记录!AB70*交易记录!AB101+交易记录!AB134*交易记录!AB165+交易记录!AB198*交易记录!AB229+交易记录!AB262*交易记录!AB293+交易记录!AB326*交易记录!AB357+交易记录!AB390*交易记录!AB421+交易记录!AB454*交易记录!AB485+交易记录!AB518*交易记录!AB549+交易记录!AB582*交易记录!AB613+交易记录!AB646*交易记录!AB677+交易记录!AB710*交易记录!AB741+交易记录!AB774*交易记录!AB805+交易记录!AB838*交易记录!AB869+交易记录!AB902*交易记录!AB933)/AA73)</f>
        <v>372</v>
      </c>
      <c r="AB106" s="14">
        <f>IF(AB73=0,"",(交易记录!AC6*交易记录!AC37+交易记录!AC70*交易记录!AC101+交易记录!AC134*交易记录!AC165+交易记录!AC198*交易记录!AC229+交易记录!AC262*交易记录!AC293+交易记录!AC326*交易记录!AC357+交易记录!AC390*交易记录!AC421+交易记录!AC454*交易记录!AC485+交易记录!AC518*交易记录!AC549+交易记录!AC582*交易记录!AC613+交易记录!AC646*交易记录!AC677+交易记录!AC710*交易记录!AC741+交易记录!AC774*交易记录!AC805+交易记录!AC838*交易记录!AC869+交易记录!AC902*交易记录!AC933)/AB73)</f>
        <v>372.00000000000006</v>
      </c>
      <c r="AC106" s="14">
        <f>IF(AC73=0,"",(交易记录!AD6*交易记录!AD37+交易记录!AD70*交易记录!AD101+交易记录!AD134*交易记录!AD165+交易记录!AD198*交易记录!AD229+交易记录!AD262*交易记录!AD293+交易记录!AD326*交易记录!AD357+交易记录!AD390*交易记录!AD421+交易记录!AD454*交易记录!AD485+交易记录!AD518*交易记录!AD549+交易记录!AD582*交易记录!AD613+交易记录!AD646*交易记录!AD677+交易记录!AD710*交易记录!AD741+交易记录!AD774*交易记录!AD805+交易记录!AD838*交易记录!AD869+交易记录!AD902*交易记录!AD933)/AC73)</f>
        <v>372.00000000000006</v>
      </c>
      <c r="AD106" s="14">
        <f>IF(AD73=0,"",(交易记录!AE6*交易记录!AE37+交易记录!AE70*交易记录!AE101+交易记录!AE134*交易记录!AE165+交易记录!AE198*交易记录!AE229+交易记录!AE262*交易记录!AE293+交易记录!AE326*交易记录!AE357+交易记录!AE390*交易记录!AE421+交易记录!AE454*交易记录!AE485+交易记录!AE518*交易记录!AE549+交易记录!AE582*交易记录!AE613+交易记录!AE646*交易记录!AE677+交易记录!AE710*交易记录!AE741+交易记录!AE774*交易记录!AE805+交易记录!AE838*交易记录!AE869+交易记录!AE902*交易记录!AE933)/AD73)</f>
        <v>372</v>
      </c>
      <c r="AE106" s="14">
        <f>IF(AE73=0,"",(交易记录!AF6*交易记录!AF37+交易记录!AF70*交易记录!AF101+交易记录!AF134*交易记录!AF165+交易记录!AF198*交易记录!AF229+交易记录!AF262*交易记录!AF293+交易记录!AF326*交易记录!AF357+交易记录!AF390*交易记录!AF421+交易记录!AF454*交易记录!AF485+交易记录!AF518*交易记录!AF549+交易记录!AF582*交易记录!AF613+交易记录!AF646*交易记录!AF677+交易记录!AF710*交易记录!AF741+交易记录!AF774*交易记录!AF805+交易记录!AF838*交易记录!AF869+交易记录!AF902*交易记录!AF933)/AE73)</f>
        <v>372</v>
      </c>
      <c r="AF106" s="14">
        <f>IF(AF73=0,"",(交易记录!AG6*交易记录!AG37+交易记录!AG70*交易记录!AG101+交易记录!AG134*交易记录!AG165+交易记录!AG198*交易记录!AG229+交易记录!AG262*交易记录!AG293+交易记录!AG326*交易记录!AG357+交易记录!AG390*交易记录!AG421+交易记录!AG454*交易记录!AG485+交易记录!AG518*交易记录!AG549+交易记录!AG582*交易记录!AG613+交易记录!AG646*交易记录!AG677+交易记录!AG710*交易记录!AG741+交易记录!AG774*交易记录!AG805+交易记录!AG838*交易记录!AG869+交易记录!AG902*交易记录!AG933)/AF73)</f>
        <v>372</v>
      </c>
      <c r="AG106" s="14">
        <f>IF(AG73=0,"",(交易记录!AH6*交易记录!AH37+交易记录!AH70*交易记录!AH101+交易记录!AH134*交易记录!AH165+交易记录!AH198*交易记录!AH229+交易记录!AH262*交易记录!AH293+交易记录!AH326*交易记录!AH357+交易记录!AH390*交易记录!AH421+交易记录!AH454*交易记录!AH485+交易记录!AH518*交易记录!AH549+交易记录!AH582*交易记录!AH613+交易记录!AH646*交易记录!AH677+交易记录!AH710*交易记录!AH741+交易记录!AH774*交易记录!AH805+交易记录!AH838*交易记录!AH869+交易记录!AH902*交易记录!AH933)/AG73)</f>
        <v>372</v>
      </c>
    </row>
    <row r="107" spans="2:33" s="3" customFormat="1" ht="15">
      <c r="B107" s="7" t="s">
        <v>8</v>
      </c>
      <c r="C107" s="14">
        <f>IF(C74=0,"",(交易记录!D7*交易记录!D38+交易记录!D71*交易记录!D102+交易记录!D135*交易记录!D166+交易记录!D199*交易记录!D230+交易记录!D263*交易记录!D294+交易记录!D327*交易记录!D358+交易记录!D391*交易记录!D422+交易记录!D455*交易记录!D486+交易记录!D519*交易记录!D550+交易记录!D583*交易记录!D614+交易记录!D647*交易记录!D678+交易记录!D711*交易记录!D742+交易记录!D775*交易记录!D806+交易记录!D839*交易记录!D870+交易记录!D903*交易记录!D934)/C74)</f>
        <v>372</v>
      </c>
      <c r="D107" s="14">
        <f>IF(D74=0,"",(交易记录!E7*交易记录!E38+交易记录!E71*交易记录!E102+交易记录!E135*交易记录!E166+交易记录!E199*交易记录!E230+交易记录!E263*交易记录!E294+交易记录!E327*交易记录!E358+交易记录!E391*交易记录!E422+交易记录!E455*交易记录!E486+交易记录!E519*交易记录!E550+交易记录!E583*交易记录!E614+交易记录!E647*交易记录!E678+交易记录!E711*交易记录!E742+交易记录!E775*交易记录!E806+交易记录!E839*交易记录!E870+交易记录!E903*交易记录!E934)/D74)</f>
        <v>372</v>
      </c>
      <c r="E107" s="14">
        <f>IF(E74=0,"",(交易记录!F7*交易记录!F38+交易记录!F71*交易记录!F102+交易记录!F135*交易记录!F166+交易记录!F199*交易记录!F230+交易记录!F263*交易记录!F294+交易记录!F327*交易记录!F358+交易记录!F391*交易记录!F422+交易记录!F455*交易记录!F486+交易记录!F519*交易记录!F550+交易记录!F583*交易记录!F614+交易记录!F647*交易记录!F678+交易记录!F711*交易记录!F742+交易记录!F775*交易记录!F806+交易记录!F839*交易记录!F870+交易记录!F903*交易记录!F934)/E74)</f>
        <v>372</v>
      </c>
      <c r="F107" s="14">
        <f>IF(F74=0,"",(交易记录!G7*交易记录!G38+交易记录!G71*交易记录!G102+交易记录!G135*交易记录!G166+交易记录!G199*交易记录!G230+交易记录!G263*交易记录!G294+交易记录!G327*交易记录!G358+交易记录!G391*交易记录!G422+交易记录!G455*交易记录!G486+交易记录!G519*交易记录!G550+交易记录!G583*交易记录!G614+交易记录!G647*交易记录!G678+交易记录!G711*交易记录!G742+交易记录!G775*交易记录!G806+交易记录!G839*交易记录!G870+交易记录!G903*交易记录!G934)/F74)</f>
        <v>372</v>
      </c>
      <c r="G107" s="14">
        <f>IF(G74=0,"",(交易记录!H7*交易记录!H38+交易记录!H71*交易记录!H102+交易记录!H135*交易记录!H166+交易记录!H199*交易记录!H230+交易记录!H263*交易记录!H294+交易记录!H327*交易记录!H358+交易记录!H391*交易记录!H422+交易记录!H455*交易记录!H486+交易记录!H519*交易记录!H550+交易记录!H583*交易记录!H614+交易记录!H647*交易记录!H678+交易记录!H711*交易记录!H742+交易记录!H775*交易记录!H806+交易记录!H839*交易记录!H870+交易记录!H903*交易记录!H934)/G74)</f>
        <v>372</v>
      </c>
      <c r="H107" s="14">
        <f>IF(H74=0,"",(交易记录!I7*交易记录!I38+交易记录!I71*交易记录!I102+交易记录!I135*交易记录!I166+交易记录!I199*交易记录!I230+交易记录!I263*交易记录!I294+交易记录!I327*交易记录!I358+交易记录!I391*交易记录!I422+交易记录!I455*交易记录!I486+交易记录!I519*交易记录!I550+交易记录!I583*交易记录!I614+交易记录!I647*交易记录!I678+交易记录!I711*交易记录!I742+交易记录!I775*交易记录!I806+交易记录!I839*交易记录!I870+交易记录!I903*交易记录!I934)/H74)</f>
        <v>372</v>
      </c>
      <c r="I107" s="14">
        <f>IF(I74=0,"",(交易记录!J7*交易记录!J38+交易记录!J71*交易记录!J102+交易记录!J135*交易记录!J166+交易记录!J199*交易记录!J230+交易记录!J263*交易记录!J294+交易记录!J327*交易记录!J358+交易记录!J391*交易记录!J422+交易记录!J455*交易记录!J486+交易记录!J519*交易记录!J550+交易记录!J583*交易记录!J614+交易记录!J647*交易记录!J678+交易记录!J711*交易记录!J742+交易记录!J775*交易记录!J806+交易记录!J839*交易记录!J870+交易记录!J903*交易记录!J934)/I74)</f>
        <v>372</v>
      </c>
      <c r="J107" s="14">
        <f>IF(J74=0,"",(交易记录!K7*交易记录!K38+交易记录!K71*交易记录!K102+交易记录!K135*交易记录!K166+交易记录!K199*交易记录!K230+交易记录!K263*交易记录!K294+交易记录!K327*交易记录!K358+交易记录!K391*交易记录!K422+交易记录!K455*交易记录!K486+交易记录!K519*交易记录!K550+交易记录!K583*交易记录!K614+交易记录!K647*交易记录!K678+交易记录!K711*交易记录!K742+交易记录!K775*交易记录!K806+交易记录!K839*交易记录!K870+交易记录!K903*交易记录!K934)/J74)</f>
        <v>372</v>
      </c>
      <c r="K107" s="14">
        <f>IF(K74=0,"",(交易记录!L7*交易记录!L38+交易记录!L71*交易记录!L102+交易记录!L135*交易记录!L166+交易记录!L199*交易记录!L230+交易记录!L263*交易记录!L294+交易记录!L327*交易记录!L358+交易记录!L391*交易记录!L422+交易记录!L455*交易记录!L486+交易记录!L519*交易记录!L550+交易记录!L583*交易记录!L614+交易记录!L647*交易记录!L678+交易记录!L711*交易记录!L742+交易记录!L775*交易记录!L806+交易记录!L839*交易记录!L870+交易记录!L903*交易记录!L934)/K74)</f>
        <v>372</v>
      </c>
      <c r="L107" s="14">
        <f>IF(L74=0,"",(交易记录!M7*交易记录!M38+交易记录!M71*交易记录!M102+交易记录!M135*交易记录!M166+交易记录!M199*交易记录!M230+交易记录!M263*交易记录!M294+交易记录!M327*交易记录!M358+交易记录!M391*交易记录!M422+交易记录!M455*交易记录!M486+交易记录!M519*交易记录!M550+交易记录!M583*交易记录!M614+交易记录!M647*交易记录!M678+交易记录!M711*交易记录!M742+交易记录!M775*交易记录!M806+交易记录!M839*交易记录!M870+交易记录!M903*交易记录!M934)/L74)</f>
        <v>372</v>
      </c>
      <c r="M107" s="14">
        <f>IF(M74=0,"",(交易记录!N7*交易记录!N38+交易记录!N71*交易记录!N102+交易记录!N135*交易记录!N166+交易记录!N199*交易记录!N230+交易记录!N263*交易记录!N294+交易记录!N327*交易记录!N358+交易记录!N391*交易记录!N422+交易记录!N455*交易记录!N486+交易记录!N519*交易记录!N550+交易记录!N583*交易记录!N614+交易记录!N647*交易记录!N678+交易记录!N711*交易记录!N742+交易记录!N775*交易记录!N806+交易记录!N839*交易记录!N870+交易记录!N903*交易记录!N934)/M74)</f>
        <v>372</v>
      </c>
      <c r="N107" s="14">
        <f>IF(N74=0,"",(交易记录!O7*交易记录!O38+交易记录!O71*交易记录!O102+交易记录!O135*交易记录!O166+交易记录!O199*交易记录!O230+交易记录!O263*交易记录!O294+交易记录!O327*交易记录!O358+交易记录!O391*交易记录!O422+交易记录!O455*交易记录!O486+交易记录!O519*交易记录!O550+交易记录!O583*交易记录!O614+交易记录!O647*交易记录!O678+交易记录!O711*交易记录!O742+交易记录!O775*交易记录!O806+交易记录!O839*交易记录!O870+交易记录!O903*交易记录!O934)/N74)</f>
        <v>372</v>
      </c>
      <c r="O107" s="14">
        <f>IF(O74=0,"",(交易记录!P7*交易记录!P38+交易记录!P71*交易记录!P102+交易记录!P135*交易记录!P166+交易记录!P199*交易记录!P230+交易记录!P263*交易记录!P294+交易记录!P327*交易记录!P358+交易记录!P391*交易记录!P422+交易记录!P455*交易记录!P486+交易记录!P519*交易记录!P550+交易记录!P583*交易记录!P614+交易记录!P647*交易记录!P678+交易记录!P711*交易记录!P742+交易记录!P775*交易记录!P806+交易记录!P839*交易记录!P870+交易记录!P903*交易记录!P934)/O74)</f>
        <v>372</v>
      </c>
      <c r="P107" s="14">
        <f>IF(P74=0,"",(交易记录!Q7*交易记录!Q38+交易记录!Q71*交易记录!Q102+交易记录!Q135*交易记录!Q166+交易记录!Q199*交易记录!Q230+交易记录!Q263*交易记录!Q294+交易记录!Q327*交易记录!Q358+交易记录!Q391*交易记录!Q422+交易记录!Q455*交易记录!Q486+交易记录!Q519*交易记录!Q550+交易记录!Q583*交易记录!Q614+交易记录!Q647*交易记录!Q678+交易记录!Q711*交易记录!Q742+交易记录!Q775*交易记录!Q806+交易记录!Q839*交易记录!Q870+交易记录!Q903*交易记录!Q934)/P74)</f>
        <v>372</v>
      </c>
      <c r="Q107" s="14">
        <f>IF(Q74=0,"",(交易记录!R7*交易记录!R38+交易记录!R71*交易记录!R102+交易记录!R135*交易记录!R166+交易记录!R199*交易记录!R230+交易记录!R263*交易记录!R294+交易记录!R327*交易记录!R358+交易记录!R391*交易记录!R422+交易记录!R455*交易记录!R486+交易记录!R519*交易记录!R550+交易记录!R583*交易记录!R614+交易记录!R647*交易记录!R678+交易记录!R711*交易记录!R742+交易记录!R775*交易记录!R806+交易记录!R839*交易记录!R870+交易记录!R903*交易记录!R934)/Q74)</f>
        <v>372</v>
      </c>
      <c r="R107" s="14">
        <f>IF(R74=0,"",(交易记录!S7*交易记录!S38+交易记录!S71*交易记录!S102+交易记录!S135*交易记录!S166+交易记录!S199*交易记录!S230+交易记录!S263*交易记录!S294+交易记录!S327*交易记录!S358+交易记录!S391*交易记录!S422+交易记录!S455*交易记录!S486+交易记录!S519*交易记录!S550+交易记录!S583*交易记录!S614+交易记录!S647*交易记录!S678+交易记录!S711*交易记录!S742+交易记录!S775*交易记录!S806+交易记录!S839*交易记录!S870+交易记录!S903*交易记录!S934)/R74)</f>
        <v>372</v>
      </c>
      <c r="S107" s="14">
        <f>IF(S74=0,"",(交易记录!T7*交易记录!T38+交易记录!T71*交易记录!T102+交易记录!T135*交易记录!T166+交易记录!T199*交易记录!T230+交易记录!T263*交易记录!T294+交易记录!T327*交易记录!T358+交易记录!T391*交易记录!T422+交易记录!T455*交易记录!T486+交易记录!T519*交易记录!T550+交易记录!T583*交易记录!T614+交易记录!T647*交易记录!T678+交易记录!T711*交易记录!T742+交易记录!T775*交易记录!T806+交易记录!T839*交易记录!T870+交易记录!T903*交易记录!T934)/S74)</f>
        <v>372</v>
      </c>
      <c r="T107" s="14">
        <f>IF(T74=0,"",(交易记录!U7*交易记录!U38+交易记录!U71*交易记录!U102+交易记录!U135*交易记录!U166+交易记录!U199*交易记录!U230+交易记录!U263*交易记录!U294+交易记录!U327*交易记录!U358+交易记录!U391*交易记录!U422+交易记录!U455*交易记录!U486+交易记录!U519*交易记录!U550+交易记录!U583*交易记录!U614+交易记录!U647*交易记录!U678+交易记录!U711*交易记录!U742+交易记录!U775*交易记录!U806+交易记录!U839*交易记录!U870+交易记录!U903*交易记录!U934)/T74)</f>
        <v>372</v>
      </c>
      <c r="U107" s="14">
        <f>IF(U74=0,"",(交易记录!V7*交易记录!V38+交易记录!V71*交易记录!V102+交易记录!V135*交易记录!V166+交易记录!V199*交易记录!V230+交易记录!V263*交易记录!V294+交易记录!V327*交易记录!V358+交易记录!V391*交易记录!V422+交易记录!V455*交易记录!V486+交易记录!V519*交易记录!V550+交易记录!V583*交易记录!V614+交易记录!V647*交易记录!V678+交易记录!V711*交易记录!V742+交易记录!V775*交易记录!V806+交易记录!V839*交易记录!V870+交易记录!V903*交易记录!V934)/U74)</f>
        <v>372</v>
      </c>
      <c r="V107" s="14">
        <f>IF(V74=0,"",(交易记录!W7*交易记录!W38+交易记录!W71*交易记录!W102+交易记录!W135*交易记录!W166+交易记录!W199*交易记录!W230+交易记录!W263*交易记录!W294+交易记录!W327*交易记录!W358+交易记录!W391*交易记录!W422+交易记录!W455*交易记录!W486+交易记录!W519*交易记录!W550+交易记录!W583*交易记录!W614+交易记录!W647*交易记录!W678+交易记录!W711*交易记录!W742+交易记录!W775*交易记录!W806+交易记录!W839*交易记录!W870+交易记录!W903*交易记录!W934)/V74)</f>
        <v>372</v>
      </c>
      <c r="W107" s="14">
        <f>IF(W74=0,"",(交易记录!X7*交易记录!X38+交易记录!X71*交易记录!X102+交易记录!X135*交易记录!X166+交易记录!X199*交易记录!X230+交易记录!X263*交易记录!X294+交易记录!X327*交易记录!X358+交易记录!X391*交易记录!X422+交易记录!X455*交易记录!X486+交易记录!X519*交易记录!X550+交易记录!X583*交易记录!X614+交易记录!X647*交易记录!X678+交易记录!X711*交易记录!X742+交易记录!X775*交易记录!X806+交易记录!X839*交易记录!X870+交易记录!X903*交易记录!X934)/W74)</f>
        <v>372</v>
      </c>
      <c r="X107" s="14">
        <f>IF(X74=0,"",(交易记录!Y7*交易记录!Y38+交易记录!Y71*交易记录!Y102+交易记录!Y135*交易记录!Y166+交易记录!Y199*交易记录!Y230+交易记录!Y263*交易记录!Y294+交易记录!Y327*交易记录!Y358+交易记录!Y391*交易记录!Y422+交易记录!Y455*交易记录!Y486+交易记录!Y519*交易记录!Y550+交易记录!Y583*交易记录!Y614+交易记录!Y647*交易记录!Y678+交易记录!Y711*交易记录!Y742+交易记录!Y775*交易记录!Y806+交易记录!Y839*交易记录!Y870+交易记录!Y903*交易记录!Y934)/X74)</f>
        <v>372</v>
      </c>
      <c r="Y107" s="14">
        <f>IF(Y74=0,"",(交易记录!Z7*交易记录!Z38+交易记录!Z71*交易记录!Z102+交易记录!Z135*交易记录!Z166+交易记录!Z199*交易记录!Z230+交易记录!Z263*交易记录!Z294+交易记录!Z327*交易记录!Z358+交易记录!Z391*交易记录!Z422+交易记录!Z455*交易记录!Z486+交易记录!Z519*交易记录!Z550+交易记录!Z583*交易记录!Z614+交易记录!Z647*交易记录!Z678+交易记录!Z711*交易记录!Z742+交易记录!Z775*交易记录!Z806+交易记录!Z839*交易记录!Z870+交易记录!Z903*交易记录!Z934)/Y74)</f>
        <v>372</v>
      </c>
      <c r="Z107" s="14">
        <f>IF(Z74=0,"",(交易记录!AA7*交易记录!AA38+交易记录!AA71*交易记录!AA102+交易记录!AA135*交易记录!AA166+交易记录!AA199*交易记录!AA230+交易记录!AA263*交易记录!AA294+交易记录!AA327*交易记录!AA358+交易记录!AA391*交易记录!AA422+交易记录!AA455*交易记录!AA486+交易记录!AA519*交易记录!AA550+交易记录!AA583*交易记录!AA614+交易记录!AA647*交易记录!AA678+交易记录!AA711*交易记录!AA742+交易记录!AA775*交易记录!AA806+交易记录!AA839*交易记录!AA870+交易记录!AA903*交易记录!AA934)/Z74)</f>
        <v>372</v>
      </c>
      <c r="AA107" s="14">
        <f>IF(AA74=0,"",(交易记录!AB7*交易记录!AB38+交易记录!AB71*交易记录!AB102+交易记录!AB135*交易记录!AB166+交易记录!AB199*交易记录!AB230+交易记录!AB263*交易记录!AB294+交易记录!AB327*交易记录!AB358+交易记录!AB391*交易记录!AB422+交易记录!AB455*交易记录!AB486+交易记录!AB519*交易记录!AB550+交易记录!AB583*交易记录!AB614+交易记录!AB647*交易记录!AB678+交易记录!AB711*交易记录!AB742+交易记录!AB775*交易记录!AB806+交易记录!AB839*交易记录!AB870+交易记录!AB903*交易记录!AB934)/AA74)</f>
        <v>372</v>
      </c>
      <c r="AB107" s="14">
        <f>IF(AB74=0,"",(交易记录!AC7*交易记录!AC38+交易记录!AC71*交易记录!AC102+交易记录!AC135*交易记录!AC166+交易记录!AC199*交易记录!AC230+交易记录!AC263*交易记录!AC294+交易记录!AC327*交易记录!AC358+交易记录!AC391*交易记录!AC422+交易记录!AC455*交易记录!AC486+交易记录!AC519*交易记录!AC550+交易记录!AC583*交易记录!AC614+交易记录!AC647*交易记录!AC678+交易记录!AC711*交易记录!AC742+交易记录!AC775*交易记录!AC806+交易记录!AC839*交易记录!AC870+交易记录!AC903*交易记录!AC934)/AB74)</f>
        <v>372</v>
      </c>
      <c r="AC107" s="14">
        <f>IF(AC74=0,"",(交易记录!AD7*交易记录!AD38+交易记录!AD71*交易记录!AD102+交易记录!AD135*交易记录!AD166+交易记录!AD199*交易记录!AD230+交易记录!AD263*交易记录!AD294+交易记录!AD327*交易记录!AD358+交易记录!AD391*交易记录!AD422+交易记录!AD455*交易记录!AD486+交易记录!AD519*交易记录!AD550+交易记录!AD583*交易记录!AD614+交易记录!AD647*交易记录!AD678+交易记录!AD711*交易记录!AD742+交易记录!AD775*交易记录!AD806+交易记录!AD839*交易记录!AD870+交易记录!AD903*交易记录!AD934)/AC74)</f>
        <v>372</v>
      </c>
      <c r="AD107" s="14">
        <f>IF(AD74=0,"",(交易记录!AE7*交易记录!AE38+交易记录!AE71*交易记录!AE102+交易记录!AE135*交易记录!AE166+交易记录!AE199*交易记录!AE230+交易记录!AE263*交易记录!AE294+交易记录!AE327*交易记录!AE358+交易记录!AE391*交易记录!AE422+交易记录!AE455*交易记录!AE486+交易记录!AE519*交易记录!AE550+交易记录!AE583*交易记录!AE614+交易记录!AE647*交易记录!AE678+交易记录!AE711*交易记录!AE742+交易记录!AE775*交易记录!AE806+交易记录!AE839*交易记录!AE870+交易记录!AE903*交易记录!AE934)/AD74)</f>
        <v>372</v>
      </c>
      <c r="AE107" s="14">
        <f>IF(AE74=0,"",(交易记录!AF7*交易记录!AF38+交易记录!AF71*交易记录!AF102+交易记录!AF135*交易记录!AF166+交易记录!AF199*交易记录!AF230+交易记录!AF263*交易记录!AF294+交易记录!AF327*交易记录!AF358+交易记录!AF391*交易记录!AF422+交易记录!AF455*交易记录!AF486+交易记录!AF519*交易记录!AF550+交易记录!AF583*交易记录!AF614+交易记录!AF647*交易记录!AF678+交易记录!AF711*交易记录!AF742+交易记录!AF775*交易记录!AF806+交易记录!AF839*交易记录!AF870+交易记录!AF903*交易记录!AF934)/AE74)</f>
        <v>372</v>
      </c>
      <c r="AF107" s="14">
        <f>IF(AF74=0,"",(交易记录!AG7*交易记录!AG38+交易记录!AG71*交易记录!AG102+交易记录!AG135*交易记录!AG166+交易记录!AG199*交易记录!AG230+交易记录!AG263*交易记录!AG294+交易记录!AG327*交易记录!AG358+交易记录!AG391*交易记录!AG422+交易记录!AG455*交易记录!AG486+交易记录!AG519*交易记录!AG550+交易记录!AG583*交易记录!AG614+交易记录!AG647*交易记录!AG678+交易记录!AG711*交易记录!AG742+交易记录!AG775*交易记录!AG806+交易记录!AG839*交易记录!AG870+交易记录!AG903*交易记录!AG934)/AF74)</f>
        <v>372</v>
      </c>
      <c r="AG107" s="14">
        <f>IF(AG74=0,"",(交易记录!AH7*交易记录!AH38+交易记录!AH71*交易记录!AH102+交易记录!AH135*交易记录!AH166+交易记录!AH199*交易记录!AH230+交易记录!AH263*交易记录!AH294+交易记录!AH327*交易记录!AH358+交易记录!AH391*交易记录!AH422+交易记录!AH455*交易记录!AH486+交易记录!AH519*交易记录!AH550+交易记录!AH583*交易记录!AH614+交易记录!AH647*交易记录!AH678+交易记录!AH711*交易记录!AH742+交易记录!AH775*交易记录!AH806+交易记录!AH839*交易记录!AH870+交易记录!AH903*交易记录!AH934)/AG74)</f>
        <v>372</v>
      </c>
    </row>
    <row r="108" spans="2:33" s="3" customFormat="1" ht="15">
      <c r="B108" s="7" t="s">
        <v>9</v>
      </c>
      <c r="C108" s="14">
        <f>IF(C75=0,"",(交易记录!D8*交易记录!D39+交易记录!D72*交易记录!D103+交易记录!D136*交易记录!D167+交易记录!D200*交易记录!D231+交易记录!D264*交易记录!D295+交易记录!D328*交易记录!D359+交易记录!D392*交易记录!D423+交易记录!D456*交易记录!D487+交易记录!D520*交易记录!D551+交易记录!D584*交易记录!D615+交易记录!D648*交易记录!D679+交易记录!D712*交易记录!D743+交易记录!D776*交易记录!D807+交易记录!D840*交易记录!D871+交易记录!D904*交易记录!D935)/C75)</f>
        <v>372</v>
      </c>
      <c r="D108" s="14">
        <f>IF(D75=0,"",(交易记录!E8*交易记录!E39+交易记录!E72*交易记录!E103+交易记录!E136*交易记录!E167+交易记录!E200*交易记录!E231+交易记录!E264*交易记录!E295+交易记录!E328*交易记录!E359+交易记录!E392*交易记录!E423+交易记录!E456*交易记录!E487+交易记录!E520*交易记录!E551+交易记录!E584*交易记录!E615+交易记录!E648*交易记录!E679+交易记录!E712*交易记录!E743+交易记录!E776*交易记录!E807+交易记录!E840*交易记录!E871+交易记录!E904*交易记录!E935)/D75)</f>
        <v>372</v>
      </c>
      <c r="E108" s="14">
        <f>IF(E75=0,"",(交易记录!F8*交易记录!F39+交易记录!F72*交易记录!F103+交易记录!F136*交易记录!F167+交易记录!F200*交易记录!F231+交易记录!F264*交易记录!F295+交易记录!F328*交易记录!F359+交易记录!F392*交易记录!F423+交易记录!F456*交易记录!F487+交易记录!F520*交易记录!F551+交易记录!F584*交易记录!F615+交易记录!F648*交易记录!F679+交易记录!F712*交易记录!F743+交易记录!F776*交易记录!F807+交易记录!F840*交易记录!F871+交易记录!F904*交易记录!F935)/E75)</f>
        <v>372</v>
      </c>
      <c r="F108" s="14">
        <f>IF(F75=0,"",(交易记录!G8*交易记录!G39+交易记录!G72*交易记录!G103+交易记录!G136*交易记录!G167+交易记录!G200*交易记录!G231+交易记录!G264*交易记录!G295+交易记录!G328*交易记录!G359+交易记录!G392*交易记录!G423+交易记录!G456*交易记录!G487+交易记录!G520*交易记录!G551+交易记录!G584*交易记录!G615+交易记录!G648*交易记录!G679+交易记录!G712*交易记录!G743+交易记录!G776*交易记录!G807+交易记录!G840*交易记录!G871+交易记录!G904*交易记录!G935)/F75)</f>
        <v>372</v>
      </c>
      <c r="G108" s="14">
        <f>IF(G75=0,"",(交易记录!H8*交易记录!H39+交易记录!H72*交易记录!H103+交易记录!H136*交易记录!H167+交易记录!H200*交易记录!H231+交易记录!H264*交易记录!H295+交易记录!H328*交易记录!H359+交易记录!H392*交易记录!H423+交易记录!H456*交易记录!H487+交易记录!H520*交易记录!H551+交易记录!H584*交易记录!H615+交易记录!H648*交易记录!H679+交易记录!H712*交易记录!H743+交易记录!H776*交易记录!H807+交易记录!H840*交易记录!H871+交易记录!H904*交易记录!H935)/G75)</f>
        <v>372</v>
      </c>
      <c r="H108" s="14">
        <f>IF(H75=0,"",(交易记录!I8*交易记录!I39+交易记录!I72*交易记录!I103+交易记录!I136*交易记录!I167+交易记录!I200*交易记录!I231+交易记录!I264*交易记录!I295+交易记录!I328*交易记录!I359+交易记录!I392*交易记录!I423+交易记录!I456*交易记录!I487+交易记录!I520*交易记录!I551+交易记录!I584*交易记录!I615+交易记录!I648*交易记录!I679+交易记录!I712*交易记录!I743+交易记录!I776*交易记录!I807+交易记录!I840*交易记录!I871+交易记录!I904*交易记录!I935)/H75)</f>
        <v>372</v>
      </c>
      <c r="I108" s="14">
        <f>IF(I75=0,"",(交易记录!J8*交易记录!J39+交易记录!J72*交易记录!J103+交易记录!J136*交易记录!J167+交易记录!J200*交易记录!J231+交易记录!J264*交易记录!J295+交易记录!J328*交易记录!J359+交易记录!J392*交易记录!J423+交易记录!J456*交易记录!J487+交易记录!J520*交易记录!J551+交易记录!J584*交易记录!J615+交易记录!J648*交易记录!J679+交易记录!J712*交易记录!J743+交易记录!J776*交易记录!J807+交易记录!J840*交易记录!J871+交易记录!J904*交易记录!J935)/I75)</f>
        <v>372</v>
      </c>
      <c r="J108" s="14">
        <f>IF(J75=0,"",(交易记录!K8*交易记录!K39+交易记录!K72*交易记录!K103+交易记录!K136*交易记录!K167+交易记录!K200*交易记录!K231+交易记录!K264*交易记录!K295+交易记录!K328*交易记录!K359+交易记录!K392*交易记录!K423+交易记录!K456*交易记录!K487+交易记录!K520*交易记录!K551+交易记录!K584*交易记录!K615+交易记录!K648*交易记录!K679+交易记录!K712*交易记录!K743+交易记录!K776*交易记录!K807+交易记录!K840*交易记录!K871+交易记录!K904*交易记录!K935)/J75)</f>
        <v>372</v>
      </c>
      <c r="K108" s="14">
        <f>IF(K75=0,"",(交易记录!L8*交易记录!L39+交易记录!L72*交易记录!L103+交易记录!L136*交易记录!L167+交易记录!L200*交易记录!L231+交易记录!L264*交易记录!L295+交易记录!L328*交易记录!L359+交易记录!L392*交易记录!L423+交易记录!L456*交易记录!L487+交易记录!L520*交易记录!L551+交易记录!L584*交易记录!L615+交易记录!L648*交易记录!L679+交易记录!L712*交易记录!L743+交易记录!L776*交易记录!L807+交易记录!L840*交易记录!L871+交易记录!L904*交易记录!L935)/K75)</f>
        <v>372</v>
      </c>
      <c r="L108" s="14">
        <f>IF(L75=0,"",(交易记录!M8*交易记录!M39+交易记录!M72*交易记录!M103+交易记录!M136*交易记录!M167+交易记录!M200*交易记录!M231+交易记录!M264*交易记录!M295+交易记录!M328*交易记录!M359+交易记录!M392*交易记录!M423+交易记录!M456*交易记录!M487+交易记录!M520*交易记录!M551+交易记录!M584*交易记录!M615+交易记录!M648*交易记录!M679+交易记录!M712*交易记录!M743+交易记录!M776*交易记录!M807+交易记录!M840*交易记录!M871+交易记录!M904*交易记录!M935)/L75)</f>
        <v>372</v>
      </c>
      <c r="M108" s="14">
        <f>IF(M75=0,"",(交易记录!N8*交易记录!N39+交易记录!N72*交易记录!N103+交易记录!N136*交易记录!N167+交易记录!N200*交易记录!N231+交易记录!N264*交易记录!N295+交易记录!N328*交易记录!N359+交易记录!N392*交易记录!N423+交易记录!N456*交易记录!N487+交易记录!N520*交易记录!N551+交易记录!N584*交易记录!N615+交易记录!N648*交易记录!N679+交易记录!N712*交易记录!N743+交易记录!N776*交易记录!N807+交易记录!N840*交易记录!N871+交易记录!N904*交易记录!N935)/M75)</f>
        <v>372</v>
      </c>
      <c r="N108" s="14">
        <f>IF(N75=0,"",(交易记录!O8*交易记录!O39+交易记录!O72*交易记录!O103+交易记录!O136*交易记录!O167+交易记录!O200*交易记录!O231+交易记录!O264*交易记录!O295+交易记录!O328*交易记录!O359+交易记录!O392*交易记录!O423+交易记录!O456*交易记录!O487+交易记录!O520*交易记录!O551+交易记录!O584*交易记录!O615+交易记录!O648*交易记录!O679+交易记录!O712*交易记录!O743+交易记录!O776*交易记录!O807+交易记录!O840*交易记录!O871+交易记录!O904*交易记录!O935)/N75)</f>
        <v>372</v>
      </c>
      <c r="O108" s="14">
        <f>IF(O75=0,"",(交易记录!P8*交易记录!P39+交易记录!P72*交易记录!P103+交易记录!P136*交易记录!P167+交易记录!P200*交易记录!P231+交易记录!P264*交易记录!P295+交易记录!P328*交易记录!P359+交易记录!P392*交易记录!P423+交易记录!P456*交易记录!P487+交易记录!P520*交易记录!P551+交易记录!P584*交易记录!P615+交易记录!P648*交易记录!P679+交易记录!P712*交易记录!P743+交易记录!P776*交易记录!P807+交易记录!P840*交易记录!P871+交易记录!P904*交易记录!P935)/O75)</f>
        <v>372</v>
      </c>
      <c r="P108" s="14">
        <f>IF(P75=0,"",(交易记录!Q8*交易记录!Q39+交易记录!Q72*交易记录!Q103+交易记录!Q136*交易记录!Q167+交易记录!Q200*交易记录!Q231+交易记录!Q264*交易记录!Q295+交易记录!Q328*交易记录!Q359+交易记录!Q392*交易记录!Q423+交易记录!Q456*交易记录!Q487+交易记录!Q520*交易记录!Q551+交易记录!Q584*交易记录!Q615+交易记录!Q648*交易记录!Q679+交易记录!Q712*交易记录!Q743+交易记录!Q776*交易记录!Q807+交易记录!Q840*交易记录!Q871+交易记录!Q904*交易记录!Q935)/P75)</f>
        <v>372</v>
      </c>
      <c r="Q108" s="14">
        <f>IF(Q75=0,"",(交易记录!R8*交易记录!R39+交易记录!R72*交易记录!R103+交易记录!R136*交易记录!R167+交易记录!R200*交易记录!R231+交易记录!R264*交易记录!R295+交易记录!R328*交易记录!R359+交易记录!R392*交易记录!R423+交易记录!R456*交易记录!R487+交易记录!R520*交易记录!R551+交易记录!R584*交易记录!R615+交易记录!R648*交易记录!R679+交易记录!R712*交易记录!R743+交易记录!R776*交易记录!R807+交易记录!R840*交易记录!R871+交易记录!R904*交易记录!R935)/Q75)</f>
        <v>372</v>
      </c>
      <c r="R108" s="14">
        <f>IF(R75=0,"",(交易记录!S8*交易记录!S39+交易记录!S72*交易记录!S103+交易记录!S136*交易记录!S167+交易记录!S200*交易记录!S231+交易记录!S264*交易记录!S295+交易记录!S328*交易记录!S359+交易记录!S392*交易记录!S423+交易记录!S456*交易记录!S487+交易记录!S520*交易记录!S551+交易记录!S584*交易记录!S615+交易记录!S648*交易记录!S679+交易记录!S712*交易记录!S743+交易记录!S776*交易记录!S807+交易记录!S840*交易记录!S871+交易记录!S904*交易记录!S935)/R75)</f>
        <v>372</v>
      </c>
      <c r="S108" s="14">
        <f>IF(S75=0,"",(交易记录!T8*交易记录!T39+交易记录!T72*交易记录!T103+交易记录!T136*交易记录!T167+交易记录!T200*交易记录!T231+交易记录!T264*交易记录!T295+交易记录!T328*交易记录!T359+交易记录!T392*交易记录!T423+交易记录!T456*交易记录!T487+交易记录!T520*交易记录!T551+交易记录!T584*交易记录!T615+交易记录!T648*交易记录!T679+交易记录!T712*交易记录!T743+交易记录!T776*交易记录!T807+交易记录!T840*交易记录!T871+交易记录!T904*交易记录!T935)/S75)</f>
        <v>372</v>
      </c>
      <c r="T108" s="14">
        <f>IF(T75=0,"",(交易记录!U8*交易记录!U39+交易记录!U72*交易记录!U103+交易记录!U136*交易记录!U167+交易记录!U200*交易记录!U231+交易记录!U264*交易记录!U295+交易记录!U328*交易记录!U359+交易记录!U392*交易记录!U423+交易记录!U456*交易记录!U487+交易记录!U520*交易记录!U551+交易记录!U584*交易记录!U615+交易记录!U648*交易记录!U679+交易记录!U712*交易记录!U743+交易记录!U776*交易记录!U807+交易记录!U840*交易记录!U871+交易记录!U904*交易记录!U935)/T75)</f>
        <v>372</v>
      </c>
      <c r="U108" s="14">
        <f>IF(U75=0,"",(交易记录!V8*交易记录!V39+交易记录!V72*交易记录!V103+交易记录!V136*交易记录!V167+交易记录!V200*交易记录!V231+交易记录!V264*交易记录!V295+交易记录!V328*交易记录!V359+交易记录!V392*交易记录!V423+交易记录!V456*交易记录!V487+交易记录!V520*交易记录!V551+交易记录!V584*交易记录!V615+交易记录!V648*交易记录!V679+交易记录!V712*交易记录!V743+交易记录!V776*交易记录!V807+交易记录!V840*交易记录!V871+交易记录!V904*交易记录!V935)/U75)</f>
        <v>372</v>
      </c>
      <c r="V108" s="14">
        <f>IF(V75=0,"",(交易记录!W8*交易记录!W39+交易记录!W72*交易记录!W103+交易记录!W136*交易记录!W167+交易记录!W200*交易记录!W231+交易记录!W264*交易记录!W295+交易记录!W328*交易记录!W359+交易记录!W392*交易记录!W423+交易记录!W456*交易记录!W487+交易记录!W520*交易记录!W551+交易记录!W584*交易记录!W615+交易记录!W648*交易记录!W679+交易记录!W712*交易记录!W743+交易记录!W776*交易记录!W807+交易记录!W840*交易记录!W871+交易记录!W904*交易记录!W935)/V75)</f>
        <v>372</v>
      </c>
      <c r="W108" s="14">
        <f>IF(W75=0,"",(交易记录!X8*交易记录!X39+交易记录!X72*交易记录!X103+交易记录!X136*交易记录!X167+交易记录!X200*交易记录!X231+交易记录!X264*交易记录!X295+交易记录!X328*交易记录!X359+交易记录!X392*交易记录!X423+交易记录!X456*交易记录!X487+交易记录!X520*交易记录!X551+交易记录!X584*交易记录!X615+交易记录!X648*交易记录!X679+交易记录!X712*交易记录!X743+交易记录!X776*交易记录!X807+交易记录!X840*交易记录!X871+交易记录!X904*交易记录!X935)/W75)</f>
        <v>372</v>
      </c>
      <c r="X108" s="14">
        <f>IF(X75=0,"",(交易记录!Y8*交易记录!Y39+交易记录!Y72*交易记录!Y103+交易记录!Y136*交易记录!Y167+交易记录!Y200*交易记录!Y231+交易记录!Y264*交易记录!Y295+交易记录!Y328*交易记录!Y359+交易记录!Y392*交易记录!Y423+交易记录!Y456*交易记录!Y487+交易记录!Y520*交易记录!Y551+交易记录!Y584*交易记录!Y615+交易记录!Y648*交易记录!Y679+交易记录!Y712*交易记录!Y743+交易记录!Y776*交易记录!Y807+交易记录!Y840*交易记录!Y871+交易记录!Y904*交易记录!Y935)/X75)</f>
        <v>372</v>
      </c>
      <c r="Y108" s="14">
        <f>IF(Y75=0,"",(交易记录!Z8*交易记录!Z39+交易记录!Z72*交易记录!Z103+交易记录!Z136*交易记录!Z167+交易记录!Z200*交易记录!Z231+交易记录!Z264*交易记录!Z295+交易记录!Z328*交易记录!Z359+交易记录!Z392*交易记录!Z423+交易记录!Z456*交易记录!Z487+交易记录!Z520*交易记录!Z551+交易记录!Z584*交易记录!Z615+交易记录!Z648*交易记录!Z679+交易记录!Z712*交易记录!Z743+交易记录!Z776*交易记录!Z807+交易记录!Z840*交易记录!Z871+交易记录!Z904*交易记录!Z935)/Y75)</f>
        <v>372</v>
      </c>
      <c r="Z108" s="14">
        <f>IF(Z75=0,"",(交易记录!AA8*交易记录!AA39+交易记录!AA72*交易记录!AA103+交易记录!AA136*交易记录!AA167+交易记录!AA200*交易记录!AA231+交易记录!AA264*交易记录!AA295+交易记录!AA328*交易记录!AA359+交易记录!AA392*交易记录!AA423+交易记录!AA456*交易记录!AA487+交易记录!AA520*交易记录!AA551+交易记录!AA584*交易记录!AA615+交易记录!AA648*交易记录!AA679+交易记录!AA712*交易记录!AA743+交易记录!AA776*交易记录!AA807+交易记录!AA840*交易记录!AA871+交易记录!AA904*交易记录!AA935)/Z75)</f>
        <v>372</v>
      </c>
      <c r="AA108" s="14">
        <f>IF(AA75=0,"",(交易记录!AB8*交易记录!AB39+交易记录!AB72*交易记录!AB103+交易记录!AB136*交易记录!AB167+交易记录!AB200*交易记录!AB231+交易记录!AB264*交易记录!AB295+交易记录!AB328*交易记录!AB359+交易记录!AB392*交易记录!AB423+交易记录!AB456*交易记录!AB487+交易记录!AB520*交易记录!AB551+交易记录!AB584*交易记录!AB615+交易记录!AB648*交易记录!AB679+交易记录!AB712*交易记录!AB743+交易记录!AB776*交易记录!AB807+交易记录!AB840*交易记录!AB871+交易记录!AB904*交易记录!AB935)/AA75)</f>
        <v>372</v>
      </c>
      <c r="AB108" s="14">
        <f>IF(AB75=0,"",(交易记录!AC8*交易记录!AC39+交易记录!AC72*交易记录!AC103+交易记录!AC136*交易记录!AC167+交易记录!AC200*交易记录!AC231+交易记录!AC264*交易记录!AC295+交易记录!AC328*交易记录!AC359+交易记录!AC392*交易记录!AC423+交易记录!AC456*交易记录!AC487+交易记录!AC520*交易记录!AC551+交易记录!AC584*交易记录!AC615+交易记录!AC648*交易记录!AC679+交易记录!AC712*交易记录!AC743+交易记录!AC776*交易记录!AC807+交易记录!AC840*交易记录!AC871+交易记录!AC904*交易记录!AC935)/AB75)</f>
        <v>372</v>
      </c>
      <c r="AC108" s="14">
        <f>IF(AC75=0,"",(交易记录!AD8*交易记录!AD39+交易记录!AD72*交易记录!AD103+交易记录!AD136*交易记录!AD167+交易记录!AD200*交易记录!AD231+交易记录!AD264*交易记录!AD295+交易记录!AD328*交易记录!AD359+交易记录!AD392*交易记录!AD423+交易记录!AD456*交易记录!AD487+交易记录!AD520*交易记录!AD551+交易记录!AD584*交易记录!AD615+交易记录!AD648*交易记录!AD679+交易记录!AD712*交易记录!AD743+交易记录!AD776*交易记录!AD807+交易记录!AD840*交易记录!AD871+交易记录!AD904*交易记录!AD935)/AC75)</f>
        <v>372</v>
      </c>
      <c r="AD108" s="14">
        <f>IF(AD75=0,"",(交易记录!AE8*交易记录!AE39+交易记录!AE72*交易记录!AE103+交易记录!AE136*交易记录!AE167+交易记录!AE200*交易记录!AE231+交易记录!AE264*交易记录!AE295+交易记录!AE328*交易记录!AE359+交易记录!AE392*交易记录!AE423+交易记录!AE456*交易记录!AE487+交易记录!AE520*交易记录!AE551+交易记录!AE584*交易记录!AE615+交易记录!AE648*交易记录!AE679+交易记录!AE712*交易记录!AE743+交易记录!AE776*交易记录!AE807+交易记录!AE840*交易记录!AE871+交易记录!AE904*交易记录!AE935)/AD75)</f>
        <v>372</v>
      </c>
      <c r="AE108" s="14">
        <f>IF(AE75=0,"",(交易记录!AF8*交易记录!AF39+交易记录!AF72*交易记录!AF103+交易记录!AF136*交易记录!AF167+交易记录!AF200*交易记录!AF231+交易记录!AF264*交易记录!AF295+交易记录!AF328*交易记录!AF359+交易记录!AF392*交易记录!AF423+交易记录!AF456*交易记录!AF487+交易记录!AF520*交易记录!AF551+交易记录!AF584*交易记录!AF615+交易记录!AF648*交易记录!AF679+交易记录!AF712*交易记录!AF743+交易记录!AF776*交易记录!AF807+交易记录!AF840*交易记录!AF871+交易记录!AF904*交易记录!AF935)/AE75)</f>
        <v>372</v>
      </c>
      <c r="AF108" s="14">
        <f>IF(AF75=0,"",(交易记录!AG8*交易记录!AG39+交易记录!AG72*交易记录!AG103+交易记录!AG136*交易记录!AG167+交易记录!AG200*交易记录!AG231+交易记录!AG264*交易记录!AG295+交易记录!AG328*交易记录!AG359+交易记录!AG392*交易记录!AG423+交易记录!AG456*交易记录!AG487+交易记录!AG520*交易记录!AG551+交易记录!AG584*交易记录!AG615+交易记录!AG648*交易记录!AG679+交易记录!AG712*交易记录!AG743+交易记录!AG776*交易记录!AG807+交易记录!AG840*交易记录!AG871+交易记录!AG904*交易记录!AG935)/AF75)</f>
        <v>372</v>
      </c>
      <c r="AG108" s="14">
        <f>IF(AG75=0,"",(交易记录!AH8*交易记录!AH39+交易记录!AH72*交易记录!AH103+交易记录!AH136*交易记录!AH167+交易记录!AH200*交易记录!AH231+交易记录!AH264*交易记录!AH295+交易记录!AH328*交易记录!AH359+交易记录!AH392*交易记录!AH423+交易记录!AH456*交易记录!AH487+交易记录!AH520*交易记录!AH551+交易记录!AH584*交易记录!AH615+交易记录!AH648*交易记录!AH679+交易记录!AH712*交易记录!AH743+交易记录!AH776*交易记录!AH807+交易记录!AH840*交易记录!AH871+交易记录!AH904*交易记录!AH935)/AG75)</f>
        <v>372</v>
      </c>
    </row>
    <row r="109" spans="2:33" s="3" customFormat="1" ht="15">
      <c r="B109" s="7" t="s">
        <v>10</v>
      </c>
      <c r="C109" s="14">
        <f>IF(C76=0,"",(交易记录!D9*交易记录!D40+交易记录!D73*交易记录!D104+交易记录!D137*交易记录!D168+交易记录!D201*交易记录!D232+交易记录!D265*交易记录!D296+交易记录!D329*交易记录!D360+交易记录!D393*交易记录!D424+交易记录!D457*交易记录!D488+交易记录!D521*交易记录!D552+交易记录!D585*交易记录!D616+交易记录!D649*交易记录!D680+交易记录!D713*交易记录!D744+交易记录!D777*交易记录!D808+交易记录!D841*交易记录!D872+交易记录!D905*交易记录!D936)/C76)</f>
        <v>372</v>
      </c>
      <c r="D109" s="14">
        <f>IF(D76=0,"",(交易记录!E9*交易记录!E40+交易记录!E73*交易记录!E104+交易记录!E137*交易记录!E168+交易记录!E201*交易记录!E232+交易记录!E265*交易记录!E296+交易记录!E329*交易记录!E360+交易记录!E393*交易记录!E424+交易记录!E457*交易记录!E488+交易记录!E521*交易记录!E552+交易记录!E585*交易记录!E616+交易记录!E649*交易记录!E680+交易记录!E713*交易记录!E744+交易记录!E777*交易记录!E808+交易记录!E841*交易记录!E872+交易记录!E905*交易记录!E936)/D76)</f>
        <v>372</v>
      </c>
      <c r="E109" s="14">
        <f>IF(E76=0,"",(交易记录!F9*交易记录!F40+交易记录!F73*交易记录!F104+交易记录!F137*交易记录!F168+交易记录!F201*交易记录!F232+交易记录!F265*交易记录!F296+交易记录!F329*交易记录!F360+交易记录!F393*交易记录!F424+交易记录!F457*交易记录!F488+交易记录!F521*交易记录!F552+交易记录!F585*交易记录!F616+交易记录!F649*交易记录!F680+交易记录!F713*交易记录!F744+交易记录!F777*交易记录!F808+交易记录!F841*交易记录!F872+交易记录!F905*交易记录!F936)/E76)</f>
        <v>372</v>
      </c>
      <c r="F109" s="14">
        <f>IF(F76=0,"",(交易记录!G9*交易记录!G40+交易记录!G73*交易记录!G104+交易记录!G137*交易记录!G168+交易记录!G201*交易记录!G232+交易记录!G265*交易记录!G296+交易记录!G329*交易记录!G360+交易记录!G393*交易记录!G424+交易记录!G457*交易记录!G488+交易记录!G521*交易记录!G552+交易记录!G585*交易记录!G616+交易记录!G649*交易记录!G680+交易记录!G713*交易记录!G744+交易记录!G777*交易记录!G808+交易记录!G841*交易记录!G872+交易记录!G905*交易记录!G936)/F76)</f>
        <v>372</v>
      </c>
      <c r="G109" s="14">
        <f>IF(G76=0,"",(交易记录!H9*交易记录!H40+交易记录!H73*交易记录!H104+交易记录!H137*交易记录!H168+交易记录!H201*交易记录!H232+交易记录!H265*交易记录!H296+交易记录!H329*交易记录!H360+交易记录!H393*交易记录!H424+交易记录!H457*交易记录!H488+交易记录!H521*交易记录!H552+交易记录!H585*交易记录!H616+交易记录!H649*交易记录!H680+交易记录!H713*交易记录!H744+交易记录!H777*交易记录!H808+交易记录!H841*交易记录!H872+交易记录!H905*交易记录!H936)/G76)</f>
        <v>372</v>
      </c>
      <c r="H109" s="14">
        <f>IF(H76=0,"",(交易记录!I9*交易记录!I40+交易记录!I73*交易记录!I104+交易记录!I137*交易记录!I168+交易记录!I201*交易记录!I232+交易记录!I265*交易记录!I296+交易记录!I329*交易记录!I360+交易记录!I393*交易记录!I424+交易记录!I457*交易记录!I488+交易记录!I521*交易记录!I552+交易记录!I585*交易记录!I616+交易记录!I649*交易记录!I680+交易记录!I713*交易记录!I744+交易记录!I777*交易记录!I808+交易记录!I841*交易记录!I872+交易记录!I905*交易记录!I936)/H76)</f>
        <v>372</v>
      </c>
      <c r="I109" s="14">
        <f>IF(I76=0,"",(交易记录!J9*交易记录!J40+交易记录!J73*交易记录!J104+交易记录!J137*交易记录!J168+交易记录!J201*交易记录!J232+交易记录!J265*交易记录!J296+交易记录!J329*交易记录!J360+交易记录!J393*交易记录!J424+交易记录!J457*交易记录!J488+交易记录!J521*交易记录!J552+交易记录!J585*交易记录!J616+交易记录!J649*交易记录!J680+交易记录!J713*交易记录!J744+交易记录!J777*交易记录!J808+交易记录!J841*交易记录!J872+交易记录!J905*交易记录!J936)/I76)</f>
        <v>372</v>
      </c>
      <c r="J109" s="14">
        <f>IF(J76=0,"",(交易记录!K9*交易记录!K40+交易记录!K73*交易记录!K104+交易记录!K137*交易记录!K168+交易记录!K201*交易记录!K232+交易记录!K265*交易记录!K296+交易记录!K329*交易记录!K360+交易记录!K393*交易记录!K424+交易记录!K457*交易记录!K488+交易记录!K521*交易记录!K552+交易记录!K585*交易记录!K616+交易记录!K649*交易记录!K680+交易记录!K713*交易记录!K744+交易记录!K777*交易记录!K808+交易记录!K841*交易记录!K872+交易记录!K905*交易记录!K936)/J76)</f>
        <v>372</v>
      </c>
      <c r="K109" s="14">
        <f>IF(K76=0,"",(交易记录!L9*交易记录!L40+交易记录!L73*交易记录!L104+交易记录!L137*交易记录!L168+交易记录!L201*交易记录!L232+交易记录!L265*交易记录!L296+交易记录!L329*交易记录!L360+交易记录!L393*交易记录!L424+交易记录!L457*交易记录!L488+交易记录!L521*交易记录!L552+交易记录!L585*交易记录!L616+交易记录!L649*交易记录!L680+交易记录!L713*交易记录!L744+交易记录!L777*交易记录!L808+交易记录!L841*交易记录!L872+交易记录!L905*交易记录!L936)/K76)</f>
        <v>372</v>
      </c>
      <c r="L109" s="14">
        <f>IF(L76=0,"",(交易记录!M9*交易记录!M40+交易记录!M73*交易记录!M104+交易记录!M137*交易记录!M168+交易记录!M201*交易记录!M232+交易记录!M265*交易记录!M296+交易记录!M329*交易记录!M360+交易记录!M393*交易记录!M424+交易记录!M457*交易记录!M488+交易记录!M521*交易记录!M552+交易记录!M585*交易记录!M616+交易记录!M649*交易记录!M680+交易记录!M713*交易记录!M744+交易记录!M777*交易记录!M808+交易记录!M841*交易记录!M872+交易记录!M905*交易记录!M936)/L76)</f>
        <v>372</v>
      </c>
      <c r="M109" s="14">
        <f>IF(M76=0,"",(交易记录!N9*交易记录!N40+交易记录!N73*交易记录!N104+交易记录!N137*交易记录!N168+交易记录!N201*交易记录!N232+交易记录!N265*交易记录!N296+交易记录!N329*交易记录!N360+交易记录!N393*交易记录!N424+交易记录!N457*交易记录!N488+交易记录!N521*交易记录!N552+交易记录!N585*交易记录!N616+交易记录!N649*交易记录!N680+交易记录!N713*交易记录!N744+交易记录!N777*交易记录!N808+交易记录!N841*交易记录!N872+交易记录!N905*交易记录!N936)/M76)</f>
        <v>372</v>
      </c>
      <c r="N109" s="14">
        <f>IF(N76=0,"",(交易记录!O9*交易记录!O40+交易记录!O73*交易记录!O104+交易记录!O137*交易记录!O168+交易记录!O201*交易记录!O232+交易记录!O265*交易记录!O296+交易记录!O329*交易记录!O360+交易记录!O393*交易记录!O424+交易记录!O457*交易记录!O488+交易记录!O521*交易记录!O552+交易记录!O585*交易记录!O616+交易记录!O649*交易记录!O680+交易记录!O713*交易记录!O744+交易记录!O777*交易记录!O808+交易记录!O841*交易记录!O872+交易记录!O905*交易记录!O936)/N76)</f>
        <v>372</v>
      </c>
      <c r="O109" s="14">
        <f>IF(O76=0,"",(交易记录!P9*交易记录!P40+交易记录!P73*交易记录!P104+交易记录!P137*交易记录!P168+交易记录!P201*交易记录!P232+交易记录!P265*交易记录!P296+交易记录!P329*交易记录!P360+交易记录!P393*交易记录!P424+交易记录!P457*交易记录!P488+交易记录!P521*交易记录!P552+交易记录!P585*交易记录!P616+交易记录!P649*交易记录!P680+交易记录!P713*交易记录!P744+交易记录!P777*交易记录!P808+交易记录!P841*交易记录!P872+交易记录!P905*交易记录!P936)/O76)</f>
        <v>372</v>
      </c>
      <c r="P109" s="14">
        <f>IF(P76=0,"",(交易记录!Q9*交易记录!Q40+交易记录!Q73*交易记录!Q104+交易记录!Q137*交易记录!Q168+交易记录!Q201*交易记录!Q232+交易记录!Q265*交易记录!Q296+交易记录!Q329*交易记录!Q360+交易记录!Q393*交易记录!Q424+交易记录!Q457*交易记录!Q488+交易记录!Q521*交易记录!Q552+交易记录!Q585*交易记录!Q616+交易记录!Q649*交易记录!Q680+交易记录!Q713*交易记录!Q744+交易记录!Q777*交易记录!Q808+交易记录!Q841*交易记录!Q872+交易记录!Q905*交易记录!Q936)/P76)</f>
        <v>372</v>
      </c>
      <c r="Q109" s="14">
        <f>IF(Q76=0,"",(交易记录!R9*交易记录!R40+交易记录!R73*交易记录!R104+交易记录!R137*交易记录!R168+交易记录!R201*交易记录!R232+交易记录!R265*交易记录!R296+交易记录!R329*交易记录!R360+交易记录!R393*交易记录!R424+交易记录!R457*交易记录!R488+交易记录!R521*交易记录!R552+交易记录!R585*交易记录!R616+交易记录!R649*交易记录!R680+交易记录!R713*交易记录!R744+交易记录!R777*交易记录!R808+交易记录!R841*交易记录!R872+交易记录!R905*交易记录!R936)/Q76)</f>
        <v>372</v>
      </c>
      <c r="R109" s="14">
        <f>IF(R76=0,"",(交易记录!S9*交易记录!S40+交易记录!S73*交易记录!S104+交易记录!S137*交易记录!S168+交易记录!S201*交易记录!S232+交易记录!S265*交易记录!S296+交易记录!S329*交易记录!S360+交易记录!S393*交易记录!S424+交易记录!S457*交易记录!S488+交易记录!S521*交易记录!S552+交易记录!S585*交易记录!S616+交易记录!S649*交易记录!S680+交易记录!S713*交易记录!S744+交易记录!S777*交易记录!S808+交易记录!S841*交易记录!S872+交易记录!S905*交易记录!S936)/R76)</f>
        <v>372</v>
      </c>
      <c r="S109" s="14">
        <f>IF(S76=0,"",(交易记录!T9*交易记录!T40+交易记录!T73*交易记录!T104+交易记录!T137*交易记录!T168+交易记录!T201*交易记录!T232+交易记录!T265*交易记录!T296+交易记录!T329*交易记录!T360+交易记录!T393*交易记录!T424+交易记录!T457*交易记录!T488+交易记录!T521*交易记录!T552+交易记录!T585*交易记录!T616+交易记录!T649*交易记录!T680+交易记录!T713*交易记录!T744+交易记录!T777*交易记录!T808+交易记录!T841*交易记录!T872+交易记录!T905*交易记录!T936)/S76)</f>
        <v>372</v>
      </c>
      <c r="T109" s="14">
        <f>IF(T76=0,"",(交易记录!U9*交易记录!U40+交易记录!U73*交易记录!U104+交易记录!U137*交易记录!U168+交易记录!U201*交易记录!U232+交易记录!U265*交易记录!U296+交易记录!U329*交易记录!U360+交易记录!U393*交易记录!U424+交易记录!U457*交易记录!U488+交易记录!U521*交易记录!U552+交易记录!U585*交易记录!U616+交易记录!U649*交易记录!U680+交易记录!U713*交易记录!U744+交易记录!U777*交易记录!U808+交易记录!U841*交易记录!U872+交易记录!U905*交易记录!U936)/T76)</f>
        <v>372</v>
      </c>
      <c r="U109" s="14">
        <f>IF(U76=0,"",(交易记录!V9*交易记录!V40+交易记录!V73*交易记录!V104+交易记录!V137*交易记录!V168+交易记录!V201*交易记录!V232+交易记录!V265*交易记录!V296+交易记录!V329*交易记录!V360+交易记录!V393*交易记录!V424+交易记录!V457*交易记录!V488+交易记录!V521*交易记录!V552+交易记录!V585*交易记录!V616+交易记录!V649*交易记录!V680+交易记录!V713*交易记录!V744+交易记录!V777*交易记录!V808+交易记录!V841*交易记录!V872+交易记录!V905*交易记录!V936)/U76)</f>
        <v>372</v>
      </c>
      <c r="V109" s="14">
        <f>IF(V76=0,"",(交易记录!W9*交易记录!W40+交易记录!W73*交易记录!W104+交易记录!W137*交易记录!W168+交易记录!W201*交易记录!W232+交易记录!W265*交易记录!W296+交易记录!W329*交易记录!W360+交易记录!W393*交易记录!W424+交易记录!W457*交易记录!W488+交易记录!W521*交易记录!W552+交易记录!W585*交易记录!W616+交易记录!W649*交易记录!W680+交易记录!W713*交易记录!W744+交易记录!W777*交易记录!W808+交易记录!W841*交易记录!W872+交易记录!W905*交易记录!W936)/V76)</f>
        <v>372</v>
      </c>
      <c r="W109" s="14">
        <f>IF(W76=0,"",(交易记录!X9*交易记录!X40+交易记录!X73*交易记录!X104+交易记录!X137*交易记录!X168+交易记录!X201*交易记录!X232+交易记录!X265*交易记录!X296+交易记录!X329*交易记录!X360+交易记录!X393*交易记录!X424+交易记录!X457*交易记录!X488+交易记录!X521*交易记录!X552+交易记录!X585*交易记录!X616+交易记录!X649*交易记录!X680+交易记录!X713*交易记录!X744+交易记录!X777*交易记录!X808+交易记录!X841*交易记录!X872+交易记录!X905*交易记录!X936)/W76)</f>
        <v>372</v>
      </c>
      <c r="X109" s="14">
        <f>IF(X76=0,"",(交易记录!Y9*交易记录!Y40+交易记录!Y73*交易记录!Y104+交易记录!Y137*交易记录!Y168+交易记录!Y201*交易记录!Y232+交易记录!Y265*交易记录!Y296+交易记录!Y329*交易记录!Y360+交易记录!Y393*交易记录!Y424+交易记录!Y457*交易记录!Y488+交易记录!Y521*交易记录!Y552+交易记录!Y585*交易记录!Y616+交易记录!Y649*交易记录!Y680+交易记录!Y713*交易记录!Y744+交易记录!Y777*交易记录!Y808+交易记录!Y841*交易记录!Y872+交易记录!Y905*交易记录!Y936)/X76)</f>
        <v>372</v>
      </c>
      <c r="Y109" s="14">
        <f>IF(Y76=0,"",(交易记录!Z9*交易记录!Z40+交易记录!Z73*交易记录!Z104+交易记录!Z137*交易记录!Z168+交易记录!Z201*交易记录!Z232+交易记录!Z265*交易记录!Z296+交易记录!Z329*交易记录!Z360+交易记录!Z393*交易记录!Z424+交易记录!Z457*交易记录!Z488+交易记录!Z521*交易记录!Z552+交易记录!Z585*交易记录!Z616+交易记录!Z649*交易记录!Z680+交易记录!Z713*交易记录!Z744+交易记录!Z777*交易记录!Z808+交易记录!Z841*交易记录!Z872+交易记录!Z905*交易记录!Z936)/Y76)</f>
        <v>372</v>
      </c>
      <c r="Z109" s="14">
        <f>IF(Z76=0,"",(交易记录!AA9*交易记录!AA40+交易记录!AA73*交易记录!AA104+交易记录!AA137*交易记录!AA168+交易记录!AA201*交易记录!AA232+交易记录!AA265*交易记录!AA296+交易记录!AA329*交易记录!AA360+交易记录!AA393*交易记录!AA424+交易记录!AA457*交易记录!AA488+交易记录!AA521*交易记录!AA552+交易记录!AA585*交易记录!AA616+交易记录!AA649*交易记录!AA680+交易记录!AA713*交易记录!AA744+交易记录!AA777*交易记录!AA808+交易记录!AA841*交易记录!AA872+交易记录!AA905*交易记录!AA936)/Z76)</f>
        <v>372</v>
      </c>
      <c r="AA109" s="14">
        <f>IF(AA76=0,"",(交易记录!AB9*交易记录!AB40+交易记录!AB73*交易记录!AB104+交易记录!AB137*交易记录!AB168+交易记录!AB201*交易记录!AB232+交易记录!AB265*交易记录!AB296+交易记录!AB329*交易记录!AB360+交易记录!AB393*交易记录!AB424+交易记录!AB457*交易记录!AB488+交易记录!AB521*交易记录!AB552+交易记录!AB585*交易记录!AB616+交易记录!AB649*交易记录!AB680+交易记录!AB713*交易记录!AB744+交易记录!AB777*交易记录!AB808+交易记录!AB841*交易记录!AB872+交易记录!AB905*交易记录!AB936)/AA76)</f>
        <v>372</v>
      </c>
      <c r="AB109" s="14">
        <f>IF(AB76=0,"",(交易记录!AC9*交易记录!AC40+交易记录!AC73*交易记录!AC104+交易记录!AC137*交易记录!AC168+交易记录!AC201*交易记录!AC232+交易记录!AC265*交易记录!AC296+交易记录!AC329*交易记录!AC360+交易记录!AC393*交易记录!AC424+交易记录!AC457*交易记录!AC488+交易记录!AC521*交易记录!AC552+交易记录!AC585*交易记录!AC616+交易记录!AC649*交易记录!AC680+交易记录!AC713*交易记录!AC744+交易记录!AC777*交易记录!AC808+交易记录!AC841*交易记录!AC872+交易记录!AC905*交易记录!AC936)/AB76)</f>
        <v>372</v>
      </c>
      <c r="AC109" s="14">
        <f>IF(AC76=0,"",(交易记录!AD9*交易记录!AD40+交易记录!AD73*交易记录!AD104+交易记录!AD137*交易记录!AD168+交易记录!AD201*交易记录!AD232+交易记录!AD265*交易记录!AD296+交易记录!AD329*交易记录!AD360+交易记录!AD393*交易记录!AD424+交易记录!AD457*交易记录!AD488+交易记录!AD521*交易记录!AD552+交易记录!AD585*交易记录!AD616+交易记录!AD649*交易记录!AD680+交易记录!AD713*交易记录!AD744+交易记录!AD777*交易记录!AD808+交易记录!AD841*交易记录!AD872+交易记录!AD905*交易记录!AD936)/AC76)</f>
        <v>372</v>
      </c>
      <c r="AD109" s="14">
        <f>IF(AD76=0,"",(交易记录!AE9*交易记录!AE40+交易记录!AE73*交易记录!AE104+交易记录!AE137*交易记录!AE168+交易记录!AE201*交易记录!AE232+交易记录!AE265*交易记录!AE296+交易记录!AE329*交易记录!AE360+交易记录!AE393*交易记录!AE424+交易记录!AE457*交易记录!AE488+交易记录!AE521*交易记录!AE552+交易记录!AE585*交易记录!AE616+交易记录!AE649*交易记录!AE680+交易记录!AE713*交易记录!AE744+交易记录!AE777*交易记录!AE808+交易记录!AE841*交易记录!AE872+交易记录!AE905*交易记录!AE936)/AD76)</f>
        <v>372</v>
      </c>
      <c r="AE109" s="14">
        <f>IF(AE76=0,"",(交易记录!AF9*交易记录!AF40+交易记录!AF73*交易记录!AF104+交易记录!AF137*交易记录!AF168+交易记录!AF201*交易记录!AF232+交易记录!AF265*交易记录!AF296+交易记录!AF329*交易记录!AF360+交易记录!AF393*交易记录!AF424+交易记录!AF457*交易记录!AF488+交易记录!AF521*交易记录!AF552+交易记录!AF585*交易记录!AF616+交易记录!AF649*交易记录!AF680+交易记录!AF713*交易记录!AF744+交易记录!AF777*交易记录!AF808+交易记录!AF841*交易记录!AF872+交易记录!AF905*交易记录!AF936)/AE76)</f>
        <v>372</v>
      </c>
      <c r="AF109" s="14">
        <f>IF(AF76=0,"",(交易记录!AG9*交易记录!AG40+交易记录!AG73*交易记录!AG104+交易记录!AG137*交易记录!AG168+交易记录!AG201*交易记录!AG232+交易记录!AG265*交易记录!AG296+交易记录!AG329*交易记录!AG360+交易记录!AG393*交易记录!AG424+交易记录!AG457*交易记录!AG488+交易记录!AG521*交易记录!AG552+交易记录!AG585*交易记录!AG616+交易记录!AG649*交易记录!AG680+交易记录!AG713*交易记录!AG744+交易记录!AG777*交易记录!AG808+交易记录!AG841*交易记录!AG872+交易记录!AG905*交易记录!AG936)/AF76)</f>
        <v>372</v>
      </c>
      <c r="AG109" s="14">
        <f>IF(AG76=0,"",(交易记录!AH9*交易记录!AH40+交易记录!AH73*交易记录!AH104+交易记录!AH137*交易记录!AH168+交易记录!AH201*交易记录!AH232+交易记录!AH265*交易记录!AH296+交易记录!AH329*交易记录!AH360+交易记录!AH393*交易记录!AH424+交易记录!AH457*交易记录!AH488+交易记录!AH521*交易记录!AH552+交易记录!AH585*交易记录!AH616+交易记录!AH649*交易记录!AH680+交易记录!AH713*交易记录!AH744+交易记录!AH777*交易记录!AH808+交易记录!AH841*交易记录!AH872+交易记录!AH905*交易记录!AH936)/AG76)</f>
        <v>372</v>
      </c>
    </row>
    <row r="110" spans="2:33" s="3" customFormat="1" ht="15">
      <c r="B110" s="7" t="s">
        <v>11</v>
      </c>
      <c r="C110" s="14">
        <f>IF(C77=0,"",(交易记录!D10*交易记录!D41+交易记录!D74*交易记录!D105+交易记录!D138*交易记录!D169+交易记录!D202*交易记录!D233+交易记录!D266*交易记录!D297+交易记录!D330*交易记录!D361+交易记录!D394*交易记录!D425+交易记录!D458*交易记录!D489+交易记录!D522*交易记录!D553+交易记录!D586*交易记录!D617+交易记录!D650*交易记录!D681+交易记录!D714*交易记录!D745+交易记录!D778*交易记录!D809+交易记录!D842*交易记录!D873+交易记录!D906*交易记录!D937)/C77)</f>
        <v>372</v>
      </c>
      <c r="D110" s="14">
        <f>IF(D77=0,"",(交易记录!E10*交易记录!E41+交易记录!E74*交易记录!E105+交易记录!E138*交易记录!E169+交易记录!E202*交易记录!E233+交易记录!E266*交易记录!E297+交易记录!E330*交易记录!E361+交易记录!E394*交易记录!E425+交易记录!E458*交易记录!E489+交易记录!E522*交易记录!E553+交易记录!E586*交易记录!E617+交易记录!E650*交易记录!E681+交易记录!E714*交易记录!E745+交易记录!E778*交易记录!E809+交易记录!E842*交易记录!E873+交易记录!E906*交易记录!E937)/D77)</f>
        <v>372</v>
      </c>
      <c r="E110" s="14">
        <f>IF(E77=0,"",(交易记录!F10*交易记录!F41+交易记录!F74*交易记录!F105+交易记录!F138*交易记录!F169+交易记录!F202*交易记录!F233+交易记录!F266*交易记录!F297+交易记录!F330*交易记录!F361+交易记录!F394*交易记录!F425+交易记录!F458*交易记录!F489+交易记录!F522*交易记录!F553+交易记录!F586*交易记录!F617+交易记录!F650*交易记录!F681+交易记录!F714*交易记录!F745+交易记录!F778*交易记录!F809+交易记录!F842*交易记录!F873+交易记录!F906*交易记录!F937)/E77)</f>
        <v>372</v>
      </c>
      <c r="F110" s="14">
        <f>IF(F77=0,"",(交易记录!G10*交易记录!G41+交易记录!G74*交易记录!G105+交易记录!G138*交易记录!G169+交易记录!G202*交易记录!G233+交易记录!G266*交易记录!G297+交易记录!G330*交易记录!G361+交易记录!G394*交易记录!G425+交易记录!G458*交易记录!G489+交易记录!G522*交易记录!G553+交易记录!G586*交易记录!G617+交易记录!G650*交易记录!G681+交易记录!G714*交易记录!G745+交易记录!G778*交易记录!G809+交易记录!G842*交易记录!G873+交易记录!G906*交易记录!G937)/F77)</f>
        <v>372</v>
      </c>
      <c r="G110" s="14">
        <f>IF(G77=0,"",(交易记录!H10*交易记录!H41+交易记录!H74*交易记录!H105+交易记录!H138*交易记录!H169+交易记录!H202*交易记录!H233+交易记录!H266*交易记录!H297+交易记录!H330*交易记录!H361+交易记录!H394*交易记录!H425+交易记录!H458*交易记录!H489+交易记录!H522*交易记录!H553+交易记录!H586*交易记录!H617+交易记录!H650*交易记录!H681+交易记录!H714*交易记录!H745+交易记录!H778*交易记录!H809+交易记录!H842*交易记录!H873+交易记录!H906*交易记录!H937)/G77)</f>
        <v>372</v>
      </c>
      <c r="H110" s="14">
        <f>IF(H77=0,"",(交易记录!I10*交易记录!I41+交易记录!I74*交易记录!I105+交易记录!I138*交易记录!I169+交易记录!I202*交易记录!I233+交易记录!I266*交易记录!I297+交易记录!I330*交易记录!I361+交易记录!I394*交易记录!I425+交易记录!I458*交易记录!I489+交易记录!I522*交易记录!I553+交易记录!I586*交易记录!I617+交易记录!I650*交易记录!I681+交易记录!I714*交易记录!I745+交易记录!I778*交易记录!I809+交易记录!I842*交易记录!I873+交易记录!I906*交易记录!I937)/H77)</f>
        <v>372</v>
      </c>
      <c r="I110" s="14">
        <f>IF(I77=0,"",(交易记录!J10*交易记录!J41+交易记录!J74*交易记录!J105+交易记录!J138*交易记录!J169+交易记录!J202*交易记录!J233+交易记录!J266*交易记录!J297+交易记录!J330*交易记录!J361+交易记录!J394*交易记录!J425+交易记录!J458*交易记录!J489+交易记录!J522*交易记录!J553+交易记录!J586*交易记录!J617+交易记录!J650*交易记录!J681+交易记录!J714*交易记录!J745+交易记录!J778*交易记录!J809+交易记录!J842*交易记录!J873+交易记录!J906*交易记录!J937)/I77)</f>
        <v>372</v>
      </c>
      <c r="J110" s="14">
        <f>IF(J77=0,"",(交易记录!K10*交易记录!K41+交易记录!K74*交易记录!K105+交易记录!K138*交易记录!K169+交易记录!K202*交易记录!K233+交易记录!K266*交易记录!K297+交易记录!K330*交易记录!K361+交易记录!K394*交易记录!K425+交易记录!K458*交易记录!K489+交易记录!K522*交易记录!K553+交易记录!K586*交易记录!K617+交易记录!K650*交易记录!K681+交易记录!K714*交易记录!K745+交易记录!K778*交易记录!K809+交易记录!K842*交易记录!K873+交易记录!K906*交易记录!K937)/J77)</f>
        <v>372</v>
      </c>
      <c r="K110" s="14">
        <f>IF(K77=0,"",(交易记录!L10*交易记录!L41+交易记录!L74*交易记录!L105+交易记录!L138*交易记录!L169+交易记录!L202*交易记录!L233+交易记录!L266*交易记录!L297+交易记录!L330*交易记录!L361+交易记录!L394*交易记录!L425+交易记录!L458*交易记录!L489+交易记录!L522*交易记录!L553+交易记录!L586*交易记录!L617+交易记录!L650*交易记录!L681+交易记录!L714*交易记录!L745+交易记录!L778*交易记录!L809+交易记录!L842*交易记录!L873+交易记录!L906*交易记录!L937)/K77)</f>
        <v>372</v>
      </c>
      <c r="L110" s="14">
        <f>IF(L77=0,"",(交易记录!M10*交易记录!M41+交易记录!M74*交易记录!M105+交易记录!M138*交易记录!M169+交易记录!M202*交易记录!M233+交易记录!M266*交易记录!M297+交易记录!M330*交易记录!M361+交易记录!M394*交易记录!M425+交易记录!M458*交易记录!M489+交易记录!M522*交易记录!M553+交易记录!M586*交易记录!M617+交易记录!M650*交易记录!M681+交易记录!M714*交易记录!M745+交易记录!M778*交易记录!M809+交易记录!M842*交易记录!M873+交易记录!M906*交易记录!M937)/L77)</f>
        <v>372</v>
      </c>
      <c r="M110" s="14">
        <f>IF(M77=0,"",(交易记录!N10*交易记录!N41+交易记录!N74*交易记录!N105+交易记录!N138*交易记录!N169+交易记录!N202*交易记录!N233+交易记录!N266*交易记录!N297+交易记录!N330*交易记录!N361+交易记录!N394*交易记录!N425+交易记录!N458*交易记录!N489+交易记录!N522*交易记录!N553+交易记录!N586*交易记录!N617+交易记录!N650*交易记录!N681+交易记录!N714*交易记录!N745+交易记录!N778*交易记录!N809+交易记录!N842*交易记录!N873+交易记录!N906*交易记录!N937)/M77)</f>
        <v>372</v>
      </c>
      <c r="N110" s="14">
        <f>IF(N77=0,"",(交易记录!O10*交易记录!O41+交易记录!O74*交易记录!O105+交易记录!O138*交易记录!O169+交易记录!O202*交易记录!O233+交易记录!O266*交易记录!O297+交易记录!O330*交易记录!O361+交易记录!O394*交易记录!O425+交易记录!O458*交易记录!O489+交易记录!O522*交易记录!O553+交易记录!O586*交易记录!O617+交易记录!O650*交易记录!O681+交易记录!O714*交易记录!O745+交易记录!O778*交易记录!O809+交易记录!O842*交易记录!O873+交易记录!O906*交易记录!O937)/N77)</f>
        <v>372</v>
      </c>
      <c r="O110" s="14">
        <f>IF(O77=0,"",(交易记录!P10*交易记录!P41+交易记录!P74*交易记录!P105+交易记录!P138*交易记录!P169+交易记录!P202*交易记录!P233+交易记录!P266*交易记录!P297+交易记录!P330*交易记录!P361+交易记录!P394*交易记录!P425+交易记录!P458*交易记录!P489+交易记录!P522*交易记录!P553+交易记录!P586*交易记录!P617+交易记录!P650*交易记录!P681+交易记录!P714*交易记录!P745+交易记录!P778*交易记录!P809+交易记录!P842*交易记录!P873+交易记录!P906*交易记录!P937)/O77)</f>
        <v>372</v>
      </c>
      <c r="P110" s="14">
        <f>IF(P77=0,"",(交易记录!Q10*交易记录!Q41+交易记录!Q74*交易记录!Q105+交易记录!Q138*交易记录!Q169+交易记录!Q202*交易记录!Q233+交易记录!Q266*交易记录!Q297+交易记录!Q330*交易记录!Q361+交易记录!Q394*交易记录!Q425+交易记录!Q458*交易记录!Q489+交易记录!Q522*交易记录!Q553+交易记录!Q586*交易记录!Q617+交易记录!Q650*交易记录!Q681+交易记录!Q714*交易记录!Q745+交易记录!Q778*交易记录!Q809+交易记录!Q842*交易记录!Q873+交易记录!Q906*交易记录!Q937)/P77)</f>
        <v>372</v>
      </c>
      <c r="Q110" s="14">
        <f>IF(Q77=0,"",(交易记录!R10*交易记录!R41+交易记录!R74*交易记录!R105+交易记录!R138*交易记录!R169+交易记录!R202*交易记录!R233+交易记录!R266*交易记录!R297+交易记录!R330*交易记录!R361+交易记录!R394*交易记录!R425+交易记录!R458*交易记录!R489+交易记录!R522*交易记录!R553+交易记录!R586*交易记录!R617+交易记录!R650*交易记录!R681+交易记录!R714*交易记录!R745+交易记录!R778*交易记录!R809+交易记录!R842*交易记录!R873+交易记录!R906*交易记录!R937)/Q77)</f>
        <v>372</v>
      </c>
      <c r="R110" s="14">
        <f>IF(R77=0,"",(交易记录!S10*交易记录!S41+交易记录!S74*交易记录!S105+交易记录!S138*交易记录!S169+交易记录!S202*交易记录!S233+交易记录!S266*交易记录!S297+交易记录!S330*交易记录!S361+交易记录!S394*交易记录!S425+交易记录!S458*交易记录!S489+交易记录!S522*交易记录!S553+交易记录!S586*交易记录!S617+交易记录!S650*交易记录!S681+交易记录!S714*交易记录!S745+交易记录!S778*交易记录!S809+交易记录!S842*交易记录!S873+交易记录!S906*交易记录!S937)/R77)</f>
        <v>372</v>
      </c>
      <c r="S110" s="14">
        <f>IF(S77=0,"",(交易记录!T10*交易记录!T41+交易记录!T74*交易记录!T105+交易记录!T138*交易记录!T169+交易记录!T202*交易记录!T233+交易记录!T266*交易记录!T297+交易记录!T330*交易记录!T361+交易记录!T394*交易记录!T425+交易记录!T458*交易记录!T489+交易记录!T522*交易记录!T553+交易记录!T586*交易记录!T617+交易记录!T650*交易记录!T681+交易记录!T714*交易记录!T745+交易记录!T778*交易记录!T809+交易记录!T842*交易记录!T873+交易记录!T906*交易记录!T937)/S77)</f>
        <v>372</v>
      </c>
      <c r="T110" s="14">
        <f>IF(T77=0,"",(交易记录!U10*交易记录!U41+交易记录!U74*交易记录!U105+交易记录!U138*交易记录!U169+交易记录!U202*交易记录!U233+交易记录!U266*交易记录!U297+交易记录!U330*交易记录!U361+交易记录!U394*交易记录!U425+交易记录!U458*交易记录!U489+交易记录!U522*交易记录!U553+交易记录!U586*交易记录!U617+交易记录!U650*交易记录!U681+交易记录!U714*交易记录!U745+交易记录!U778*交易记录!U809+交易记录!U842*交易记录!U873+交易记录!U906*交易记录!U937)/T77)</f>
        <v>372</v>
      </c>
      <c r="U110" s="14">
        <f>IF(U77=0,"",(交易记录!V10*交易记录!V41+交易记录!V74*交易记录!V105+交易记录!V138*交易记录!V169+交易记录!V202*交易记录!V233+交易记录!V266*交易记录!V297+交易记录!V330*交易记录!V361+交易记录!V394*交易记录!V425+交易记录!V458*交易记录!V489+交易记录!V522*交易记录!V553+交易记录!V586*交易记录!V617+交易记录!V650*交易记录!V681+交易记录!V714*交易记录!V745+交易记录!V778*交易记录!V809+交易记录!V842*交易记录!V873+交易记录!V906*交易记录!V937)/U77)</f>
        <v>372</v>
      </c>
      <c r="V110" s="14">
        <f>IF(V77=0,"",(交易记录!W10*交易记录!W41+交易记录!W74*交易记录!W105+交易记录!W138*交易记录!W169+交易记录!W202*交易记录!W233+交易记录!W266*交易记录!W297+交易记录!W330*交易记录!W361+交易记录!W394*交易记录!W425+交易记录!W458*交易记录!W489+交易记录!W522*交易记录!W553+交易记录!W586*交易记录!W617+交易记录!W650*交易记录!W681+交易记录!W714*交易记录!W745+交易记录!W778*交易记录!W809+交易记录!W842*交易记录!W873+交易记录!W906*交易记录!W937)/V77)</f>
        <v>372</v>
      </c>
      <c r="W110" s="14">
        <f>IF(W77=0,"",(交易记录!X10*交易记录!X41+交易记录!X74*交易记录!X105+交易记录!X138*交易记录!X169+交易记录!X202*交易记录!X233+交易记录!X266*交易记录!X297+交易记录!X330*交易记录!X361+交易记录!X394*交易记录!X425+交易记录!X458*交易记录!X489+交易记录!X522*交易记录!X553+交易记录!X586*交易记录!X617+交易记录!X650*交易记录!X681+交易记录!X714*交易记录!X745+交易记录!X778*交易记录!X809+交易记录!X842*交易记录!X873+交易记录!X906*交易记录!X937)/W77)</f>
        <v>372</v>
      </c>
      <c r="X110" s="14">
        <f>IF(X77=0,"",(交易记录!Y10*交易记录!Y41+交易记录!Y74*交易记录!Y105+交易记录!Y138*交易记录!Y169+交易记录!Y202*交易记录!Y233+交易记录!Y266*交易记录!Y297+交易记录!Y330*交易记录!Y361+交易记录!Y394*交易记录!Y425+交易记录!Y458*交易记录!Y489+交易记录!Y522*交易记录!Y553+交易记录!Y586*交易记录!Y617+交易记录!Y650*交易记录!Y681+交易记录!Y714*交易记录!Y745+交易记录!Y778*交易记录!Y809+交易记录!Y842*交易记录!Y873+交易记录!Y906*交易记录!Y937)/X77)</f>
        <v>372</v>
      </c>
      <c r="Y110" s="14">
        <f>IF(Y77=0,"",(交易记录!Z10*交易记录!Z41+交易记录!Z74*交易记录!Z105+交易记录!Z138*交易记录!Z169+交易记录!Z202*交易记录!Z233+交易记录!Z266*交易记录!Z297+交易记录!Z330*交易记录!Z361+交易记录!Z394*交易记录!Z425+交易记录!Z458*交易记录!Z489+交易记录!Z522*交易记录!Z553+交易记录!Z586*交易记录!Z617+交易记录!Z650*交易记录!Z681+交易记录!Z714*交易记录!Z745+交易记录!Z778*交易记录!Z809+交易记录!Z842*交易记录!Z873+交易记录!Z906*交易记录!Z937)/Y77)</f>
        <v>372</v>
      </c>
      <c r="Z110" s="14">
        <f>IF(Z77=0,"",(交易记录!AA10*交易记录!AA41+交易记录!AA74*交易记录!AA105+交易记录!AA138*交易记录!AA169+交易记录!AA202*交易记录!AA233+交易记录!AA266*交易记录!AA297+交易记录!AA330*交易记录!AA361+交易记录!AA394*交易记录!AA425+交易记录!AA458*交易记录!AA489+交易记录!AA522*交易记录!AA553+交易记录!AA586*交易记录!AA617+交易记录!AA650*交易记录!AA681+交易记录!AA714*交易记录!AA745+交易记录!AA778*交易记录!AA809+交易记录!AA842*交易记录!AA873+交易记录!AA906*交易记录!AA937)/Z77)</f>
        <v>372</v>
      </c>
      <c r="AA110" s="14">
        <f>IF(AA77=0,"",(交易记录!AB10*交易记录!AB41+交易记录!AB74*交易记录!AB105+交易记录!AB138*交易记录!AB169+交易记录!AB202*交易记录!AB233+交易记录!AB266*交易记录!AB297+交易记录!AB330*交易记录!AB361+交易记录!AB394*交易记录!AB425+交易记录!AB458*交易记录!AB489+交易记录!AB522*交易记录!AB553+交易记录!AB586*交易记录!AB617+交易记录!AB650*交易记录!AB681+交易记录!AB714*交易记录!AB745+交易记录!AB778*交易记录!AB809+交易记录!AB842*交易记录!AB873+交易记录!AB906*交易记录!AB937)/AA77)</f>
        <v>372</v>
      </c>
      <c r="AB110" s="14">
        <f>IF(AB77=0,"",(交易记录!AC10*交易记录!AC41+交易记录!AC74*交易记录!AC105+交易记录!AC138*交易记录!AC169+交易记录!AC202*交易记录!AC233+交易记录!AC266*交易记录!AC297+交易记录!AC330*交易记录!AC361+交易记录!AC394*交易记录!AC425+交易记录!AC458*交易记录!AC489+交易记录!AC522*交易记录!AC553+交易记录!AC586*交易记录!AC617+交易记录!AC650*交易记录!AC681+交易记录!AC714*交易记录!AC745+交易记录!AC778*交易记录!AC809+交易记录!AC842*交易记录!AC873+交易记录!AC906*交易记录!AC937)/AB77)</f>
        <v>372</v>
      </c>
      <c r="AC110" s="14">
        <f>IF(AC77=0,"",(交易记录!AD10*交易记录!AD41+交易记录!AD74*交易记录!AD105+交易记录!AD138*交易记录!AD169+交易记录!AD202*交易记录!AD233+交易记录!AD266*交易记录!AD297+交易记录!AD330*交易记录!AD361+交易记录!AD394*交易记录!AD425+交易记录!AD458*交易记录!AD489+交易记录!AD522*交易记录!AD553+交易记录!AD586*交易记录!AD617+交易记录!AD650*交易记录!AD681+交易记录!AD714*交易记录!AD745+交易记录!AD778*交易记录!AD809+交易记录!AD842*交易记录!AD873+交易记录!AD906*交易记录!AD937)/AC77)</f>
        <v>372</v>
      </c>
      <c r="AD110" s="14">
        <f>IF(AD77=0,"",(交易记录!AE10*交易记录!AE41+交易记录!AE74*交易记录!AE105+交易记录!AE138*交易记录!AE169+交易记录!AE202*交易记录!AE233+交易记录!AE266*交易记录!AE297+交易记录!AE330*交易记录!AE361+交易记录!AE394*交易记录!AE425+交易记录!AE458*交易记录!AE489+交易记录!AE522*交易记录!AE553+交易记录!AE586*交易记录!AE617+交易记录!AE650*交易记录!AE681+交易记录!AE714*交易记录!AE745+交易记录!AE778*交易记录!AE809+交易记录!AE842*交易记录!AE873+交易记录!AE906*交易记录!AE937)/AD77)</f>
        <v>372</v>
      </c>
      <c r="AE110" s="14">
        <f>IF(AE77=0,"",(交易记录!AF10*交易记录!AF41+交易记录!AF74*交易记录!AF105+交易记录!AF138*交易记录!AF169+交易记录!AF202*交易记录!AF233+交易记录!AF266*交易记录!AF297+交易记录!AF330*交易记录!AF361+交易记录!AF394*交易记录!AF425+交易记录!AF458*交易记录!AF489+交易记录!AF522*交易记录!AF553+交易记录!AF586*交易记录!AF617+交易记录!AF650*交易记录!AF681+交易记录!AF714*交易记录!AF745+交易记录!AF778*交易记录!AF809+交易记录!AF842*交易记录!AF873+交易记录!AF906*交易记录!AF937)/AE77)</f>
        <v>372</v>
      </c>
      <c r="AF110" s="14">
        <f>IF(AF77=0,"",(交易记录!AG10*交易记录!AG41+交易记录!AG74*交易记录!AG105+交易记录!AG138*交易记录!AG169+交易记录!AG202*交易记录!AG233+交易记录!AG266*交易记录!AG297+交易记录!AG330*交易记录!AG361+交易记录!AG394*交易记录!AG425+交易记录!AG458*交易记录!AG489+交易记录!AG522*交易记录!AG553+交易记录!AG586*交易记录!AG617+交易记录!AG650*交易记录!AG681+交易记录!AG714*交易记录!AG745+交易记录!AG778*交易记录!AG809+交易记录!AG842*交易记录!AG873+交易记录!AG906*交易记录!AG937)/AF77)</f>
        <v>372</v>
      </c>
      <c r="AG110" s="14">
        <f>IF(AG77=0,"",(交易记录!AH10*交易记录!AH41+交易记录!AH74*交易记录!AH105+交易记录!AH138*交易记录!AH169+交易记录!AH202*交易记录!AH233+交易记录!AH266*交易记录!AH297+交易记录!AH330*交易记录!AH361+交易记录!AH394*交易记录!AH425+交易记录!AH458*交易记录!AH489+交易记录!AH522*交易记录!AH553+交易记录!AH586*交易记录!AH617+交易记录!AH650*交易记录!AH681+交易记录!AH714*交易记录!AH745+交易记录!AH778*交易记录!AH809+交易记录!AH842*交易记录!AH873+交易记录!AH906*交易记录!AH937)/AG77)</f>
        <v>372</v>
      </c>
    </row>
    <row r="111" spans="2:33" s="3" customFormat="1" ht="15">
      <c r="B111" s="7" t="s">
        <v>12</v>
      </c>
      <c r="C111" s="14">
        <f>IF(C78=0,"",(交易记录!D11*交易记录!D42+交易记录!D75*交易记录!D106+交易记录!D139*交易记录!D170+交易记录!D203*交易记录!D234+交易记录!D267*交易记录!D298+交易记录!D331*交易记录!D362+交易记录!D395*交易记录!D426+交易记录!D459*交易记录!D490+交易记录!D523*交易记录!D554+交易记录!D587*交易记录!D618+交易记录!D651*交易记录!D682+交易记录!D715*交易记录!D746+交易记录!D779*交易记录!D810+交易记录!D843*交易记录!D874+交易记录!D907*交易记录!D938)/C78)</f>
        <v>372</v>
      </c>
      <c r="D111" s="14">
        <f>IF(D78=0,"",(交易记录!E11*交易记录!E42+交易记录!E75*交易记录!E106+交易记录!E139*交易记录!E170+交易记录!E203*交易记录!E234+交易记录!E267*交易记录!E298+交易记录!E331*交易记录!E362+交易记录!E395*交易记录!E426+交易记录!E459*交易记录!E490+交易记录!E523*交易记录!E554+交易记录!E587*交易记录!E618+交易记录!E651*交易记录!E682+交易记录!E715*交易记录!E746+交易记录!E779*交易记录!E810+交易记录!E843*交易记录!E874+交易记录!E907*交易记录!E938)/D78)</f>
        <v>372</v>
      </c>
      <c r="E111" s="14">
        <f>IF(E78=0,"",(交易记录!F11*交易记录!F42+交易记录!F75*交易记录!F106+交易记录!F139*交易记录!F170+交易记录!F203*交易记录!F234+交易记录!F267*交易记录!F298+交易记录!F331*交易记录!F362+交易记录!F395*交易记录!F426+交易记录!F459*交易记录!F490+交易记录!F523*交易记录!F554+交易记录!F587*交易记录!F618+交易记录!F651*交易记录!F682+交易记录!F715*交易记录!F746+交易记录!F779*交易记录!F810+交易记录!F843*交易记录!F874+交易记录!F907*交易记录!F938)/E78)</f>
        <v>372</v>
      </c>
      <c r="F111" s="14">
        <f>IF(F78=0,"",(交易记录!G11*交易记录!G42+交易记录!G75*交易记录!G106+交易记录!G139*交易记录!G170+交易记录!G203*交易记录!G234+交易记录!G267*交易记录!G298+交易记录!G331*交易记录!G362+交易记录!G395*交易记录!G426+交易记录!G459*交易记录!G490+交易记录!G523*交易记录!G554+交易记录!G587*交易记录!G618+交易记录!G651*交易记录!G682+交易记录!G715*交易记录!G746+交易记录!G779*交易记录!G810+交易记录!G843*交易记录!G874+交易记录!G907*交易记录!G938)/F78)</f>
        <v>372</v>
      </c>
      <c r="G111" s="14">
        <f>IF(G78=0,"",(交易记录!H11*交易记录!H42+交易记录!H75*交易记录!H106+交易记录!H139*交易记录!H170+交易记录!H203*交易记录!H234+交易记录!H267*交易记录!H298+交易记录!H331*交易记录!H362+交易记录!H395*交易记录!H426+交易记录!H459*交易记录!H490+交易记录!H523*交易记录!H554+交易记录!H587*交易记录!H618+交易记录!H651*交易记录!H682+交易记录!H715*交易记录!H746+交易记录!H779*交易记录!H810+交易记录!H843*交易记录!H874+交易记录!H907*交易记录!H938)/G78)</f>
        <v>372.00000000000006</v>
      </c>
      <c r="H111" s="14">
        <f>IF(H78=0,"",(交易记录!I11*交易记录!I42+交易记录!I75*交易记录!I106+交易记录!I139*交易记录!I170+交易记录!I203*交易记录!I234+交易记录!I267*交易记录!I298+交易记录!I331*交易记录!I362+交易记录!I395*交易记录!I426+交易记录!I459*交易记录!I490+交易记录!I523*交易记录!I554+交易记录!I587*交易记录!I618+交易记录!I651*交易记录!I682+交易记录!I715*交易记录!I746+交易记录!I779*交易记录!I810+交易记录!I843*交易记录!I874+交易记录!I907*交易记录!I938)/H78)</f>
        <v>372.00000000000006</v>
      </c>
      <c r="I111" s="14">
        <f>IF(I78=0,"",(交易记录!J11*交易记录!J42+交易记录!J75*交易记录!J106+交易记录!J139*交易记录!J170+交易记录!J203*交易记录!J234+交易记录!J267*交易记录!J298+交易记录!J331*交易记录!J362+交易记录!J395*交易记录!J426+交易记录!J459*交易记录!J490+交易记录!J523*交易记录!J554+交易记录!J587*交易记录!J618+交易记录!J651*交易记录!J682+交易记录!J715*交易记录!J746+交易记录!J779*交易记录!J810+交易记录!J843*交易记录!J874+交易记录!J907*交易记录!J938)/I78)</f>
        <v>372</v>
      </c>
      <c r="J111" s="14">
        <f>IF(J78=0,"",(交易记录!K11*交易记录!K42+交易记录!K75*交易记录!K106+交易记录!K139*交易记录!K170+交易记录!K203*交易记录!K234+交易记录!K267*交易记录!K298+交易记录!K331*交易记录!K362+交易记录!K395*交易记录!K426+交易记录!K459*交易记录!K490+交易记录!K523*交易记录!K554+交易记录!K587*交易记录!K618+交易记录!K651*交易记录!K682+交易记录!K715*交易记录!K746+交易记录!K779*交易记录!K810+交易记录!K843*交易记录!K874+交易记录!K907*交易记录!K938)/J78)</f>
        <v>372</v>
      </c>
      <c r="K111" s="14">
        <f>IF(K78=0,"",(交易记录!L11*交易记录!L42+交易记录!L75*交易记录!L106+交易记录!L139*交易记录!L170+交易记录!L203*交易记录!L234+交易记录!L267*交易记录!L298+交易记录!L331*交易记录!L362+交易记录!L395*交易记录!L426+交易记录!L459*交易记录!L490+交易记录!L523*交易记录!L554+交易记录!L587*交易记录!L618+交易记录!L651*交易记录!L682+交易记录!L715*交易记录!L746+交易记录!L779*交易记录!L810+交易记录!L843*交易记录!L874+交易记录!L907*交易记录!L938)/K78)</f>
        <v>372</v>
      </c>
      <c r="L111" s="14">
        <f>IF(L78=0,"",(交易记录!M11*交易记录!M42+交易记录!M75*交易记录!M106+交易记录!M139*交易记录!M170+交易记录!M203*交易记录!M234+交易记录!M267*交易记录!M298+交易记录!M331*交易记录!M362+交易记录!M395*交易记录!M426+交易记录!M459*交易记录!M490+交易记录!M523*交易记录!M554+交易记录!M587*交易记录!M618+交易记录!M651*交易记录!M682+交易记录!M715*交易记录!M746+交易记录!M779*交易记录!M810+交易记录!M843*交易记录!M874+交易记录!M907*交易记录!M938)/L78)</f>
        <v>372</v>
      </c>
      <c r="M111" s="14">
        <f>IF(M78=0,"",(交易记录!N11*交易记录!N42+交易记录!N75*交易记录!N106+交易记录!N139*交易记录!N170+交易记录!N203*交易记录!N234+交易记录!N267*交易记录!N298+交易记录!N331*交易记录!N362+交易记录!N395*交易记录!N426+交易记录!N459*交易记录!N490+交易记录!N523*交易记录!N554+交易记录!N587*交易记录!N618+交易记录!N651*交易记录!N682+交易记录!N715*交易记录!N746+交易记录!N779*交易记录!N810+交易记录!N843*交易记录!N874+交易记录!N907*交易记录!N938)/M78)</f>
        <v>372</v>
      </c>
      <c r="N111" s="14">
        <f>IF(N78=0,"",(交易记录!O11*交易记录!O42+交易记录!O75*交易记录!O106+交易记录!O139*交易记录!O170+交易记录!O203*交易记录!O234+交易记录!O267*交易记录!O298+交易记录!O331*交易记录!O362+交易记录!O395*交易记录!O426+交易记录!O459*交易记录!O490+交易记录!O523*交易记录!O554+交易记录!O587*交易记录!O618+交易记录!O651*交易记录!O682+交易记录!O715*交易记录!O746+交易记录!O779*交易记录!O810+交易记录!O843*交易记录!O874+交易记录!O907*交易记录!O938)/N78)</f>
        <v>372.00000000000006</v>
      </c>
      <c r="O111" s="14">
        <f>IF(O78=0,"",(交易记录!P11*交易记录!P42+交易记录!P75*交易记录!P106+交易记录!P139*交易记录!P170+交易记录!P203*交易记录!P234+交易记录!P267*交易记录!P298+交易记录!P331*交易记录!P362+交易记录!P395*交易记录!P426+交易记录!P459*交易记录!P490+交易记录!P523*交易记录!P554+交易记录!P587*交易记录!P618+交易记录!P651*交易记录!P682+交易记录!P715*交易记录!P746+交易记录!P779*交易记录!P810+交易记录!P843*交易记录!P874+交易记录!P907*交易记录!P938)/O78)</f>
        <v>372.00000000000006</v>
      </c>
      <c r="P111" s="14">
        <f>IF(P78=0,"",(交易记录!Q11*交易记录!Q42+交易记录!Q75*交易记录!Q106+交易记录!Q139*交易记录!Q170+交易记录!Q203*交易记录!Q234+交易记录!Q267*交易记录!Q298+交易记录!Q331*交易记录!Q362+交易记录!Q395*交易记录!Q426+交易记录!Q459*交易记录!Q490+交易记录!Q523*交易记录!Q554+交易记录!Q587*交易记录!Q618+交易记录!Q651*交易记录!Q682+交易记录!Q715*交易记录!Q746+交易记录!Q779*交易记录!Q810+交易记录!Q843*交易记录!Q874+交易记录!Q907*交易记录!Q938)/P78)</f>
        <v>372</v>
      </c>
      <c r="Q111" s="14">
        <f>IF(Q78=0,"",(交易记录!R11*交易记录!R42+交易记录!R75*交易记录!R106+交易记录!R139*交易记录!R170+交易记录!R203*交易记录!R234+交易记录!R267*交易记录!R298+交易记录!R331*交易记录!R362+交易记录!R395*交易记录!R426+交易记录!R459*交易记录!R490+交易记录!R523*交易记录!R554+交易记录!R587*交易记录!R618+交易记录!R651*交易记录!R682+交易记录!R715*交易记录!R746+交易记录!R779*交易记录!R810+交易记录!R843*交易记录!R874+交易记录!R907*交易记录!R938)/Q78)</f>
        <v>372</v>
      </c>
      <c r="R111" s="14">
        <f>IF(R78=0,"",(交易记录!S11*交易记录!S42+交易记录!S75*交易记录!S106+交易记录!S139*交易记录!S170+交易记录!S203*交易记录!S234+交易记录!S267*交易记录!S298+交易记录!S331*交易记录!S362+交易记录!S395*交易记录!S426+交易记录!S459*交易记录!S490+交易记录!S523*交易记录!S554+交易记录!S587*交易记录!S618+交易记录!S651*交易记录!S682+交易记录!S715*交易记录!S746+交易记录!S779*交易记录!S810+交易记录!S843*交易记录!S874+交易记录!S907*交易记录!S938)/R78)</f>
        <v>372</v>
      </c>
      <c r="S111" s="14">
        <f>IF(S78=0,"",(交易记录!T11*交易记录!T42+交易记录!T75*交易记录!T106+交易记录!T139*交易记录!T170+交易记录!T203*交易记录!T234+交易记录!T267*交易记录!T298+交易记录!T331*交易记录!T362+交易记录!T395*交易记录!T426+交易记录!T459*交易记录!T490+交易记录!T523*交易记录!T554+交易记录!T587*交易记录!T618+交易记录!T651*交易记录!T682+交易记录!T715*交易记录!T746+交易记录!T779*交易记录!T810+交易记录!T843*交易记录!T874+交易记录!T907*交易记录!T938)/S78)</f>
        <v>372</v>
      </c>
      <c r="T111" s="14">
        <f>IF(T78=0,"",(交易记录!U11*交易记录!U42+交易记录!U75*交易记录!U106+交易记录!U139*交易记录!U170+交易记录!U203*交易记录!U234+交易记录!U267*交易记录!U298+交易记录!U331*交易记录!U362+交易记录!U395*交易记录!U426+交易记录!U459*交易记录!U490+交易记录!U523*交易记录!U554+交易记录!U587*交易记录!U618+交易记录!U651*交易记录!U682+交易记录!U715*交易记录!U746+交易记录!U779*交易记录!U810+交易记录!U843*交易记录!U874+交易记录!U907*交易记录!U938)/T78)</f>
        <v>372</v>
      </c>
      <c r="U111" s="14">
        <f>IF(U78=0,"",(交易记录!V11*交易记录!V42+交易记录!V75*交易记录!V106+交易记录!V139*交易记录!V170+交易记录!V203*交易记录!V234+交易记录!V267*交易记录!V298+交易记录!V331*交易记录!V362+交易记录!V395*交易记录!V426+交易记录!V459*交易记录!V490+交易记录!V523*交易记录!V554+交易记录!V587*交易记录!V618+交易记录!V651*交易记录!V682+交易记录!V715*交易记录!V746+交易记录!V779*交易记录!V810+交易记录!V843*交易记录!V874+交易记录!V907*交易记录!V938)/U78)</f>
        <v>372.00000000000006</v>
      </c>
      <c r="V111" s="14">
        <f>IF(V78=0,"",(交易记录!W11*交易记录!W42+交易记录!W75*交易记录!W106+交易记录!W139*交易记录!W170+交易记录!W203*交易记录!W234+交易记录!W267*交易记录!W298+交易记录!W331*交易记录!W362+交易记录!W395*交易记录!W426+交易记录!W459*交易记录!W490+交易记录!W523*交易记录!W554+交易记录!W587*交易记录!W618+交易记录!W651*交易记录!W682+交易记录!W715*交易记录!W746+交易记录!W779*交易记录!W810+交易记录!W843*交易记录!W874+交易记录!W907*交易记录!W938)/V78)</f>
        <v>372.00000000000006</v>
      </c>
      <c r="W111" s="14">
        <f>IF(W78=0,"",(交易记录!X11*交易记录!X42+交易记录!X75*交易记录!X106+交易记录!X139*交易记录!X170+交易记录!X203*交易记录!X234+交易记录!X267*交易记录!X298+交易记录!X331*交易记录!X362+交易记录!X395*交易记录!X426+交易记录!X459*交易记录!X490+交易记录!X523*交易记录!X554+交易记录!X587*交易记录!X618+交易记录!X651*交易记录!X682+交易记录!X715*交易记录!X746+交易记录!X779*交易记录!X810+交易记录!X843*交易记录!X874+交易记录!X907*交易记录!X938)/W78)</f>
        <v>372</v>
      </c>
      <c r="X111" s="14">
        <f>IF(X78=0,"",(交易记录!Y11*交易记录!Y42+交易记录!Y75*交易记录!Y106+交易记录!Y139*交易记录!Y170+交易记录!Y203*交易记录!Y234+交易记录!Y267*交易记录!Y298+交易记录!Y331*交易记录!Y362+交易记录!Y395*交易记录!Y426+交易记录!Y459*交易记录!Y490+交易记录!Y523*交易记录!Y554+交易记录!Y587*交易记录!Y618+交易记录!Y651*交易记录!Y682+交易记录!Y715*交易记录!Y746+交易记录!Y779*交易记录!Y810+交易记录!Y843*交易记录!Y874+交易记录!Y907*交易记录!Y938)/X78)</f>
        <v>372</v>
      </c>
      <c r="Y111" s="14">
        <f>IF(Y78=0,"",(交易记录!Z11*交易记录!Z42+交易记录!Z75*交易记录!Z106+交易记录!Z139*交易记录!Z170+交易记录!Z203*交易记录!Z234+交易记录!Z267*交易记录!Z298+交易记录!Z331*交易记录!Z362+交易记录!Z395*交易记录!Z426+交易记录!Z459*交易记录!Z490+交易记录!Z523*交易记录!Z554+交易记录!Z587*交易记录!Z618+交易记录!Z651*交易记录!Z682+交易记录!Z715*交易记录!Z746+交易记录!Z779*交易记录!Z810+交易记录!Z843*交易记录!Z874+交易记录!Z907*交易记录!Z938)/Y78)</f>
        <v>372</v>
      </c>
      <c r="Z111" s="14">
        <f>IF(Z78=0,"",(交易记录!AA11*交易记录!AA42+交易记录!AA75*交易记录!AA106+交易记录!AA139*交易记录!AA170+交易记录!AA203*交易记录!AA234+交易记录!AA267*交易记录!AA298+交易记录!AA331*交易记录!AA362+交易记录!AA395*交易记录!AA426+交易记录!AA459*交易记录!AA490+交易记录!AA523*交易记录!AA554+交易记录!AA587*交易记录!AA618+交易记录!AA651*交易记录!AA682+交易记录!AA715*交易记录!AA746+交易记录!AA779*交易记录!AA810+交易记录!AA843*交易记录!AA874+交易记录!AA907*交易记录!AA938)/Z78)</f>
        <v>372</v>
      </c>
      <c r="AA111" s="14">
        <f>IF(AA78=0,"",(交易记录!AB11*交易记录!AB42+交易记录!AB75*交易记录!AB106+交易记录!AB139*交易记录!AB170+交易记录!AB203*交易记录!AB234+交易记录!AB267*交易记录!AB298+交易记录!AB331*交易记录!AB362+交易记录!AB395*交易记录!AB426+交易记录!AB459*交易记录!AB490+交易记录!AB523*交易记录!AB554+交易记录!AB587*交易记录!AB618+交易记录!AB651*交易记录!AB682+交易记录!AB715*交易记录!AB746+交易记录!AB779*交易记录!AB810+交易记录!AB843*交易记录!AB874+交易记录!AB907*交易记录!AB938)/AA78)</f>
        <v>372</v>
      </c>
      <c r="AB111" s="14">
        <f>IF(AB78=0,"",(交易记录!AC11*交易记录!AC42+交易记录!AC75*交易记录!AC106+交易记录!AC139*交易记录!AC170+交易记录!AC203*交易记录!AC234+交易记录!AC267*交易记录!AC298+交易记录!AC331*交易记录!AC362+交易记录!AC395*交易记录!AC426+交易记录!AC459*交易记录!AC490+交易记录!AC523*交易记录!AC554+交易记录!AC587*交易记录!AC618+交易记录!AC651*交易记录!AC682+交易记录!AC715*交易记录!AC746+交易记录!AC779*交易记录!AC810+交易记录!AC843*交易记录!AC874+交易记录!AC907*交易记录!AC938)/AB78)</f>
        <v>372.00000000000006</v>
      </c>
      <c r="AC111" s="14">
        <f>IF(AC78=0,"",(交易记录!AD11*交易记录!AD42+交易记录!AD75*交易记录!AD106+交易记录!AD139*交易记录!AD170+交易记录!AD203*交易记录!AD234+交易记录!AD267*交易记录!AD298+交易记录!AD331*交易记录!AD362+交易记录!AD395*交易记录!AD426+交易记录!AD459*交易记录!AD490+交易记录!AD523*交易记录!AD554+交易记录!AD587*交易记录!AD618+交易记录!AD651*交易记录!AD682+交易记录!AD715*交易记录!AD746+交易记录!AD779*交易记录!AD810+交易记录!AD843*交易记录!AD874+交易记录!AD907*交易记录!AD938)/AC78)</f>
        <v>372.00000000000006</v>
      </c>
      <c r="AD111" s="14">
        <f>IF(AD78=0,"",(交易记录!AE11*交易记录!AE42+交易记录!AE75*交易记录!AE106+交易记录!AE139*交易记录!AE170+交易记录!AE203*交易记录!AE234+交易记录!AE267*交易记录!AE298+交易记录!AE331*交易记录!AE362+交易记录!AE395*交易记录!AE426+交易记录!AE459*交易记录!AE490+交易记录!AE523*交易记录!AE554+交易记录!AE587*交易记录!AE618+交易记录!AE651*交易记录!AE682+交易记录!AE715*交易记录!AE746+交易记录!AE779*交易记录!AE810+交易记录!AE843*交易记录!AE874+交易记录!AE907*交易记录!AE938)/AD78)</f>
        <v>372</v>
      </c>
      <c r="AE111" s="14">
        <f>IF(AE78=0,"",(交易记录!AF11*交易记录!AF42+交易记录!AF75*交易记录!AF106+交易记录!AF139*交易记录!AF170+交易记录!AF203*交易记录!AF234+交易记录!AF267*交易记录!AF298+交易记录!AF331*交易记录!AF362+交易记录!AF395*交易记录!AF426+交易记录!AF459*交易记录!AF490+交易记录!AF523*交易记录!AF554+交易记录!AF587*交易记录!AF618+交易记录!AF651*交易记录!AF682+交易记录!AF715*交易记录!AF746+交易记录!AF779*交易记录!AF810+交易记录!AF843*交易记录!AF874+交易记录!AF907*交易记录!AF938)/AE78)</f>
        <v>372</v>
      </c>
      <c r="AF111" s="14">
        <f>IF(AF78=0,"",(交易记录!AG11*交易记录!AG42+交易记录!AG75*交易记录!AG106+交易记录!AG139*交易记录!AG170+交易记录!AG203*交易记录!AG234+交易记录!AG267*交易记录!AG298+交易记录!AG331*交易记录!AG362+交易记录!AG395*交易记录!AG426+交易记录!AG459*交易记录!AG490+交易记录!AG523*交易记录!AG554+交易记录!AG587*交易记录!AG618+交易记录!AG651*交易记录!AG682+交易记录!AG715*交易记录!AG746+交易记录!AG779*交易记录!AG810+交易记录!AG843*交易记录!AG874+交易记录!AG907*交易记录!AG938)/AF78)</f>
        <v>372</v>
      </c>
      <c r="AG111" s="14">
        <f>IF(AG78=0,"",(交易记录!AH11*交易记录!AH42+交易记录!AH75*交易记录!AH106+交易记录!AH139*交易记录!AH170+交易记录!AH203*交易记录!AH234+交易记录!AH267*交易记录!AH298+交易记录!AH331*交易记录!AH362+交易记录!AH395*交易记录!AH426+交易记录!AH459*交易记录!AH490+交易记录!AH523*交易记录!AH554+交易记录!AH587*交易记录!AH618+交易记录!AH651*交易记录!AH682+交易记录!AH715*交易记录!AH746+交易记录!AH779*交易记录!AH810+交易记录!AH843*交易记录!AH874+交易记录!AH907*交易记录!AH938)/AG78)</f>
        <v>372</v>
      </c>
    </row>
    <row r="112" spans="2:33" s="3" customFormat="1" ht="15">
      <c r="B112" s="7" t="s">
        <v>13</v>
      </c>
      <c r="C112" s="14">
        <f>IF(C79=0,"",(交易记录!D12*交易记录!D43+交易记录!D76*交易记录!D107+交易记录!D140*交易记录!D171+交易记录!D204*交易记录!D235+交易记录!D268*交易记录!D299+交易记录!D332*交易记录!D363+交易记录!D396*交易记录!D427+交易记录!D460*交易记录!D491+交易记录!D524*交易记录!D555+交易记录!D588*交易记录!D619+交易记录!D652*交易记录!D683+交易记录!D716*交易记录!D747+交易记录!D780*交易记录!D811+交易记录!D844*交易记录!D875+交易记录!D908*交易记录!D939)/C79)</f>
        <v>372</v>
      </c>
      <c r="D112" s="14">
        <f>IF(D79=0,"",(交易记录!E12*交易记录!E43+交易记录!E76*交易记录!E107+交易记录!E140*交易记录!E171+交易记录!E204*交易记录!E235+交易记录!E268*交易记录!E299+交易记录!E332*交易记录!E363+交易记录!E396*交易记录!E427+交易记录!E460*交易记录!E491+交易记录!E524*交易记录!E555+交易记录!E588*交易记录!E619+交易记录!E652*交易记录!E683+交易记录!E716*交易记录!E747+交易记录!E780*交易记录!E811+交易记录!E844*交易记录!E875+交易记录!E908*交易记录!E939)/D79)</f>
        <v>372</v>
      </c>
      <c r="E112" s="14">
        <f>IF(E79=0,"",(交易记录!F12*交易记录!F43+交易记录!F76*交易记录!F107+交易记录!F140*交易记录!F171+交易记录!F204*交易记录!F235+交易记录!F268*交易记录!F299+交易记录!F332*交易记录!F363+交易记录!F396*交易记录!F427+交易记录!F460*交易记录!F491+交易记录!F524*交易记录!F555+交易记录!F588*交易记录!F619+交易记录!F652*交易记录!F683+交易记录!F716*交易记录!F747+交易记录!F780*交易记录!F811+交易记录!F844*交易记录!F875+交易记录!F908*交易记录!F939)/E79)</f>
        <v>372</v>
      </c>
      <c r="F112" s="14">
        <f>IF(F79=0,"",(交易记录!G12*交易记录!G43+交易记录!G76*交易记录!G107+交易记录!G140*交易记录!G171+交易记录!G204*交易记录!G235+交易记录!G268*交易记录!G299+交易记录!G332*交易记录!G363+交易记录!G396*交易记录!G427+交易记录!G460*交易记录!G491+交易记录!G524*交易记录!G555+交易记录!G588*交易记录!G619+交易记录!G652*交易记录!G683+交易记录!G716*交易记录!G747+交易记录!G780*交易记录!G811+交易记录!G844*交易记录!G875+交易记录!G908*交易记录!G939)/F79)</f>
        <v>372</v>
      </c>
      <c r="G112" s="14">
        <f>IF(G79=0,"",(交易记录!H12*交易记录!H43+交易记录!H76*交易记录!H107+交易记录!H140*交易记录!H171+交易记录!H204*交易记录!H235+交易记录!H268*交易记录!H299+交易记录!H332*交易记录!H363+交易记录!H396*交易记录!H427+交易记录!H460*交易记录!H491+交易记录!H524*交易记录!H555+交易记录!H588*交易记录!H619+交易记录!H652*交易记录!H683+交易记录!H716*交易记录!H747+交易记录!H780*交易记录!H811+交易记录!H844*交易记录!H875+交易记录!H908*交易记录!H939)/G79)</f>
        <v>372</v>
      </c>
      <c r="H112" s="14">
        <f>IF(H79=0,"",(交易记录!I12*交易记录!I43+交易记录!I76*交易记录!I107+交易记录!I140*交易记录!I171+交易记录!I204*交易记录!I235+交易记录!I268*交易记录!I299+交易记录!I332*交易记录!I363+交易记录!I396*交易记录!I427+交易记录!I460*交易记录!I491+交易记录!I524*交易记录!I555+交易记录!I588*交易记录!I619+交易记录!I652*交易记录!I683+交易记录!I716*交易记录!I747+交易记录!I780*交易记录!I811+交易记录!I844*交易记录!I875+交易记录!I908*交易记录!I939)/H79)</f>
        <v>372</v>
      </c>
      <c r="I112" s="14">
        <f>IF(I79=0,"",(交易记录!J12*交易记录!J43+交易记录!J76*交易记录!J107+交易记录!J140*交易记录!J171+交易记录!J204*交易记录!J235+交易记录!J268*交易记录!J299+交易记录!J332*交易记录!J363+交易记录!J396*交易记录!J427+交易记录!J460*交易记录!J491+交易记录!J524*交易记录!J555+交易记录!J588*交易记录!J619+交易记录!J652*交易记录!J683+交易记录!J716*交易记录!J747+交易记录!J780*交易记录!J811+交易记录!J844*交易记录!J875+交易记录!J908*交易记录!J939)/I79)</f>
        <v>372</v>
      </c>
      <c r="J112" s="14">
        <f>IF(J79=0,"",(交易记录!K12*交易记录!K43+交易记录!K76*交易记录!K107+交易记录!K140*交易记录!K171+交易记录!K204*交易记录!K235+交易记录!K268*交易记录!K299+交易记录!K332*交易记录!K363+交易记录!K396*交易记录!K427+交易记录!K460*交易记录!K491+交易记录!K524*交易记录!K555+交易记录!K588*交易记录!K619+交易记录!K652*交易记录!K683+交易记录!K716*交易记录!K747+交易记录!K780*交易记录!K811+交易记录!K844*交易记录!K875+交易记录!K908*交易记录!K939)/J79)</f>
        <v>372</v>
      </c>
      <c r="K112" s="14">
        <f>IF(K79=0,"",(交易记录!L12*交易记录!L43+交易记录!L76*交易记录!L107+交易记录!L140*交易记录!L171+交易记录!L204*交易记录!L235+交易记录!L268*交易记录!L299+交易记录!L332*交易记录!L363+交易记录!L396*交易记录!L427+交易记录!L460*交易记录!L491+交易记录!L524*交易记录!L555+交易记录!L588*交易记录!L619+交易记录!L652*交易记录!L683+交易记录!L716*交易记录!L747+交易记录!L780*交易记录!L811+交易记录!L844*交易记录!L875+交易记录!L908*交易记录!L939)/K79)</f>
        <v>372</v>
      </c>
      <c r="L112" s="14">
        <f>IF(L79=0,"",(交易记录!M12*交易记录!M43+交易记录!M76*交易记录!M107+交易记录!M140*交易记录!M171+交易记录!M204*交易记录!M235+交易记录!M268*交易记录!M299+交易记录!M332*交易记录!M363+交易记录!M396*交易记录!M427+交易记录!M460*交易记录!M491+交易记录!M524*交易记录!M555+交易记录!M588*交易记录!M619+交易记录!M652*交易记录!M683+交易记录!M716*交易记录!M747+交易记录!M780*交易记录!M811+交易记录!M844*交易记录!M875+交易记录!M908*交易记录!M939)/L79)</f>
        <v>372</v>
      </c>
      <c r="M112" s="14">
        <f>IF(M79=0,"",(交易记录!N12*交易记录!N43+交易记录!N76*交易记录!N107+交易记录!N140*交易记录!N171+交易记录!N204*交易记录!N235+交易记录!N268*交易记录!N299+交易记录!N332*交易记录!N363+交易记录!N396*交易记录!N427+交易记录!N460*交易记录!N491+交易记录!N524*交易记录!N555+交易记录!N588*交易记录!N619+交易记录!N652*交易记录!N683+交易记录!N716*交易记录!N747+交易记录!N780*交易记录!N811+交易记录!N844*交易记录!N875+交易记录!N908*交易记录!N939)/M79)</f>
        <v>372</v>
      </c>
      <c r="N112" s="14">
        <f>IF(N79=0,"",(交易记录!O12*交易记录!O43+交易记录!O76*交易记录!O107+交易记录!O140*交易记录!O171+交易记录!O204*交易记录!O235+交易记录!O268*交易记录!O299+交易记录!O332*交易记录!O363+交易记录!O396*交易记录!O427+交易记录!O460*交易记录!O491+交易记录!O524*交易记录!O555+交易记录!O588*交易记录!O619+交易记录!O652*交易记录!O683+交易记录!O716*交易记录!O747+交易记录!O780*交易记录!O811+交易记录!O844*交易记录!O875+交易记录!O908*交易记录!O939)/N79)</f>
        <v>372</v>
      </c>
      <c r="O112" s="14">
        <f>IF(O79=0,"",(交易记录!P12*交易记录!P43+交易记录!P76*交易记录!P107+交易记录!P140*交易记录!P171+交易记录!P204*交易记录!P235+交易记录!P268*交易记录!P299+交易记录!P332*交易记录!P363+交易记录!P396*交易记录!P427+交易记录!P460*交易记录!P491+交易记录!P524*交易记录!P555+交易记录!P588*交易记录!P619+交易记录!P652*交易记录!P683+交易记录!P716*交易记录!P747+交易记录!P780*交易记录!P811+交易记录!P844*交易记录!P875+交易记录!P908*交易记录!P939)/O79)</f>
        <v>372</v>
      </c>
      <c r="P112" s="14">
        <f>IF(P79=0,"",(交易记录!Q12*交易记录!Q43+交易记录!Q76*交易记录!Q107+交易记录!Q140*交易记录!Q171+交易记录!Q204*交易记录!Q235+交易记录!Q268*交易记录!Q299+交易记录!Q332*交易记录!Q363+交易记录!Q396*交易记录!Q427+交易记录!Q460*交易记录!Q491+交易记录!Q524*交易记录!Q555+交易记录!Q588*交易记录!Q619+交易记录!Q652*交易记录!Q683+交易记录!Q716*交易记录!Q747+交易记录!Q780*交易记录!Q811+交易记录!Q844*交易记录!Q875+交易记录!Q908*交易记录!Q939)/P79)</f>
        <v>372</v>
      </c>
      <c r="Q112" s="14">
        <f>IF(Q79=0,"",(交易记录!R12*交易记录!R43+交易记录!R76*交易记录!R107+交易记录!R140*交易记录!R171+交易记录!R204*交易记录!R235+交易记录!R268*交易记录!R299+交易记录!R332*交易记录!R363+交易记录!R396*交易记录!R427+交易记录!R460*交易记录!R491+交易记录!R524*交易记录!R555+交易记录!R588*交易记录!R619+交易记录!R652*交易记录!R683+交易记录!R716*交易记录!R747+交易记录!R780*交易记录!R811+交易记录!R844*交易记录!R875+交易记录!R908*交易记录!R939)/Q79)</f>
        <v>372</v>
      </c>
      <c r="R112" s="14">
        <f>IF(R79=0,"",(交易记录!S12*交易记录!S43+交易记录!S76*交易记录!S107+交易记录!S140*交易记录!S171+交易记录!S204*交易记录!S235+交易记录!S268*交易记录!S299+交易记录!S332*交易记录!S363+交易记录!S396*交易记录!S427+交易记录!S460*交易记录!S491+交易记录!S524*交易记录!S555+交易记录!S588*交易记录!S619+交易记录!S652*交易记录!S683+交易记录!S716*交易记录!S747+交易记录!S780*交易记录!S811+交易记录!S844*交易记录!S875+交易记录!S908*交易记录!S939)/R79)</f>
        <v>372</v>
      </c>
      <c r="S112" s="14">
        <f>IF(S79=0,"",(交易记录!T12*交易记录!T43+交易记录!T76*交易记录!T107+交易记录!T140*交易记录!T171+交易记录!T204*交易记录!T235+交易记录!T268*交易记录!T299+交易记录!T332*交易记录!T363+交易记录!T396*交易记录!T427+交易记录!T460*交易记录!T491+交易记录!T524*交易记录!T555+交易记录!T588*交易记录!T619+交易记录!T652*交易记录!T683+交易记录!T716*交易记录!T747+交易记录!T780*交易记录!T811+交易记录!T844*交易记录!T875+交易记录!T908*交易记录!T939)/S79)</f>
        <v>372</v>
      </c>
      <c r="T112" s="14">
        <f>IF(T79=0,"",(交易记录!U12*交易记录!U43+交易记录!U76*交易记录!U107+交易记录!U140*交易记录!U171+交易记录!U204*交易记录!U235+交易记录!U268*交易记录!U299+交易记录!U332*交易记录!U363+交易记录!U396*交易记录!U427+交易记录!U460*交易记录!U491+交易记录!U524*交易记录!U555+交易记录!U588*交易记录!U619+交易记录!U652*交易记录!U683+交易记录!U716*交易记录!U747+交易记录!U780*交易记录!U811+交易记录!U844*交易记录!U875+交易记录!U908*交易记录!U939)/T79)</f>
        <v>372</v>
      </c>
      <c r="U112" s="14">
        <f>IF(U79=0,"",(交易记录!V12*交易记录!V43+交易记录!V76*交易记录!V107+交易记录!V140*交易记录!V171+交易记录!V204*交易记录!V235+交易记录!V268*交易记录!V299+交易记录!V332*交易记录!V363+交易记录!V396*交易记录!V427+交易记录!V460*交易记录!V491+交易记录!V524*交易记录!V555+交易记录!V588*交易记录!V619+交易记录!V652*交易记录!V683+交易记录!V716*交易记录!V747+交易记录!V780*交易记录!V811+交易记录!V844*交易记录!V875+交易记录!V908*交易记录!V939)/U79)</f>
        <v>372</v>
      </c>
      <c r="V112" s="14">
        <f>IF(V79=0,"",(交易记录!W12*交易记录!W43+交易记录!W76*交易记录!W107+交易记录!W140*交易记录!W171+交易记录!W204*交易记录!W235+交易记录!W268*交易记录!W299+交易记录!W332*交易记录!W363+交易记录!W396*交易记录!W427+交易记录!W460*交易记录!W491+交易记录!W524*交易记录!W555+交易记录!W588*交易记录!W619+交易记录!W652*交易记录!W683+交易记录!W716*交易记录!W747+交易记录!W780*交易记录!W811+交易记录!W844*交易记录!W875+交易记录!W908*交易记录!W939)/V79)</f>
        <v>372</v>
      </c>
      <c r="W112" s="14">
        <f>IF(W79=0,"",(交易记录!X12*交易记录!X43+交易记录!X76*交易记录!X107+交易记录!X140*交易记录!X171+交易记录!X204*交易记录!X235+交易记录!X268*交易记录!X299+交易记录!X332*交易记录!X363+交易记录!X396*交易记录!X427+交易记录!X460*交易记录!X491+交易记录!X524*交易记录!X555+交易记录!X588*交易记录!X619+交易记录!X652*交易记录!X683+交易记录!X716*交易记录!X747+交易记录!X780*交易记录!X811+交易记录!X844*交易记录!X875+交易记录!X908*交易记录!X939)/W79)</f>
        <v>372</v>
      </c>
      <c r="X112" s="14">
        <f>IF(X79=0,"",(交易记录!Y12*交易记录!Y43+交易记录!Y76*交易记录!Y107+交易记录!Y140*交易记录!Y171+交易记录!Y204*交易记录!Y235+交易记录!Y268*交易记录!Y299+交易记录!Y332*交易记录!Y363+交易记录!Y396*交易记录!Y427+交易记录!Y460*交易记录!Y491+交易记录!Y524*交易记录!Y555+交易记录!Y588*交易记录!Y619+交易记录!Y652*交易记录!Y683+交易记录!Y716*交易记录!Y747+交易记录!Y780*交易记录!Y811+交易记录!Y844*交易记录!Y875+交易记录!Y908*交易记录!Y939)/X79)</f>
        <v>372</v>
      </c>
      <c r="Y112" s="14">
        <f>IF(Y79=0,"",(交易记录!Z12*交易记录!Z43+交易记录!Z76*交易记录!Z107+交易记录!Z140*交易记录!Z171+交易记录!Z204*交易记录!Z235+交易记录!Z268*交易记录!Z299+交易记录!Z332*交易记录!Z363+交易记录!Z396*交易记录!Z427+交易记录!Z460*交易记录!Z491+交易记录!Z524*交易记录!Z555+交易记录!Z588*交易记录!Z619+交易记录!Z652*交易记录!Z683+交易记录!Z716*交易记录!Z747+交易记录!Z780*交易记录!Z811+交易记录!Z844*交易记录!Z875+交易记录!Z908*交易记录!Z939)/Y79)</f>
        <v>372</v>
      </c>
      <c r="Z112" s="14">
        <f>IF(Z79=0,"",(交易记录!AA12*交易记录!AA43+交易记录!AA76*交易记录!AA107+交易记录!AA140*交易记录!AA171+交易记录!AA204*交易记录!AA235+交易记录!AA268*交易记录!AA299+交易记录!AA332*交易记录!AA363+交易记录!AA396*交易记录!AA427+交易记录!AA460*交易记录!AA491+交易记录!AA524*交易记录!AA555+交易记录!AA588*交易记录!AA619+交易记录!AA652*交易记录!AA683+交易记录!AA716*交易记录!AA747+交易记录!AA780*交易记录!AA811+交易记录!AA844*交易记录!AA875+交易记录!AA908*交易记录!AA939)/Z79)</f>
        <v>372</v>
      </c>
      <c r="AA112" s="14">
        <f>IF(AA79=0,"",(交易记录!AB12*交易记录!AB43+交易记录!AB76*交易记录!AB107+交易记录!AB140*交易记录!AB171+交易记录!AB204*交易记录!AB235+交易记录!AB268*交易记录!AB299+交易记录!AB332*交易记录!AB363+交易记录!AB396*交易记录!AB427+交易记录!AB460*交易记录!AB491+交易记录!AB524*交易记录!AB555+交易记录!AB588*交易记录!AB619+交易记录!AB652*交易记录!AB683+交易记录!AB716*交易记录!AB747+交易记录!AB780*交易记录!AB811+交易记录!AB844*交易记录!AB875+交易记录!AB908*交易记录!AB939)/AA79)</f>
        <v>372</v>
      </c>
      <c r="AB112" s="14">
        <f>IF(AB79=0,"",(交易记录!AC12*交易记录!AC43+交易记录!AC76*交易记录!AC107+交易记录!AC140*交易记录!AC171+交易记录!AC204*交易记录!AC235+交易记录!AC268*交易记录!AC299+交易记录!AC332*交易记录!AC363+交易记录!AC396*交易记录!AC427+交易记录!AC460*交易记录!AC491+交易记录!AC524*交易记录!AC555+交易记录!AC588*交易记录!AC619+交易记录!AC652*交易记录!AC683+交易记录!AC716*交易记录!AC747+交易记录!AC780*交易记录!AC811+交易记录!AC844*交易记录!AC875+交易记录!AC908*交易记录!AC939)/AB79)</f>
        <v>372</v>
      </c>
      <c r="AC112" s="14">
        <f>IF(AC79=0,"",(交易记录!AD12*交易记录!AD43+交易记录!AD76*交易记录!AD107+交易记录!AD140*交易记录!AD171+交易记录!AD204*交易记录!AD235+交易记录!AD268*交易记录!AD299+交易记录!AD332*交易记录!AD363+交易记录!AD396*交易记录!AD427+交易记录!AD460*交易记录!AD491+交易记录!AD524*交易记录!AD555+交易记录!AD588*交易记录!AD619+交易记录!AD652*交易记录!AD683+交易记录!AD716*交易记录!AD747+交易记录!AD780*交易记录!AD811+交易记录!AD844*交易记录!AD875+交易记录!AD908*交易记录!AD939)/AC79)</f>
        <v>372</v>
      </c>
      <c r="AD112" s="14">
        <f>IF(AD79=0,"",(交易记录!AE12*交易记录!AE43+交易记录!AE76*交易记录!AE107+交易记录!AE140*交易记录!AE171+交易记录!AE204*交易记录!AE235+交易记录!AE268*交易记录!AE299+交易记录!AE332*交易记录!AE363+交易记录!AE396*交易记录!AE427+交易记录!AE460*交易记录!AE491+交易记录!AE524*交易记录!AE555+交易记录!AE588*交易记录!AE619+交易记录!AE652*交易记录!AE683+交易记录!AE716*交易记录!AE747+交易记录!AE780*交易记录!AE811+交易记录!AE844*交易记录!AE875+交易记录!AE908*交易记录!AE939)/AD79)</f>
        <v>372</v>
      </c>
      <c r="AE112" s="14">
        <f>IF(AE79=0,"",(交易记录!AF12*交易记录!AF43+交易记录!AF76*交易记录!AF107+交易记录!AF140*交易记录!AF171+交易记录!AF204*交易记录!AF235+交易记录!AF268*交易记录!AF299+交易记录!AF332*交易记录!AF363+交易记录!AF396*交易记录!AF427+交易记录!AF460*交易记录!AF491+交易记录!AF524*交易记录!AF555+交易记录!AF588*交易记录!AF619+交易记录!AF652*交易记录!AF683+交易记录!AF716*交易记录!AF747+交易记录!AF780*交易记录!AF811+交易记录!AF844*交易记录!AF875+交易记录!AF908*交易记录!AF939)/AE79)</f>
        <v>372</v>
      </c>
      <c r="AF112" s="14">
        <f>IF(AF79=0,"",(交易记录!AG12*交易记录!AG43+交易记录!AG76*交易记录!AG107+交易记录!AG140*交易记录!AG171+交易记录!AG204*交易记录!AG235+交易记录!AG268*交易记录!AG299+交易记录!AG332*交易记录!AG363+交易记录!AG396*交易记录!AG427+交易记录!AG460*交易记录!AG491+交易记录!AG524*交易记录!AG555+交易记录!AG588*交易记录!AG619+交易记录!AG652*交易记录!AG683+交易记录!AG716*交易记录!AG747+交易记录!AG780*交易记录!AG811+交易记录!AG844*交易记录!AG875+交易记录!AG908*交易记录!AG939)/AF79)</f>
        <v>372</v>
      </c>
      <c r="AG112" s="14">
        <f>IF(AG79=0,"",(交易记录!AH12*交易记录!AH43+交易记录!AH76*交易记录!AH107+交易记录!AH140*交易记录!AH171+交易记录!AH204*交易记录!AH235+交易记录!AH268*交易记录!AH299+交易记录!AH332*交易记录!AH363+交易记录!AH396*交易记录!AH427+交易记录!AH460*交易记录!AH491+交易记录!AH524*交易记录!AH555+交易记录!AH588*交易记录!AH619+交易记录!AH652*交易记录!AH683+交易记录!AH716*交易记录!AH747+交易记录!AH780*交易记录!AH811+交易记录!AH844*交易记录!AH875+交易记录!AH908*交易记录!AH939)/AG79)</f>
        <v>372</v>
      </c>
    </row>
    <row r="113" spans="2:33" s="3" customFormat="1" ht="15">
      <c r="B113" s="7" t="s">
        <v>14</v>
      </c>
      <c r="C113" s="14">
        <f>IF(C80=0,"",(交易记录!D13*交易记录!D44+交易记录!D77*交易记录!D108+交易记录!D141*交易记录!D172+交易记录!D205*交易记录!D236+交易记录!D269*交易记录!D300+交易记录!D333*交易记录!D364+交易记录!D397*交易记录!D428+交易记录!D461*交易记录!D492+交易记录!D525*交易记录!D556+交易记录!D589*交易记录!D620+交易记录!D653*交易记录!D684+交易记录!D717*交易记录!D748+交易记录!D781*交易记录!D812+交易记录!D845*交易记录!D876+交易记录!D909*交易记录!D940)/C80)</f>
        <v>372</v>
      </c>
      <c r="D113" s="14">
        <f>IF(D80=0,"",(交易记录!E13*交易记录!E44+交易记录!E77*交易记录!E108+交易记录!E141*交易记录!E172+交易记录!E205*交易记录!E236+交易记录!E269*交易记录!E300+交易记录!E333*交易记录!E364+交易记录!E397*交易记录!E428+交易记录!E461*交易记录!E492+交易记录!E525*交易记录!E556+交易记录!E589*交易记录!E620+交易记录!E653*交易记录!E684+交易记录!E717*交易记录!E748+交易记录!E781*交易记录!E812+交易记录!E845*交易记录!E876+交易记录!E909*交易记录!E940)/D80)</f>
        <v>372</v>
      </c>
      <c r="E113" s="14">
        <f>IF(E80=0,"",(交易记录!F13*交易记录!F44+交易记录!F77*交易记录!F108+交易记录!F141*交易记录!F172+交易记录!F205*交易记录!F236+交易记录!F269*交易记录!F300+交易记录!F333*交易记录!F364+交易记录!F397*交易记录!F428+交易记录!F461*交易记录!F492+交易记录!F525*交易记录!F556+交易记录!F589*交易记录!F620+交易记录!F653*交易记录!F684+交易记录!F717*交易记录!F748+交易记录!F781*交易记录!F812+交易记录!F845*交易记录!F876+交易记录!F909*交易记录!F940)/E80)</f>
        <v>372</v>
      </c>
      <c r="F113" s="14">
        <f>IF(F80=0,"",(交易记录!G13*交易记录!G44+交易记录!G77*交易记录!G108+交易记录!G141*交易记录!G172+交易记录!G205*交易记录!G236+交易记录!G269*交易记录!G300+交易记录!G333*交易记录!G364+交易记录!G397*交易记录!G428+交易记录!G461*交易记录!G492+交易记录!G525*交易记录!G556+交易记录!G589*交易记录!G620+交易记录!G653*交易记录!G684+交易记录!G717*交易记录!G748+交易记录!G781*交易记录!G812+交易记录!G845*交易记录!G876+交易记录!G909*交易记录!G940)/F80)</f>
        <v>372</v>
      </c>
      <c r="G113" s="14">
        <f>IF(G80=0,"",(交易记录!H13*交易记录!H44+交易记录!H77*交易记录!H108+交易记录!H141*交易记录!H172+交易记录!H205*交易记录!H236+交易记录!H269*交易记录!H300+交易记录!H333*交易记录!H364+交易记录!H397*交易记录!H428+交易记录!H461*交易记录!H492+交易记录!H525*交易记录!H556+交易记录!H589*交易记录!H620+交易记录!H653*交易记录!H684+交易记录!H717*交易记录!H748+交易记录!H781*交易记录!H812+交易记录!H845*交易记录!H876+交易记录!H909*交易记录!H940)/G80)</f>
        <v>372</v>
      </c>
      <c r="H113" s="14">
        <f>IF(H80=0,"",(交易记录!I13*交易记录!I44+交易记录!I77*交易记录!I108+交易记录!I141*交易记录!I172+交易记录!I205*交易记录!I236+交易记录!I269*交易记录!I300+交易记录!I333*交易记录!I364+交易记录!I397*交易记录!I428+交易记录!I461*交易记录!I492+交易记录!I525*交易记录!I556+交易记录!I589*交易记录!I620+交易记录!I653*交易记录!I684+交易记录!I717*交易记录!I748+交易记录!I781*交易记录!I812+交易记录!I845*交易记录!I876+交易记录!I909*交易记录!I940)/H80)</f>
        <v>372</v>
      </c>
      <c r="I113" s="14">
        <f>IF(I80=0,"",(交易记录!J13*交易记录!J44+交易记录!J77*交易记录!J108+交易记录!J141*交易记录!J172+交易记录!J205*交易记录!J236+交易记录!J269*交易记录!J300+交易记录!J333*交易记录!J364+交易记录!J397*交易记录!J428+交易记录!J461*交易记录!J492+交易记录!J525*交易记录!J556+交易记录!J589*交易记录!J620+交易记录!J653*交易记录!J684+交易记录!J717*交易记录!J748+交易记录!J781*交易记录!J812+交易记录!J845*交易记录!J876+交易记录!J909*交易记录!J940)/I80)</f>
        <v>372</v>
      </c>
      <c r="J113" s="14">
        <f>IF(J80=0,"",(交易记录!K13*交易记录!K44+交易记录!K77*交易记录!K108+交易记录!K141*交易记录!K172+交易记录!K205*交易记录!K236+交易记录!K269*交易记录!K300+交易记录!K333*交易记录!K364+交易记录!K397*交易记录!K428+交易记录!K461*交易记录!K492+交易记录!K525*交易记录!K556+交易记录!K589*交易记录!K620+交易记录!K653*交易记录!K684+交易记录!K717*交易记录!K748+交易记录!K781*交易记录!K812+交易记录!K845*交易记录!K876+交易记录!K909*交易记录!K940)/J80)</f>
        <v>372</v>
      </c>
      <c r="K113" s="14">
        <f>IF(K80=0,"",(交易记录!L13*交易记录!L44+交易记录!L77*交易记录!L108+交易记录!L141*交易记录!L172+交易记录!L205*交易记录!L236+交易记录!L269*交易记录!L300+交易记录!L333*交易记录!L364+交易记录!L397*交易记录!L428+交易记录!L461*交易记录!L492+交易记录!L525*交易记录!L556+交易记录!L589*交易记录!L620+交易记录!L653*交易记录!L684+交易记录!L717*交易记录!L748+交易记录!L781*交易记录!L812+交易记录!L845*交易记录!L876+交易记录!L909*交易记录!L940)/K80)</f>
        <v>372</v>
      </c>
      <c r="L113" s="14">
        <f>IF(L80=0,"",(交易记录!M13*交易记录!M44+交易记录!M77*交易记录!M108+交易记录!M141*交易记录!M172+交易记录!M205*交易记录!M236+交易记录!M269*交易记录!M300+交易记录!M333*交易记录!M364+交易记录!M397*交易记录!M428+交易记录!M461*交易记录!M492+交易记录!M525*交易记录!M556+交易记录!M589*交易记录!M620+交易记录!M653*交易记录!M684+交易记录!M717*交易记录!M748+交易记录!M781*交易记录!M812+交易记录!M845*交易记录!M876+交易记录!M909*交易记录!M940)/L80)</f>
        <v>372</v>
      </c>
      <c r="M113" s="14">
        <f>IF(M80=0,"",(交易记录!N13*交易记录!N44+交易记录!N77*交易记录!N108+交易记录!N141*交易记录!N172+交易记录!N205*交易记录!N236+交易记录!N269*交易记录!N300+交易记录!N333*交易记录!N364+交易记录!N397*交易记录!N428+交易记录!N461*交易记录!N492+交易记录!N525*交易记录!N556+交易记录!N589*交易记录!N620+交易记录!N653*交易记录!N684+交易记录!N717*交易记录!N748+交易记录!N781*交易记录!N812+交易记录!N845*交易记录!N876+交易记录!N909*交易记录!N940)/M80)</f>
        <v>372</v>
      </c>
      <c r="N113" s="14">
        <f>IF(N80=0,"",(交易记录!O13*交易记录!O44+交易记录!O77*交易记录!O108+交易记录!O141*交易记录!O172+交易记录!O205*交易记录!O236+交易记录!O269*交易记录!O300+交易记录!O333*交易记录!O364+交易记录!O397*交易记录!O428+交易记录!O461*交易记录!O492+交易记录!O525*交易记录!O556+交易记录!O589*交易记录!O620+交易记录!O653*交易记录!O684+交易记录!O717*交易记录!O748+交易记录!O781*交易记录!O812+交易记录!O845*交易记录!O876+交易记录!O909*交易记录!O940)/N80)</f>
        <v>372</v>
      </c>
      <c r="O113" s="14">
        <f>IF(O80=0,"",(交易记录!P13*交易记录!P44+交易记录!P77*交易记录!P108+交易记录!P141*交易记录!P172+交易记录!P205*交易记录!P236+交易记录!P269*交易记录!P300+交易记录!P333*交易记录!P364+交易记录!P397*交易记录!P428+交易记录!P461*交易记录!P492+交易记录!P525*交易记录!P556+交易记录!P589*交易记录!P620+交易记录!P653*交易记录!P684+交易记录!P717*交易记录!P748+交易记录!P781*交易记录!P812+交易记录!P845*交易记录!P876+交易记录!P909*交易记录!P940)/O80)</f>
        <v>372</v>
      </c>
      <c r="P113" s="14">
        <f>IF(P80=0,"",(交易记录!Q13*交易记录!Q44+交易记录!Q77*交易记录!Q108+交易记录!Q141*交易记录!Q172+交易记录!Q205*交易记录!Q236+交易记录!Q269*交易记录!Q300+交易记录!Q333*交易记录!Q364+交易记录!Q397*交易记录!Q428+交易记录!Q461*交易记录!Q492+交易记录!Q525*交易记录!Q556+交易记录!Q589*交易记录!Q620+交易记录!Q653*交易记录!Q684+交易记录!Q717*交易记录!Q748+交易记录!Q781*交易记录!Q812+交易记录!Q845*交易记录!Q876+交易记录!Q909*交易记录!Q940)/P80)</f>
        <v>372</v>
      </c>
      <c r="Q113" s="14">
        <f>IF(Q80=0,"",(交易记录!R13*交易记录!R44+交易记录!R77*交易记录!R108+交易记录!R141*交易记录!R172+交易记录!R205*交易记录!R236+交易记录!R269*交易记录!R300+交易记录!R333*交易记录!R364+交易记录!R397*交易记录!R428+交易记录!R461*交易记录!R492+交易记录!R525*交易记录!R556+交易记录!R589*交易记录!R620+交易记录!R653*交易记录!R684+交易记录!R717*交易记录!R748+交易记录!R781*交易记录!R812+交易记录!R845*交易记录!R876+交易记录!R909*交易记录!R940)/Q80)</f>
        <v>372</v>
      </c>
      <c r="R113" s="14">
        <f>IF(R80=0,"",(交易记录!S13*交易记录!S44+交易记录!S77*交易记录!S108+交易记录!S141*交易记录!S172+交易记录!S205*交易记录!S236+交易记录!S269*交易记录!S300+交易记录!S333*交易记录!S364+交易记录!S397*交易记录!S428+交易记录!S461*交易记录!S492+交易记录!S525*交易记录!S556+交易记录!S589*交易记录!S620+交易记录!S653*交易记录!S684+交易记录!S717*交易记录!S748+交易记录!S781*交易记录!S812+交易记录!S845*交易记录!S876+交易记录!S909*交易记录!S940)/R80)</f>
        <v>372</v>
      </c>
      <c r="S113" s="14">
        <f>IF(S80=0,"",(交易记录!T13*交易记录!T44+交易记录!T77*交易记录!T108+交易记录!T141*交易记录!T172+交易记录!T205*交易记录!T236+交易记录!T269*交易记录!T300+交易记录!T333*交易记录!T364+交易记录!T397*交易记录!T428+交易记录!T461*交易记录!T492+交易记录!T525*交易记录!T556+交易记录!T589*交易记录!T620+交易记录!T653*交易记录!T684+交易记录!T717*交易记录!T748+交易记录!T781*交易记录!T812+交易记录!T845*交易记录!T876+交易记录!T909*交易记录!T940)/S80)</f>
        <v>372</v>
      </c>
      <c r="T113" s="14">
        <f>IF(T80=0,"",(交易记录!U13*交易记录!U44+交易记录!U77*交易记录!U108+交易记录!U141*交易记录!U172+交易记录!U205*交易记录!U236+交易记录!U269*交易记录!U300+交易记录!U333*交易记录!U364+交易记录!U397*交易记录!U428+交易记录!U461*交易记录!U492+交易记录!U525*交易记录!U556+交易记录!U589*交易记录!U620+交易记录!U653*交易记录!U684+交易记录!U717*交易记录!U748+交易记录!U781*交易记录!U812+交易记录!U845*交易记录!U876+交易记录!U909*交易记录!U940)/T80)</f>
        <v>372</v>
      </c>
      <c r="U113" s="14">
        <f>IF(U80=0,"",(交易记录!V13*交易记录!V44+交易记录!V77*交易记录!V108+交易记录!V141*交易记录!V172+交易记录!V205*交易记录!V236+交易记录!V269*交易记录!V300+交易记录!V333*交易记录!V364+交易记录!V397*交易记录!V428+交易记录!V461*交易记录!V492+交易记录!V525*交易记录!V556+交易记录!V589*交易记录!V620+交易记录!V653*交易记录!V684+交易记录!V717*交易记录!V748+交易记录!V781*交易记录!V812+交易记录!V845*交易记录!V876+交易记录!V909*交易记录!V940)/U80)</f>
        <v>372</v>
      </c>
      <c r="V113" s="14">
        <f>IF(V80=0,"",(交易记录!W13*交易记录!W44+交易记录!W77*交易记录!W108+交易记录!W141*交易记录!W172+交易记录!W205*交易记录!W236+交易记录!W269*交易记录!W300+交易记录!W333*交易记录!W364+交易记录!W397*交易记录!W428+交易记录!W461*交易记录!W492+交易记录!W525*交易记录!W556+交易记录!W589*交易记录!W620+交易记录!W653*交易记录!W684+交易记录!W717*交易记录!W748+交易记录!W781*交易记录!W812+交易记录!W845*交易记录!W876+交易记录!W909*交易记录!W940)/V80)</f>
        <v>372</v>
      </c>
      <c r="W113" s="14">
        <f>IF(W80=0,"",(交易记录!X13*交易记录!X44+交易记录!X77*交易记录!X108+交易记录!X141*交易记录!X172+交易记录!X205*交易记录!X236+交易记录!X269*交易记录!X300+交易记录!X333*交易记录!X364+交易记录!X397*交易记录!X428+交易记录!X461*交易记录!X492+交易记录!X525*交易记录!X556+交易记录!X589*交易记录!X620+交易记录!X653*交易记录!X684+交易记录!X717*交易记录!X748+交易记录!X781*交易记录!X812+交易记录!X845*交易记录!X876+交易记录!X909*交易记录!X940)/W80)</f>
        <v>372</v>
      </c>
      <c r="X113" s="14">
        <f>IF(X80=0,"",(交易记录!Y13*交易记录!Y44+交易记录!Y77*交易记录!Y108+交易记录!Y141*交易记录!Y172+交易记录!Y205*交易记录!Y236+交易记录!Y269*交易记录!Y300+交易记录!Y333*交易记录!Y364+交易记录!Y397*交易记录!Y428+交易记录!Y461*交易记录!Y492+交易记录!Y525*交易记录!Y556+交易记录!Y589*交易记录!Y620+交易记录!Y653*交易记录!Y684+交易记录!Y717*交易记录!Y748+交易记录!Y781*交易记录!Y812+交易记录!Y845*交易记录!Y876+交易记录!Y909*交易记录!Y940)/X80)</f>
        <v>372</v>
      </c>
      <c r="Y113" s="14">
        <f>IF(Y80=0,"",(交易记录!Z13*交易记录!Z44+交易记录!Z77*交易记录!Z108+交易记录!Z141*交易记录!Z172+交易记录!Z205*交易记录!Z236+交易记录!Z269*交易记录!Z300+交易记录!Z333*交易记录!Z364+交易记录!Z397*交易记录!Z428+交易记录!Z461*交易记录!Z492+交易记录!Z525*交易记录!Z556+交易记录!Z589*交易记录!Z620+交易记录!Z653*交易记录!Z684+交易记录!Z717*交易记录!Z748+交易记录!Z781*交易记录!Z812+交易记录!Z845*交易记录!Z876+交易记录!Z909*交易记录!Z940)/Y80)</f>
        <v>372</v>
      </c>
      <c r="Z113" s="14">
        <f>IF(Z80=0,"",(交易记录!AA13*交易记录!AA44+交易记录!AA77*交易记录!AA108+交易记录!AA141*交易记录!AA172+交易记录!AA205*交易记录!AA236+交易记录!AA269*交易记录!AA300+交易记录!AA333*交易记录!AA364+交易记录!AA397*交易记录!AA428+交易记录!AA461*交易记录!AA492+交易记录!AA525*交易记录!AA556+交易记录!AA589*交易记录!AA620+交易记录!AA653*交易记录!AA684+交易记录!AA717*交易记录!AA748+交易记录!AA781*交易记录!AA812+交易记录!AA845*交易记录!AA876+交易记录!AA909*交易记录!AA940)/Z80)</f>
        <v>372</v>
      </c>
      <c r="AA113" s="14">
        <f>IF(AA80=0,"",(交易记录!AB13*交易记录!AB44+交易记录!AB77*交易记录!AB108+交易记录!AB141*交易记录!AB172+交易记录!AB205*交易记录!AB236+交易记录!AB269*交易记录!AB300+交易记录!AB333*交易记录!AB364+交易记录!AB397*交易记录!AB428+交易记录!AB461*交易记录!AB492+交易记录!AB525*交易记录!AB556+交易记录!AB589*交易记录!AB620+交易记录!AB653*交易记录!AB684+交易记录!AB717*交易记录!AB748+交易记录!AB781*交易记录!AB812+交易记录!AB845*交易记录!AB876+交易记录!AB909*交易记录!AB940)/AA80)</f>
        <v>372</v>
      </c>
      <c r="AB113" s="14">
        <f>IF(AB80=0,"",(交易记录!AC13*交易记录!AC44+交易记录!AC77*交易记录!AC108+交易记录!AC141*交易记录!AC172+交易记录!AC205*交易记录!AC236+交易记录!AC269*交易记录!AC300+交易记录!AC333*交易记录!AC364+交易记录!AC397*交易记录!AC428+交易记录!AC461*交易记录!AC492+交易记录!AC525*交易记录!AC556+交易记录!AC589*交易记录!AC620+交易记录!AC653*交易记录!AC684+交易记录!AC717*交易记录!AC748+交易记录!AC781*交易记录!AC812+交易记录!AC845*交易记录!AC876+交易记录!AC909*交易记录!AC940)/AB80)</f>
        <v>372</v>
      </c>
      <c r="AC113" s="14">
        <f>IF(AC80=0,"",(交易记录!AD13*交易记录!AD44+交易记录!AD77*交易记录!AD108+交易记录!AD141*交易记录!AD172+交易记录!AD205*交易记录!AD236+交易记录!AD269*交易记录!AD300+交易记录!AD333*交易记录!AD364+交易记录!AD397*交易记录!AD428+交易记录!AD461*交易记录!AD492+交易记录!AD525*交易记录!AD556+交易记录!AD589*交易记录!AD620+交易记录!AD653*交易记录!AD684+交易记录!AD717*交易记录!AD748+交易记录!AD781*交易记录!AD812+交易记录!AD845*交易记录!AD876+交易记录!AD909*交易记录!AD940)/AC80)</f>
        <v>372</v>
      </c>
      <c r="AD113" s="14">
        <f>IF(AD80=0,"",(交易记录!AE13*交易记录!AE44+交易记录!AE77*交易记录!AE108+交易记录!AE141*交易记录!AE172+交易记录!AE205*交易记录!AE236+交易记录!AE269*交易记录!AE300+交易记录!AE333*交易记录!AE364+交易记录!AE397*交易记录!AE428+交易记录!AE461*交易记录!AE492+交易记录!AE525*交易记录!AE556+交易记录!AE589*交易记录!AE620+交易记录!AE653*交易记录!AE684+交易记录!AE717*交易记录!AE748+交易记录!AE781*交易记录!AE812+交易记录!AE845*交易记录!AE876+交易记录!AE909*交易记录!AE940)/AD80)</f>
        <v>372</v>
      </c>
      <c r="AE113" s="14">
        <f>IF(AE80=0,"",(交易记录!AF13*交易记录!AF44+交易记录!AF77*交易记录!AF108+交易记录!AF141*交易记录!AF172+交易记录!AF205*交易记录!AF236+交易记录!AF269*交易记录!AF300+交易记录!AF333*交易记录!AF364+交易记录!AF397*交易记录!AF428+交易记录!AF461*交易记录!AF492+交易记录!AF525*交易记录!AF556+交易记录!AF589*交易记录!AF620+交易记录!AF653*交易记录!AF684+交易记录!AF717*交易记录!AF748+交易记录!AF781*交易记录!AF812+交易记录!AF845*交易记录!AF876+交易记录!AF909*交易记录!AF940)/AE80)</f>
        <v>372</v>
      </c>
      <c r="AF113" s="14">
        <f>IF(AF80=0,"",(交易记录!AG13*交易记录!AG44+交易记录!AG77*交易记录!AG108+交易记录!AG141*交易记录!AG172+交易记录!AG205*交易记录!AG236+交易记录!AG269*交易记录!AG300+交易记录!AG333*交易记录!AG364+交易记录!AG397*交易记录!AG428+交易记录!AG461*交易记录!AG492+交易记录!AG525*交易记录!AG556+交易记录!AG589*交易记录!AG620+交易记录!AG653*交易记录!AG684+交易记录!AG717*交易记录!AG748+交易记录!AG781*交易记录!AG812+交易记录!AG845*交易记录!AG876+交易记录!AG909*交易记录!AG940)/AF80)</f>
        <v>372</v>
      </c>
      <c r="AG113" s="14">
        <f>IF(AG80=0,"",(交易记录!AH13*交易记录!AH44+交易记录!AH77*交易记录!AH108+交易记录!AH141*交易记录!AH172+交易记录!AH205*交易记录!AH236+交易记录!AH269*交易记录!AH300+交易记录!AH333*交易记录!AH364+交易记录!AH397*交易记录!AH428+交易记录!AH461*交易记录!AH492+交易记录!AH525*交易记录!AH556+交易记录!AH589*交易记录!AH620+交易记录!AH653*交易记录!AH684+交易记录!AH717*交易记录!AH748+交易记录!AH781*交易记录!AH812+交易记录!AH845*交易记录!AH876+交易记录!AH909*交易记录!AH940)/AG80)</f>
        <v>372</v>
      </c>
    </row>
    <row r="114" spans="2:33" s="3" customFormat="1" ht="15">
      <c r="B114" s="7" t="s">
        <v>15</v>
      </c>
      <c r="C114" s="14">
        <f>IF(C81=0,"",(交易记录!D14*交易记录!D45+交易记录!D78*交易记录!D109+交易记录!D142*交易记录!D173+交易记录!D206*交易记录!D237+交易记录!D270*交易记录!D301+交易记录!D334*交易记录!D365+交易记录!D398*交易记录!D429+交易记录!D462*交易记录!D493+交易记录!D526*交易记录!D557+交易记录!D590*交易记录!D621+交易记录!D654*交易记录!D685+交易记录!D718*交易记录!D749+交易记录!D782*交易记录!D813+交易记录!D846*交易记录!D877+交易记录!D910*交易记录!D941)/C81)</f>
        <v>372</v>
      </c>
      <c r="D114" s="14">
        <f>IF(D81=0,"",(交易记录!E14*交易记录!E45+交易记录!E78*交易记录!E109+交易记录!E142*交易记录!E173+交易记录!E206*交易记录!E237+交易记录!E270*交易记录!E301+交易记录!E334*交易记录!E365+交易记录!E398*交易记录!E429+交易记录!E462*交易记录!E493+交易记录!E526*交易记录!E557+交易记录!E590*交易记录!E621+交易记录!E654*交易记录!E685+交易记录!E718*交易记录!E749+交易记录!E782*交易记录!E813+交易记录!E846*交易记录!E877+交易记录!E910*交易记录!E941)/D81)</f>
        <v>372</v>
      </c>
      <c r="E114" s="14">
        <f>IF(E81=0,"",(交易记录!F14*交易记录!F45+交易记录!F78*交易记录!F109+交易记录!F142*交易记录!F173+交易记录!F206*交易记录!F237+交易记录!F270*交易记录!F301+交易记录!F334*交易记录!F365+交易记录!F398*交易记录!F429+交易记录!F462*交易记录!F493+交易记录!F526*交易记录!F557+交易记录!F590*交易记录!F621+交易记录!F654*交易记录!F685+交易记录!F718*交易记录!F749+交易记录!F782*交易记录!F813+交易记录!F846*交易记录!F877+交易记录!F910*交易记录!F941)/E81)</f>
        <v>372</v>
      </c>
      <c r="F114" s="14">
        <f>IF(F81=0,"",(交易记录!G14*交易记录!G45+交易记录!G78*交易记录!G109+交易记录!G142*交易记录!G173+交易记录!G206*交易记录!G237+交易记录!G270*交易记录!G301+交易记录!G334*交易记录!G365+交易记录!G398*交易记录!G429+交易记录!G462*交易记录!G493+交易记录!G526*交易记录!G557+交易记录!G590*交易记录!G621+交易记录!G654*交易记录!G685+交易记录!G718*交易记录!G749+交易记录!G782*交易记录!G813+交易记录!G846*交易记录!G877+交易记录!G910*交易记录!G941)/F81)</f>
        <v>372</v>
      </c>
      <c r="G114" s="14">
        <f>IF(G81=0,"",(交易记录!H14*交易记录!H45+交易记录!H78*交易记录!H109+交易记录!H142*交易记录!H173+交易记录!H206*交易记录!H237+交易记录!H270*交易记录!H301+交易记录!H334*交易记录!H365+交易记录!H398*交易记录!H429+交易记录!H462*交易记录!H493+交易记录!H526*交易记录!H557+交易记录!H590*交易记录!H621+交易记录!H654*交易记录!H685+交易记录!H718*交易记录!H749+交易记录!H782*交易记录!H813+交易记录!H846*交易记录!H877+交易记录!H910*交易记录!H941)/G81)</f>
        <v>372</v>
      </c>
      <c r="H114" s="14">
        <f>IF(H81=0,"",(交易记录!I14*交易记录!I45+交易记录!I78*交易记录!I109+交易记录!I142*交易记录!I173+交易记录!I206*交易记录!I237+交易记录!I270*交易记录!I301+交易记录!I334*交易记录!I365+交易记录!I398*交易记录!I429+交易记录!I462*交易记录!I493+交易记录!I526*交易记录!I557+交易记录!I590*交易记录!I621+交易记录!I654*交易记录!I685+交易记录!I718*交易记录!I749+交易记录!I782*交易记录!I813+交易记录!I846*交易记录!I877+交易记录!I910*交易记录!I941)/H81)</f>
        <v>372</v>
      </c>
      <c r="I114" s="14">
        <f>IF(I81=0,"",(交易记录!J14*交易记录!J45+交易记录!J78*交易记录!J109+交易记录!J142*交易记录!J173+交易记录!J206*交易记录!J237+交易记录!J270*交易记录!J301+交易记录!J334*交易记录!J365+交易记录!J398*交易记录!J429+交易记录!J462*交易记录!J493+交易记录!J526*交易记录!J557+交易记录!J590*交易记录!J621+交易记录!J654*交易记录!J685+交易记录!J718*交易记录!J749+交易记录!J782*交易记录!J813+交易记录!J846*交易记录!J877+交易记录!J910*交易记录!J941)/I81)</f>
        <v>372</v>
      </c>
      <c r="J114" s="14">
        <f>IF(J81=0,"",(交易记录!K14*交易记录!K45+交易记录!K78*交易记录!K109+交易记录!K142*交易记录!K173+交易记录!K206*交易记录!K237+交易记录!K270*交易记录!K301+交易记录!K334*交易记录!K365+交易记录!K398*交易记录!K429+交易记录!K462*交易记录!K493+交易记录!K526*交易记录!K557+交易记录!K590*交易记录!K621+交易记录!K654*交易记录!K685+交易记录!K718*交易记录!K749+交易记录!K782*交易记录!K813+交易记录!K846*交易记录!K877+交易记录!K910*交易记录!K941)/J81)</f>
        <v>372</v>
      </c>
      <c r="K114" s="14">
        <f>IF(K81=0,"",(交易记录!L14*交易记录!L45+交易记录!L78*交易记录!L109+交易记录!L142*交易记录!L173+交易记录!L206*交易记录!L237+交易记录!L270*交易记录!L301+交易记录!L334*交易记录!L365+交易记录!L398*交易记录!L429+交易记录!L462*交易记录!L493+交易记录!L526*交易记录!L557+交易记录!L590*交易记录!L621+交易记录!L654*交易记录!L685+交易记录!L718*交易记录!L749+交易记录!L782*交易记录!L813+交易记录!L846*交易记录!L877+交易记录!L910*交易记录!L941)/K81)</f>
        <v>372</v>
      </c>
      <c r="L114" s="14">
        <f>IF(L81=0,"",(交易记录!M14*交易记录!M45+交易记录!M78*交易记录!M109+交易记录!M142*交易记录!M173+交易记录!M206*交易记录!M237+交易记录!M270*交易记录!M301+交易记录!M334*交易记录!M365+交易记录!M398*交易记录!M429+交易记录!M462*交易记录!M493+交易记录!M526*交易记录!M557+交易记录!M590*交易记录!M621+交易记录!M654*交易记录!M685+交易记录!M718*交易记录!M749+交易记录!M782*交易记录!M813+交易记录!M846*交易记录!M877+交易记录!M910*交易记录!M941)/L81)</f>
        <v>372</v>
      </c>
      <c r="M114" s="14">
        <f>IF(M81=0,"",(交易记录!N14*交易记录!N45+交易记录!N78*交易记录!N109+交易记录!N142*交易记录!N173+交易记录!N206*交易记录!N237+交易记录!N270*交易记录!N301+交易记录!N334*交易记录!N365+交易记录!N398*交易记录!N429+交易记录!N462*交易记录!N493+交易记录!N526*交易记录!N557+交易记录!N590*交易记录!N621+交易记录!N654*交易记录!N685+交易记录!N718*交易记录!N749+交易记录!N782*交易记录!N813+交易记录!N846*交易记录!N877+交易记录!N910*交易记录!N941)/M81)</f>
        <v>372</v>
      </c>
      <c r="N114" s="14">
        <f>IF(N81=0,"",(交易记录!O14*交易记录!O45+交易记录!O78*交易记录!O109+交易记录!O142*交易记录!O173+交易记录!O206*交易记录!O237+交易记录!O270*交易记录!O301+交易记录!O334*交易记录!O365+交易记录!O398*交易记录!O429+交易记录!O462*交易记录!O493+交易记录!O526*交易记录!O557+交易记录!O590*交易记录!O621+交易记录!O654*交易记录!O685+交易记录!O718*交易记录!O749+交易记录!O782*交易记录!O813+交易记录!O846*交易记录!O877+交易记录!O910*交易记录!O941)/N81)</f>
        <v>372</v>
      </c>
      <c r="O114" s="14">
        <f>IF(O81=0,"",(交易记录!P14*交易记录!P45+交易记录!P78*交易记录!P109+交易记录!P142*交易记录!P173+交易记录!P206*交易记录!P237+交易记录!P270*交易记录!P301+交易记录!P334*交易记录!P365+交易记录!P398*交易记录!P429+交易记录!P462*交易记录!P493+交易记录!P526*交易记录!P557+交易记录!P590*交易记录!P621+交易记录!P654*交易记录!P685+交易记录!P718*交易记录!P749+交易记录!P782*交易记录!P813+交易记录!P846*交易记录!P877+交易记录!P910*交易记录!P941)/O81)</f>
        <v>372</v>
      </c>
      <c r="P114" s="14">
        <f>IF(P81=0,"",(交易记录!Q14*交易记录!Q45+交易记录!Q78*交易记录!Q109+交易记录!Q142*交易记录!Q173+交易记录!Q206*交易记录!Q237+交易记录!Q270*交易记录!Q301+交易记录!Q334*交易记录!Q365+交易记录!Q398*交易记录!Q429+交易记录!Q462*交易记录!Q493+交易记录!Q526*交易记录!Q557+交易记录!Q590*交易记录!Q621+交易记录!Q654*交易记录!Q685+交易记录!Q718*交易记录!Q749+交易记录!Q782*交易记录!Q813+交易记录!Q846*交易记录!Q877+交易记录!Q910*交易记录!Q941)/P81)</f>
        <v>372</v>
      </c>
      <c r="Q114" s="14">
        <f>IF(Q81=0,"",(交易记录!R14*交易记录!R45+交易记录!R78*交易记录!R109+交易记录!R142*交易记录!R173+交易记录!R206*交易记录!R237+交易记录!R270*交易记录!R301+交易记录!R334*交易记录!R365+交易记录!R398*交易记录!R429+交易记录!R462*交易记录!R493+交易记录!R526*交易记录!R557+交易记录!R590*交易记录!R621+交易记录!R654*交易记录!R685+交易记录!R718*交易记录!R749+交易记录!R782*交易记录!R813+交易记录!R846*交易记录!R877+交易记录!R910*交易记录!R941)/Q81)</f>
        <v>372</v>
      </c>
      <c r="R114" s="14">
        <f>IF(R81=0,"",(交易记录!S14*交易记录!S45+交易记录!S78*交易记录!S109+交易记录!S142*交易记录!S173+交易记录!S206*交易记录!S237+交易记录!S270*交易记录!S301+交易记录!S334*交易记录!S365+交易记录!S398*交易记录!S429+交易记录!S462*交易记录!S493+交易记录!S526*交易记录!S557+交易记录!S590*交易记录!S621+交易记录!S654*交易记录!S685+交易记录!S718*交易记录!S749+交易记录!S782*交易记录!S813+交易记录!S846*交易记录!S877+交易记录!S910*交易记录!S941)/R81)</f>
        <v>372</v>
      </c>
      <c r="S114" s="14">
        <f>IF(S81=0,"",(交易记录!T14*交易记录!T45+交易记录!T78*交易记录!T109+交易记录!T142*交易记录!T173+交易记录!T206*交易记录!T237+交易记录!T270*交易记录!T301+交易记录!T334*交易记录!T365+交易记录!T398*交易记录!T429+交易记录!T462*交易记录!T493+交易记录!T526*交易记录!T557+交易记录!T590*交易记录!T621+交易记录!T654*交易记录!T685+交易记录!T718*交易记录!T749+交易记录!T782*交易记录!T813+交易记录!T846*交易记录!T877+交易记录!T910*交易记录!T941)/S81)</f>
        <v>372</v>
      </c>
      <c r="T114" s="14">
        <f>IF(T81=0,"",(交易记录!U14*交易记录!U45+交易记录!U78*交易记录!U109+交易记录!U142*交易记录!U173+交易记录!U206*交易记录!U237+交易记录!U270*交易记录!U301+交易记录!U334*交易记录!U365+交易记录!U398*交易记录!U429+交易记录!U462*交易记录!U493+交易记录!U526*交易记录!U557+交易记录!U590*交易记录!U621+交易记录!U654*交易记录!U685+交易记录!U718*交易记录!U749+交易记录!U782*交易记录!U813+交易记录!U846*交易记录!U877+交易记录!U910*交易记录!U941)/T81)</f>
        <v>372</v>
      </c>
      <c r="U114" s="14">
        <f>IF(U81=0,"",(交易记录!V14*交易记录!V45+交易记录!V78*交易记录!V109+交易记录!V142*交易记录!V173+交易记录!V206*交易记录!V237+交易记录!V270*交易记录!V301+交易记录!V334*交易记录!V365+交易记录!V398*交易记录!V429+交易记录!V462*交易记录!V493+交易记录!V526*交易记录!V557+交易记录!V590*交易记录!V621+交易记录!V654*交易记录!V685+交易记录!V718*交易记录!V749+交易记录!V782*交易记录!V813+交易记录!V846*交易记录!V877+交易记录!V910*交易记录!V941)/U81)</f>
        <v>372</v>
      </c>
      <c r="V114" s="14">
        <f>IF(V81=0,"",(交易记录!W14*交易记录!W45+交易记录!W78*交易记录!W109+交易记录!W142*交易记录!W173+交易记录!W206*交易记录!W237+交易记录!W270*交易记录!W301+交易记录!W334*交易记录!W365+交易记录!W398*交易记录!W429+交易记录!W462*交易记录!W493+交易记录!W526*交易记录!W557+交易记录!W590*交易记录!W621+交易记录!W654*交易记录!W685+交易记录!W718*交易记录!W749+交易记录!W782*交易记录!W813+交易记录!W846*交易记录!W877+交易记录!W910*交易记录!W941)/V81)</f>
        <v>372</v>
      </c>
      <c r="W114" s="14">
        <f>IF(W81=0,"",(交易记录!X14*交易记录!X45+交易记录!X78*交易记录!X109+交易记录!X142*交易记录!X173+交易记录!X206*交易记录!X237+交易记录!X270*交易记录!X301+交易记录!X334*交易记录!X365+交易记录!X398*交易记录!X429+交易记录!X462*交易记录!X493+交易记录!X526*交易记录!X557+交易记录!X590*交易记录!X621+交易记录!X654*交易记录!X685+交易记录!X718*交易记录!X749+交易记录!X782*交易记录!X813+交易记录!X846*交易记录!X877+交易记录!X910*交易记录!X941)/W81)</f>
        <v>372</v>
      </c>
      <c r="X114" s="14">
        <f>IF(X81=0,"",(交易记录!Y14*交易记录!Y45+交易记录!Y78*交易记录!Y109+交易记录!Y142*交易记录!Y173+交易记录!Y206*交易记录!Y237+交易记录!Y270*交易记录!Y301+交易记录!Y334*交易记录!Y365+交易记录!Y398*交易记录!Y429+交易记录!Y462*交易记录!Y493+交易记录!Y526*交易记录!Y557+交易记录!Y590*交易记录!Y621+交易记录!Y654*交易记录!Y685+交易记录!Y718*交易记录!Y749+交易记录!Y782*交易记录!Y813+交易记录!Y846*交易记录!Y877+交易记录!Y910*交易记录!Y941)/X81)</f>
        <v>372</v>
      </c>
      <c r="Y114" s="14">
        <f>IF(Y81=0,"",(交易记录!Z14*交易记录!Z45+交易记录!Z78*交易记录!Z109+交易记录!Z142*交易记录!Z173+交易记录!Z206*交易记录!Z237+交易记录!Z270*交易记录!Z301+交易记录!Z334*交易记录!Z365+交易记录!Z398*交易记录!Z429+交易记录!Z462*交易记录!Z493+交易记录!Z526*交易记录!Z557+交易记录!Z590*交易记录!Z621+交易记录!Z654*交易记录!Z685+交易记录!Z718*交易记录!Z749+交易记录!Z782*交易记录!Z813+交易记录!Z846*交易记录!Z877+交易记录!Z910*交易记录!Z941)/Y81)</f>
        <v>372</v>
      </c>
      <c r="Z114" s="14">
        <f>IF(Z81=0,"",(交易记录!AA14*交易记录!AA45+交易记录!AA78*交易记录!AA109+交易记录!AA142*交易记录!AA173+交易记录!AA206*交易记录!AA237+交易记录!AA270*交易记录!AA301+交易记录!AA334*交易记录!AA365+交易记录!AA398*交易记录!AA429+交易记录!AA462*交易记录!AA493+交易记录!AA526*交易记录!AA557+交易记录!AA590*交易记录!AA621+交易记录!AA654*交易记录!AA685+交易记录!AA718*交易记录!AA749+交易记录!AA782*交易记录!AA813+交易记录!AA846*交易记录!AA877+交易记录!AA910*交易记录!AA941)/Z81)</f>
        <v>372</v>
      </c>
      <c r="AA114" s="14">
        <f>IF(AA81=0,"",(交易记录!AB14*交易记录!AB45+交易记录!AB78*交易记录!AB109+交易记录!AB142*交易记录!AB173+交易记录!AB206*交易记录!AB237+交易记录!AB270*交易记录!AB301+交易记录!AB334*交易记录!AB365+交易记录!AB398*交易记录!AB429+交易记录!AB462*交易记录!AB493+交易记录!AB526*交易记录!AB557+交易记录!AB590*交易记录!AB621+交易记录!AB654*交易记录!AB685+交易记录!AB718*交易记录!AB749+交易记录!AB782*交易记录!AB813+交易记录!AB846*交易记录!AB877+交易记录!AB910*交易记录!AB941)/AA81)</f>
        <v>372</v>
      </c>
      <c r="AB114" s="14">
        <f>IF(AB81=0,"",(交易记录!AC14*交易记录!AC45+交易记录!AC78*交易记录!AC109+交易记录!AC142*交易记录!AC173+交易记录!AC206*交易记录!AC237+交易记录!AC270*交易记录!AC301+交易记录!AC334*交易记录!AC365+交易记录!AC398*交易记录!AC429+交易记录!AC462*交易记录!AC493+交易记录!AC526*交易记录!AC557+交易记录!AC590*交易记录!AC621+交易记录!AC654*交易记录!AC685+交易记录!AC718*交易记录!AC749+交易记录!AC782*交易记录!AC813+交易记录!AC846*交易记录!AC877+交易记录!AC910*交易记录!AC941)/AB81)</f>
        <v>372</v>
      </c>
      <c r="AC114" s="14">
        <f>IF(AC81=0,"",(交易记录!AD14*交易记录!AD45+交易记录!AD78*交易记录!AD109+交易记录!AD142*交易记录!AD173+交易记录!AD206*交易记录!AD237+交易记录!AD270*交易记录!AD301+交易记录!AD334*交易记录!AD365+交易记录!AD398*交易记录!AD429+交易记录!AD462*交易记录!AD493+交易记录!AD526*交易记录!AD557+交易记录!AD590*交易记录!AD621+交易记录!AD654*交易记录!AD685+交易记录!AD718*交易记录!AD749+交易记录!AD782*交易记录!AD813+交易记录!AD846*交易记录!AD877+交易记录!AD910*交易记录!AD941)/AC81)</f>
        <v>372</v>
      </c>
      <c r="AD114" s="14">
        <f>IF(AD81=0,"",(交易记录!AE14*交易记录!AE45+交易记录!AE78*交易记录!AE109+交易记录!AE142*交易记录!AE173+交易记录!AE206*交易记录!AE237+交易记录!AE270*交易记录!AE301+交易记录!AE334*交易记录!AE365+交易记录!AE398*交易记录!AE429+交易记录!AE462*交易记录!AE493+交易记录!AE526*交易记录!AE557+交易记录!AE590*交易记录!AE621+交易记录!AE654*交易记录!AE685+交易记录!AE718*交易记录!AE749+交易记录!AE782*交易记录!AE813+交易记录!AE846*交易记录!AE877+交易记录!AE910*交易记录!AE941)/AD81)</f>
        <v>372</v>
      </c>
      <c r="AE114" s="14">
        <f>IF(AE81=0,"",(交易记录!AF14*交易记录!AF45+交易记录!AF78*交易记录!AF109+交易记录!AF142*交易记录!AF173+交易记录!AF206*交易记录!AF237+交易记录!AF270*交易记录!AF301+交易记录!AF334*交易记录!AF365+交易记录!AF398*交易记录!AF429+交易记录!AF462*交易记录!AF493+交易记录!AF526*交易记录!AF557+交易记录!AF590*交易记录!AF621+交易记录!AF654*交易记录!AF685+交易记录!AF718*交易记录!AF749+交易记录!AF782*交易记录!AF813+交易记录!AF846*交易记录!AF877+交易记录!AF910*交易记录!AF941)/AE81)</f>
        <v>372</v>
      </c>
      <c r="AF114" s="14">
        <f>IF(AF81=0,"",(交易记录!AG14*交易记录!AG45+交易记录!AG78*交易记录!AG109+交易记录!AG142*交易记录!AG173+交易记录!AG206*交易记录!AG237+交易记录!AG270*交易记录!AG301+交易记录!AG334*交易记录!AG365+交易记录!AG398*交易记录!AG429+交易记录!AG462*交易记录!AG493+交易记录!AG526*交易记录!AG557+交易记录!AG590*交易记录!AG621+交易记录!AG654*交易记录!AG685+交易记录!AG718*交易记录!AG749+交易记录!AG782*交易记录!AG813+交易记录!AG846*交易记录!AG877+交易记录!AG910*交易记录!AG941)/AF81)</f>
        <v>372</v>
      </c>
      <c r="AG114" s="14">
        <f>IF(AG81=0,"",(交易记录!AH14*交易记录!AH45+交易记录!AH78*交易记录!AH109+交易记录!AH142*交易记录!AH173+交易记录!AH206*交易记录!AH237+交易记录!AH270*交易记录!AH301+交易记录!AH334*交易记录!AH365+交易记录!AH398*交易记录!AH429+交易记录!AH462*交易记录!AH493+交易记录!AH526*交易记录!AH557+交易记录!AH590*交易记录!AH621+交易记录!AH654*交易记录!AH685+交易记录!AH718*交易记录!AH749+交易记录!AH782*交易记录!AH813+交易记录!AH846*交易记录!AH877+交易记录!AH910*交易记录!AH941)/AG81)</f>
        <v>372</v>
      </c>
    </row>
    <row r="115" spans="2:33" s="3" customFormat="1" ht="15">
      <c r="B115" s="7" t="s">
        <v>16</v>
      </c>
      <c r="C115" s="14">
        <f>IF(C82=0,"",(交易记录!D15*交易记录!D46+交易记录!D79*交易记录!D110+交易记录!D143*交易记录!D174+交易记录!D207*交易记录!D238+交易记录!D271*交易记录!D302+交易记录!D335*交易记录!D366+交易记录!D399*交易记录!D430+交易记录!D463*交易记录!D494+交易记录!D527*交易记录!D558+交易记录!D591*交易记录!D622+交易记录!D655*交易记录!D686+交易记录!D719*交易记录!D750+交易记录!D783*交易记录!D814+交易记录!D847*交易记录!D878+交易记录!D911*交易记录!D942)/C82)</f>
        <v>372</v>
      </c>
      <c r="D115" s="14">
        <f>IF(D82=0,"",(交易记录!E15*交易记录!E46+交易记录!E79*交易记录!E110+交易记录!E143*交易记录!E174+交易记录!E207*交易记录!E238+交易记录!E271*交易记录!E302+交易记录!E335*交易记录!E366+交易记录!E399*交易记录!E430+交易记录!E463*交易记录!E494+交易记录!E527*交易记录!E558+交易记录!E591*交易记录!E622+交易记录!E655*交易记录!E686+交易记录!E719*交易记录!E750+交易记录!E783*交易记录!E814+交易记录!E847*交易记录!E878+交易记录!E911*交易记录!E942)/D82)</f>
        <v>372</v>
      </c>
      <c r="E115" s="14">
        <f>IF(E82=0,"",(交易记录!F15*交易记录!F46+交易记录!F79*交易记录!F110+交易记录!F143*交易记录!F174+交易记录!F207*交易记录!F238+交易记录!F271*交易记录!F302+交易记录!F335*交易记录!F366+交易记录!F399*交易记录!F430+交易记录!F463*交易记录!F494+交易记录!F527*交易记录!F558+交易记录!F591*交易记录!F622+交易记录!F655*交易记录!F686+交易记录!F719*交易记录!F750+交易记录!F783*交易记录!F814+交易记录!F847*交易记录!F878+交易记录!F911*交易记录!F942)/E82)</f>
        <v>372</v>
      </c>
      <c r="F115" s="14">
        <f>IF(F82=0,"",(交易记录!G15*交易记录!G46+交易记录!G79*交易记录!G110+交易记录!G143*交易记录!G174+交易记录!G207*交易记录!G238+交易记录!G271*交易记录!G302+交易记录!G335*交易记录!G366+交易记录!G399*交易记录!G430+交易记录!G463*交易记录!G494+交易记录!G527*交易记录!G558+交易记录!G591*交易记录!G622+交易记录!G655*交易记录!G686+交易记录!G719*交易记录!G750+交易记录!G783*交易记录!G814+交易记录!G847*交易记录!G878+交易记录!G911*交易记录!G942)/F82)</f>
        <v>372</v>
      </c>
      <c r="G115" s="14">
        <f>IF(G82=0,"",(交易记录!H15*交易记录!H46+交易记录!H79*交易记录!H110+交易记录!H143*交易记录!H174+交易记录!H207*交易记录!H238+交易记录!H271*交易记录!H302+交易记录!H335*交易记录!H366+交易记录!H399*交易记录!H430+交易记录!H463*交易记录!H494+交易记录!H527*交易记录!H558+交易记录!H591*交易记录!H622+交易记录!H655*交易记录!H686+交易记录!H719*交易记录!H750+交易记录!H783*交易记录!H814+交易记录!H847*交易记录!H878+交易记录!H911*交易记录!H942)/G82)</f>
        <v>372</v>
      </c>
      <c r="H115" s="14">
        <f>IF(H82=0,"",(交易记录!I15*交易记录!I46+交易记录!I79*交易记录!I110+交易记录!I143*交易记录!I174+交易记录!I207*交易记录!I238+交易记录!I271*交易记录!I302+交易记录!I335*交易记录!I366+交易记录!I399*交易记录!I430+交易记录!I463*交易记录!I494+交易记录!I527*交易记录!I558+交易记录!I591*交易记录!I622+交易记录!I655*交易记录!I686+交易记录!I719*交易记录!I750+交易记录!I783*交易记录!I814+交易记录!I847*交易记录!I878+交易记录!I911*交易记录!I942)/H82)</f>
        <v>372</v>
      </c>
      <c r="I115" s="14">
        <f>IF(I82=0,"",(交易记录!J15*交易记录!J46+交易记录!J79*交易记录!J110+交易记录!J143*交易记录!J174+交易记录!J207*交易记录!J238+交易记录!J271*交易记录!J302+交易记录!J335*交易记录!J366+交易记录!J399*交易记录!J430+交易记录!J463*交易记录!J494+交易记录!J527*交易记录!J558+交易记录!J591*交易记录!J622+交易记录!J655*交易记录!J686+交易记录!J719*交易记录!J750+交易记录!J783*交易记录!J814+交易记录!J847*交易记录!J878+交易记录!J911*交易记录!J942)/I82)</f>
        <v>372</v>
      </c>
      <c r="J115" s="14">
        <f>IF(J82=0,"",(交易记录!K15*交易记录!K46+交易记录!K79*交易记录!K110+交易记录!K143*交易记录!K174+交易记录!K207*交易记录!K238+交易记录!K271*交易记录!K302+交易记录!K335*交易记录!K366+交易记录!K399*交易记录!K430+交易记录!K463*交易记录!K494+交易记录!K527*交易记录!K558+交易记录!K591*交易记录!K622+交易记录!K655*交易记录!K686+交易记录!K719*交易记录!K750+交易记录!K783*交易记录!K814+交易记录!K847*交易记录!K878+交易记录!K911*交易记录!K942)/J82)</f>
        <v>372</v>
      </c>
      <c r="K115" s="14">
        <f>IF(K82=0,"",(交易记录!L15*交易记录!L46+交易记录!L79*交易记录!L110+交易记录!L143*交易记录!L174+交易记录!L207*交易记录!L238+交易记录!L271*交易记录!L302+交易记录!L335*交易记录!L366+交易记录!L399*交易记录!L430+交易记录!L463*交易记录!L494+交易记录!L527*交易记录!L558+交易记录!L591*交易记录!L622+交易记录!L655*交易记录!L686+交易记录!L719*交易记录!L750+交易记录!L783*交易记录!L814+交易记录!L847*交易记录!L878+交易记录!L911*交易记录!L942)/K82)</f>
        <v>372</v>
      </c>
      <c r="L115" s="14">
        <f>IF(L82=0,"",(交易记录!M15*交易记录!M46+交易记录!M79*交易记录!M110+交易记录!M143*交易记录!M174+交易记录!M207*交易记录!M238+交易记录!M271*交易记录!M302+交易记录!M335*交易记录!M366+交易记录!M399*交易记录!M430+交易记录!M463*交易记录!M494+交易记录!M527*交易记录!M558+交易记录!M591*交易记录!M622+交易记录!M655*交易记录!M686+交易记录!M719*交易记录!M750+交易记录!M783*交易记录!M814+交易记录!M847*交易记录!M878+交易记录!M911*交易记录!M942)/L82)</f>
        <v>372</v>
      </c>
      <c r="M115" s="14">
        <f>IF(M82=0,"",(交易记录!N15*交易记录!N46+交易记录!N79*交易记录!N110+交易记录!N143*交易记录!N174+交易记录!N207*交易记录!N238+交易记录!N271*交易记录!N302+交易记录!N335*交易记录!N366+交易记录!N399*交易记录!N430+交易记录!N463*交易记录!N494+交易记录!N527*交易记录!N558+交易记录!N591*交易记录!N622+交易记录!N655*交易记录!N686+交易记录!N719*交易记录!N750+交易记录!N783*交易记录!N814+交易记录!N847*交易记录!N878+交易记录!N911*交易记录!N942)/M82)</f>
        <v>372</v>
      </c>
      <c r="N115" s="14">
        <f>IF(N82=0,"",(交易记录!O15*交易记录!O46+交易记录!O79*交易记录!O110+交易记录!O143*交易记录!O174+交易记录!O207*交易记录!O238+交易记录!O271*交易记录!O302+交易记录!O335*交易记录!O366+交易记录!O399*交易记录!O430+交易记录!O463*交易记录!O494+交易记录!O527*交易记录!O558+交易记录!O591*交易记录!O622+交易记录!O655*交易记录!O686+交易记录!O719*交易记录!O750+交易记录!O783*交易记录!O814+交易记录!O847*交易记录!O878+交易记录!O911*交易记录!O942)/N82)</f>
        <v>372</v>
      </c>
      <c r="O115" s="14">
        <f>IF(O82=0,"",(交易记录!P15*交易记录!P46+交易记录!P79*交易记录!P110+交易记录!P143*交易记录!P174+交易记录!P207*交易记录!P238+交易记录!P271*交易记录!P302+交易记录!P335*交易记录!P366+交易记录!P399*交易记录!P430+交易记录!P463*交易记录!P494+交易记录!P527*交易记录!P558+交易记录!P591*交易记录!P622+交易记录!P655*交易记录!P686+交易记录!P719*交易记录!P750+交易记录!P783*交易记录!P814+交易记录!P847*交易记录!P878+交易记录!P911*交易记录!P942)/O82)</f>
        <v>372</v>
      </c>
      <c r="P115" s="14">
        <f>IF(P82=0,"",(交易记录!Q15*交易记录!Q46+交易记录!Q79*交易记录!Q110+交易记录!Q143*交易记录!Q174+交易记录!Q207*交易记录!Q238+交易记录!Q271*交易记录!Q302+交易记录!Q335*交易记录!Q366+交易记录!Q399*交易记录!Q430+交易记录!Q463*交易记录!Q494+交易记录!Q527*交易记录!Q558+交易记录!Q591*交易记录!Q622+交易记录!Q655*交易记录!Q686+交易记录!Q719*交易记录!Q750+交易记录!Q783*交易记录!Q814+交易记录!Q847*交易记录!Q878+交易记录!Q911*交易记录!Q942)/P82)</f>
        <v>372</v>
      </c>
      <c r="Q115" s="14">
        <f>IF(Q82=0,"",(交易记录!R15*交易记录!R46+交易记录!R79*交易记录!R110+交易记录!R143*交易记录!R174+交易记录!R207*交易记录!R238+交易记录!R271*交易记录!R302+交易记录!R335*交易记录!R366+交易记录!R399*交易记录!R430+交易记录!R463*交易记录!R494+交易记录!R527*交易记录!R558+交易记录!R591*交易记录!R622+交易记录!R655*交易记录!R686+交易记录!R719*交易记录!R750+交易记录!R783*交易记录!R814+交易记录!R847*交易记录!R878+交易记录!R911*交易记录!R942)/Q82)</f>
        <v>372</v>
      </c>
      <c r="R115" s="14">
        <f>IF(R82=0,"",(交易记录!S15*交易记录!S46+交易记录!S79*交易记录!S110+交易记录!S143*交易记录!S174+交易记录!S207*交易记录!S238+交易记录!S271*交易记录!S302+交易记录!S335*交易记录!S366+交易记录!S399*交易记录!S430+交易记录!S463*交易记录!S494+交易记录!S527*交易记录!S558+交易记录!S591*交易记录!S622+交易记录!S655*交易记录!S686+交易记录!S719*交易记录!S750+交易记录!S783*交易记录!S814+交易记录!S847*交易记录!S878+交易记录!S911*交易记录!S942)/R82)</f>
        <v>372</v>
      </c>
      <c r="S115" s="14">
        <f>IF(S82=0,"",(交易记录!T15*交易记录!T46+交易记录!T79*交易记录!T110+交易记录!T143*交易记录!T174+交易记录!T207*交易记录!T238+交易记录!T271*交易记录!T302+交易记录!T335*交易记录!T366+交易记录!T399*交易记录!T430+交易记录!T463*交易记录!T494+交易记录!T527*交易记录!T558+交易记录!T591*交易记录!T622+交易记录!T655*交易记录!T686+交易记录!T719*交易记录!T750+交易记录!T783*交易记录!T814+交易记录!T847*交易记录!T878+交易记录!T911*交易记录!T942)/S82)</f>
        <v>372</v>
      </c>
      <c r="T115" s="14">
        <f>IF(T82=0,"",(交易记录!U15*交易记录!U46+交易记录!U79*交易记录!U110+交易记录!U143*交易记录!U174+交易记录!U207*交易记录!U238+交易记录!U271*交易记录!U302+交易记录!U335*交易记录!U366+交易记录!U399*交易记录!U430+交易记录!U463*交易记录!U494+交易记录!U527*交易记录!U558+交易记录!U591*交易记录!U622+交易记录!U655*交易记录!U686+交易记录!U719*交易记录!U750+交易记录!U783*交易记录!U814+交易记录!U847*交易记录!U878+交易记录!U911*交易记录!U942)/T82)</f>
        <v>372</v>
      </c>
      <c r="U115" s="14">
        <f>IF(U82=0,"",(交易记录!V15*交易记录!V46+交易记录!V79*交易记录!V110+交易记录!V143*交易记录!V174+交易记录!V207*交易记录!V238+交易记录!V271*交易记录!V302+交易记录!V335*交易记录!V366+交易记录!V399*交易记录!V430+交易记录!V463*交易记录!V494+交易记录!V527*交易记录!V558+交易记录!V591*交易记录!V622+交易记录!V655*交易记录!V686+交易记录!V719*交易记录!V750+交易记录!V783*交易记录!V814+交易记录!V847*交易记录!V878+交易记录!V911*交易记录!V942)/U82)</f>
        <v>372</v>
      </c>
      <c r="V115" s="14">
        <f>IF(V82=0,"",(交易记录!W15*交易记录!W46+交易记录!W79*交易记录!W110+交易记录!W143*交易记录!W174+交易记录!W207*交易记录!W238+交易记录!W271*交易记录!W302+交易记录!W335*交易记录!W366+交易记录!W399*交易记录!W430+交易记录!W463*交易记录!W494+交易记录!W527*交易记录!W558+交易记录!W591*交易记录!W622+交易记录!W655*交易记录!W686+交易记录!W719*交易记录!W750+交易记录!W783*交易记录!W814+交易记录!W847*交易记录!W878+交易记录!W911*交易记录!W942)/V82)</f>
        <v>372</v>
      </c>
      <c r="W115" s="14">
        <f>IF(W82=0,"",(交易记录!X15*交易记录!X46+交易记录!X79*交易记录!X110+交易记录!X143*交易记录!X174+交易记录!X207*交易记录!X238+交易记录!X271*交易记录!X302+交易记录!X335*交易记录!X366+交易记录!X399*交易记录!X430+交易记录!X463*交易记录!X494+交易记录!X527*交易记录!X558+交易记录!X591*交易记录!X622+交易记录!X655*交易记录!X686+交易记录!X719*交易记录!X750+交易记录!X783*交易记录!X814+交易记录!X847*交易记录!X878+交易记录!X911*交易记录!X942)/W82)</f>
        <v>372</v>
      </c>
      <c r="X115" s="14">
        <f>IF(X82=0,"",(交易记录!Y15*交易记录!Y46+交易记录!Y79*交易记录!Y110+交易记录!Y143*交易记录!Y174+交易记录!Y207*交易记录!Y238+交易记录!Y271*交易记录!Y302+交易记录!Y335*交易记录!Y366+交易记录!Y399*交易记录!Y430+交易记录!Y463*交易记录!Y494+交易记录!Y527*交易记录!Y558+交易记录!Y591*交易记录!Y622+交易记录!Y655*交易记录!Y686+交易记录!Y719*交易记录!Y750+交易记录!Y783*交易记录!Y814+交易记录!Y847*交易记录!Y878+交易记录!Y911*交易记录!Y942)/X82)</f>
        <v>372</v>
      </c>
      <c r="Y115" s="14">
        <f>IF(Y82=0,"",(交易记录!Z15*交易记录!Z46+交易记录!Z79*交易记录!Z110+交易记录!Z143*交易记录!Z174+交易记录!Z207*交易记录!Z238+交易记录!Z271*交易记录!Z302+交易记录!Z335*交易记录!Z366+交易记录!Z399*交易记录!Z430+交易记录!Z463*交易记录!Z494+交易记录!Z527*交易记录!Z558+交易记录!Z591*交易记录!Z622+交易记录!Z655*交易记录!Z686+交易记录!Z719*交易记录!Z750+交易记录!Z783*交易记录!Z814+交易记录!Z847*交易记录!Z878+交易记录!Z911*交易记录!Z942)/Y82)</f>
        <v>372</v>
      </c>
      <c r="Z115" s="14">
        <f>IF(Z82=0,"",(交易记录!AA15*交易记录!AA46+交易记录!AA79*交易记录!AA110+交易记录!AA143*交易记录!AA174+交易记录!AA207*交易记录!AA238+交易记录!AA271*交易记录!AA302+交易记录!AA335*交易记录!AA366+交易记录!AA399*交易记录!AA430+交易记录!AA463*交易记录!AA494+交易记录!AA527*交易记录!AA558+交易记录!AA591*交易记录!AA622+交易记录!AA655*交易记录!AA686+交易记录!AA719*交易记录!AA750+交易记录!AA783*交易记录!AA814+交易记录!AA847*交易记录!AA878+交易记录!AA911*交易记录!AA942)/Z82)</f>
        <v>372</v>
      </c>
      <c r="AA115" s="14">
        <f>IF(AA82=0,"",(交易记录!AB15*交易记录!AB46+交易记录!AB79*交易记录!AB110+交易记录!AB143*交易记录!AB174+交易记录!AB207*交易记录!AB238+交易记录!AB271*交易记录!AB302+交易记录!AB335*交易记录!AB366+交易记录!AB399*交易记录!AB430+交易记录!AB463*交易记录!AB494+交易记录!AB527*交易记录!AB558+交易记录!AB591*交易记录!AB622+交易记录!AB655*交易记录!AB686+交易记录!AB719*交易记录!AB750+交易记录!AB783*交易记录!AB814+交易记录!AB847*交易记录!AB878+交易记录!AB911*交易记录!AB942)/AA82)</f>
        <v>372</v>
      </c>
      <c r="AB115" s="14">
        <f>IF(AB82=0,"",(交易记录!AC15*交易记录!AC46+交易记录!AC79*交易记录!AC110+交易记录!AC143*交易记录!AC174+交易记录!AC207*交易记录!AC238+交易记录!AC271*交易记录!AC302+交易记录!AC335*交易记录!AC366+交易记录!AC399*交易记录!AC430+交易记录!AC463*交易记录!AC494+交易记录!AC527*交易记录!AC558+交易记录!AC591*交易记录!AC622+交易记录!AC655*交易记录!AC686+交易记录!AC719*交易记录!AC750+交易记录!AC783*交易记录!AC814+交易记录!AC847*交易记录!AC878+交易记录!AC911*交易记录!AC942)/AB82)</f>
        <v>372</v>
      </c>
      <c r="AC115" s="14">
        <f>IF(AC82=0,"",(交易记录!AD15*交易记录!AD46+交易记录!AD79*交易记录!AD110+交易记录!AD143*交易记录!AD174+交易记录!AD207*交易记录!AD238+交易记录!AD271*交易记录!AD302+交易记录!AD335*交易记录!AD366+交易记录!AD399*交易记录!AD430+交易记录!AD463*交易记录!AD494+交易记录!AD527*交易记录!AD558+交易记录!AD591*交易记录!AD622+交易记录!AD655*交易记录!AD686+交易记录!AD719*交易记录!AD750+交易记录!AD783*交易记录!AD814+交易记录!AD847*交易记录!AD878+交易记录!AD911*交易记录!AD942)/AC82)</f>
        <v>372</v>
      </c>
      <c r="AD115" s="14">
        <f>IF(AD82=0,"",(交易记录!AE15*交易记录!AE46+交易记录!AE79*交易记录!AE110+交易记录!AE143*交易记录!AE174+交易记录!AE207*交易记录!AE238+交易记录!AE271*交易记录!AE302+交易记录!AE335*交易记录!AE366+交易记录!AE399*交易记录!AE430+交易记录!AE463*交易记录!AE494+交易记录!AE527*交易记录!AE558+交易记录!AE591*交易记录!AE622+交易记录!AE655*交易记录!AE686+交易记录!AE719*交易记录!AE750+交易记录!AE783*交易记录!AE814+交易记录!AE847*交易记录!AE878+交易记录!AE911*交易记录!AE942)/AD82)</f>
        <v>372</v>
      </c>
      <c r="AE115" s="14">
        <f>IF(AE82=0,"",(交易记录!AF15*交易记录!AF46+交易记录!AF79*交易记录!AF110+交易记录!AF143*交易记录!AF174+交易记录!AF207*交易记录!AF238+交易记录!AF271*交易记录!AF302+交易记录!AF335*交易记录!AF366+交易记录!AF399*交易记录!AF430+交易记录!AF463*交易记录!AF494+交易记录!AF527*交易记录!AF558+交易记录!AF591*交易记录!AF622+交易记录!AF655*交易记录!AF686+交易记录!AF719*交易记录!AF750+交易记录!AF783*交易记录!AF814+交易记录!AF847*交易记录!AF878+交易记录!AF911*交易记录!AF942)/AE82)</f>
        <v>372</v>
      </c>
      <c r="AF115" s="14">
        <f>IF(AF82=0,"",(交易记录!AG15*交易记录!AG46+交易记录!AG79*交易记录!AG110+交易记录!AG143*交易记录!AG174+交易记录!AG207*交易记录!AG238+交易记录!AG271*交易记录!AG302+交易记录!AG335*交易记录!AG366+交易记录!AG399*交易记录!AG430+交易记录!AG463*交易记录!AG494+交易记录!AG527*交易记录!AG558+交易记录!AG591*交易记录!AG622+交易记录!AG655*交易记录!AG686+交易记录!AG719*交易记录!AG750+交易记录!AG783*交易记录!AG814+交易记录!AG847*交易记录!AG878+交易记录!AG911*交易记录!AG942)/AF82)</f>
        <v>372</v>
      </c>
      <c r="AG115" s="14">
        <f>IF(AG82=0,"",(交易记录!AH15*交易记录!AH46+交易记录!AH79*交易记录!AH110+交易记录!AH143*交易记录!AH174+交易记录!AH207*交易记录!AH238+交易记录!AH271*交易记录!AH302+交易记录!AH335*交易记录!AH366+交易记录!AH399*交易记录!AH430+交易记录!AH463*交易记录!AH494+交易记录!AH527*交易记录!AH558+交易记录!AH591*交易记录!AH622+交易记录!AH655*交易记录!AH686+交易记录!AH719*交易记录!AH750+交易记录!AH783*交易记录!AH814+交易记录!AH847*交易记录!AH878+交易记录!AH911*交易记录!AH942)/AG82)</f>
        <v>372</v>
      </c>
    </row>
    <row r="116" spans="2:33" s="3" customFormat="1" ht="15">
      <c r="B116" s="7" t="s">
        <v>17</v>
      </c>
      <c r="C116" s="14">
        <f>IF(C83=0,"",(交易记录!D16*交易记录!D47+交易记录!D80*交易记录!D111+交易记录!D144*交易记录!D175+交易记录!D208*交易记录!D239+交易记录!D272*交易记录!D303+交易记录!D336*交易记录!D367+交易记录!D400*交易记录!D431+交易记录!D464*交易记录!D495+交易记录!D528*交易记录!D559+交易记录!D592*交易记录!D623+交易记录!D656*交易记录!D687+交易记录!D720*交易记录!D751+交易记录!D784*交易记录!D815+交易记录!D848*交易记录!D879+交易记录!D912*交易记录!D943)/C83)</f>
        <v>372</v>
      </c>
      <c r="D116" s="14">
        <f>IF(D83=0,"",(交易记录!E16*交易记录!E47+交易记录!E80*交易记录!E111+交易记录!E144*交易记录!E175+交易记录!E208*交易记录!E239+交易记录!E272*交易记录!E303+交易记录!E336*交易记录!E367+交易记录!E400*交易记录!E431+交易记录!E464*交易记录!E495+交易记录!E528*交易记录!E559+交易记录!E592*交易记录!E623+交易记录!E656*交易记录!E687+交易记录!E720*交易记录!E751+交易记录!E784*交易记录!E815+交易记录!E848*交易记录!E879+交易记录!E912*交易记录!E943)/D83)</f>
        <v>372</v>
      </c>
      <c r="E116" s="14">
        <f>IF(E83=0,"",(交易记录!F16*交易记录!F47+交易记录!F80*交易记录!F111+交易记录!F144*交易记录!F175+交易记录!F208*交易记录!F239+交易记录!F272*交易记录!F303+交易记录!F336*交易记录!F367+交易记录!F400*交易记录!F431+交易记录!F464*交易记录!F495+交易记录!F528*交易记录!F559+交易记录!F592*交易记录!F623+交易记录!F656*交易记录!F687+交易记录!F720*交易记录!F751+交易记录!F784*交易记录!F815+交易记录!F848*交易记录!F879+交易记录!F912*交易记录!F943)/E83)</f>
        <v>372</v>
      </c>
      <c r="F116" s="14">
        <f>IF(F83=0,"",(交易记录!G16*交易记录!G47+交易记录!G80*交易记录!G111+交易记录!G144*交易记录!G175+交易记录!G208*交易记录!G239+交易记录!G272*交易记录!G303+交易记录!G336*交易记录!G367+交易记录!G400*交易记录!G431+交易记录!G464*交易记录!G495+交易记录!G528*交易记录!G559+交易记录!G592*交易记录!G623+交易记录!G656*交易记录!G687+交易记录!G720*交易记录!G751+交易记录!G784*交易记录!G815+交易记录!G848*交易记录!G879+交易记录!G912*交易记录!G943)/F83)</f>
        <v>372</v>
      </c>
      <c r="G116" s="14">
        <f>IF(G83=0,"",(交易记录!H16*交易记录!H47+交易记录!H80*交易记录!H111+交易记录!H144*交易记录!H175+交易记录!H208*交易记录!H239+交易记录!H272*交易记录!H303+交易记录!H336*交易记录!H367+交易记录!H400*交易记录!H431+交易记录!H464*交易记录!H495+交易记录!H528*交易记录!H559+交易记录!H592*交易记录!H623+交易记录!H656*交易记录!H687+交易记录!H720*交易记录!H751+交易记录!H784*交易记录!H815+交易记录!H848*交易记录!H879+交易记录!H912*交易记录!H943)/G83)</f>
        <v>372</v>
      </c>
      <c r="H116" s="14">
        <f>IF(H83=0,"",(交易记录!I16*交易记录!I47+交易记录!I80*交易记录!I111+交易记录!I144*交易记录!I175+交易记录!I208*交易记录!I239+交易记录!I272*交易记录!I303+交易记录!I336*交易记录!I367+交易记录!I400*交易记录!I431+交易记录!I464*交易记录!I495+交易记录!I528*交易记录!I559+交易记录!I592*交易记录!I623+交易记录!I656*交易记录!I687+交易记录!I720*交易记录!I751+交易记录!I784*交易记录!I815+交易记录!I848*交易记录!I879+交易记录!I912*交易记录!I943)/H83)</f>
        <v>372</v>
      </c>
      <c r="I116" s="14">
        <f>IF(I83=0,"",(交易记录!J16*交易记录!J47+交易记录!J80*交易记录!J111+交易记录!J144*交易记录!J175+交易记录!J208*交易记录!J239+交易记录!J272*交易记录!J303+交易记录!J336*交易记录!J367+交易记录!J400*交易记录!J431+交易记录!J464*交易记录!J495+交易记录!J528*交易记录!J559+交易记录!J592*交易记录!J623+交易记录!J656*交易记录!J687+交易记录!J720*交易记录!J751+交易记录!J784*交易记录!J815+交易记录!J848*交易记录!J879+交易记录!J912*交易记录!J943)/I83)</f>
        <v>372</v>
      </c>
      <c r="J116" s="14">
        <f>IF(J83=0,"",(交易记录!K16*交易记录!K47+交易记录!K80*交易记录!K111+交易记录!K144*交易记录!K175+交易记录!K208*交易记录!K239+交易记录!K272*交易记录!K303+交易记录!K336*交易记录!K367+交易记录!K400*交易记录!K431+交易记录!K464*交易记录!K495+交易记录!K528*交易记录!K559+交易记录!K592*交易记录!K623+交易记录!K656*交易记录!K687+交易记录!K720*交易记录!K751+交易记录!K784*交易记录!K815+交易记录!K848*交易记录!K879+交易记录!K912*交易记录!K943)/J83)</f>
        <v>372</v>
      </c>
      <c r="K116" s="14">
        <f>IF(K83=0,"",(交易记录!L16*交易记录!L47+交易记录!L80*交易记录!L111+交易记录!L144*交易记录!L175+交易记录!L208*交易记录!L239+交易记录!L272*交易记录!L303+交易记录!L336*交易记录!L367+交易记录!L400*交易记录!L431+交易记录!L464*交易记录!L495+交易记录!L528*交易记录!L559+交易记录!L592*交易记录!L623+交易记录!L656*交易记录!L687+交易记录!L720*交易记录!L751+交易记录!L784*交易记录!L815+交易记录!L848*交易记录!L879+交易记录!L912*交易记录!L943)/K83)</f>
        <v>372</v>
      </c>
      <c r="L116" s="14">
        <f>IF(L83=0,"",(交易记录!M16*交易记录!M47+交易记录!M80*交易记录!M111+交易记录!M144*交易记录!M175+交易记录!M208*交易记录!M239+交易记录!M272*交易记录!M303+交易记录!M336*交易记录!M367+交易记录!M400*交易记录!M431+交易记录!M464*交易记录!M495+交易记录!M528*交易记录!M559+交易记录!M592*交易记录!M623+交易记录!M656*交易记录!M687+交易记录!M720*交易记录!M751+交易记录!M784*交易记录!M815+交易记录!M848*交易记录!M879+交易记录!M912*交易记录!M943)/L83)</f>
        <v>372</v>
      </c>
      <c r="M116" s="14">
        <f>IF(M83=0,"",(交易记录!N16*交易记录!N47+交易记录!N80*交易记录!N111+交易记录!N144*交易记录!N175+交易记录!N208*交易记录!N239+交易记录!N272*交易记录!N303+交易记录!N336*交易记录!N367+交易记录!N400*交易记录!N431+交易记录!N464*交易记录!N495+交易记录!N528*交易记录!N559+交易记录!N592*交易记录!N623+交易记录!N656*交易记录!N687+交易记录!N720*交易记录!N751+交易记录!N784*交易记录!N815+交易记录!N848*交易记录!N879+交易记录!N912*交易记录!N943)/M83)</f>
        <v>372</v>
      </c>
      <c r="N116" s="14">
        <f>IF(N83=0,"",(交易记录!O16*交易记录!O47+交易记录!O80*交易记录!O111+交易记录!O144*交易记录!O175+交易记录!O208*交易记录!O239+交易记录!O272*交易记录!O303+交易记录!O336*交易记录!O367+交易记录!O400*交易记录!O431+交易记录!O464*交易记录!O495+交易记录!O528*交易记录!O559+交易记录!O592*交易记录!O623+交易记录!O656*交易记录!O687+交易记录!O720*交易记录!O751+交易记录!O784*交易记录!O815+交易记录!O848*交易记录!O879+交易记录!O912*交易记录!O943)/N83)</f>
        <v>372</v>
      </c>
      <c r="O116" s="14">
        <f>IF(O83=0,"",(交易记录!P16*交易记录!P47+交易记录!P80*交易记录!P111+交易记录!P144*交易记录!P175+交易记录!P208*交易记录!P239+交易记录!P272*交易记录!P303+交易记录!P336*交易记录!P367+交易记录!P400*交易记录!P431+交易记录!P464*交易记录!P495+交易记录!P528*交易记录!P559+交易记录!P592*交易记录!P623+交易记录!P656*交易记录!P687+交易记录!P720*交易记录!P751+交易记录!P784*交易记录!P815+交易记录!P848*交易记录!P879+交易记录!P912*交易记录!P943)/O83)</f>
        <v>372</v>
      </c>
      <c r="P116" s="14">
        <f>IF(P83=0,"",(交易记录!Q16*交易记录!Q47+交易记录!Q80*交易记录!Q111+交易记录!Q144*交易记录!Q175+交易记录!Q208*交易记录!Q239+交易记录!Q272*交易记录!Q303+交易记录!Q336*交易记录!Q367+交易记录!Q400*交易记录!Q431+交易记录!Q464*交易记录!Q495+交易记录!Q528*交易记录!Q559+交易记录!Q592*交易记录!Q623+交易记录!Q656*交易记录!Q687+交易记录!Q720*交易记录!Q751+交易记录!Q784*交易记录!Q815+交易记录!Q848*交易记录!Q879+交易记录!Q912*交易记录!Q943)/P83)</f>
        <v>372</v>
      </c>
      <c r="Q116" s="14">
        <f>IF(Q83=0,"",(交易记录!R16*交易记录!R47+交易记录!R80*交易记录!R111+交易记录!R144*交易记录!R175+交易记录!R208*交易记录!R239+交易记录!R272*交易记录!R303+交易记录!R336*交易记录!R367+交易记录!R400*交易记录!R431+交易记录!R464*交易记录!R495+交易记录!R528*交易记录!R559+交易记录!R592*交易记录!R623+交易记录!R656*交易记录!R687+交易记录!R720*交易记录!R751+交易记录!R784*交易记录!R815+交易记录!R848*交易记录!R879+交易记录!R912*交易记录!R943)/Q83)</f>
        <v>372</v>
      </c>
      <c r="R116" s="14">
        <f>IF(R83=0,"",(交易记录!S16*交易记录!S47+交易记录!S80*交易记录!S111+交易记录!S144*交易记录!S175+交易记录!S208*交易记录!S239+交易记录!S272*交易记录!S303+交易记录!S336*交易记录!S367+交易记录!S400*交易记录!S431+交易记录!S464*交易记录!S495+交易记录!S528*交易记录!S559+交易记录!S592*交易记录!S623+交易记录!S656*交易记录!S687+交易记录!S720*交易记录!S751+交易记录!S784*交易记录!S815+交易记录!S848*交易记录!S879+交易记录!S912*交易记录!S943)/R83)</f>
        <v>372</v>
      </c>
      <c r="S116" s="14">
        <f>IF(S83=0,"",(交易记录!T16*交易记录!T47+交易记录!T80*交易记录!T111+交易记录!T144*交易记录!T175+交易记录!T208*交易记录!T239+交易记录!T272*交易记录!T303+交易记录!T336*交易记录!T367+交易记录!T400*交易记录!T431+交易记录!T464*交易记录!T495+交易记录!T528*交易记录!T559+交易记录!T592*交易记录!T623+交易记录!T656*交易记录!T687+交易记录!T720*交易记录!T751+交易记录!T784*交易记录!T815+交易记录!T848*交易记录!T879+交易记录!T912*交易记录!T943)/S83)</f>
        <v>372</v>
      </c>
      <c r="T116" s="14">
        <f>IF(T83=0,"",(交易记录!U16*交易记录!U47+交易记录!U80*交易记录!U111+交易记录!U144*交易记录!U175+交易记录!U208*交易记录!U239+交易记录!U272*交易记录!U303+交易记录!U336*交易记录!U367+交易记录!U400*交易记录!U431+交易记录!U464*交易记录!U495+交易记录!U528*交易记录!U559+交易记录!U592*交易记录!U623+交易记录!U656*交易记录!U687+交易记录!U720*交易记录!U751+交易记录!U784*交易记录!U815+交易记录!U848*交易记录!U879+交易记录!U912*交易记录!U943)/T83)</f>
        <v>372</v>
      </c>
      <c r="U116" s="14">
        <f>IF(U83=0,"",(交易记录!V16*交易记录!V47+交易记录!V80*交易记录!V111+交易记录!V144*交易记录!V175+交易记录!V208*交易记录!V239+交易记录!V272*交易记录!V303+交易记录!V336*交易记录!V367+交易记录!V400*交易记录!V431+交易记录!V464*交易记录!V495+交易记录!V528*交易记录!V559+交易记录!V592*交易记录!V623+交易记录!V656*交易记录!V687+交易记录!V720*交易记录!V751+交易记录!V784*交易记录!V815+交易记录!V848*交易记录!V879+交易记录!V912*交易记录!V943)/U83)</f>
        <v>372</v>
      </c>
      <c r="V116" s="14">
        <f>IF(V83=0,"",(交易记录!W16*交易记录!W47+交易记录!W80*交易记录!W111+交易记录!W144*交易记录!W175+交易记录!W208*交易记录!W239+交易记录!W272*交易记录!W303+交易记录!W336*交易记录!W367+交易记录!W400*交易记录!W431+交易记录!W464*交易记录!W495+交易记录!W528*交易记录!W559+交易记录!W592*交易记录!W623+交易记录!W656*交易记录!W687+交易记录!W720*交易记录!W751+交易记录!W784*交易记录!W815+交易记录!W848*交易记录!W879+交易记录!W912*交易记录!W943)/V83)</f>
        <v>372</v>
      </c>
      <c r="W116" s="14">
        <f>IF(W83=0,"",(交易记录!X16*交易记录!X47+交易记录!X80*交易记录!X111+交易记录!X144*交易记录!X175+交易记录!X208*交易记录!X239+交易记录!X272*交易记录!X303+交易记录!X336*交易记录!X367+交易记录!X400*交易记录!X431+交易记录!X464*交易记录!X495+交易记录!X528*交易记录!X559+交易记录!X592*交易记录!X623+交易记录!X656*交易记录!X687+交易记录!X720*交易记录!X751+交易记录!X784*交易记录!X815+交易记录!X848*交易记录!X879+交易记录!X912*交易记录!X943)/W83)</f>
        <v>372</v>
      </c>
      <c r="X116" s="14">
        <f>IF(X83=0,"",(交易记录!Y16*交易记录!Y47+交易记录!Y80*交易记录!Y111+交易记录!Y144*交易记录!Y175+交易记录!Y208*交易记录!Y239+交易记录!Y272*交易记录!Y303+交易记录!Y336*交易记录!Y367+交易记录!Y400*交易记录!Y431+交易记录!Y464*交易记录!Y495+交易记录!Y528*交易记录!Y559+交易记录!Y592*交易记录!Y623+交易记录!Y656*交易记录!Y687+交易记录!Y720*交易记录!Y751+交易记录!Y784*交易记录!Y815+交易记录!Y848*交易记录!Y879+交易记录!Y912*交易记录!Y943)/X83)</f>
        <v>372</v>
      </c>
      <c r="Y116" s="14">
        <f>IF(Y83=0,"",(交易记录!Z16*交易记录!Z47+交易记录!Z80*交易记录!Z111+交易记录!Z144*交易记录!Z175+交易记录!Z208*交易记录!Z239+交易记录!Z272*交易记录!Z303+交易记录!Z336*交易记录!Z367+交易记录!Z400*交易记录!Z431+交易记录!Z464*交易记录!Z495+交易记录!Z528*交易记录!Z559+交易记录!Z592*交易记录!Z623+交易记录!Z656*交易记录!Z687+交易记录!Z720*交易记录!Z751+交易记录!Z784*交易记录!Z815+交易记录!Z848*交易记录!Z879+交易记录!Z912*交易记录!Z943)/Y83)</f>
        <v>372</v>
      </c>
      <c r="Z116" s="14">
        <f>IF(Z83=0,"",(交易记录!AA16*交易记录!AA47+交易记录!AA80*交易记录!AA111+交易记录!AA144*交易记录!AA175+交易记录!AA208*交易记录!AA239+交易记录!AA272*交易记录!AA303+交易记录!AA336*交易记录!AA367+交易记录!AA400*交易记录!AA431+交易记录!AA464*交易记录!AA495+交易记录!AA528*交易记录!AA559+交易记录!AA592*交易记录!AA623+交易记录!AA656*交易记录!AA687+交易记录!AA720*交易记录!AA751+交易记录!AA784*交易记录!AA815+交易记录!AA848*交易记录!AA879+交易记录!AA912*交易记录!AA943)/Z83)</f>
        <v>372</v>
      </c>
      <c r="AA116" s="14">
        <f>IF(AA83=0,"",(交易记录!AB16*交易记录!AB47+交易记录!AB80*交易记录!AB111+交易记录!AB144*交易记录!AB175+交易记录!AB208*交易记录!AB239+交易记录!AB272*交易记录!AB303+交易记录!AB336*交易记录!AB367+交易记录!AB400*交易记录!AB431+交易记录!AB464*交易记录!AB495+交易记录!AB528*交易记录!AB559+交易记录!AB592*交易记录!AB623+交易记录!AB656*交易记录!AB687+交易记录!AB720*交易记录!AB751+交易记录!AB784*交易记录!AB815+交易记录!AB848*交易记录!AB879+交易记录!AB912*交易记录!AB943)/AA83)</f>
        <v>372</v>
      </c>
      <c r="AB116" s="14">
        <f>IF(AB83=0,"",(交易记录!AC16*交易记录!AC47+交易记录!AC80*交易记录!AC111+交易记录!AC144*交易记录!AC175+交易记录!AC208*交易记录!AC239+交易记录!AC272*交易记录!AC303+交易记录!AC336*交易记录!AC367+交易记录!AC400*交易记录!AC431+交易记录!AC464*交易记录!AC495+交易记录!AC528*交易记录!AC559+交易记录!AC592*交易记录!AC623+交易记录!AC656*交易记录!AC687+交易记录!AC720*交易记录!AC751+交易记录!AC784*交易记录!AC815+交易记录!AC848*交易记录!AC879+交易记录!AC912*交易记录!AC943)/AB83)</f>
        <v>372</v>
      </c>
      <c r="AC116" s="14">
        <f>IF(AC83=0,"",(交易记录!AD16*交易记录!AD47+交易记录!AD80*交易记录!AD111+交易记录!AD144*交易记录!AD175+交易记录!AD208*交易记录!AD239+交易记录!AD272*交易记录!AD303+交易记录!AD336*交易记录!AD367+交易记录!AD400*交易记录!AD431+交易记录!AD464*交易记录!AD495+交易记录!AD528*交易记录!AD559+交易记录!AD592*交易记录!AD623+交易记录!AD656*交易记录!AD687+交易记录!AD720*交易记录!AD751+交易记录!AD784*交易记录!AD815+交易记录!AD848*交易记录!AD879+交易记录!AD912*交易记录!AD943)/AC83)</f>
        <v>372</v>
      </c>
      <c r="AD116" s="14">
        <f>IF(AD83=0,"",(交易记录!AE16*交易记录!AE47+交易记录!AE80*交易记录!AE111+交易记录!AE144*交易记录!AE175+交易记录!AE208*交易记录!AE239+交易记录!AE272*交易记录!AE303+交易记录!AE336*交易记录!AE367+交易记录!AE400*交易记录!AE431+交易记录!AE464*交易记录!AE495+交易记录!AE528*交易记录!AE559+交易记录!AE592*交易记录!AE623+交易记录!AE656*交易记录!AE687+交易记录!AE720*交易记录!AE751+交易记录!AE784*交易记录!AE815+交易记录!AE848*交易记录!AE879+交易记录!AE912*交易记录!AE943)/AD83)</f>
        <v>372</v>
      </c>
      <c r="AE116" s="14">
        <f>IF(AE83=0,"",(交易记录!AF16*交易记录!AF47+交易记录!AF80*交易记录!AF111+交易记录!AF144*交易记录!AF175+交易记录!AF208*交易记录!AF239+交易记录!AF272*交易记录!AF303+交易记录!AF336*交易记录!AF367+交易记录!AF400*交易记录!AF431+交易记录!AF464*交易记录!AF495+交易记录!AF528*交易记录!AF559+交易记录!AF592*交易记录!AF623+交易记录!AF656*交易记录!AF687+交易记录!AF720*交易记录!AF751+交易记录!AF784*交易记录!AF815+交易记录!AF848*交易记录!AF879+交易记录!AF912*交易记录!AF943)/AE83)</f>
        <v>372</v>
      </c>
      <c r="AF116" s="14">
        <f>IF(AF83=0,"",(交易记录!AG16*交易记录!AG47+交易记录!AG80*交易记录!AG111+交易记录!AG144*交易记录!AG175+交易记录!AG208*交易记录!AG239+交易记录!AG272*交易记录!AG303+交易记录!AG336*交易记录!AG367+交易记录!AG400*交易记录!AG431+交易记录!AG464*交易记录!AG495+交易记录!AG528*交易记录!AG559+交易记录!AG592*交易记录!AG623+交易记录!AG656*交易记录!AG687+交易记录!AG720*交易记录!AG751+交易记录!AG784*交易记录!AG815+交易记录!AG848*交易记录!AG879+交易记录!AG912*交易记录!AG943)/AF83)</f>
        <v>372</v>
      </c>
      <c r="AG116" s="14">
        <f>IF(AG83=0,"",(交易记录!AH16*交易记录!AH47+交易记录!AH80*交易记录!AH111+交易记录!AH144*交易记录!AH175+交易记录!AH208*交易记录!AH239+交易记录!AH272*交易记录!AH303+交易记录!AH336*交易记录!AH367+交易记录!AH400*交易记录!AH431+交易记录!AH464*交易记录!AH495+交易记录!AH528*交易记录!AH559+交易记录!AH592*交易记录!AH623+交易记录!AH656*交易记录!AH687+交易记录!AH720*交易记录!AH751+交易记录!AH784*交易记录!AH815+交易记录!AH848*交易记录!AH879+交易记录!AH912*交易记录!AH943)/AG83)</f>
        <v>372</v>
      </c>
    </row>
    <row r="117" spans="2:33" s="3" customFormat="1" ht="15">
      <c r="B117" s="7" t="s">
        <v>18</v>
      </c>
      <c r="C117" s="14">
        <f>IF(C84=0,"",(交易记录!D17*交易记录!D48+交易记录!D81*交易记录!D112+交易记录!D145*交易记录!D176+交易记录!D209*交易记录!D240+交易记录!D273*交易记录!D304+交易记录!D337*交易记录!D368+交易记录!D401*交易记录!D432+交易记录!D465*交易记录!D496+交易记录!D529*交易记录!D560+交易记录!D593*交易记录!D624+交易记录!D657*交易记录!D688+交易记录!D721*交易记录!D752+交易记录!D785*交易记录!D816+交易记录!D849*交易记录!D880+交易记录!D913*交易记录!D944)/C84)</f>
        <v>372</v>
      </c>
      <c r="D117" s="14">
        <f>IF(D84=0,"",(交易记录!E17*交易记录!E48+交易记录!E81*交易记录!E112+交易记录!E145*交易记录!E176+交易记录!E209*交易记录!E240+交易记录!E273*交易记录!E304+交易记录!E337*交易记录!E368+交易记录!E401*交易记录!E432+交易记录!E465*交易记录!E496+交易记录!E529*交易记录!E560+交易记录!E593*交易记录!E624+交易记录!E657*交易记录!E688+交易记录!E721*交易记录!E752+交易记录!E785*交易记录!E816+交易记录!E849*交易记录!E880+交易记录!E913*交易记录!E944)/D84)</f>
        <v>372</v>
      </c>
      <c r="E117" s="14">
        <f>IF(E84=0,"",(交易记录!F17*交易记录!F48+交易记录!F81*交易记录!F112+交易记录!F145*交易记录!F176+交易记录!F209*交易记录!F240+交易记录!F273*交易记录!F304+交易记录!F337*交易记录!F368+交易记录!F401*交易记录!F432+交易记录!F465*交易记录!F496+交易记录!F529*交易记录!F560+交易记录!F593*交易记录!F624+交易记录!F657*交易记录!F688+交易记录!F721*交易记录!F752+交易记录!F785*交易记录!F816+交易记录!F849*交易记录!F880+交易记录!F913*交易记录!F944)/E84)</f>
        <v>372</v>
      </c>
      <c r="F117" s="14">
        <f>IF(F84=0,"",(交易记录!G17*交易记录!G48+交易记录!G81*交易记录!G112+交易记录!G145*交易记录!G176+交易记录!G209*交易记录!G240+交易记录!G273*交易记录!G304+交易记录!G337*交易记录!G368+交易记录!G401*交易记录!G432+交易记录!G465*交易记录!G496+交易记录!G529*交易记录!G560+交易记录!G593*交易记录!G624+交易记录!G657*交易记录!G688+交易记录!G721*交易记录!G752+交易记录!G785*交易记录!G816+交易记录!G849*交易记录!G880+交易记录!G913*交易记录!G944)/F84)</f>
        <v>372</v>
      </c>
      <c r="G117" s="14">
        <f>IF(G84=0,"",(交易记录!H17*交易记录!H48+交易记录!H81*交易记录!H112+交易记录!H145*交易记录!H176+交易记录!H209*交易记录!H240+交易记录!H273*交易记录!H304+交易记录!H337*交易记录!H368+交易记录!H401*交易记录!H432+交易记录!H465*交易记录!H496+交易记录!H529*交易记录!H560+交易记录!H593*交易记录!H624+交易记录!H657*交易记录!H688+交易记录!H721*交易记录!H752+交易记录!H785*交易记录!H816+交易记录!H849*交易记录!H880+交易记录!H913*交易记录!H944)/G84)</f>
        <v>372</v>
      </c>
      <c r="H117" s="14">
        <f>IF(H84=0,"",(交易记录!I17*交易记录!I48+交易记录!I81*交易记录!I112+交易记录!I145*交易记录!I176+交易记录!I209*交易记录!I240+交易记录!I273*交易记录!I304+交易记录!I337*交易记录!I368+交易记录!I401*交易记录!I432+交易记录!I465*交易记录!I496+交易记录!I529*交易记录!I560+交易记录!I593*交易记录!I624+交易记录!I657*交易记录!I688+交易记录!I721*交易记录!I752+交易记录!I785*交易记录!I816+交易记录!I849*交易记录!I880+交易记录!I913*交易记录!I944)/H84)</f>
        <v>372</v>
      </c>
      <c r="I117" s="14">
        <f>IF(I84=0,"",(交易记录!J17*交易记录!J48+交易记录!J81*交易记录!J112+交易记录!J145*交易记录!J176+交易记录!J209*交易记录!J240+交易记录!J273*交易记录!J304+交易记录!J337*交易记录!J368+交易记录!J401*交易记录!J432+交易记录!J465*交易记录!J496+交易记录!J529*交易记录!J560+交易记录!J593*交易记录!J624+交易记录!J657*交易记录!J688+交易记录!J721*交易记录!J752+交易记录!J785*交易记录!J816+交易记录!J849*交易记录!J880+交易记录!J913*交易记录!J944)/I84)</f>
        <v>372</v>
      </c>
      <c r="J117" s="14">
        <f>IF(J84=0,"",(交易记录!K17*交易记录!K48+交易记录!K81*交易记录!K112+交易记录!K145*交易记录!K176+交易记录!K209*交易记录!K240+交易记录!K273*交易记录!K304+交易记录!K337*交易记录!K368+交易记录!K401*交易记录!K432+交易记录!K465*交易记录!K496+交易记录!K529*交易记录!K560+交易记录!K593*交易记录!K624+交易记录!K657*交易记录!K688+交易记录!K721*交易记录!K752+交易记录!K785*交易记录!K816+交易记录!K849*交易记录!K880+交易记录!K913*交易记录!K944)/J84)</f>
        <v>372</v>
      </c>
      <c r="K117" s="14">
        <f>IF(K84=0,"",(交易记录!L17*交易记录!L48+交易记录!L81*交易记录!L112+交易记录!L145*交易记录!L176+交易记录!L209*交易记录!L240+交易记录!L273*交易记录!L304+交易记录!L337*交易记录!L368+交易记录!L401*交易记录!L432+交易记录!L465*交易记录!L496+交易记录!L529*交易记录!L560+交易记录!L593*交易记录!L624+交易记录!L657*交易记录!L688+交易记录!L721*交易记录!L752+交易记录!L785*交易记录!L816+交易记录!L849*交易记录!L880+交易记录!L913*交易记录!L944)/K84)</f>
        <v>372</v>
      </c>
      <c r="L117" s="14">
        <f>IF(L84=0,"",(交易记录!M17*交易记录!M48+交易记录!M81*交易记录!M112+交易记录!M145*交易记录!M176+交易记录!M209*交易记录!M240+交易记录!M273*交易记录!M304+交易记录!M337*交易记录!M368+交易记录!M401*交易记录!M432+交易记录!M465*交易记录!M496+交易记录!M529*交易记录!M560+交易记录!M593*交易记录!M624+交易记录!M657*交易记录!M688+交易记录!M721*交易记录!M752+交易记录!M785*交易记录!M816+交易记录!M849*交易记录!M880+交易记录!M913*交易记录!M944)/L84)</f>
        <v>372</v>
      </c>
      <c r="M117" s="14">
        <f>IF(M84=0,"",(交易记录!N17*交易记录!N48+交易记录!N81*交易记录!N112+交易记录!N145*交易记录!N176+交易记录!N209*交易记录!N240+交易记录!N273*交易记录!N304+交易记录!N337*交易记录!N368+交易记录!N401*交易记录!N432+交易记录!N465*交易记录!N496+交易记录!N529*交易记录!N560+交易记录!N593*交易记录!N624+交易记录!N657*交易记录!N688+交易记录!N721*交易记录!N752+交易记录!N785*交易记录!N816+交易记录!N849*交易记录!N880+交易记录!N913*交易记录!N944)/M84)</f>
        <v>372</v>
      </c>
      <c r="N117" s="14">
        <f>IF(N84=0,"",(交易记录!O17*交易记录!O48+交易记录!O81*交易记录!O112+交易记录!O145*交易记录!O176+交易记录!O209*交易记录!O240+交易记录!O273*交易记录!O304+交易记录!O337*交易记录!O368+交易记录!O401*交易记录!O432+交易记录!O465*交易记录!O496+交易记录!O529*交易记录!O560+交易记录!O593*交易记录!O624+交易记录!O657*交易记录!O688+交易记录!O721*交易记录!O752+交易记录!O785*交易记录!O816+交易记录!O849*交易记录!O880+交易记录!O913*交易记录!O944)/N84)</f>
        <v>372</v>
      </c>
      <c r="O117" s="14">
        <f>IF(O84=0,"",(交易记录!P17*交易记录!P48+交易记录!P81*交易记录!P112+交易记录!P145*交易记录!P176+交易记录!P209*交易记录!P240+交易记录!P273*交易记录!P304+交易记录!P337*交易记录!P368+交易记录!P401*交易记录!P432+交易记录!P465*交易记录!P496+交易记录!P529*交易记录!P560+交易记录!P593*交易记录!P624+交易记录!P657*交易记录!P688+交易记录!P721*交易记录!P752+交易记录!P785*交易记录!P816+交易记录!P849*交易记录!P880+交易记录!P913*交易记录!P944)/O84)</f>
        <v>372</v>
      </c>
      <c r="P117" s="14">
        <f>IF(P84=0,"",(交易记录!Q17*交易记录!Q48+交易记录!Q81*交易记录!Q112+交易记录!Q145*交易记录!Q176+交易记录!Q209*交易记录!Q240+交易记录!Q273*交易记录!Q304+交易记录!Q337*交易记录!Q368+交易记录!Q401*交易记录!Q432+交易记录!Q465*交易记录!Q496+交易记录!Q529*交易记录!Q560+交易记录!Q593*交易记录!Q624+交易记录!Q657*交易记录!Q688+交易记录!Q721*交易记录!Q752+交易记录!Q785*交易记录!Q816+交易记录!Q849*交易记录!Q880+交易记录!Q913*交易记录!Q944)/P84)</f>
        <v>372</v>
      </c>
      <c r="Q117" s="14">
        <f>IF(Q84=0,"",(交易记录!R17*交易记录!R48+交易记录!R81*交易记录!R112+交易记录!R145*交易记录!R176+交易记录!R209*交易记录!R240+交易记录!R273*交易记录!R304+交易记录!R337*交易记录!R368+交易记录!R401*交易记录!R432+交易记录!R465*交易记录!R496+交易记录!R529*交易记录!R560+交易记录!R593*交易记录!R624+交易记录!R657*交易记录!R688+交易记录!R721*交易记录!R752+交易记录!R785*交易记录!R816+交易记录!R849*交易记录!R880+交易记录!R913*交易记录!R944)/Q84)</f>
        <v>372</v>
      </c>
      <c r="R117" s="14">
        <f>IF(R84=0,"",(交易记录!S17*交易记录!S48+交易记录!S81*交易记录!S112+交易记录!S145*交易记录!S176+交易记录!S209*交易记录!S240+交易记录!S273*交易记录!S304+交易记录!S337*交易记录!S368+交易记录!S401*交易记录!S432+交易记录!S465*交易记录!S496+交易记录!S529*交易记录!S560+交易记录!S593*交易记录!S624+交易记录!S657*交易记录!S688+交易记录!S721*交易记录!S752+交易记录!S785*交易记录!S816+交易记录!S849*交易记录!S880+交易记录!S913*交易记录!S944)/R84)</f>
        <v>372</v>
      </c>
      <c r="S117" s="14">
        <f>IF(S84=0,"",(交易记录!T17*交易记录!T48+交易记录!T81*交易记录!T112+交易记录!T145*交易记录!T176+交易记录!T209*交易记录!T240+交易记录!T273*交易记录!T304+交易记录!T337*交易记录!T368+交易记录!T401*交易记录!T432+交易记录!T465*交易记录!T496+交易记录!T529*交易记录!T560+交易记录!T593*交易记录!T624+交易记录!T657*交易记录!T688+交易记录!T721*交易记录!T752+交易记录!T785*交易记录!T816+交易记录!T849*交易记录!T880+交易记录!T913*交易记录!T944)/S84)</f>
        <v>372</v>
      </c>
      <c r="T117" s="14">
        <f>IF(T84=0,"",(交易记录!U17*交易记录!U48+交易记录!U81*交易记录!U112+交易记录!U145*交易记录!U176+交易记录!U209*交易记录!U240+交易记录!U273*交易记录!U304+交易记录!U337*交易记录!U368+交易记录!U401*交易记录!U432+交易记录!U465*交易记录!U496+交易记录!U529*交易记录!U560+交易记录!U593*交易记录!U624+交易记录!U657*交易记录!U688+交易记录!U721*交易记录!U752+交易记录!U785*交易记录!U816+交易记录!U849*交易记录!U880+交易记录!U913*交易记录!U944)/T84)</f>
        <v>372</v>
      </c>
      <c r="U117" s="14">
        <f>IF(U84=0,"",(交易记录!V17*交易记录!V48+交易记录!V81*交易记录!V112+交易记录!V145*交易记录!V176+交易记录!V209*交易记录!V240+交易记录!V273*交易记录!V304+交易记录!V337*交易记录!V368+交易记录!V401*交易记录!V432+交易记录!V465*交易记录!V496+交易记录!V529*交易记录!V560+交易记录!V593*交易记录!V624+交易记录!V657*交易记录!V688+交易记录!V721*交易记录!V752+交易记录!V785*交易记录!V816+交易记录!V849*交易记录!V880+交易记录!V913*交易记录!V944)/U84)</f>
        <v>372</v>
      </c>
      <c r="V117" s="14">
        <f>IF(V84=0,"",(交易记录!W17*交易记录!W48+交易记录!W81*交易记录!W112+交易记录!W145*交易记录!W176+交易记录!W209*交易记录!W240+交易记录!W273*交易记录!W304+交易记录!W337*交易记录!W368+交易记录!W401*交易记录!W432+交易记录!W465*交易记录!W496+交易记录!W529*交易记录!W560+交易记录!W593*交易记录!W624+交易记录!W657*交易记录!W688+交易记录!W721*交易记录!W752+交易记录!W785*交易记录!W816+交易记录!W849*交易记录!W880+交易记录!W913*交易记录!W944)/V84)</f>
        <v>372</v>
      </c>
      <c r="W117" s="14">
        <f>IF(W84=0,"",(交易记录!X17*交易记录!X48+交易记录!X81*交易记录!X112+交易记录!X145*交易记录!X176+交易记录!X209*交易记录!X240+交易记录!X273*交易记录!X304+交易记录!X337*交易记录!X368+交易记录!X401*交易记录!X432+交易记录!X465*交易记录!X496+交易记录!X529*交易记录!X560+交易记录!X593*交易记录!X624+交易记录!X657*交易记录!X688+交易记录!X721*交易记录!X752+交易记录!X785*交易记录!X816+交易记录!X849*交易记录!X880+交易记录!X913*交易记录!X944)/W84)</f>
        <v>372</v>
      </c>
      <c r="X117" s="14">
        <f>IF(X84=0,"",(交易记录!Y17*交易记录!Y48+交易记录!Y81*交易记录!Y112+交易记录!Y145*交易记录!Y176+交易记录!Y209*交易记录!Y240+交易记录!Y273*交易记录!Y304+交易记录!Y337*交易记录!Y368+交易记录!Y401*交易记录!Y432+交易记录!Y465*交易记录!Y496+交易记录!Y529*交易记录!Y560+交易记录!Y593*交易记录!Y624+交易记录!Y657*交易记录!Y688+交易记录!Y721*交易记录!Y752+交易记录!Y785*交易记录!Y816+交易记录!Y849*交易记录!Y880+交易记录!Y913*交易记录!Y944)/X84)</f>
        <v>372</v>
      </c>
      <c r="Y117" s="14">
        <f>IF(Y84=0,"",(交易记录!Z17*交易记录!Z48+交易记录!Z81*交易记录!Z112+交易记录!Z145*交易记录!Z176+交易记录!Z209*交易记录!Z240+交易记录!Z273*交易记录!Z304+交易记录!Z337*交易记录!Z368+交易记录!Z401*交易记录!Z432+交易记录!Z465*交易记录!Z496+交易记录!Z529*交易记录!Z560+交易记录!Z593*交易记录!Z624+交易记录!Z657*交易记录!Z688+交易记录!Z721*交易记录!Z752+交易记录!Z785*交易记录!Z816+交易记录!Z849*交易记录!Z880+交易记录!Z913*交易记录!Z944)/Y84)</f>
        <v>372</v>
      </c>
      <c r="Z117" s="14">
        <f>IF(Z84=0,"",(交易记录!AA17*交易记录!AA48+交易记录!AA81*交易记录!AA112+交易记录!AA145*交易记录!AA176+交易记录!AA209*交易记录!AA240+交易记录!AA273*交易记录!AA304+交易记录!AA337*交易记录!AA368+交易记录!AA401*交易记录!AA432+交易记录!AA465*交易记录!AA496+交易记录!AA529*交易记录!AA560+交易记录!AA593*交易记录!AA624+交易记录!AA657*交易记录!AA688+交易记录!AA721*交易记录!AA752+交易记录!AA785*交易记录!AA816+交易记录!AA849*交易记录!AA880+交易记录!AA913*交易记录!AA944)/Z84)</f>
        <v>372</v>
      </c>
      <c r="AA117" s="14">
        <f>IF(AA84=0,"",(交易记录!AB17*交易记录!AB48+交易记录!AB81*交易记录!AB112+交易记录!AB145*交易记录!AB176+交易记录!AB209*交易记录!AB240+交易记录!AB273*交易记录!AB304+交易记录!AB337*交易记录!AB368+交易记录!AB401*交易记录!AB432+交易记录!AB465*交易记录!AB496+交易记录!AB529*交易记录!AB560+交易记录!AB593*交易记录!AB624+交易记录!AB657*交易记录!AB688+交易记录!AB721*交易记录!AB752+交易记录!AB785*交易记录!AB816+交易记录!AB849*交易记录!AB880+交易记录!AB913*交易记录!AB944)/AA84)</f>
        <v>372</v>
      </c>
      <c r="AB117" s="14">
        <f>IF(AB84=0,"",(交易记录!AC17*交易记录!AC48+交易记录!AC81*交易记录!AC112+交易记录!AC145*交易记录!AC176+交易记录!AC209*交易记录!AC240+交易记录!AC273*交易记录!AC304+交易记录!AC337*交易记录!AC368+交易记录!AC401*交易记录!AC432+交易记录!AC465*交易记录!AC496+交易记录!AC529*交易记录!AC560+交易记录!AC593*交易记录!AC624+交易记录!AC657*交易记录!AC688+交易记录!AC721*交易记录!AC752+交易记录!AC785*交易记录!AC816+交易记录!AC849*交易记录!AC880+交易记录!AC913*交易记录!AC944)/AB84)</f>
        <v>372</v>
      </c>
      <c r="AC117" s="14">
        <f>IF(AC84=0,"",(交易记录!AD17*交易记录!AD48+交易记录!AD81*交易记录!AD112+交易记录!AD145*交易记录!AD176+交易记录!AD209*交易记录!AD240+交易记录!AD273*交易记录!AD304+交易记录!AD337*交易记录!AD368+交易记录!AD401*交易记录!AD432+交易记录!AD465*交易记录!AD496+交易记录!AD529*交易记录!AD560+交易记录!AD593*交易记录!AD624+交易记录!AD657*交易记录!AD688+交易记录!AD721*交易记录!AD752+交易记录!AD785*交易记录!AD816+交易记录!AD849*交易记录!AD880+交易记录!AD913*交易记录!AD944)/AC84)</f>
        <v>372</v>
      </c>
      <c r="AD117" s="14">
        <f>IF(AD84=0,"",(交易记录!AE17*交易记录!AE48+交易记录!AE81*交易记录!AE112+交易记录!AE145*交易记录!AE176+交易记录!AE209*交易记录!AE240+交易记录!AE273*交易记录!AE304+交易记录!AE337*交易记录!AE368+交易记录!AE401*交易记录!AE432+交易记录!AE465*交易记录!AE496+交易记录!AE529*交易记录!AE560+交易记录!AE593*交易记录!AE624+交易记录!AE657*交易记录!AE688+交易记录!AE721*交易记录!AE752+交易记录!AE785*交易记录!AE816+交易记录!AE849*交易记录!AE880+交易记录!AE913*交易记录!AE944)/AD84)</f>
        <v>372</v>
      </c>
      <c r="AE117" s="14">
        <f>IF(AE84=0,"",(交易记录!AF17*交易记录!AF48+交易记录!AF81*交易记录!AF112+交易记录!AF145*交易记录!AF176+交易记录!AF209*交易记录!AF240+交易记录!AF273*交易记录!AF304+交易记录!AF337*交易记录!AF368+交易记录!AF401*交易记录!AF432+交易记录!AF465*交易记录!AF496+交易记录!AF529*交易记录!AF560+交易记录!AF593*交易记录!AF624+交易记录!AF657*交易记录!AF688+交易记录!AF721*交易记录!AF752+交易记录!AF785*交易记录!AF816+交易记录!AF849*交易记录!AF880+交易记录!AF913*交易记录!AF944)/AE84)</f>
        <v>372</v>
      </c>
      <c r="AF117" s="14">
        <f>IF(AF84=0,"",(交易记录!AG17*交易记录!AG48+交易记录!AG81*交易记录!AG112+交易记录!AG145*交易记录!AG176+交易记录!AG209*交易记录!AG240+交易记录!AG273*交易记录!AG304+交易记录!AG337*交易记录!AG368+交易记录!AG401*交易记录!AG432+交易记录!AG465*交易记录!AG496+交易记录!AG529*交易记录!AG560+交易记录!AG593*交易记录!AG624+交易记录!AG657*交易记录!AG688+交易记录!AG721*交易记录!AG752+交易记录!AG785*交易记录!AG816+交易记录!AG849*交易记录!AG880+交易记录!AG913*交易记录!AG944)/AF84)</f>
        <v>372</v>
      </c>
      <c r="AG117" s="14">
        <f>IF(AG84=0,"",(交易记录!AH17*交易记录!AH48+交易记录!AH81*交易记录!AH112+交易记录!AH145*交易记录!AH176+交易记录!AH209*交易记录!AH240+交易记录!AH273*交易记录!AH304+交易记录!AH337*交易记录!AH368+交易记录!AH401*交易记录!AH432+交易记录!AH465*交易记录!AH496+交易记录!AH529*交易记录!AH560+交易记录!AH593*交易记录!AH624+交易记录!AH657*交易记录!AH688+交易记录!AH721*交易记录!AH752+交易记录!AH785*交易记录!AH816+交易记录!AH849*交易记录!AH880+交易记录!AH913*交易记录!AH944)/AG84)</f>
        <v>372</v>
      </c>
    </row>
    <row r="118" spans="2:33" s="3" customFormat="1" ht="15">
      <c r="B118" s="7" t="s">
        <v>19</v>
      </c>
      <c r="C118" s="14">
        <f>IF(C85=0,"",(交易记录!D18*交易记录!D49+交易记录!D82*交易记录!D113+交易记录!D146*交易记录!D177+交易记录!D210*交易记录!D241+交易记录!D274*交易记录!D305+交易记录!D338*交易记录!D369+交易记录!D402*交易记录!D433+交易记录!D466*交易记录!D497+交易记录!D530*交易记录!D561+交易记录!D594*交易记录!D625+交易记录!D658*交易记录!D689+交易记录!D722*交易记录!D753+交易记录!D786*交易记录!D817+交易记录!D850*交易记录!D881+交易记录!D914*交易记录!D945)/C85)</f>
        <v>372</v>
      </c>
      <c r="D118" s="14">
        <f>IF(D85=0,"",(交易记录!E18*交易记录!E49+交易记录!E82*交易记录!E113+交易记录!E146*交易记录!E177+交易记录!E210*交易记录!E241+交易记录!E274*交易记录!E305+交易记录!E338*交易记录!E369+交易记录!E402*交易记录!E433+交易记录!E466*交易记录!E497+交易记录!E530*交易记录!E561+交易记录!E594*交易记录!E625+交易记录!E658*交易记录!E689+交易记录!E722*交易记录!E753+交易记录!E786*交易记录!E817+交易记录!E850*交易记录!E881+交易记录!E914*交易记录!E945)/D85)</f>
        <v>372</v>
      </c>
      <c r="E118" s="14">
        <f>IF(E85=0,"",(交易记录!F18*交易记录!F49+交易记录!F82*交易记录!F113+交易记录!F146*交易记录!F177+交易记录!F210*交易记录!F241+交易记录!F274*交易记录!F305+交易记录!F338*交易记录!F369+交易记录!F402*交易记录!F433+交易记录!F466*交易记录!F497+交易记录!F530*交易记录!F561+交易记录!F594*交易记录!F625+交易记录!F658*交易记录!F689+交易记录!F722*交易记录!F753+交易记录!F786*交易记录!F817+交易记录!F850*交易记录!F881+交易记录!F914*交易记录!F945)/E85)</f>
        <v>372</v>
      </c>
      <c r="F118" s="14">
        <f>IF(F85=0,"",(交易记录!G18*交易记录!G49+交易记录!G82*交易记录!G113+交易记录!G146*交易记录!G177+交易记录!G210*交易记录!G241+交易记录!G274*交易记录!G305+交易记录!G338*交易记录!G369+交易记录!G402*交易记录!G433+交易记录!G466*交易记录!G497+交易记录!G530*交易记录!G561+交易记录!G594*交易记录!G625+交易记录!G658*交易记录!G689+交易记录!G722*交易记录!G753+交易记录!G786*交易记录!G817+交易记录!G850*交易记录!G881+交易记录!G914*交易记录!G945)/F85)</f>
        <v>372</v>
      </c>
      <c r="G118" s="14">
        <f>IF(G85=0,"",(交易记录!H18*交易记录!H49+交易记录!H82*交易记录!H113+交易记录!H146*交易记录!H177+交易记录!H210*交易记录!H241+交易记录!H274*交易记录!H305+交易记录!H338*交易记录!H369+交易记录!H402*交易记录!H433+交易记录!H466*交易记录!H497+交易记录!H530*交易记录!H561+交易记录!H594*交易记录!H625+交易记录!H658*交易记录!H689+交易记录!H722*交易记录!H753+交易记录!H786*交易记录!H817+交易记录!H850*交易记录!H881+交易记录!H914*交易记录!H945)/G85)</f>
        <v>372</v>
      </c>
      <c r="H118" s="14">
        <f>IF(H85=0,"",(交易记录!I18*交易记录!I49+交易记录!I82*交易记录!I113+交易记录!I146*交易记录!I177+交易记录!I210*交易记录!I241+交易记录!I274*交易记录!I305+交易记录!I338*交易记录!I369+交易记录!I402*交易记录!I433+交易记录!I466*交易记录!I497+交易记录!I530*交易记录!I561+交易记录!I594*交易记录!I625+交易记录!I658*交易记录!I689+交易记录!I722*交易记录!I753+交易记录!I786*交易记录!I817+交易记录!I850*交易记录!I881+交易记录!I914*交易记录!I945)/H85)</f>
        <v>372</v>
      </c>
      <c r="I118" s="14">
        <f>IF(I85=0,"",(交易记录!J18*交易记录!J49+交易记录!J82*交易记录!J113+交易记录!J146*交易记录!J177+交易记录!J210*交易记录!J241+交易记录!J274*交易记录!J305+交易记录!J338*交易记录!J369+交易记录!J402*交易记录!J433+交易记录!J466*交易记录!J497+交易记录!J530*交易记录!J561+交易记录!J594*交易记录!J625+交易记录!J658*交易记录!J689+交易记录!J722*交易记录!J753+交易记录!J786*交易记录!J817+交易记录!J850*交易记录!J881+交易记录!J914*交易记录!J945)/I85)</f>
        <v>372</v>
      </c>
      <c r="J118" s="14">
        <f>IF(J85=0,"",(交易记录!K18*交易记录!K49+交易记录!K82*交易记录!K113+交易记录!K146*交易记录!K177+交易记录!K210*交易记录!K241+交易记录!K274*交易记录!K305+交易记录!K338*交易记录!K369+交易记录!K402*交易记录!K433+交易记录!K466*交易记录!K497+交易记录!K530*交易记录!K561+交易记录!K594*交易记录!K625+交易记录!K658*交易记录!K689+交易记录!K722*交易记录!K753+交易记录!K786*交易记录!K817+交易记录!K850*交易记录!K881+交易记录!K914*交易记录!K945)/J85)</f>
        <v>372</v>
      </c>
      <c r="K118" s="14">
        <f>IF(K85=0,"",(交易记录!L18*交易记录!L49+交易记录!L82*交易记录!L113+交易记录!L146*交易记录!L177+交易记录!L210*交易记录!L241+交易记录!L274*交易记录!L305+交易记录!L338*交易记录!L369+交易记录!L402*交易记录!L433+交易记录!L466*交易记录!L497+交易记录!L530*交易记录!L561+交易记录!L594*交易记录!L625+交易记录!L658*交易记录!L689+交易记录!L722*交易记录!L753+交易记录!L786*交易记录!L817+交易记录!L850*交易记录!L881+交易记录!L914*交易记录!L945)/K85)</f>
        <v>372</v>
      </c>
      <c r="L118" s="14">
        <f>IF(L85=0,"",(交易记录!M18*交易记录!M49+交易记录!M82*交易记录!M113+交易记录!M146*交易记录!M177+交易记录!M210*交易记录!M241+交易记录!M274*交易记录!M305+交易记录!M338*交易记录!M369+交易记录!M402*交易记录!M433+交易记录!M466*交易记录!M497+交易记录!M530*交易记录!M561+交易记录!M594*交易记录!M625+交易记录!M658*交易记录!M689+交易记录!M722*交易记录!M753+交易记录!M786*交易记录!M817+交易记录!M850*交易记录!M881+交易记录!M914*交易记录!M945)/L85)</f>
        <v>372</v>
      </c>
      <c r="M118" s="14">
        <f>IF(M85=0,"",(交易记录!N18*交易记录!N49+交易记录!N82*交易记录!N113+交易记录!N146*交易记录!N177+交易记录!N210*交易记录!N241+交易记录!N274*交易记录!N305+交易记录!N338*交易记录!N369+交易记录!N402*交易记录!N433+交易记录!N466*交易记录!N497+交易记录!N530*交易记录!N561+交易记录!N594*交易记录!N625+交易记录!N658*交易记录!N689+交易记录!N722*交易记录!N753+交易记录!N786*交易记录!N817+交易记录!N850*交易记录!N881+交易记录!N914*交易记录!N945)/M85)</f>
        <v>372</v>
      </c>
      <c r="N118" s="14">
        <f>IF(N85=0,"",(交易记录!O18*交易记录!O49+交易记录!O82*交易记录!O113+交易记录!O146*交易记录!O177+交易记录!O210*交易记录!O241+交易记录!O274*交易记录!O305+交易记录!O338*交易记录!O369+交易记录!O402*交易记录!O433+交易记录!O466*交易记录!O497+交易记录!O530*交易记录!O561+交易记录!O594*交易记录!O625+交易记录!O658*交易记录!O689+交易记录!O722*交易记录!O753+交易记录!O786*交易记录!O817+交易记录!O850*交易记录!O881+交易记录!O914*交易记录!O945)/N85)</f>
        <v>372</v>
      </c>
      <c r="O118" s="14">
        <f>IF(O85=0,"",(交易记录!P18*交易记录!P49+交易记录!P82*交易记录!P113+交易记录!P146*交易记录!P177+交易记录!P210*交易记录!P241+交易记录!P274*交易记录!P305+交易记录!P338*交易记录!P369+交易记录!P402*交易记录!P433+交易记录!P466*交易记录!P497+交易记录!P530*交易记录!P561+交易记录!P594*交易记录!P625+交易记录!P658*交易记录!P689+交易记录!P722*交易记录!P753+交易记录!P786*交易记录!P817+交易记录!P850*交易记录!P881+交易记录!P914*交易记录!P945)/O85)</f>
        <v>372</v>
      </c>
      <c r="P118" s="14">
        <f>IF(P85=0,"",(交易记录!Q18*交易记录!Q49+交易记录!Q82*交易记录!Q113+交易记录!Q146*交易记录!Q177+交易记录!Q210*交易记录!Q241+交易记录!Q274*交易记录!Q305+交易记录!Q338*交易记录!Q369+交易记录!Q402*交易记录!Q433+交易记录!Q466*交易记录!Q497+交易记录!Q530*交易记录!Q561+交易记录!Q594*交易记录!Q625+交易记录!Q658*交易记录!Q689+交易记录!Q722*交易记录!Q753+交易记录!Q786*交易记录!Q817+交易记录!Q850*交易记录!Q881+交易记录!Q914*交易记录!Q945)/P85)</f>
        <v>372</v>
      </c>
      <c r="Q118" s="14">
        <f>IF(Q85=0,"",(交易记录!R18*交易记录!R49+交易记录!R82*交易记录!R113+交易记录!R146*交易记录!R177+交易记录!R210*交易记录!R241+交易记录!R274*交易记录!R305+交易记录!R338*交易记录!R369+交易记录!R402*交易记录!R433+交易记录!R466*交易记录!R497+交易记录!R530*交易记录!R561+交易记录!R594*交易记录!R625+交易记录!R658*交易记录!R689+交易记录!R722*交易记录!R753+交易记录!R786*交易记录!R817+交易记录!R850*交易记录!R881+交易记录!R914*交易记录!R945)/Q85)</f>
        <v>372</v>
      </c>
      <c r="R118" s="14">
        <f>IF(R85=0,"",(交易记录!S18*交易记录!S49+交易记录!S82*交易记录!S113+交易记录!S146*交易记录!S177+交易记录!S210*交易记录!S241+交易记录!S274*交易记录!S305+交易记录!S338*交易记录!S369+交易记录!S402*交易记录!S433+交易记录!S466*交易记录!S497+交易记录!S530*交易记录!S561+交易记录!S594*交易记录!S625+交易记录!S658*交易记录!S689+交易记录!S722*交易记录!S753+交易记录!S786*交易记录!S817+交易记录!S850*交易记录!S881+交易记录!S914*交易记录!S945)/R85)</f>
        <v>372</v>
      </c>
      <c r="S118" s="14">
        <f>IF(S85=0,"",(交易记录!T18*交易记录!T49+交易记录!T82*交易记录!T113+交易记录!T146*交易记录!T177+交易记录!T210*交易记录!T241+交易记录!T274*交易记录!T305+交易记录!T338*交易记录!T369+交易记录!T402*交易记录!T433+交易记录!T466*交易记录!T497+交易记录!T530*交易记录!T561+交易记录!T594*交易记录!T625+交易记录!T658*交易记录!T689+交易记录!T722*交易记录!T753+交易记录!T786*交易记录!T817+交易记录!T850*交易记录!T881+交易记录!T914*交易记录!T945)/S85)</f>
        <v>372</v>
      </c>
      <c r="T118" s="14">
        <f>IF(T85=0,"",(交易记录!U18*交易记录!U49+交易记录!U82*交易记录!U113+交易记录!U146*交易记录!U177+交易记录!U210*交易记录!U241+交易记录!U274*交易记录!U305+交易记录!U338*交易记录!U369+交易记录!U402*交易记录!U433+交易记录!U466*交易记录!U497+交易记录!U530*交易记录!U561+交易记录!U594*交易记录!U625+交易记录!U658*交易记录!U689+交易记录!U722*交易记录!U753+交易记录!U786*交易记录!U817+交易记录!U850*交易记录!U881+交易记录!U914*交易记录!U945)/T85)</f>
        <v>372</v>
      </c>
      <c r="U118" s="14">
        <f>IF(U85=0,"",(交易记录!V18*交易记录!V49+交易记录!V82*交易记录!V113+交易记录!V146*交易记录!V177+交易记录!V210*交易记录!V241+交易记录!V274*交易记录!V305+交易记录!V338*交易记录!V369+交易记录!V402*交易记录!V433+交易记录!V466*交易记录!V497+交易记录!V530*交易记录!V561+交易记录!V594*交易记录!V625+交易记录!V658*交易记录!V689+交易记录!V722*交易记录!V753+交易记录!V786*交易记录!V817+交易记录!V850*交易记录!V881+交易记录!V914*交易记录!V945)/U85)</f>
        <v>372</v>
      </c>
      <c r="V118" s="14">
        <f>IF(V85=0,"",(交易记录!W18*交易记录!W49+交易记录!W82*交易记录!W113+交易记录!W146*交易记录!W177+交易记录!W210*交易记录!W241+交易记录!W274*交易记录!W305+交易记录!W338*交易记录!W369+交易记录!W402*交易记录!W433+交易记录!W466*交易记录!W497+交易记录!W530*交易记录!W561+交易记录!W594*交易记录!W625+交易记录!W658*交易记录!W689+交易记录!W722*交易记录!W753+交易记录!W786*交易记录!W817+交易记录!W850*交易记录!W881+交易记录!W914*交易记录!W945)/V85)</f>
        <v>372</v>
      </c>
      <c r="W118" s="14">
        <f>IF(W85=0,"",(交易记录!X18*交易记录!X49+交易记录!X82*交易记录!X113+交易记录!X146*交易记录!X177+交易记录!X210*交易记录!X241+交易记录!X274*交易记录!X305+交易记录!X338*交易记录!X369+交易记录!X402*交易记录!X433+交易记录!X466*交易记录!X497+交易记录!X530*交易记录!X561+交易记录!X594*交易记录!X625+交易记录!X658*交易记录!X689+交易记录!X722*交易记录!X753+交易记录!X786*交易记录!X817+交易记录!X850*交易记录!X881+交易记录!X914*交易记录!X945)/W85)</f>
        <v>372</v>
      </c>
      <c r="X118" s="14">
        <f>IF(X85=0,"",(交易记录!Y18*交易记录!Y49+交易记录!Y82*交易记录!Y113+交易记录!Y146*交易记录!Y177+交易记录!Y210*交易记录!Y241+交易记录!Y274*交易记录!Y305+交易记录!Y338*交易记录!Y369+交易记录!Y402*交易记录!Y433+交易记录!Y466*交易记录!Y497+交易记录!Y530*交易记录!Y561+交易记录!Y594*交易记录!Y625+交易记录!Y658*交易记录!Y689+交易记录!Y722*交易记录!Y753+交易记录!Y786*交易记录!Y817+交易记录!Y850*交易记录!Y881+交易记录!Y914*交易记录!Y945)/X85)</f>
        <v>372</v>
      </c>
      <c r="Y118" s="14">
        <f>IF(Y85=0,"",(交易记录!Z18*交易记录!Z49+交易记录!Z82*交易记录!Z113+交易记录!Z146*交易记录!Z177+交易记录!Z210*交易记录!Z241+交易记录!Z274*交易记录!Z305+交易记录!Z338*交易记录!Z369+交易记录!Z402*交易记录!Z433+交易记录!Z466*交易记录!Z497+交易记录!Z530*交易记录!Z561+交易记录!Z594*交易记录!Z625+交易记录!Z658*交易记录!Z689+交易记录!Z722*交易记录!Z753+交易记录!Z786*交易记录!Z817+交易记录!Z850*交易记录!Z881+交易记录!Z914*交易记录!Z945)/Y85)</f>
        <v>372</v>
      </c>
      <c r="Z118" s="14">
        <f>IF(Z85=0,"",(交易记录!AA18*交易记录!AA49+交易记录!AA82*交易记录!AA113+交易记录!AA146*交易记录!AA177+交易记录!AA210*交易记录!AA241+交易记录!AA274*交易记录!AA305+交易记录!AA338*交易记录!AA369+交易记录!AA402*交易记录!AA433+交易记录!AA466*交易记录!AA497+交易记录!AA530*交易记录!AA561+交易记录!AA594*交易记录!AA625+交易记录!AA658*交易记录!AA689+交易记录!AA722*交易记录!AA753+交易记录!AA786*交易记录!AA817+交易记录!AA850*交易记录!AA881+交易记录!AA914*交易记录!AA945)/Z85)</f>
        <v>372</v>
      </c>
      <c r="AA118" s="14">
        <f>IF(AA85=0,"",(交易记录!AB18*交易记录!AB49+交易记录!AB82*交易记录!AB113+交易记录!AB146*交易记录!AB177+交易记录!AB210*交易记录!AB241+交易记录!AB274*交易记录!AB305+交易记录!AB338*交易记录!AB369+交易记录!AB402*交易记录!AB433+交易记录!AB466*交易记录!AB497+交易记录!AB530*交易记录!AB561+交易记录!AB594*交易记录!AB625+交易记录!AB658*交易记录!AB689+交易记录!AB722*交易记录!AB753+交易记录!AB786*交易记录!AB817+交易记录!AB850*交易记录!AB881+交易记录!AB914*交易记录!AB945)/AA85)</f>
        <v>372</v>
      </c>
      <c r="AB118" s="14">
        <f>IF(AB85=0,"",(交易记录!AC18*交易记录!AC49+交易记录!AC82*交易记录!AC113+交易记录!AC146*交易记录!AC177+交易记录!AC210*交易记录!AC241+交易记录!AC274*交易记录!AC305+交易记录!AC338*交易记录!AC369+交易记录!AC402*交易记录!AC433+交易记录!AC466*交易记录!AC497+交易记录!AC530*交易记录!AC561+交易记录!AC594*交易记录!AC625+交易记录!AC658*交易记录!AC689+交易记录!AC722*交易记录!AC753+交易记录!AC786*交易记录!AC817+交易记录!AC850*交易记录!AC881+交易记录!AC914*交易记录!AC945)/AB85)</f>
        <v>372</v>
      </c>
      <c r="AC118" s="14">
        <f>IF(AC85=0,"",(交易记录!AD18*交易记录!AD49+交易记录!AD82*交易记录!AD113+交易记录!AD146*交易记录!AD177+交易记录!AD210*交易记录!AD241+交易记录!AD274*交易记录!AD305+交易记录!AD338*交易记录!AD369+交易记录!AD402*交易记录!AD433+交易记录!AD466*交易记录!AD497+交易记录!AD530*交易记录!AD561+交易记录!AD594*交易记录!AD625+交易记录!AD658*交易记录!AD689+交易记录!AD722*交易记录!AD753+交易记录!AD786*交易记录!AD817+交易记录!AD850*交易记录!AD881+交易记录!AD914*交易记录!AD945)/AC85)</f>
        <v>372</v>
      </c>
      <c r="AD118" s="14">
        <f>IF(AD85=0,"",(交易记录!AE18*交易记录!AE49+交易记录!AE82*交易记录!AE113+交易记录!AE146*交易记录!AE177+交易记录!AE210*交易记录!AE241+交易记录!AE274*交易记录!AE305+交易记录!AE338*交易记录!AE369+交易记录!AE402*交易记录!AE433+交易记录!AE466*交易记录!AE497+交易记录!AE530*交易记录!AE561+交易记录!AE594*交易记录!AE625+交易记录!AE658*交易记录!AE689+交易记录!AE722*交易记录!AE753+交易记录!AE786*交易记录!AE817+交易记录!AE850*交易记录!AE881+交易记录!AE914*交易记录!AE945)/AD85)</f>
        <v>372</v>
      </c>
      <c r="AE118" s="14">
        <f>IF(AE85=0,"",(交易记录!AF18*交易记录!AF49+交易记录!AF82*交易记录!AF113+交易记录!AF146*交易记录!AF177+交易记录!AF210*交易记录!AF241+交易记录!AF274*交易记录!AF305+交易记录!AF338*交易记录!AF369+交易记录!AF402*交易记录!AF433+交易记录!AF466*交易记录!AF497+交易记录!AF530*交易记录!AF561+交易记录!AF594*交易记录!AF625+交易记录!AF658*交易记录!AF689+交易记录!AF722*交易记录!AF753+交易记录!AF786*交易记录!AF817+交易记录!AF850*交易记录!AF881+交易记录!AF914*交易记录!AF945)/AE85)</f>
        <v>372</v>
      </c>
      <c r="AF118" s="14">
        <f>IF(AF85=0,"",(交易记录!AG18*交易记录!AG49+交易记录!AG82*交易记录!AG113+交易记录!AG146*交易记录!AG177+交易记录!AG210*交易记录!AG241+交易记录!AG274*交易记录!AG305+交易记录!AG338*交易记录!AG369+交易记录!AG402*交易记录!AG433+交易记录!AG466*交易记录!AG497+交易记录!AG530*交易记录!AG561+交易记录!AG594*交易记录!AG625+交易记录!AG658*交易记录!AG689+交易记录!AG722*交易记录!AG753+交易记录!AG786*交易记录!AG817+交易记录!AG850*交易记录!AG881+交易记录!AG914*交易记录!AG945)/AF85)</f>
        <v>372</v>
      </c>
      <c r="AG118" s="14">
        <f>IF(AG85=0,"",(交易记录!AH18*交易记录!AH49+交易记录!AH82*交易记录!AH113+交易记录!AH146*交易记录!AH177+交易记录!AH210*交易记录!AH241+交易记录!AH274*交易记录!AH305+交易记录!AH338*交易记录!AH369+交易记录!AH402*交易记录!AH433+交易记录!AH466*交易记录!AH497+交易记录!AH530*交易记录!AH561+交易记录!AH594*交易记录!AH625+交易记录!AH658*交易记录!AH689+交易记录!AH722*交易记录!AH753+交易记录!AH786*交易记录!AH817+交易记录!AH850*交易记录!AH881+交易记录!AH914*交易记录!AH945)/AG85)</f>
        <v>372</v>
      </c>
    </row>
    <row r="119" spans="2:33" s="3" customFormat="1" ht="15">
      <c r="B119" s="7" t="s">
        <v>20</v>
      </c>
      <c r="C119" s="14">
        <f>IF(C86=0,"",(交易记录!D19*交易记录!D50+交易记录!D83*交易记录!D114+交易记录!D147*交易记录!D178+交易记录!D211*交易记录!D242+交易记录!D275*交易记录!D306+交易记录!D339*交易记录!D370+交易记录!D403*交易记录!D434+交易记录!D467*交易记录!D498+交易记录!D531*交易记录!D562+交易记录!D595*交易记录!D626+交易记录!D659*交易记录!D690+交易记录!D723*交易记录!D754+交易记录!D787*交易记录!D818+交易记录!D851*交易记录!D882+交易记录!D915*交易记录!D946)/C86)</f>
        <v>372</v>
      </c>
      <c r="D119" s="14">
        <f>IF(D86=0,"",(交易记录!E19*交易记录!E50+交易记录!E83*交易记录!E114+交易记录!E147*交易记录!E178+交易记录!E211*交易记录!E242+交易记录!E275*交易记录!E306+交易记录!E339*交易记录!E370+交易记录!E403*交易记录!E434+交易记录!E467*交易记录!E498+交易记录!E531*交易记录!E562+交易记录!E595*交易记录!E626+交易记录!E659*交易记录!E690+交易记录!E723*交易记录!E754+交易记录!E787*交易记录!E818+交易记录!E851*交易记录!E882+交易记录!E915*交易记录!E946)/D86)</f>
        <v>372</v>
      </c>
      <c r="E119" s="14">
        <f>IF(E86=0,"",(交易记录!F19*交易记录!F50+交易记录!F83*交易记录!F114+交易记录!F147*交易记录!F178+交易记录!F211*交易记录!F242+交易记录!F275*交易记录!F306+交易记录!F339*交易记录!F370+交易记录!F403*交易记录!F434+交易记录!F467*交易记录!F498+交易记录!F531*交易记录!F562+交易记录!F595*交易记录!F626+交易记录!F659*交易记录!F690+交易记录!F723*交易记录!F754+交易记录!F787*交易记录!F818+交易记录!F851*交易记录!F882+交易记录!F915*交易记录!F946)/E86)</f>
        <v>372</v>
      </c>
      <c r="F119" s="14">
        <f>IF(F86=0,"",(交易记录!G19*交易记录!G50+交易记录!G83*交易记录!G114+交易记录!G147*交易记录!G178+交易记录!G211*交易记录!G242+交易记录!G275*交易记录!G306+交易记录!G339*交易记录!G370+交易记录!G403*交易记录!G434+交易记录!G467*交易记录!G498+交易记录!G531*交易记录!G562+交易记录!G595*交易记录!G626+交易记录!G659*交易记录!G690+交易记录!G723*交易记录!G754+交易记录!G787*交易记录!G818+交易记录!G851*交易记录!G882+交易记录!G915*交易记录!G946)/F86)</f>
        <v>372</v>
      </c>
      <c r="G119" s="14">
        <f>IF(G86=0,"",(交易记录!H19*交易记录!H50+交易记录!H83*交易记录!H114+交易记录!H147*交易记录!H178+交易记录!H211*交易记录!H242+交易记录!H275*交易记录!H306+交易记录!H339*交易记录!H370+交易记录!H403*交易记录!H434+交易记录!H467*交易记录!H498+交易记录!H531*交易记录!H562+交易记录!H595*交易记录!H626+交易记录!H659*交易记录!H690+交易记录!H723*交易记录!H754+交易记录!H787*交易记录!H818+交易记录!H851*交易记录!H882+交易记录!H915*交易记录!H946)/G86)</f>
        <v>372</v>
      </c>
      <c r="H119" s="14">
        <f>IF(H86=0,"",(交易记录!I19*交易记录!I50+交易记录!I83*交易记录!I114+交易记录!I147*交易记录!I178+交易记录!I211*交易记录!I242+交易记录!I275*交易记录!I306+交易记录!I339*交易记录!I370+交易记录!I403*交易记录!I434+交易记录!I467*交易记录!I498+交易记录!I531*交易记录!I562+交易记录!I595*交易记录!I626+交易记录!I659*交易记录!I690+交易记录!I723*交易记录!I754+交易记录!I787*交易记录!I818+交易记录!I851*交易记录!I882+交易记录!I915*交易记录!I946)/H86)</f>
        <v>372</v>
      </c>
      <c r="I119" s="14">
        <f>IF(I86=0,"",(交易记录!J19*交易记录!J50+交易记录!J83*交易记录!J114+交易记录!J147*交易记录!J178+交易记录!J211*交易记录!J242+交易记录!J275*交易记录!J306+交易记录!J339*交易记录!J370+交易记录!J403*交易记录!J434+交易记录!J467*交易记录!J498+交易记录!J531*交易记录!J562+交易记录!J595*交易记录!J626+交易记录!J659*交易记录!J690+交易记录!J723*交易记录!J754+交易记录!J787*交易记录!J818+交易记录!J851*交易记录!J882+交易记录!J915*交易记录!J946)/I86)</f>
        <v>372</v>
      </c>
      <c r="J119" s="14">
        <f>IF(J86=0,"",(交易记录!K19*交易记录!K50+交易记录!K83*交易记录!K114+交易记录!K147*交易记录!K178+交易记录!K211*交易记录!K242+交易记录!K275*交易记录!K306+交易记录!K339*交易记录!K370+交易记录!K403*交易记录!K434+交易记录!K467*交易记录!K498+交易记录!K531*交易记录!K562+交易记录!K595*交易记录!K626+交易记录!K659*交易记录!K690+交易记录!K723*交易记录!K754+交易记录!K787*交易记录!K818+交易记录!K851*交易记录!K882+交易记录!K915*交易记录!K946)/J86)</f>
        <v>372</v>
      </c>
      <c r="K119" s="14">
        <f>IF(K86=0,"",(交易记录!L19*交易记录!L50+交易记录!L83*交易记录!L114+交易记录!L147*交易记录!L178+交易记录!L211*交易记录!L242+交易记录!L275*交易记录!L306+交易记录!L339*交易记录!L370+交易记录!L403*交易记录!L434+交易记录!L467*交易记录!L498+交易记录!L531*交易记录!L562+交易记录!L595*交易记录!L626+交易记录!L659*交易记录!L690+交易记录!L723*交易记录!L754+交易记录!L787*交易记录!L818+交易记录!L851*交易记录!L882+交易记录!L915*交易记录!L946)/K86)</f>
        <v>372</v>
      </c>
      <c r="L119" s="14">
        <f>IF(L86=0,"",(交易记录!M19*交易记录!M50+交易记录!M83*交易记录!M114+交易记录!M147*交易记录!M178+交易记录!M211*交易记录!M242+交易记录!M275*交易记录!M306+交易记录!M339*交易记录!M370+交易记录!M403*交易记录!M434+交易记录!M467*交易记录!M498+交易记录!M531*交易记录!M562+交易记录!M595*交易记录!M626+交易记录!M659*交易记录!M690+交易记录!M723*交易记录!M754+交易记录!M787*交易记录!M818+交易记录!M851*交易记录!M882+交易记录!M915*交易记录!M946)/L86)</f>
        <v>372</v>
      </c>
      <c r="M119" s="14">
        <f>IF(M86=0,"",(交易记录!N19*交易记录!N50+交易记录!N83*交易记录!N114+交易记录!N147*交易记录!N178+交易记录!N211*交易记录!N242+交易记录!N275*交易记录!N306+交易记录!N339*交易记录!N370+交易记录!N403*交易记录!N434+交易记录!N467*交易记录!N498+交易记录!N531*交易记录!N562+交易记录!N595*交易记录!N626+交易记录!N659*交易记录!N690+交易记录!N723*交易记录!N754+交易记录!N787*交易记录!N818+交易记录!N851*交易记录!N882+交易记录!N915*交易记录!N946)/M86)</f>
        <v>372</v>
      </c>
      <c r="N119" s="14">
        <f>IF(N86=0,"",(交易记录!O19*交易记录!O50+交易记录!O83*交易记录!O114+交易记录!O147*交易记录!O178+交易记录!O211*交易记录!O242+交易记录!O275*交易记录!O306+交易记录!O339*交易记录!O370+交易记录!O403*交易记录!O434+交易记录!O467*交易记录!O498+交易记录!O531*交易记录!O562+交易记录!O595*交易记录!O626+交易记录!O659*交易记录!O690+交易记录!O723*交易记录!O754+交易记录!O787*交易记录!O818+交易记录!O851*交易记录!O882+交易记录!O915*交易记录!O946)/N86)</f>
        <v>372</v>
      </c>
      <c r="O119" s="14">
        <f>IF(O86=0,"",(交易记录!P19*交易记录!P50+交易记录!P83*交易记录!P114+交易记录!P147*交易记录!P178+交易记录!P211*交易记录!P242+交易记录!P275*交易记录!P306+交易记录!P339*交易记录!P370+交易记录!P403*交易记录!P434+交易记录!P467*交易记录!P498+交易记录!P531*交易记录!P562+交易记录!P595*交易记录!P626+交易记录!P659*交易记录!P690+交易记录!P723*交易记录!P754+交易记录!P787*交易记录!P818+交易记录!P851*交易记录!P882+交易记录!P915*交易记录!P946)/O86)</f>
        <v>372</v>
      </c>
      <c r="P119" s="14">
        <f>IF(P86=0,"",(交易记录!Q19*交易记录!Q50+交易记录!Q83*交易记录!Q114+交易记录!Q147*交易记录!Q178+交易记录!Q211*交易记录!Q242+交易记录!Q275*交易记录!Q306+交易记录!Q339*交易记录!Q370+交易记录!Q403*交易记录!Q434+交易记录!Q467*交易记录!Q498+交易记录!Q531*交易记录!Q562+交易记录!Q595*交易记录!Q626+交易记录!Q659*交易记录!Q690+交易记录!Q723*交易记录!Q754+交易记录!Q787*交易记录!Q818+交易记录!Q851*交易记录!Q882+交易记录!Q915*交易记录!Q946)/P86)</f>
        <v>372</v>
      </c>
      <c r="Q119" s="14">
        <f>IF(Q86=0,"",(交易记录!R19*交易记录!R50+交易记录!R83*交易记录!R114+交易记录!R147*交易记录!R178+交易记录!R211*交易记录!R242+交易记录!R275*交易记录!R306+交易记录!R339*交易记录!R370+交易记录!R403*交易记录!R434+交易记录!R467*交易记录!R498+交易记录!R531*交易记录!R562+交易记录!R595*交易记录!R626+交易记录!R659*交易记录!R690+交易记录!R723*交易记录!R754+交易记录!R787*交易记录!R818+交易记录!R851*交易记录!R882+交易记录!R915*交易记录!R946)/Q86)</f>
        <v>372</v>
      </c>
      <c r="R119" s="14">
        <f>IF(R86=0,"",(交易记录!S19*交易记录!S50+交易记录!S83*交易记录!S114+交易记录!S147*交易记录!S178+交易记录!S211*交易记录!S242+交易记录!S275*交易记录!S306+交易记录!S339*交易记录!S370+交易记录!S403*交易记录!S434+交易记录!S467*交易记录!S498+交易记录!S531*交易记录!S562+交易记录!S595*交易记录!S626+交易记录!S659*交易记录!S690+交易记录!S723*交易记录!S754+交易记录!S787*交易记录!S818+交易记录!S851*交易记录!S882+交易记录!S915*交易记录!S946)/R86)</f>
        <v>372</v>
      </c>
      <c r="S119" s="14">
        <f>IF(S86=0,"",(交易记录!T19*交易记录!T50+交易记录!T83*交易记录!T114+交易记录!T147*交易记录!T178+交易记录!T211*交易记录!T242+交易记录!T275*交易记录!T306+交易记录!T339*交易记录!T370+交易记录!T403*交易记录!T434+交易记录!T467*交易记录!T498+交易记录!T531*交易记录!T562+交易记录!T595*交易记录!T626+交易记录!T659*交易记录!T690+交易记录!T723*交易记录!T754+交易记录!T787*交易记录!T818+交易记录!T851*交易记录!T882+交易记录!T915*交易记录!T946)/S86)</f>
        <v>372</v>
      </c>
      <c r="T119" s="14">
        <f>IF(T86=0,"",(交易记录!U19*交易记录!U50+交易记录!U83*交易记录!U114+交易记录!U147*交易记录!U178+交易记录!U211*交易记录!U242+交易记录!U275*交易记录!U306+交易记录!U339*交易记录!U370+交易记录!U403*交易记录!U434+交易记录!U467*交易记录!U498+交易记录!U531*交易记录!U562+交易记录!U595*交易记录!U626+交易记录!U659*交易记录!U690+交易记录!U723*交易记录!U754+交易记录!U787*交易记录!U818+交易记录!U851*交易记录!U882+交易记录!U915*交易记录!U946)/T86)</f>
        <v>372</v>
      </c>
      <c r="U119" s="14">
        <f>IF(U86=0,"",(交易记录!V19*交易记录!V50+交易记录!V83*交易记录!V114+交易记录!V147*交易记录!V178+交易记录!V211*交易记录!V242+交易记录!V275*交易记录!V306+交易记录!V339*交易记录!V370+交易记录!V403*交易记录!V434+交易记录!V467*交易记录!V498+交易记录!V531*交易记录!V562+交易记录!V595*交易记录!V626+交易记录!V659*交易记录!V690+交易记录!V723*交易记录!V754+交易记录!V787*交易记录!V818+交易记录!V851*交易记录!V882+交易记录!V915*交易记录!V946)/U86)</f>
        <v>372</v>
      </c>
      <c r="V119" s="14">
        <f>IF(V86=0,"",(交易记录!W19*交易记录!W50+交易记录!W83*交易记录!W114+交易记录!W147*交易记录!W178+交易记录!W211*交易记录!W242+交易记录!W275*交易记录!W306+交易记录!W339*交易记录!W370+交易记录!W403*交易记录!W434+交易记录!W467*交易记录!W498+交易记录!W531*交易记录!W562+交易记录!W595*交易记录!W626+交易记录!W659*交易记录!W690+交易记录!W723*交易记录!W754+交易记录!W787*交易记录!W818+交易记录!W851*交易记录!W882+交易记录!W915*交易记录!W946)/V86)</f>
        <v>372</v>
      </c>
      <c r="W119" s="14">
        <f>IF(W86=0,"",(交易记录!X19*交易记录!X50+交易记录!X83*交易记录!X114+交易记录!X147*交易记录!X178+交易记录!X211*交易记录!X242+交易记录!X275*交易记录!X306+交易记录!X339*交易记录!X370+交易记录!X403*交易记录!X434+交易记录!X467*交易记录!X498+交易记录!X531*交易记录!X562+交易记录!X595*交易记录!X626+交易记录!X659*交易记录!X690+交易记录!X723*交易记录!X754+交易记录!X787*交易记录!X818+交易记录!X851*交易记录!X882+交易记录!X915*交易记录!X946)/W86)</f>
        <v>372</v>
      </c>
      <c r="X119" s="14">
        <f>IF(X86=0,"",(交易记录!Y19*交易记录!Y50+交易记录!Y83*交易记录!Y114+交易记录!Y147*交易记录!Y178+交易记录!Y211*交易记录!Y242+交易记录!Y275*交易记录!Y306+交易记录!Y339*交易记录!Y370+交易记录!Y403*交易记录!Y434+交易记录!Y467*交易记录!Y498+交易记录!Y531*交易记录!Y562+交易记录!Y595*交易记录!Y626+交易记录!Y659*交易记录!Y690+交易记录!Y723*交易记录!Y754+交易记录!Y787*交易记录!Y818+交易记录!Y851*交易记录!Y882+交易记录!Y915*交易记录!Y946)/X86)</f>
        <v>372</v>
      </c>
      <c r="Y119" s="14">
        <f>IF(Y86=0,"",(交易记录!Z19*交易记录!Z50+交易记录!Z83*交易记录!Z114+交易记录!Z147*交易记录!Z178+交易记录!Z211*交易记录!Z242+交易记录!Z275*交易记录!Z306+交易记录!Z339*交易记录!Z370+交易记录!Z403*交易记录!Z434+交易记录!Z467*交易记录!Z498+交易记录!Z531*交易记录!Z562+交易记录!Z595*交易记录!Z626+交易记录!Z659*交易记录!Z690+交易记录!Z723*交易记录!Z754+交易记录!Z787*交易记录!Z818+交易记录!Z851*交易记录!Z882+交易记录!Z915*交易记录!Z946)/Y86)</f>
        <v>372</v>
      </c>
      <c r="Z119" s="14">
        <f>IF(Z86=0,"",(交易记录!AA19*交易记录!AA50+交易记录!AA83*交易记录!AA114+交易记录!AA147*交易记录!AA178+交易记录!AA211*交易记录!AA242+交易记录!AA275*交易记录!AA306+交易记录!AA339*交易记录!AA370+交易记录!AA403*交易记录!AA434+交易记录!AA467*交易记录!AA498+交易记录!AA531*交易记录!AA562+交易记录!AA595*交易记录!AA626+交易记录!AA659*交易记录!AA690+交易记录!AA723*交易记录!AA754+交易记录!AA787*交易记录!AA818+交易记录!AA851*交易记录!AA882+交易记录!AA915*交易记录!AA946)/Z86)</f>
        <v>372</v>
      </c>
      <c r="AA119" s="14">
        <f>IF(AA86=0,"",(交易记录!AB19*交易记录!AB50+交易记录!AB83*交易记录!AB114+交易记录!AB147*交易记录!AB178+交易记录!AB211*交易记录!AB242+交易记录!AB275*交易记录!AB306+交易记录!AB339*交易记录!AB370+交易记录!AB403*交易记录!AB434+交易记录!AB467*交易记录!AB498+交易记录!AB531*交易记录!AB562+交易记录!AB595*交易记录!AB626+交易记录!AB659*交易记录!AB690+交易记录!AB723*交易记录!AB754+交易记录!AB787*交易记录!AB818+交易记录!AB851*交易记录!AB882+交易记录!AB915*交易记录!AB946)/AA86)</f>
        <v>372</v>
      </c>
      <c r="AB119" s="14">
        <f>IF(AB86=0,"",(交易记录!AC19*交易记录!AC50+交易记录!AC83*交易记录!AC114+交易记录!AC147*交易记录!AC178+交易记录!AC211*交易记录!AC242+交易记录!AC275*交易记录!AC306+交易记录!AC339*交易记录!AC370+交易记录!AC403*交易记录!AC434+交易记录!AC467*交易记录!AC498+交易记录!AC531*交易记录!AC562+交易记录!AC595*交易记录!AC626+交易记录!AC659*交易记录!AC690+交易记录!AC723*交易记录!AC754+交易记录!AC787*交易记录!AC818+交易记录!AC851*交易记录!AC882+交易记录!AC915*交易记录!AC946)/AB86)</f>
        <v>372</v>
      </c>
      <c r="AC119" s="14">
        <f>IF(AC86=0,"",(交易记录!AD19*交易记录!AD50+交易记录!AD83*交易记录!AD114+交易记录!AD147*交易记录!AD178+交易记录!AD211*交易记录!AD242+交易记录!AD275*交易记录!AD306+交易记录!AD339*交易记录!AD370+交易记录!AD403*交易记录!AD434+交易记录!AD467*交易记录!AD498+交易记录!AD531*交易记录!AD562+交易记录!AD595*交易记录!AD626+交易记录!AD659*交易记录!AD690+交易记录!AD723*交易记录!AD754+交易记录!AD787*交易记录!AD818+交易记录!AD851*交易记录!AD882+交易记录!AD915*交易记录!AD946)/AC86)</f>
        <v>372</v>
      </c>
      <c r="AD119" s="14">
        <f>IF(AD86=0,"",(交易记录!AE19*交易记录!AE50+交易记录!AE83*交易记录!AE114+交易记录!AE147*交易记录!AE178+交易记录!AE211*交易记录!AE242+交易记录!AE275*交易记录!AE306+交易记录!AE339*交易记录!AE370+交易记录!AE403*交易记录!AE434+交易记录!AE467*交易记录!AE498+交易记录!AE531*交易记录!AE562+交易记录!AE595*交易记录!AE626+交易记录!AE659*交易记录!AE690+交易记录!AE723*交易记录!AE754+交易记录!AE787*交易记录!AE818+交易记录!AE851*交易记录!AE882+交易记录!AE915*交易记录!AE946)/AD86)</f>
        <v>372</v>
      </c>
      <c r="AE119" s="14">
        <f>IF(AE86=0,"",(交易记录!AF19*交易记录!AF50+交易记录!AF83*交易记录!AF114+交易记录!AF147*交易记录!AF178+交易记录!AF211*交易记录!AF242+交易记录!AF275*交易记录!AF306+交易记录!AF339*交易记录!AF370+交易记录!AF403*交易记录!AF434+交易记录!AF467*交易记录!AF498+交易记录!AF531*交易记录!AF562+交易记录!AF595*交易记录!AF626+交易记录!AF659*交易记录!AF690+交易记录!AF723*交易记录!AF754+交易记录!AF787*交易记录!AF818+交易记录!AF851*交易记录!AF882+交易记录!AF915*交易记录!AF946)/AE86)</f>
        <v>372</v>
      </c>
      <c r="AF119" s="14">
        <f>IF(AF86=0,"",(交易记录!AG19*交易记录!AG50+交易记录!AG83*交易记录!AG114+交易记录!AG147*交易记录!AG178+交易记录!AG211*交易记录!AG242+交易记录!AG275*交易记录!AG306+交易记录!AG339*交易记录!AG370+交易记录!AG403*交易记录!AG434+交易记录!AG467*交易记录!AG498+交易记录!AG531*交易记录!AG562+交易记录!AG595*交易记录!AG626+交易记录!AG659*交易记录!AG690+交易记录!AG723*交易记录!AG754+交易记录!AG787*交易记录!AG818+交易记录!AG851*交易记录!AG882+交易记录!AG915*交易记录!AG946)/AF86)</f>
        <v>372</v>
      </c>
      <c r="AG119" s="14">
        <f>IF(AG86=0,"",(交易记录!AH19*交易记录!AH50+交易记录!AH83*交易记录!AH114+交易记录!AH147*交易记录!AH178+交易记录!AH211*交易记录!AH242+交易记录!AH275*交易记录!AH306+交易记录!AH339*交易记录!AH370+交易记录!AH403*交易记录!AH434+交易记录!AH467*交易记录!AH498+交易记录!AH531*交易记录!AH562+交易记录!AH595*交易记录!AH626+交易记录!AH659*交易记录!AH690+交易记录!AH723*交易记录!AH754+交易记录!AH787*交易记录!AH818+交易记录!AH851*交易记录!AH882+交易记录!AH915*交易记录!AH946)/AG86)</f>
        <v>372</v>
      </c>
    </row>
    <row r="120" spans="2:33" s="3" customFormat="1" ht="15">
      <c r="B120" s="7" t="s">
        <v>21</v>
      </c>
      <c r="C120" s="14">
        <f>IF(C87=0,"",(交易记录!D20*交易记录!D51+交易记录!D84*交易记录!D115+交易记录!D148*交易记录!D179+交易记录!D212*交易记录!D243+交易记录!D276*交易记录!D307+交易记录!D340*交易记录!D371+交易记录!D404*交易记录!D435+交易记录!D468*交易记录!D499+交易记录!D532*交易记录!D563+交易记录!D596*交易记录!D627+交易记录!D660*交易记录!D691+交易记录!D724*交易记录!D755+交易记录!D788*交易记录!D819+交易记录!D852*交易记录!D883+交易记录!D916*交易记录!D947)/C87)</f>
        <v>372</v>
      </c>
      <c r="D120" s="14">
        <f>IF(D87=0,"",(交易记录!E20*交易记录!E51+交易记录!E84*交易记录!E115+交易记录!E148*交易记录!E179+交易记录!E212*交易记录!E243+交易记录!E276*交易记录!E307+交易记录!E340*交易记录!E371+交易记录!E404*交易记录!E435+交易记录!E468*交易记录!E499+交易记录!E532*交易记录!E563+交易记录!E596*交易记录!E627+交易记录!E660*交易记录!E691+交易记录!E724*交易记录!E755+交易记录!E788*交易记录!E819+交易记录!E852*交易记录!E883+交易记录!E916*交易记录!E947)/D87)</f>
        <v>372.00000000000006</v>
      </c>
      <c r="E120" s="14">
        <f>IF(E87=0,"",(交易记录!F20*交易记录!F51+交易记录!F84*交易记录!F115+交易记录!F148*交易记录!F179+交易记录!F212*交易记录!F243+交易记录!F276*交易记录!F307+交易记录!F340*交易记录!F371+交易记录!F404*交易记录!F435+交易记录!F468*交易记录!F499+交易记录!F532*交易记录!F563+交易记录!F596*交易记录!F627+交易记录!F660*交易记录!F691+交易记录!F724*交易记录!F755+交易记录!F788*交易记录!F819+交易记录!F852*交易记录!F883+交易记录!F916*交易记录!F947)/E87)</f>
        <v>372.00000000000006</v>
      </c>
      <c r="F120" s="14">
        <f>IF(F87=0,"",(交易记录!G20*交易记录!G51+交易记录!G84*交易记录!G115+交易记录!G148*交易记录!G179+交易记录!G212*交易记录!G243+交易记录!G276*交易记录!G307+交易记录!G340*交易记录!G371+交易记录!G404*交易记录!G435+交易记录!G468*交易记录!G499+交易记录!G532*交易记录!G563+交易记录!G596*交易记录!G627+交易记录!G660*交易记录!G691+交易记录!G724*交易记录!G755+交易记录!G788*交易记录!G819+交易记录!G852*交易记录!G883+交易记录!G916*交易记录!G947)/F87)</f>
        <v>372.00000000000006</v>
      </c>
      <c r="G120" s="14">
        <f>IF(G87=0,"",(交易记录!H20*交易记录!H51+交易记录!H84*交易记录!H115+交易记录!H148*交易记录!H179+交易记录!H212*交易记录!H243+交易记录!H276*交易记录!H307+交易记录!H340*交易记录!H371+交易记录!H404*交易记录!H435+交易记录!H468*交易记录!H499+交易记录!H532*交易记录!H563+交易记录!H596*交易记录!H627+交易记录!H660*交易记录!H691+交易记录!H724*交易记录!H755+交易记录!H788*交易记录!H819+交易记录!H852*交易记录!H883+交易记录!H916*交易记录!H947)/G87)</f>
        <v>372</v>
      </c>
      <c r="H120" s="14">
        <f>IF(H87=0,"",(交易记录!I20*交易记录!I51+交易记录!I84*交易记录!I115+交易记录!I148*交易记录!I179+交易记录!I212*交易记录!I243+交易记录!I276*交易记录!I307+交易记录!I340*交易记录!I371+交易记录!I404*交易记录!I435+交易记录!I468*交易记录!I499+交易记录!I532*交易记录!I563+交易记录!I596*交易记录!I627+交易记录!I660*交易记录!I691+交易记录!I724*交易记录!I755+交易记录!I788*交易记录!I819+交易记录!I852*交易记录!I883+交易记录!I916*交易记录!I947)/H87)</f>
        <v>372</v>
      </c>
      <c r="I120" s="14">
        <f>IF(I87=0,"",(交易记录!J20*交易记录!J51+交易记录!J84*交易记录!J115+交易记录!J148*交易记录!J179+交易记录!J212*交易记录!J243+交易记录!J276*交易记录!J307+交易记录!J340*交易记录!J371+交易记录!J404*交易记录!J435+交易记录!J468*交易记录!J499+交易记录!J532*交易记录!J563+交易记录!J596*交易记录!J627+交易记录!J660*交易记录!J691+交易记录!J724*交易记录!J755+交易记录!J788*交易记录!J819+交易记录!J852*交易记录!J883+交易记录!J916*交易记录!J947)/I87)</f>
        <v>372.00000000000006</v>
      </c>
      <c r="J120" s="14">
        <f>IF(J87=0,"",(交易记录!K20*交易记录!K51+交易记录!K84*交易记录!K115+交易记录!K148*交易记录!K179+交易记录!K212*交易记录!K243+交易记录!K276*交易记录!K307+交易记录!K340*交易记录!K371+交易记录!K404*交易记录!K435+交易记录!K468*交易记录!K499+交易记录!K532*交易记录!K563+交易记录!K596*交易记录!K627+交易记录!K660*交易记录!K691+交易记录!K724*交易记录!K755+交易记录!K788*交易记录!K819+交易记录!K852*交易记录!K883+交易记录!K916*交易记录!K947)/J87)</f>
        <v>372.00000000000006</v>
      </c>
      <c r="K120" s="14">
        <f>IF(K87=0,"",(交易记录!L20*交易记录!L51+交易记录!L84*交易记录!L115+交易记录!L148*交易记录!L179+交易记录!L212*交易记录!L243+交易记录!L276*交易记录!L307+交易记录!L340*交易记录!L371+交易记录!L404*交易记录!L435+交易记录!L468*交易记录!L499+交易记录!L532*交易记录!L563+交易记录!L596*交易记录!L627+交易记录!L660*交易记录!L691+交易记录!L724*交易记录!L755+交易记录!L788*交易记录!L819+交易记录!L852*交易记录!L883+交易记录!L916*交易记录!L947)/K87)</f>
        <v>372.00000000000006</v>
      </c>
      <c r="L120" s="14">
        <f>IF(L87=0,"",(交易记录!M20*交易记录!M51+交易记录!M84*交易记录!M115+交易记录!M148*交易记录!M179+交易记录!M212*交易记录!M243+交易记录!M276*交易记录!M307+交易记录!M340*交易记录!M371+交易记录!M404*交易记录!M435+交易记录!M468*交易记录!M499+交易记录!M532*交易记录!M563+交易记录!M596*交易记录!M627+交易记录!M660*交易记录!M691+交易记录!M724*交易记录!M755+交易记录!M788*交易记录!M819+交易记录!M852*交易记录!M883+交易记录!M916*交易记录!M947)/L87)</f>
        <v>372.00000000000006</v>
      </c>
      <c r="M120" s="14">
        <f>IF(M87=0,"",(交易记录!N20*交易记录!N51+交易记录!N84*交易记录!N115+交易记录!N148*交易记录!N179+交易记录!N212*交易记录!N243+交易记录!N276*交易记录!N307+交易记录!N340*交易记录!N371+交易记录!N404*交易记录!N435+交易记录!N468*交易记录!N499+交易记录!N532*交易记录!N563+交易记录!N596*交易记录!N627+交易记录!N660*交易记录!N691+交易记录!N724*交易记录!N755+交易记录!N788*交易记录!N819+交易记录!N852*交易记录!N883+交易记录!N916*交易记录!N947)/M87)</f>
        <v>372.00000000000006</v>
      </c>
      <c r="N120" s="14">
        <f>IF(N87=0,"",(交易记录!O20*交易记录!O51+交易记录!O84*交易记录!O115+交易记录!O148*交易记录!O179+交易记录!O212*交易记录!O243+交易记录!O276*交易记录!O307+交易记录!O340*交易记录!O371+交易记录!O404*交易记录!O435+交易记录!O468*交易记录!O499+交易记录!O532*交易记录!O563+交易记录!O596*交易记录!O627+交易记录!O660*交易记录!O691+交易记录!O724*交易记录!O755+交易记录!O788*交易记录!O819+交易记录!O852*交易记录!O883+交易记录!O916*交易记录!O947)/N87)</f>
        <v>372</v>
      </c>
      <c r="O120" s="14">
        <f>IF(O87=0,"",(交易记录!P20*交易记录!P51+交易记录!P84*交易记录!P115+交易记录!P148*交易记录!P179+交易记录!P212*交易记录!P243+交易记录!P276*交易记录!P307+交易记录!P340*交易记录!P371+交易记录!P404*交易记录!P435+交易记录!P468*交易记录!P499+交易记录!P532*交易记录!P563+交易记录!P596*交易记录!P627+交易记录!P660*交易记录!P691+交易记录!P724*交易记录!P755+交易记录!P788*交易记录!P819+交易记录!P852*交易记录!P883+交易记录!P916*交易记录!P947)/O87)</f>
        <v>372</v>
      </c>
      <c r="P120" s="14">
        <f>IF(P87=0,"",(交易记录!Q20*交易记录!Q51+交易记录!Q84*交易记录!Q115+交易记录!Q148*交易记录!Q179+交易记录!Q212*交易记录!Q243+交易记录!Q276*交易记录!Q307+交易记录!Q340*交易记录!Q371+交易记录!Q404*交易记录!Q435+交易记录!Q468*交易记录!Q499+交易记录!Q532*交易记录!Q563+交易记录!Q596*交易记录!Q627+交易记录!Q660*交易记录!Q691+交易记录!Q724*交易记录!Q755+交易记录!Q788*交易记录!Q819+交易记录!Q852*交易记录!Q883+交易记录!Q916*交易记录!Q947)/P87)</f>
        <v>372.00000000000006</v>
      </c>
      <c r="Q120" s="14">
        <f>IF(Q87=0,"",(交易记录!R20*交易记录!R51+交易记录!R84*交易记录!R115+交易记录!R148*交易记录!R179+交易记录!R212*交易记录!R243+交易记录!R276*交易记录!R307+交易记录!R340*交易记录!R371+交易记录!R404*交易记录!R435+交易记录!R468*交易记录!R499+交易记录!R532*交易记录!R563+交易记录!R596*交易记录!R627+交易记录!R660*交易记录!R691+交易记录!R724*交易记录!R755+交易记录!R788*交易记录!R819+交易记录!R852*交易记录!R883+交易记录!R916*交易记录!R947)/Q87)</f>
        <v>372.00000000000006</v>
      </c>
      <c r="R120" s="14">
        <f>IF(R87=0,"",(交易记录!S20*交易记录!S51+交易记录!S84*交易记录!S115+交易记录!S148*交易记录!S179+交易记录!S212*交易记录!S243+交易记录!S276*交易记录!S307+交易记录!S340*交易记录!S371+交易记录!S404*交易记录!S435+交易记录!S468*交易记录!S499+交易记录!S532*交易记录!S563+交易记录!S596*交易记录!S627+交易记录!S660*交易记录!S691+交易记录!S724*交易记录!S755+交易记录!S788*交易记录!S819+交易记录!S852*交易记录!S883+交易记录!S916*交易记录!S947)/R87)</f>
        <v>372.00000000000006</v>
      </c>
      <c r="S120" s="14">
        <f>IF(S87=0,"",(交易记录!T20*交易记录!T51+交易记录!T84*交易记录!T115+交易记录!T148*交易记录!T179+交易记录!T212*交易记录!T243+交易记录!T276*交易记录!T307+交易记录!T340*交易记录!T371+交易记录!T404*交易记录!T435+交易记录!T468*交易记录!T499+交易记录!T532*交易记录!T563+交易记录!T596*交易记录!T627+交易记录!T660*交易记录!T691+交易记录!T724*交易记录!T755+交易记录!T788*交易记录!T819+交易记录!T852*交易记录!T883+交易记录!T916*交易记录!T947)/S87)</f>
        <v>372.00000000000006</v>
      </c>
      <c r="T120" s="14">
        <f>IF(T87=0,"",(交易记录!U20*交易记录!U51+交易记录!U84*交易记录!U115+交易记录!U148*交易记录!U179+交易记录!U212*交易记录!U243+交易记录!U276*交易记录!U307+交易记录!U340*交易记录!U371+交易记录!U404*交易记录!U435+交易记录!U468*交易记录!U499+交易记录!U532*交易记录!U563+交易记录!U596*交易记录!U627+交易记录!U660*交易记录!U691+交易记录!U724*交易记录!U755+交易记录!U788*交易记录!U819+交易记录!U852*交易记录!U883+交易记录!U916*交易记录!U947)/T87)</f>
        <v>372.00000000000006</v>
      </c>
      <c r="U120" s="14">
        <f>IF(U87=0,"",(交易记录!V20*交易记录!V51+交易记录!V84*交易记录!V115+交易记录!V148*交易记录!V179+交易记录!V212*交易记录!V243+交易记录!V276*交易记录!V307+交易记录!V340*交易记录!V371+交易记录!V404*交易记录!V435+交易记录!V468*交易记录!V499+交易记录!V532*交易记录!V563+交易记录!V596*交易记录!V627+交易记录!V660*交易记录!V691+交易记录!V724*交易记录!V755+交易记录!V788*交易记录!V819+交易记录!V852*交易记录!V883+交易记录!V916*交易记录!V947)/U87)</f>
        <v>372</v>
      </c>
      <c r="V120" s="14">
        <f>IF(V87=0,"",(交易记录!W20*交易记录!W51+交易记录!W84*交易记录!W115+交易记录!W148*交易记录!W179+交易记录!W212*交易记录!W243+交易记录!W276*交易记录!W307+交易记录!W340*交易记录!W371+交易记录!W404*交易记录!W435+交易记录!W468*交易记录!W499+交易记录!W532*交易记录!W563+交易记录!W596*交易记录!W627+交易记录!W660*交易记录!W691+交易记录!W724*交易记录!W755+交易记录!W788*交易记录!W819+交易记录!W852*交易记录!W883+交易记录!W916*交易记录!W947)/V87)</f>
        <v>372</v>
      </c>
      <c r="W120" s="14">
        <f>IF(W87=0,"",(交易记录!X20*交易记录!X51+交易记录!X84*交易记录!X115+交易记录!X148*交易记录!X179+交易记录!X212*交易记录!X243+交易记录!X276*交易记录!X307+交易记录!X340*交易记录!X371+交易记录!X404*交易记录!X435+交易记录!X468*交易记录!X499+交易记录!X532*交易记录!X563+交易记录!X596*交易记录!X627+交易记录!X660*交易记录!X691+交易记录!X724*交易记录!X755+交易记录!X788*交易记录!X819+交易记录!X852*交易记录!X883+交易记录!X916*交易记录!X947)/W87)</f>
        <v>372.00000000000006</v>
      </c>
      <c r="X120" s="14">
        <f>IF(X87=0,"",(交易记录!Y20*交易记录!Y51+交易记录!Y84*交易记录!Y115+交易记录!Y148*交易记录!Y179+交易记录!Y212*交易记录!Y243+交易记录!Y276*交易记录!Y307+交易记录!Y340*交易记录!Y371+交易记录!Y404*交易记录!Y435+交易记录!Y468*交易记录!Y499+交易记录!Y532*交易记录!Y563+交易记录!Y596*交易记录!Y627+交易记录!Y660*交易记录!Y691+交易记录!Y724*交易记录!Y755+交易记录!Y788*交易记录!Y819+交易记录!Y852*交易记录!Y883+交易记录!Y916*交易记录!Y947)/X87)</f>
        <v>372.00000000000006</v>
      </c>
      <c r="Y120" s="14">
        <f>IF(Y87=0,"",(交易记录!Z20*交易记录!Z51+交易记录!Z84*交易记录!Z115+交易记录!Z148*交易记录!Z179+交易记录!Z212*交易记录!Z243+交易记录!Z276*交易记录!Z307+交易记录!Z340*交易记录!Z371+交易记录!Z404*交易记录!Z435+交易记录!Z468*交易记录!Z499+交易记录!Z532*交易记录!Z563+交易记录!Z596*交易记录!Z627+交易记录!Z660*交易记录!Z691+交易记录!Z724*交易记录!Z755+交易记录!Z788*交易记录!Z819+交易记录!Z852*交易记录!Z883+交易记录!Z916*交易记录!Z947)/Y87)</f>
        <v>372.00000000000006</v>
      </c>
      <c r="Z120" s="14">
        <f>IF(Z87=0,"",(交易记录!AA20*交易记录!AA51+交易记录!AA84*交易记录!AA115+交易记录!AA148*交易记录!AA179+交易记录!AA212*交易记录!AA243+交易记录!AA276*交易记录!AA307+交易记录!AA340*交易记录!AA371+交易记录!AA404*交易记录!AA435+交易记录!AA468*交易记录!AA499+交易记录!AA532*交易记录!AA563+交易记录!AA596*交易记录!AA627+交易记录!AA660*交易记录!AA691+交易记录!AA724*交易记录!AA755+交易记录!AA788*交易记录!AA819+交易记录!AA852*交易记录!AA883+交易记录!AA916*交易记录!AA947)/Z87)</f>
        <v>372.00000000000006</v>
      </c>
      <c r="AA120" s="14">
        <f>IF(AA87=0,"",(交易记录!AB20*交易记录!AB51+交易记录!AB84*交易记录!AB115+交易记录!AB148*交易记录!AB179+交易记录!AB212*交易记录!AB243+交易记录!AB276*交易记录!AB307+交易记录!AB340*交易记录!AB371+交易记录!AB404*交易记录!AB435+交易记录!AB468*交易记录!AB499+交易记录!AB532*交易记录!AB563+交易记录!AB596*交易记录!AB627+交易记录!AB660*交易记录!AB691+交易记录!AB724*交易记录!AB755+交易记录!AB788*交易记录!AB819+交易记录!AB852*交易记录!AB883+交易记录!AB916*交易记录!AB947)/AA87)</f>
        <v>372.00000000000006</v>
      </c>
      <c r="AB120" s="14">
        <f>IF(AB87=0,"",(交易记录!AC20*交易记录!AC51+交易记录!AC84*交易记录!AC115+交易记录!AC148*交易记录!AC179+交易记录!AC212*交易记录!AC243+交易记录!AC276*交易记录!AC307+交易记录!AC340*交易记录!AC371+交易记录!AC404*交易记录!AC435+交易记录!AC468*交易记录!AC499+交易记录!AC532*交易记录!AC563+交易记录!AC596*交易记录!AC627+交易记录!AC660*交易记录!AC691+交易记录!AC724*交易记录!AC755+交易记录!AC788*交易记录!AC819+交易记录!AC852*交易记录!AC883+交易记录!AC916*交易记录!AC947)/AB87)</f>
        <v>372</v>
      </c>
      <c r="AC120" s="14">
        <f>IF(AC87=0,"",(交易记录!AD20*交易记录!AD51+交易记录!AD84*交易记录!AD115+交易记录!AD148*交易记录!AD179+交易记录!AD212*交易记录!AD243+交易记录!AD276*交易记录!AD307+交易记录!AD340*交易记录!AD371+交易记录!AD404*交易记录!AD435+交易记录!AD468*交易记录!AD499+交易记录!AD532*交易记录!AD563+交易记录!AD596*交易记录!AD627+交易记录!AD660*交易记录!AD691+交易记录!AD724*交易记录!AD755+交易记录!AD788*交易记录!AD819+交易记录!AD852*交易记录!AD883+交易记录!AD916*交易记录!AD947)/AC87)</f>
        <v>372</v>
      </c>
      <c r="AD120" s="14">
        <f>IF(AD87=0,"",(交易记录!AE20*交易记录!AE51+交易记录!AE84*交易记录!AE115+交易记录!AE148*交易记录!AE179+交易记录!AE212*交易记录!AE243+交易记录!AE276*交易记录!AE307+交易记录!AE340*交易记录!AE371+交易记录!AE404*交易记录!AE435+交易记录!AE468*交易记录!AE499+交易记录!AE532*交易记录!AE563+交易记录!AE596*交易记录!AE627+交易记录!AE660*交易记录!AE691+交易记录!AE724*交易记录!AE755+交易记录!AE788*交易记录!AE819+交易记录!AE852*交易记录!AE883+交易记录!AE916*交易记录!AE947)/AD87)</f>
        <v>372.00000000000006</v>
      </c>
      <c r="AE120" s="14">
        <f>IF(AE87=0,"",(交易记录!AF20*交易记录!AF51+交易记录!AF84*交易记录!AF115+交易记录!AF148*交易记录!AF179+交易记录!AF212*交易记录!AF243+交易记录!AF276*交易记录!AF307+交易记录!AF340*交易记录!AF371+交易记录!AF404*交易记录!AF435+交易记录!AF468*交易记录!AF499+交易记录!AF532*交易记录!AF563+交易记录!AF596*交易记录!AF627+交易记录!AF660*交易记录!AF691+交易记录!AF724*交易记录!AF755+交易记录!AF788*交易记录!AF819+交易记录!AF852*交易记录!AF883+交易记录!AF916*交易记录!AF947)/AE87)</f>
        <v>372.00000000000006</v>
      </c>
      <c r="AF120" s="14">
        <f>IF(AF87=0,"",(交易记录!AG20*交易记录!AG51+交易记录!AG84*交易记录!AG115+交易记录!AG148*交易记录!AG179+交易记录!AG212*交易记录!AG243+交易记录!AG276*交易记录!AG307+交易记录!AG340*交易记录!AG371+交易记录!AG404*交易记录!AG435+交易记录!AG468*交易记录!AG499+交易记录!AG532*交易记录!AG563+交易记录!AG596*交易记录!AG627+交易记录!AG660*交易记录!AG691+交易记录!AG724*交易记录!AG755+交易记录!AG788*交易记录!AG819+交易记录!AG852*交易记录!AG883+交易记录!AG916*交易记录!AG947)/AF87)</f>
        <v>372.00000000000006</v>
      </c>
      <c r="AG120" s="14">
        <f>IF(AG87=0,"",(交易记录!AH20*交易记录!AH51+交易记录!AH84*交易记录!AH115+交易记录!AH148*交易记录!AH179+交易记录!AH212*交易记录!AH243+交易记录!AH276*交易记录!AH307+交易记录!AH340*交易记录!AH371+交易记录!AH404*交易记录!AH435+交易记录!AH468*交易记录!AH499+交易记录!AH532*交易记录!AH563+交易记录!AH596*交易记录!AH627+交易记录!AH660*交易记录!AH691+交易记录!AH724*交易记录!AH755+交易记录!AH788*交易记录!AH819+交易记录!AH852*交易记录!AH883+交易记录!AH916*交易记录!AH947)/AG87)</f>
        <v>372.00000000000006</v>
      </c>
    </row>
    <row r="121" spans="2:33" s="3" customFormat="1" ht="15">
      <c r="B121" s="7" t="s">
        <v>22</v>
      </c>
      <c r="C121" s="14">
        <f>IF(C88=0,"",(交易记录!D21*交易记录!D52+交易记录!D85*交易记录!D116+交易记录!D149*交易记录!D180+交易记录!D213*交易记录!D244+交易记录!D277*交易记录!D308+交易记录!D341*交易记录!D372+交易记录!D405*交易记录!D436+交易记录!D469*交易记录!D500+交易记录!D533*交易记录!D564+交易记录!D597*交易记录!D628+交易记录!D661*交易记录!D692+交易记录!D725*交易记录!D756+交易记录!D789*交易记录!D820+交易记录!D853*交易记录!D884+交易记录!D917*交易记录!D948)/C88)</f>
        <v>372</v>
      </c>
      <c r="D121" s="14">
        <f>IF(D88=0,"",(交易记录!E21*交易记录!E52+交易记录!E85*交易记录!E116+交易记录!E149*交易记录!E180+交易记录!E213*交易记录!E244+交易记录!E277*交易记录!E308+交易记录!E341*交易记录!E372+交易记录!E405*交易记录!E436+交易记录!E469*交易记录!E500+交易记录!E533*交易记录!E564+交易记录!E597*交易记录!E628+交易记录!E661*交易记录!E692+交易记录!E725*交易记录!E756+交易记录!E789*交易记录!E820+交易记录!E853*交易记录!E884+交易记录!E917*交易记录!E948)/D88)</f>
        <v>372</v>
      </c>
      <c r="E121" s="14">
        <f>IF(E88=0,"",(交易记录!F21*交易记录!F52+交易记录!F85*交易记录!F116+交易记录!F149*交易记录!F180+交易记录!F213*交易记录!F244+交易记录!F277*交易记录!F308+交易记录!F341*交易记录!F372+交易记录!F405*交易记录!F436+交易记录!F469*交易记录!F500+交易记录!F533*交易记录!F564+交易记录!F597*交易记录!F628+交易记录!F661*交易记录!F692+交易记录!F725*交易记录!F756+交易记录!F789*交易记录!F820+交易记录!F853*交易记录!F884+交易记录!F917*交易记录!F948)/E88)</f>
        <v>372</v>
      </c>
      <c r="F121" s="14">
        <f>IF(F88=0,"",(交易记录!G21*交易记录!G52+交易记录!G85*交易记录!G116+交易记录!G149*交易记录!G180+交易记录!G213*交易记录!G244+交易记录!G277*交易记录!G308+交易记录!G341*交易记录!G372+交易记录!G405*交易记录!G436+交易记录!G469*交易记录!G500+交易记录!G533*交易记录!G564+交易记录!G597*交易记录!G628+交易记录!G661*交易记录!G692+交易记录!G725*交易记录!G756+交易记录!G789*交易记录!G820+交易记录!G853*交易记录!G884+交易记录!G917*交易记录!G948)/F88)</f>
        <v>372</v>
      </c>
      <c r="G121" s="14">
        <f>IF(G88=0,"",(交易记录!H21*交易记录!H52+交易记录!H85*交易记录!H116+交易记录!H149*交易记录!H180+交易记录!H213*交易记录!H244+交易记录!H277*交易记录!H308+交易记录!H341*交易记录!H372+交易记录!H405*交易记录!H436+交易记录!H469*交易记录!H500+交易记录!H533*交易记录!H564+交易记录!H597*交易记录!H628+交易记录!H661*交易记录!H692+交易记录!H725*交易记录!H756+交易记录!H789*交易记录!H820+交易记录!H853*交易记录!H884+交易记录!H917*交易记录!H948)/G88)</f>
        <v>372</v>
      </c>
      <c r="H121" s="14">
        <f>IF(H88=0,"",(交易记录!I21*交易记录!I52+交易记录!I85*交易记录!I116+交易记录!I149*交易记录!I180+交易记录!I213*交易记录!I244+交易记录!I277*交易记录!I308+交易记录!I341*交易记录!I372+交易记录!I405*交易记录!I436+交易记录!I469*交易记录!I500+交易记录!I533*交易记录!I564+交易记录!I597*交易记录!I628+交易记录!I661*交易记录!I692+交易记录!I725*交易记录!I756+交易记录!I789*交易记录!I820+交易记录!I853*交易记录!I884+交易记录!I917*交易记录!I948)/H88)</f>
        <v>372</v>
      </c>
      <c r="I121" s="14">
        <f>IF(I88=0,"",(交易记录!J21*交易记录!J52+交易记录!J85*交易记录!J116+交易记录!J149*交易记录!J180+交易记录!J213*交易记录!J244+交易记录!J277*交易记录!J308+交易记录!J341*交易记录!J372+交易记录!J405*交易记录!J436+交易记录!J469*交易记录!J500+交易记录!J533*交易记录!J564+交易记录!J597*交易记录!J628+交易记录!J661*交易记录!J692+交易记录!J725*交易记录!J756+交易记录!J789*交易记录!J820+交易记录!J853*交易记录!J884+交易记录!J917*交易记录!J948)/I88)</f>
        <v>372</v>
      </c>
      <c r="J121" s="14">
        <f>IF(J88=0,"",(交易记录!K21*交易记录!K52+交易记录!K85*交易记录!K116+交易记录!K149*交易记录!K180+交易记录!K213*交易记录!K244+交易记录!K277*交易记录!K308+交易记录!K341*交易记录!K372+交易记录!K405*交易记录!K436+交易记录!K469*交易记录!K500+交易记录!K533*交易记录!K564+交易记录!K597*交易记录!K628+交易记录!K661*交易记录!K692+交易记录!K725*交易记录!K756+交易记录!K789*交易记录!K820+交易记录!K853*交易记录!K884+交易记录!K917*交易记录!K948)/J88)</f>
        <v>372</v>
      </c>
      <c r="K121" s="14">
        <f>IF(K88=0,"",(交易记录!L21*交易记录!L52+交易记录!L85*交易记录!L116+交易记录!L149*交易记录!L180+交易记录!L213*交易记录!L244+交易记录!L277*交易记录!L308+交易记录!L341*交易记录!L372+交易记录!L405*交易记录!L436+交易记录!L469*交易记录!L500+交易记录!L533*交易记录!L564+交易记录!L597*交易记录!L628+交易记录!L661*交易记录!L692+交易记录!L725*交易记录!L756+交易记录!L789*交易记录!L820+交易记录!L853*交易记录!L884+交易记录!L917*交易记录!L948)/K88)</f>
        <v>372</v>
      </c>
      <c r="L121" s="14">
        <f>IF(L88=0,"",(交易记录!M21*交易记录!M52+交易记录!M85*交易记录!M116+交易记录!M149*交易记录!M180+交易记录!M213*交易记录!M244+交易记录!M277*交易记录!M308+交易记录!M341*交易记录!M372+交易记录!M405*交易记录!M436+交易记录!M469*交易记录!M500+交易记录!M533*交易记录!M564+交易记录!M597*交易记录!M628+交易记录!M661*交易记录!M692+交易记录!M725*交易记录!M756+交易记录!M789*交易记录!M820+交易记录!M853*交易记录!M884+交易记录!M917*交易记录!M948)/L88)</f>
        <v>372</v>
      </c>
      <c r="M121" s="14">
        <f>IF(M88=0,"",(交易记录!N21*交易记录!N52+交易记录!N85*交易记录!N116+交易记录!N149*交易记录!N180+交易记录!N213*交易记录!N244+交易记录!N277*交易记录!N308+交易记录!N341*交易记录!N372+交易记录!N405*交易记录!N436+交易记录!N469*交易记录!N500+交易记录!N533*交易记录!N564+交易记录!N597*交易记录!N628+交易记录!N661*交易记录!N692+交易记录!N725*交易记录!N756+交易记录!N789*交易记录!N820+交易记录!N853*交易记录!N884+交易记录!N917*交易记录!N948)/M88)</f>
        <v>372</v>
      </c>
      <c r="N121" s="14">
        <f>IF(N88=0,"",(交易记录!O21*交易记录!O52+交易记录!O85*交易记录!O116+交易记录!O149*交易记录!O180+交易记录!O213*交易记录!O244+交易记录!O277*交易记录!O308+交易记录!O341*交易记录!O372+交易记录!O405*交易记录!O436+交易记录!O469*交易记录!O500+交易记录!O533*交易记录!O564+交易记录!O597*交易记录!O628+交易记录!O661*交易记录!O692+交易记录!O725*交易记录!O756+交易记录!O789*交易记录!O820+交易记录!O853*交易记录!O884+交易记录!O917*交易记录!O948)/N88)</f>
        <v>372</v>
      </c>
      <c r="O121" s="14">
        <f>IF(O88=0,"",(交易记录!P21*交易记录!P52+交易记录!P85*交易记录!P116+交易记录!P149*交易记录!P180+交易记录!P213*交易记录!P244+交易记录!P277*交易记录!P308+交易记录!P341*交易记录!P372+交易记录!P405*交易记录!P436+交易记录!P469*交易记录!P500+交易记录!P533*交易记录!P564+交易记录!P597*交易记录!P628+交易记录!P661*交易记录!P692+交易记录!P725*交易记录!P756+交易记录!P789*交易记录!P820+交易记录!P853*交易记录!P884+交易记录!P917*交易记录!P948)/O88)</f>
        <v>372</v>
      </c>
      <c r="P121" s="14">
        <f>IF(P88=0,"",(交易记录!Q21*交易记录!Q52+交易记录!Q85*交易记录!Q116+交易记录!Q149*交易记录!Q180+交易记录!Q213*交易记录!Q244+交易记录!Q277*交易记录!Q308+交易记录!Q341*交易记录!Q372+交易记录!Q405*交易记录!Q436+交易记录!Q469*交易记录!Q500+交易记录!Q533*交易记录!Q564+交易记录!Q597*交易记录!Q628+交易记录!Q661*交易记录!Q692+交易记录!Q725*交易记录!Q756+交易记录!Q789*交易记录!Q820+交易记录!Q853*交易记录!Q884+交易记录!Q917*交易记录!Q948)/P88)</f>
        <v>372</v>
      </c>
      <c r="Q121" s="14">
        <f>IF(Q88=0,"",(交易记录!R21*交易记录!R52+交易记录!R85*交易记录!R116+交易记录!R149*交易记录!R180+交易记录!R213*交易记录!R244+交易记录!R277*交易记录!R308+交易记录!R341*交易记录!R372+交易记录!R405*交易记录!R436+交易记录!R469*交易记录!R500+交易记录!R533*交易记录!R564+交易记录!R597*交易记录!R628+交易记录!R661*交易记录!R692+交易记录!R725*交易记录!R756+交易记录!R789*交易记录!R820+交易记录!R853*交易记录!R884+交易记录!R917*交易记录!R948)/Q88)</f>
        <v>372</v>
      </c>
      <c r="R121" s="14">
        <f>IF(R88=0,"",(交易记录!S21*交易记录!S52+交易记录!S85*交易记录!S116+交易记录!S149*交易记录!S180+交易记录!S213*交易记录!S244+交易记录!S277*交易记录!S308+交易记录!S341*交易记录!S372+交易记录!S405*交易记录!S436+交易记录!S469*交易记录!S500+交易记录!S533*交易记录!S564+交易记录!S597*交易记录!S628+交易记录!S661*交易记录!S692+交易记录!S725*交易记录!S756+交易记录!S789*交易记录!S820+交易记录!S853*交易记录!S884+交易记录!S917*交易记录!S948)/R88)</f>
        <v>372</v>
      </c>
      <c r="S121" s="14">
        <f>IF(S88=0,"",(交易记录!T21*交易记录!T52+交易记录!T85*交易记录!T116+交易记录!T149*交易记录!T180+交易记录!T213*交易记录!T244+交易记录!T277*交易记录!T308+交易记录!T341*交易记录!T372+交易记录!T405*交易记录!T436+交易记录!T469*交易记录!T500+交易记录!T533*交易记录!T564+交易记录!T597*交易记录!T628+交易记录!T661*交易记录!T692+交易记录!T725*交易记录!T756+交易记录!T789*交易记录!T820+交易记录!T853*交易记录!T884+交易记录!T917*交易记录!T948)/S88)</f>
        <v>372</v>
      </c>
      <c r="T121" s="14">
        <f>IF(T88=0,"",(交易记录!U21*交易记录!U52+交易记录!U85*交易记录!U116+交易记录!U149*交易记录!U180+交易记录!U213*交易记录!U244+交易记录!U277*交易记录!U308+交易记录!U341*交易记录!U372+交易记录!U405*交易记录!U436+交易记录!U469*交易记录!U500+交易记录!U533*交易记录!U564+交易记录!U597*交易记录!U628+交易记录!U661*交易记录!U692+交易记录!U725*交易记录!U756+交易记录!U789*交易记录!U820+交易记录!U853*交易记录!U884+交易记录!U917*交易记录!U948)/T88)</f>
        <v>372</v>
      </c>
      <c r="U121" s="14">
        <f>IF(U88=0,"",(交易记录!V21*交易记录!V52+交易记录!V85*交易记录!V116+交易记录!V149*交易记录!V180+交易记录!V213*交易记录!V244+交易记录!V277*交易记录!V308+交易记录!V341*交易记录!V372+交易记录!V405*交易记录!V436+交易记录!V469*交易记录!V500+交易记录!V533*交易记录!V564+交易记录!V597*交易记录!V628+交易记录!V661*交易记录!V692+交易记录!V725*交易记录!V756+交易记录!V789*交易记录!V820+交易记录!V853*交易记录!V884+交易记录!V917*交易记录!V948)/U88)</f>
        <v>372</v>
      </c>
      <c r="V121" s="14">
        <f>IF(V88=0,"",(交易记录!W21*交易记录!W52+交易记录!W85*交易记录!W116+交易记录!W149*交易记录!W180+交易记录!W213*交易记录!W244+交易记录!W277*交易记录!W308+交易记录!W341*交易记录!W372+交易记录!W405*交易记录!W436+交易记录!W469*交易记录!W500+交易记录!W533*交易记录!W564+交易记录!W597*交易记录!W628+交易记录!W661*交易记录!W692+交易记录!W725*交易记录!W756+交易记录!W789*交易记录!W820+交易记录!W853*交易记录!W884+交易记录!W917*交易记录!W948)/V88)</f>
        <v>372</v>
      </c>
      <c r="W121" s="14">
        <f>IF(W88=0,"",(交易记录!X21*交易记录!X52+交易记录!X85*交易记录!X116+交易记录!X149*交易记录!X180+交易记录!X213*交易记录!X244+交易记录!X277*交易记录!X308+交易记录!X341*交易记录!X372+交易记录!X405*交易记录!X436+交易记录!X469*交易记录!X500+交易记录!X533*交易记录!X564+交易记录!X597*交易记录!X628+交易记录!X661*交易记录!X692+交易记录!X725*交易记录!X756+交易记录!X789*交易记录!X820+交易记录!X853*交易记录!X884+交易记录!X917*交易记录!X948)/W88)</f>
        <v>372</v>
      </c>
      <c r="X121" s="14">
        <f>IF(X88=0,"",(交易记录!Y21*交易记录!Y52+交易记录!Y85*交易记录!Y116+交易记录!Y149*交易记录!Y180+交易记录!Y213*交易记录!Y244+交易记录!Y277*交易记录!Y308+交易记录!Y341*交易记录!Y372+交易记录!Y405*交易记录!Y436+交易记录!Y469*交易记录!Y500+交易记录!Y533*交易记录!Y564+交易记录!Y597*交易记录!Y628+交易记录!Y661*交易记录!Y692+交易记录!Y725*交易记录!Y756+交易记录!Y789*交易记录!Y820+交易记录!Y853*交易记录!Y884+交易记录!Y917*交易记录!Y948)/X88)</f>
        <v>372</v>
      </c>
      <c r="Y121" s="14">
        <f>IF(Y88=0,"",(交易记录!Z21*交易记录!Z52+交易记录!Z85*交易记录!Z116+交易记录!Z149*交易记录!Z180+交易记录!Z213*交易记录!Z244+交易记录!Z277*交易记录!Z308+交易记录!Z341*交易记录!Z372+交易记录!Z405*交易记录!Z436+交易记录!Z469*交易记录!Z500+交易记录!Z533*交易记录!Z564+交易记录!Z597*交易记录!Z628+交易记录!Z661*交易记录!Z692+交易记录!Z725*交易记录!Z756+交易记录!Z789*交易记录!Z820+交易记录!Z853*交易记录!Z884+交易记录!Z917*交易记录!Z948)/Y88)</f>
        <v>372</v>
      </c>
      <c r="Z121" s="14">
        <f>IF(Z88=0,"",(交易记录!AA21*交易记录!AA52+交易记录!AA85*交易记录!AA116+交易记录!AA149*交易记录!AA180+交易记录!AA213*交易记录!AA244+交易记录!AA277*交易记录!AA308+交易记录!AA341*交易记录!AA372+交易记录!AA405*交易记录!AA436+交易记录!AA469*交易记录!AA500+交易记录!AA533*交易记录!AA564+交易记录!AA597*交易记录!AA628+交易记录!AA661*交易记录!AA692+交易记录!AA725*交易记录!AA756+交易记录!AA789*交易记录!AA820+交易记录!AA853*交易记录!AA884+交易记录!AA917*交易记录!AA948)/Z88)</f>
        <v>372</v>
      </c>
      <c r="AA121" s="14">
        <f>IF(AA88=0,"",(交易记录!AB21*交易记录!AB52+交易记录!AB85*交易记录!AB116+交易记录!AB149*交易记录!AB180+交易记录!AB213*交易记录!AB244+交易记录!AB277*交易记录!AB308+交易记录!AB341*交易记录!AB372+交易记录!AB405*交易记录!AB436+交易记录!AB469*交易记录!AB500+交易记录!AB533*交易记录!AB564+交易记录!AB597*交易记录!AB628+交易记录!AB661*交易记录!AB692+交易记录!AB725*交易记录!AB756+交易记录!AB789*交易记录!AB820+交易记录!AB853*交易记录!AB884+交易记录!AB917*交易记录!AB948)/AA88)</f>
        <v>372</v>
      </c>
      <c r="AB121" s="14">
        <f>IF(AB88=0,"",(交易记录!AC21*交易记录!AC52+交易记录!AC85*交易记录!AC116+交易记录!AC149*交易记录!AC180+交易记录!AC213*交易记录!AC244+交易记录!AC277*交易记录!AC308+交易记录!AC341*交易记录!AC372+交易记录!AC405*交易记录!AC436+交易记录!AC469*交易记录!AC500+交易记录!AC533*交易记录!AC564+交易记录!AC597*交易记录!AC628+交易记录!AC661*交易记录!AC692+交易记录!AC725*交易记录!AC756+交易记录!AC789*交易记录!AC820+交易记录!AC853*交易记录!AC884+交易记录!AC917*交易记录!AC948)/AB88)</f>
        <v>372</v>
      </c>
      <c r="AC121" s="14">
        <f>IF(AC88=0,"",(交易记录!AD21*交易记录!AD52+交易记录!AD85*交易记录!AD116+交易记录!AD149*交易记录!AD180+交易记录!AD213*交易记录!AD244+交易记录!AD277*交易记录!AD308+交易记录!AD341*交易记录!AD372+交易记录!AD405*交易记录!AD436+交易记录!AD469*交易记录!AD500+交易记录!AD533*交易记录!AD564+交易记录!AD597*交易记录!AD628+交易记录!AD661*交易记录!AD692+交易记录!AD725*交易记录!AD756+交易记录!AD789*交易记录!AD820+交易记录!AD853*交易记录!AD884+交易记录!AD917*交易记录!AD948)/AC88)</f>
        <v>372</v>
      </c>
      <c r="AD121" s="14">
        <f>IF(AD88=0,"",(交易记录!AE21*交易记录!AE52+交易记录!AE85*交易记录!AE116+交易记录!AE149*交易记录!AE180+交易记录!AE213*交易记录!AE244+交易记录!AE277*交易记录!AE308+交易记录!AE341*交易记录!AE372+交易记录!AE405*交易记录!AE436+交易记录!AE469*交易记录!AE500+交易记录!AE533*交易记录!AE564+交易记录!AE597*交易记录!AE628+交易记录!AE661*交易记录!AE692+交易记录!AE725*交易记录!AE756+交易记录!AE789*交易记录!AE820+交易记录!AE853*交易记录!AE884+交易记录!AE917*交易记录!AE948)/AD88)</f>
        <v>372</v>
      </c>
      <c r="AE121" s="14">
        <f>IF(AE88=0,"",(交易记录!AF21*交易记录!AF52+交易记录!AF85*交易记录!AF116+交易记录!AF149*交易记录!AF180+交易记录!AF213*交易记录!AF244+交易记录!AF277*交易记录!AF308+交易记录!AF341*交易记录!AF372+交易记录!AF405*交易记录!AF436+交易记录!AF469*交易记录!AF500+交易记录!AF533*交易记录!AF564+交易记录!AF597*交易记录!AF628+交易记录!AF661*交易记录!AF692+交易记录!AF725*交易记录!AF756+交易记录!AF789*交易记录!AF820+交易记录!AF853*交易记录!AF884+交易记录!AF917*交易记录!AF948)/AE88)</f>
        <v>372</v>
      </c>
      <c r="AF121" s="14">
        <f>IF(AF88=0,"",(交易记录!AG21*交易记录!AG52+交易记录!AG85*交易记录!AG116+交易记录!AG149*交易记录!AG180+交易记录!AG213*交易记录!AG244+交易记录!AG277*交易记录!AG308+交易记录!AG341*交易记录!AG372+交易记录!AG405*交易记录!AG436+交易记录!AG469*交易记录!AG500+交易记录!AG533*交易记录!AG564+交易记录!AG597*交易记录!AG628+交易记录!AG661*交易记录!AG692+交易记录!AG725*交易记录!AG756+交易记录!AG789*交易记录!AG820+交易记录!AG853*交易记录!AG884+交易记录!AG917*交易记录!AG948)/AF88)</f>
        <v>372</v>
      </c>
      <c r="AG121" s="14">
        <f>IF(AG88=0,"",(交易记录!AH21*交易记录!AH52+交易记录!AH85*交易记录!AH116+交易记录!AH149*交易记录!AH180+交易记录!AH213*交易记录!AH244+交易记录!AH277*交易记录!AH308+交易记录!AH341*交易记录!AH372+交易记录!AH405*交易记录!AH436+交易记录!AH469*交易记录!AH500+交易记录!AH533*交易记录!AH564+交易记录!AH597*交易记录!AH628+交易记录!AH661*交易记录!AH692+交易记录!AH725*交易记录!AH756+交易记录!AH789*交易记录!AH820+交易记录!AH853*交易记录!AH884+交易记录!AH917*交易记录!AH948)/AG88)</f>
        <v>372</v>
      </c>
    </row>
    <row r="122" spans="2:33" s="3" customFormat="1" ht="15">
      <c r="B122" s="7" t="s">
        <v>23</v>
      </c>
      <c r="C122" s="14">
        <f>IF(C89=0,"",(交易记录!D22*交易记录!D53+交易记录!D86*交易记录!D117+交易记录!D150*交易记录!D181+交易记录!D214*交易记录!D245+交易记录!D278*交易记录!D309+交易记录!D342*交易记录!D373+交易记录!D406*交易记录!D437+交易记录!D470*交易记录!D501+交易记录!D534*交易记录!D565+交易记录!D598*交易记录!D629+交易记录!D662*交易记录!D693+交易记录!D726*交易记录!D757+交易记录!D790*交易记录!D821+交易记录!D854*交易记录!D885+交易记录!D918*交易记录!D949)/C89)</f>
        <v>372</v>
      </c>
      <c r="D122" s="14">
        <f>IF(D89=0,"",(交易记录!E22*交易记录!E53+交易记录!E86*交易记录!E117+交易记录!E150*交易记录!E181+交易记录!E214*交易记录!E245+交易记录!E278*交易记录!E309+交易记录!E342*交易记录!E373+交易记录!E406*交易记录!E437+交易记录!E470*交易记录!E501+交易记录!E534*交易记录!E565+交易记录!E598*交易记录!E629+交易记录!E662*交易记录!E693+交易记录!E726*交易记录!E757+交易记录!E790*交易记录!E821+交易记录!E854*交易记录!E885+交易记录!E918*交易记录!E949)/D89)</f>
        <v>372</v>
      </c>
      <c r="E122" s="14">
        <f>IF(E89=0,"",(交易记录!F22*交易记录!F53+交易记录!F86*交易记录!F117+交易记录!F150*交易记录!F181+交易记录!F214*交易记录!F245+交易记录!F278*交易记录!F309+交易记录!F342*交易记录!F373+交易记录!F406*交易记录!F437+交易记录!F470*交易记录!F501+交易记录!F534*交易记录!F565+交易记录!F598*交易记录!F629+交易记录!F662*交易记录!F693+交易记录!F726*交易记录!F757+交易记录!F790*交易记录!F821+交易记录!F854*交易记录!F885+交易记录!F918*交易记录!F949)/E89)</f>
        <v>372</v>
      </c>
      <c r="F122" s="14">
        <f>IF(F89=0,"",(交易记录!G22*交易记录!G53+交易记录!G86*交易记录!G117+交易记录!G150*交易记录!G181+交易记录!G214*交易记录!G245+交易记录!G278*交易记录!G309+交易记录!G342*交易记录!G373+交易记录!G406*交易记录!G437+交易记录!G470*交易记录!G501+交易记录!G534*交易记录!G565+交易记录!G598*交易记录!G629+交易记录!G662*交易记录!G693+交易记录!G726*交易记录!G757+交易记录!G790*交易记录!G821+交易记录!G854*交易记录!G885+交易记录!G918*交易记录!G949)/F89)</f>
        <v>372</v>
      </c>
      <c r="G122" s="14">
        <f>IF(G89=0,"",(交易记录!H22*交易记录!H53+交易记录!H86*交易记录!H117+交易记录!H150*交易记录!H181+交易记录!H214*交易记录!H245+交易记录!H278*交易记录!H309+交易记录!H342*交易记录!H373+交易记录!H406*交易记录!H437+交易记录!H470*交易记录!H501+交易记录!H534*交易记录!H565+交易记录!H598*交易记录!H629+交易记录!H662*交易记录!H693+交易记录!H726*交易记录!H757+交易记录!H790*交易记录!H821+交易记录!H854*交易记录!H885+交易记录!H918*交易记录!H949)/G89)</f>
        <v>372</v>
      </c>
      <c r="H122" s="14">
        <f>IF(H89=0,"",(交易记录!I22*交易记录!I53+交易记录!I86*交易记录!I117+交易记录!I150*交易记录!I181+交易记录!I214*交易记录!I245+交易记录!I278*交易记录!I309+交易记录!I342*交易记录!I373+交易记录!I406*交易记录!I437+交易记录!I470*交易记录!I501+交易记录!I534*交易记录!I565+交易记录!I598*交易记录!I629+交易记录!I662*交易记录!I693+交易记录!I726*交易记录!I757+交易记录!I790*交易记录!I821+交易记录!I854*交易记录!I885+交易记录!I918*交易记录!I949)/H89)</f>
        <v>372</v>
      </c>
      <c r="I122" s="14">
        <f>IF(I89=0,"",(交易记录!J22*交易记录!J53+交易记录!J86*交易记录!J117+交易记录!J150*交易记录!J181+交易记录!J214*交易记录!J245+交易记录!J278*交易记录!J309+交易记录!J342*交易记录!J373+交易记录!J406*交易记录!J437+交易记录!J470*交易记录!J501+交易记录!J534*交易记录!J565+交易记录!J598*交易记录!J629+交易记录!J662*交易记录!J693+交易记录!J726*交易记录!J757+交易记录!J790*交易记录!J821+交易记录!J854*交易记录!J885+交易记录!J918*交易记录!J949)/I89)</f>
        <v>372</v>
      </c>
      <c r="J122" s="14">
        <f>IF(J89=0,"",(交易记录!K22*交易记录!K53+交易记录!K86*交易记录!K117+交易记录!K150*交易记录!K181+交易记录!K214*交易记录!K245+交易记录!K278*交易记录!K309+交易记录!K342*交易记录!K373+交易记录!K406*交易记录!K437+交易记录!K470*交易记录!K501+交易记录!K534*交易记录!K565+交易记录!K598*交易记录!K629+交易记录!K662*交易记录!K693+交易记录!K726*交易记录!K757+交易记录!K790*交易记录!K821+交易记录!K854*交易记录!K885+交易记录!K918*交易记录!K949)/J89)</f>
        <v>372</v>
      </c>
      <c r="K122" s="14">
        <f>IF(K89=0,"",(交易记录!L22*交易记录!L53+交易记录!L86*交易记录!L117+交易记录!L150*交易记录!L181+交易记录!L214*交易记录!L245+交易记录!L278*交易记录!L309+交易记录!L342*交易记录!L373+交易记录!L406*交易记录!L437+交易记录!L470*交易记录!L501+交易记录!L534*交易记录!L565+交易记录!L598*交易记录!L629+交易记录!L662*交易记录!L693+交易记录!L726*交易记录!L757+交易记录!L790*交易记录!L821+交易记录!L854*交易记录!L885+交易记录!L918*交易记录!L949)/K89)</f>
        <v>372</v>
      </c>
      <c r="L122" s="14">
        <f>IF(L89=0,"",(交易记录!M22*交易记录!M53+交易记录!M86*交易记录!M117+交易记录!M150*交易记录!M181+交易记录!M214*交易记录!M245+交易记录!M278*交易记录!M309+交易记录!M342*交易记录!M373+交易记录!M406*交易记录!M437+交易记录!M470*交易记录!M501+交易记录!M534*交易记录!M565+交易记录!M598*交易记录!M629+交易记录!M662*交易记录!M693+交易记录!M726*交易记录!M757+交易记录!M790*交易记录!M821+交易记录!M854*交易记录!M885+交易记录!M918*交易记录!M949)/L89)</f>
        <v>372</v>
      </c>
      <c r="M122" s="14">
        <f>IF(M89=0,"",(交易记录!N22*交易记录!N53+交易记录!N86*交易记录!N117+交易记录!N150*交易记录!N181+交易记录!N214*交易记录!N245+交易记录!N278*交易记录!N309+交易记录!N342*交易记录!N373+交易记录!N406*交易记录!N437+交易记录!N470*交易记录!N501+交易记录!N534*交易记录!N565+交易记录!N598*交易记录!N629+交易记录!N662*交易记录!N693+交易记录!N726*交易记录!N757+交易记录!N790*交易记录!N821+交易记录!N854*交易记录!N885+交易记录!N918*交易记录!N949)/M89)</f>
        <v>372</v>
      </c>
      <c r="N122" s="14">
        <f>IF(N89=0,"",(交易记录!O22*交易记录!O53+交易记录!O86*交易记录!O117+交易记录!O150*交易记录!O181+交易记录!O214*交易记录!O245+交易记录!O278*交易记录!O309+交易记录!O342*交易记录!O373+交易记录!O406*交易记录!O437+交易记录!O470*交易记录!O501+交易记录!O534*交易记录!O565+交易记录!O598*交易记录!O629+交易记录!O662*交易记录!O693+交易记录!O726*交易记录!O757+交易记录!O790*交易记录!O821+交易记录!O854*交易记录!O885+交易记录!O918*交易记录!O949)/N89)</f>
        <v>372</v>
      </c>
      <c r="O122" s="14">
        <f>IF(O89=0,"",(交易记录!P22*交易记录!P53+交易记录!P86*交易记录!P117+交易记录!P150*交易记录!P181+交易记录!P214*交易记录!P245+交易记录!P278*交易记录!P309+交易记录!P342*交易记录!P373+交易记录!P406*交易记录!P437+交易记录!P470*交易记录!P501+交易记录!P534*交易记录!P565+交易记录!P598*交易记录!P629+交易记录!P662*交易记录!P693+交易记录!P726*交易记录!P757+交易记录!P790*交易记录!P821+交易记录!P854*交易记录!P885+交易记录!P918*交易记录!P949)/O89)</f>
        <v>372</v>
      </c>
      <c r="P122" s="14">
        <f>IF(P89=0,"",(交易记录!Q22*交易记录!Q53+交易记录!Q86*交易记录!Q117+交易记录!Q150*交易记录!Q181+交易记录!Q214*交易记录!Q245+交易记录!Q278*交易记录!Q309+交易记录!Q342*交易记录!Q373+交易记录!Q406*交易记录!Q437+交易记录!Q470*交易记录!Q501+交易记录!Q534*交易记录!Q565+交易记录!Q598*交易记录!Q629+交易记录!Q662*交易记录!Q693+交易记录!Q726*交易记录!Q757+交易记录!Q790*交易记录!Q821+交易记录!Q854*交易记录!Q885+交易记录!Q918*交易记录!Q949)/P89)</f>
        <v>372</v>
      </c>
      <c r="Q122" s="14">
        <f>IF(Q89=0,"",(交易记录!R22*交易记录!R53+交易记录!R86*交易记录!R117+交易记录!R150*交易记录!R181+交易记录!R214*交易记录!R245+交易记录!R278*交易记录!R309+交易记录!R342*交易记录!R373+交易记录!R406*交易记录!R437+交易记录!R470*交易记录!R501+交易记录!R534*交易记录!R565+交易记录!R598*交易记录!R629+交易记录!R662*交易记录!R693+交易记录!R726*交易记录!R757+交易记录!R790*交易记录!R821+交易记录!R854*交易记录!R885+交易记录!R918*交易记录!R949)/Q89)</f>
        <v>372</v>
      </c>
      <c r="R122" s="14">
        <f>IF(R89=0,"",(交易记录!S22*交易记录!S53+交易记录!S86*交易记录!S117+交易记录!S150*交易记录!S181+交易记录!S214*交易记录!S245+交易记录!S278*交易记录!S309+交易记录!S342*交易记录!S373+交易记录!S406*交易记录!S437+交易记录!S470*交易记录!S501+交易记录!S534*交易记录!S565+交易记录!S598*交易记录!S629+交易记录!S662*交易记录!S693+交易记录!S726*交易记录!S757+交易记录!S790*交易记录!S821+交易记录!S854*交易记录!S885+交易记录!S918*交易记录!S949)/R89)</f>
        <v>372</v>
      </c>
      <c r="S122" s="14">
        <f>IF(S89=0,"",(交易记录!T22*交易记录!T53+交易记录!T86*交易记录!T117+交易记录!T150*交易记录!T181+交易记录!T214*交易记录!T245+交易记录!T278*交易记录!T309+交易记录!T342*交易记录!T373+交易记录!T406*交易记录!T437+交易记录!T470*交易记录!T501+交易记录!T534*交易记录!T565+交易记录!T598*交易记录!T629+交易记录!T662*交易记录!T693+交易记录!T726*交易记录!T757+交易记录!T790*交易记录!T821+交易记录!T854*交易记录!T885+交易记录!T918*交易记录!T949)/S89)</f>
        <v>372</v>
      </c>
      <c r="T122" s="14">
        <f>IF(T89=0,"",(交易记录!U22*交易记录!U53+交易记录!U86*交易记录!U117+交易记录!U150*交易记录!U181+交易记录!U214*交易记录!U245+交易记录!U278*交易记录!U309+交易记录!U342*交易记录!U373+交易记录!U406*交易记录!U437+交易记录!U470*交易记录!U501+交易记录!U534*交易记录!U565+交易记录!U598*交易记录!U629+交易记录!U662*交易记录!U693+交易记录!U726*交易记录!U757+交易记录!U790*交易记录!U821+交易记录!U854*交易记录!U885+交易记录!U918*交易记录!U949)/T89)</f>
        <v>372</v>
      </c>
      <c r="U122" s="14">
        <f>IF(U89=0,"",(交易记录!V22*交易记录!V53+交易记录!V86*交易记录!V117+交易记录!V150*交易记录!V181+交易记录!V214*交易记录!V245+交易记录!V278*交易记录!V309+交易记录!V342*交易记录!V373+交易记录!V406*交易记录!V437+交易记录!V470*交易记录!V501+交易记录!V534*交易记录!V565+交易记录!V598*交易记录!V629+交易记录!V662*交易记录!V693+交易记录!V726*交易记录!V757+交易记录!V790*交易记录!V821+交易记录!V854*交易记录!V885+交易记录!V918*交易记录!V949)/U89)</f>
        <v>372</v>
      </c>
      <c r="V122" s="14">
        <f>IF(V89=0,"",(交易记录!W22*交易记录!W53+交易记录!W86*交易记录!W117+交易记录!W150*交易记录!W181+交易记录!W214*交易记录!W245+交易记录!W278*交易记录!W309+交易记录!W342*交易记录!W373+交易记录!W406*交易记录!W437+交易记录!W470*交易记录!W501+交易记录!W534*交易记录!W565+交易记录!W598*交易记录!W629+交易记录!W662*交易记录!W693+交易记录!W726*交易记录!W757+交易记录!W790*交易记录!W821+交易记录!W854*交易记录!W885+交易记录!W918*交易记录!W949)/V89)</f>
        <v>372</v>
      </c>
      <c r="W122" s="14">
        <f>IF(W89=0,"",(交易记录!X22*交易记录!X53+交易记录!X86*交易记录!X117+交易记录!X150*交易记录!X181+交易记录!X214*交易记录!X245+交易记录!X278*交易记录!X309+交易记录!X342*交易记录!X373+交易记录!X406*交易记录!X437+交易记录!X470*交易记录!X501+交易记录!X534*交易记录!X565+交易记录!X598*交易记录!X629+交易记录!X662*交易记录!X693+交易记录!X726*交易记录!X757+交易记录!X790*交易记录!X821+交易记录!X854*交易记录!X885+交易记录!X918*交易记录!X949)/W89)</f>
        <v>372</v>
      </c>
      <c r="X122" s="14">
        <f>IF(X89=0,"",(交易记录!Y22*交易记录!Y53+交易记录!Y86*交易记录!Y117+交易记录!Y150*交易记录!Y181+交易记录!Y214*交易记录!Y245+交易记录!Y278*交易记录!Y309+交易记录!Y342*交易记录!Y373+交易记录!Y406*交易记录!Y437+交易记录!Y470*交易记录!Y501+交易记录!Y534*交易记录!Y565+交易记录!Y598*交易记录!Y629+交易记录!Y662*交易记录!Y693+交易记录!Y726*交易记录!Y757+交易记录!Y790*交易记录!Y821+交易记录!Y854*交易记录!Y885+交易记录!Y918*交易记录!Y949)/X89)</f>
        <v>372</v>
      </c>
      <c r="Y122" s="14">
        <f>IF(Y89=0,"",(交易记录!Z22*交易记录!Z53+交易记录!Z86*交易记录!Z117+交易记录!Z150*交易记录!Z181+交易记录!Z214*交易记录!Z245+交易记录!Z278*交易记录!Z309+交易记录!Z342*交易记录!Z373+交易记录!Z406*交易记录!Z437+交易记录!Z470*交易记录!Z501+交易记录!Z534*交易记录!Z565+交易记录!Z598*交易记录!Z629+交易记录!Z662*交易记录!Z693+交易记录!Z726*交易记录!Z757+交易记录!Z790*交易记录!Z821+交易记录!Z854*交易记录!Z885+交易记录!Z918*交易记录!Z949)/Y89)</f>
        <v>372</v>
      </c>
      <c r="Z122" s="14">
        <f>IF(Z89=0,"",(交易记录!AA22*交易记录!AA53+交易记录!AA86*交易记录!AA117+交易记录!AA150*交易记录!AA181+交易记录!AA214*交易记录!AA245+交易记录!AA278*交易记录!AA309+交易记录!AA342*交易记录!AA373+交易记录!AA406*交易记录!AA437+交易记录!AA470*交易记录!AA501+交易记录!AA534*交易记录!AA565+交易记录!AA598*交易记录!AA629+交易记录!AA662*交易记录!AA693+交易记录!AA726*交易记录!AA757+交易记录!AA790*交易记录!AA821+交易记录!AA854*交易记录!AA885+交易记录!AA918*交易记录!AA949)/Z89)</f>
        <v>372</v>
      </c>
      <c r="AA122" s="14">
        <f>IF(AA89=0,"",(交易记录!AB22*交易记录!AB53+交易记录!AB86*交易记录!AB117+交易记录!AB150*交易记录!AB181+交易记录!AB214*交易记录!AB245+交易记录!AB278*交易记录!AB309+交易记录!AB342*交易记录!AB373+交易记录!AB406*交易记录!AB437+交易记录!AB470*交易记录!AB501+交易记录!AB534*交易记录!AB565+交易记录!AB598*交易记录!AB629+交易记录!AB662*交易记录!AB693+交易记录!AB726*交易记录!AB757+交易记录!AB790*交易记录!AB821+交易记录!AB854*交易记录!AB885+交易记录!AB918*交易记录!AB949)/AA89)</f>
        <v>372</v>
      </c>
      <c r="AB122" s="14">
        <f>IF(AB89=0,"",(交易记录!AC22*交易记录!AC53+交易记录!AC86*交易记录!AC117+交易记录!AC150*交易记录!AC181+交易记录!AC214*交易记录!AC245+交易记录!AC278*交易记录!AC309+交易记录!AC342*交易记录!AC373+交易记录!AC406*交易记录!AC437+交易记录!AC470*交易记录!AC501+交易记录!AC534*交易记录!AC565+交易记录!AC598*交易记录!AC629+交易记录!AC662*交易记录!AC693+交易记录!AC726*交易记录!AC757+交易记录!AC790*交易记录!AC821+交易记录!AC854*交易记录!AC885+交易记录!AC918*交易记录!AC949)/AB89)</f>
        <v>372</v>
      </c>
      <c r="AC122" s="14">
        <f>IF(AC89=0,"",(交易记录!AD22*交易记录!AD53+交易记录!AD86*交易记录!AD117+交易记录!AD150*交易记录!AD181+交易记录!AD214*交易记录!AD245+交易记录!AD278*交易记录!AD309+交易记录!AD342*交易记录!AD373+交易记录!AD406*交易记录!AD437+交易记录!AD470*交易记录!AD501+交易记录!AD534*交易记录!AD565+交易记录!AD598*交易记录!AD629+交易记录!AD662*交易记录!AD693+交易记录!AD726*交易记录!AD757+交易记录!AD790*交易记录!AD821+交易记录!AD854*交易记录!AD885+交易记录!AD918*交易记录!AD949)/AC89)</f>
        <v>372</v>
      </c>
      <c r="AD122" s="14">
        <f>IF(AD89=0,"",(交易记录!AE22*交易记录!AE53+交易记录!AE86*交易记录!AE117+交易记录!AE150*交易记录!AE181+交易记录!AE214*交易记录!AE245+交易记录!AE278*交易记录!AE309+交易记录!AE342*交易记录!AE373+交易记录!AE406*交易记录!AE437+交易记录!AE470*交易记录!AE501+交易记录!AE534*交易记录!AE565+交易记录!AE598*交易记录!AE629+交易记录!AE662*交易记录!AE693+交易记录!AE726*交易记录!AE757+交易记录!AE790*交易记录!AE821+交易记录!AE854*交易记录!AE885+交易记录!AE918*交易记录!AE949)/AD89)</f>
        <v>372</v>
      </c>
      <c r="AE122" s="14">
        <f>IF(AE89=0,"",(交易记录!AF22*交易记录!AF53+交易记录!AF86*交易记录!AF117+交易记录!AF150*交易记录!AF181+交易记录!AF214*交易记录!AF245+交易记录!AF278*交易记录!AF309+交易记录!AF342*交易记录!AF373+交易记录!AF406*交易记录!AF437+交易记录!AF470*交易记录!AF501+交易记录!AF534*交易记录!AF565+交易记录!AF598*交易记录!AF629+交易记录!AF662*交易记录!AF693+交易记录!AF726*交易记录!AF757+交易记录!AF790*交易记录!AF821+交易记录!AF854*交易记录!AF885+交易记录!AF918*交易记录!AF949)/AE89)</f>
        <v>372</v>
      </c>
      <c r="AF122" s="14">
        <f>IF(AF89=0,"",(交易记录!AG22*交易记录!AG53+交易记录!AG86*交易记录!AG117+交易记录!AG150*交易记录!AG181+交易记录!AG214*交易记录!AG245+交易记录!AG278*交易记录!AG309+交易记录!AG342*交易记录!AG373+交易记录!AG406*交易记录!AG437+交易记录!AG470*交易记录!AG501+交易记录!AG534*交易记录!AG565+交易记录!AG598*交易记录!AG629+交易记录!AG662*交易记录!AG693+交易记录!AG726*交易记录!AG757+交易记录!AG790*交易记录!AG821+交易记录!AG854*交易记录!AG885+交易记录!AG918*交易记录!AG949)/AF89)</f>
        <v>372</v>
      </c>
      <c r="AG122" s="14">
        <f>IF(AG89=0,"",(交易记录!AH22*交易记录!AH53+交易记录!AH86*交易记录!AH117+交易记录!AH150*交易记录!AH181+交易记录!AH214*交易记录!AH245+交易记录!AH278*交易记录!AH309+交易记录!AH342*交易记录!AH373+交易记录!AH406*交易记录!AH437+交易记录!AH470*交易记录!AH501+交易记录!AH534*交易记录!AH565+交易记录!AH598*交易记录!AH629+交易记录!AH662*交易记录!AH693+交易记录!AH726*交易记录!AH757+交易记录!AH790*交易记录!AH821+交易记录!AH854*交易记录!AH885+交易记录!AH918*交易记录!AH949)/AG89)</f>
        <v>372</v>
      </c>
    </row>
    <row r="123" spans="2:33" s="3" customFormat="1" ht="15">
      <c r="B123" s="7" t="s">
        <v>24</v>
      </c>
      <c r="C123" s="14">
        <f>IF(C90=0,"",(交易记录!D23*交易记录!D54+交易记录!D87*交易记录!D118+交易记录!D151*交易记录!D182+交易记录!D215*交易记录!D246+交易记录!D279*交易记录!D310+交易记录!D343*交易记录!D374+交易记录!D407*交易记录!D438+交易记录!D471*交易记录!D502+交易记录!D535*交易记录!D566+交易记录!D599*交易记录!D630+交易记录!D663*交易记录!D694+交易记录!D727*交易记录!D758+交易记录!D791*交易记录!D822+交易记录!D855*交易记录!D886+交易记录!D919*交易记录!D950)/C90)</f>
        <v>372</v>
      </c>
      <c r="D123" s="14">
        <f>IF(D90=0,"",(交易记录!E23*交易记录!E54+交易记录!E87*交易记录!E118+交易记录!E151*交易记录!E182+交易记录!E215*交易记录!E246+交易记录!E279*交易记录!E310+交易记录!E343*交易记录!E374+交易记录!E407*交易记录!E438+交易记录!E471*交易记录!E502+交易记录!E535*交易记录!E566+交易记录!E599*交易记录!E630+交易记录!E663*交易记录!E694+交易记录!E727*交易记录!E758+交易记录!E791*交易记录!E822+交易记录!E855*交易记录!E886+交易记录!E919*交易记录!E950)/D90)</f>
        <v>372</v>
      </c>
      <c r="E123" s="14">
        <f>IF(E90=0,"",(交易记录!F23*交易记录!F54+交易记录!F87*交易记录!F118+交易记录!F151*交易记录!F182+交易记录!F215*交易记录!F246+交易记录!F279*交易记录!F310+交易记录!F343*交易记录!F374+交易记录!F407*交易记录!F438+交易记录!F471*交易记录!F502+交易记录!F535*交易记录!F566+交易记录!F599*交易记录!F630+交易记录!F663*交易记录!F694+交易记录!F727*交易记录!F758+交易记录!F791*交易记录!F822+交易记录!F855*交易记录!F886+交易记录!F919*交易记录!F950)/E90)</f>
        <v>372</v>
      </c>
      <c r="F123" s="14">
        <f>IF(F90=0,"",(交易记录!G23*交易记录!G54+交易记录!G87*交易记录!G118+交易记录!G151*交易记录!G182+交易记录!G215*交易记录!G246+交易记录!G279*交易记录!G310+交易记录!G343*交易记录!G374+交易记录!G407*交易记录!G438+交易记录!G471*交易记录!G502+交易记录!G535*交易记录!G566+交易记录!G599*交易记录!G630+交易记录!G663*交易记录!G694+交易记录!G727*交易记录!G758+交易记录!G791*交易记录!G822+交易记录!G855*交易记录!G886+交易记录!G919*交易记录!G950)/F90)</f>
        <v>372</v>
      </c>
      <c r="G123" s="14">
        <f>IF(G90=0,"",(交易记录!H23*交易记录!H54+交易记录!H87*交易记录!H118+交易记录!H151*交易记录!H182+交易记录!H215*交易记录!H246+交易记录!H279*交易记录!H310+交易记录!H343*交易记录!H374+交易记录!H407*交易记录!H438+交易记录!H471*交易记录!H502+交易记录!H535*交易记录!H566+交易记录!H599*交易记录!H630+交易记录!H663*交易记录!H694+交易记录!H727*交易记录!H758+交易记录!H791*交易记录!H822+交易记录!H855*交易记录!H886+交易记录!H919*交易记录!H950)/G90)</f>
        <v>372</v>
      </c>
      <c r="H123" s="14">
        <f>IF(H90=0,"",(交易记录!I23*交易记录!I54+交易记录!I87*交易记录!I118+交易记录!I151*交易记录!I182+交易记录!I215*交易记录!I246+交易记录!I279*交易记录!I310+交易记录!I343*交易记录!I374+交易记录!I407*交易记录!I438+交易记录!I471*交易记录!I502+交易记录!I535*交易记录!I566+交易记录!I599*交易记录!I630+交易记录!I663*交易记录!I694+交易记录!I727*交易记录!I758+交易记录!I791*交易记录!I822+交易记录!I855*交易记录!I886+交易记录!I919*交易记录!I950)/H90)</f>
        <v>372</v>
      </c>
      <c r="I123" s="14">
        <f>IF(I90=0,"",(交易记录!J23*交易记录!J54+交易记录!J87*交易记录!J118+交易记录!J151*交易记录!J182+交易记录!J215*交易记录!J246+交易记录!J279*交易记录!J310+交易记录!J343*交易记录!J374+交易记录!J407*交易记录!J438+交易记录!J471*交易记录!J502+交易记录!J535*交易记录!J566+交易记录!J599*交易记录!J630+交易记录!J663*交易记录!J694+交易记录!J727*交易记录!J758+交易记录!J791*交易记录!J822+交易记录!J855*交易记录!J886+交易记录!J919*交易记录!J950)/I90)</f>
        <v>372</v>
      </c>
      <c r="J123" s="14">
        <f>IF(J90=0,"",(交易记录!K23*交易记录!K54+交易记录!K87*交易记录!K118+交易记录!K151*交易记录!K182+交易记录!K215*交易记录!K246+交易记录!K279*交易记录!K310+交易记录!K343*交易记录!K374+交易记录!K407*交易记录!K438+交易记录!K471*交易记录!K502+交易记录!K535*交易记录!K566+交易记录!K599*交易记录!K630+交易记录!K663*交易记录!K694+交易记录!K727*交易记录!K758+交易记录!K791*交易记录!K822+交易记录!K855*交易记录!K886+交易记录!K919*交易记录!K950)/J90)</f>
        <v>372</v>
      </c>
      <c r="K123" s="14">
        <f>IF(K90=0,"",(交易记录!L23*交易记录!L54+交易记录!L87*交易记录!L118+交易记录!L151*交易记录!L182+交易记录!L215*交易记录!L246+交易记录!L279*交易记录!L310+交易记录!L343*交易记录!L374+交易记录!L407*交易记录!L438+交易记录!L471*交易记录!L502+交易记录!L535*交易记录!L566+交易记录!L599*交易记录!L630+交易记录!L663*交易记录!L694+交易记录!L727*交易记录!L758+交易记录!L791*交易记录!L822+交易记录!L855*交易记录!L886+交易记录!L919*交易记录!L950)/K90)</f>
        <v>372</v>
      </c>
      <c r="L123" s="14">
        <f>IF(L90=0,"",(交易记录!M23*交易记录!M54+交易记录!M87*交易记录!M118+交易记录!M151*交易记录!M182+交易记录!M215*交易记录!M246+交易记录!M279*交易记录!M310+交易记录!M343*交易记录!M374+交易记录!M407*交易记录!M438+交易记录!M471*交易记录!M502+交易记录!M535*交易记录!M566+交易记录!M599*交易记录!M630+交易记录!M663*交易记录!M694+交易记录!M727*交易记录!M758+交易记录!M791*交易记录!M822+交易记录!M855*交易记录!M886+交易记录!M919*交易记录!M950)/L90)</f>
        <v>372</v>
      </c>
      <c r="M123" s="14">
        <f>IF(M90=0,"",(交易记录!N23*交易记录!N54+交易记录!N87*交易记录!N118+交易记录!N151*交易记录!N182+交易记录!N215*交易记录!N246+交易记录!N279*交易记录!N310+交易记录!N343*交易记录!N374+交易记录!N407*交易记录!N438+交易记录!N471*交易记录!N502+交易记录!N535*交易记录!N566+交易记录!N599*交易记录!N630+交易记录!N663*交易记录!N694+交易记录!N727*交易记录!N758+交易记录!N791*交易记录!N822+交易记录!N855*交易记录!N886+交易记录!N919*交易记录!N950)/M90)</f>
        <v>372</v>
      </c>
      <c r="N123" s="14">
        <f>IF(N90=0,"",(交易记录!O23*交易记录!O54+交易记录!O87*交易记录!O118+交易记录!O151*交易记录!O182+交易记录!O215*交易记录!O246+交易记录!O279*交易记录!O310+交易记录!O343*交易记录!O374+交易记录!O407*交易记录!O438+交易记录!O471*交易记录!O502+交易记录!O535*交易记录!O566+交易记录!O599*交易记录!O630+交易记录!O663*交易记录!O694+交易记录!O727*交易记录!O758+交易记录!O791*交易记录!O822+交易记录!O855*交易记录!O886+交易记录!O919*交易记录!O950)/N90)</f>
        <v>372</v>
      </c>
      <c r="O123" s="14">
        <f>IF(O90=0,"",(交易记录!P23*交易记录!P54+交易记录!P87*交易记录!P118+交易记录!P151*交易记录!P182+交易记录!P215*交易记录!P246+交易记录!P279*交易记录!P310+交易记录!P343*交易记录!P374+交易记录!P407*交易记录!P438+交易记录!P471*交易记录!P502+交易记录!P535*交易记录!P566+交易记录!P599*交易记录!P630+交易记录!P663*交易记录!P694+交易记录!P727*交易记录!P758+交易记录!P791*交易记录!P822+交易记录!P855*交易记录!P886+交易记录!P919*交易记录!P950)/O90)</f>
        <v>372</v>
      </c>
      <c r="P123" s="14">
        <f>IF(P90=0,"",(交易记录!Q23*交易记录!Q54+交易记录!Q87*交易记录!Q118+交易记录!Q151*交易记录!Q182+交易记录!Q215*交易记录!Q246+交易记录!Q279*交易记录!Q310+交易记录!Q343*交易记录!Q374+交易记录!Q407*交易记录!Q438+交易记录!Q471*交易记录!Q502+交易记录!Q535*交易记录!Q566+交易记录!Q599*交易记录!Q630+交易记录!Q663*交易记录!Q694+交易记录!Q727*交易记录!Q758+交易记录!Q791*交易记录!Q822+交易记录!Q855*交易记录!Q886+交易记录!Q919*交易记录!Q950)/P90)</f>
        <v>372</v>
      </c>
      <c r="Q123" s="14">
        <f>IF(Q90=0,"",(交易记录!R23*交易记录!R54+交易记录!R87*交易记录!R118+交易记录!R151*交易记录!R182+交易记录!R215*交易记录!R246+交易记录!R279*交易记录!R310+交易记录!R343*交易记录!R374+交易记录!R407*交易记录!R438+交易记录!R471*交易记录!R502+交易记录!R535*交易记录!R566+交易记录!R599*交易记录!R630+交易记录!R663*交易记录!R694+交易记录!R727*交易记录!R758+交易记录!R791*交易记录!R822+交易记录!R855*交易记录!R886+交易记录!R919*交易记录!R950)/Q90)</f>
        <v>372</v>
      </c>
      <c r="R123" s="14">
        <f>IF(R90=0,"",(交易记录!S23*交易记录!S54+交易记录!S87*交易记录!S118+交易记录!S151*交易记录!S182+交易记录!S215*交易记录!S246+交易记录!S279*交易记录!S310+交易记录!S343*交易记录!S374+交易记录!S407*交易记录!S438+交易记录!S471*交易记录!S502+交易记录!S535*交易记录!S566+交易记录!S599*交易记录!S630+交易记录!S663*交易记录!S694+交易记录!S727*交易记录!S758+交易记录!S791*交易记录!S822+交易记录!S855*交易记录!S886+交易记录!S919*交易记录!S950)/R90)</f>
        <v>372</v>
      </c>
      <c r="S123" s="14">
        <f>IF(S90=0,"",(交易记录!T23*交易记录!T54+交易记录!T87*交易记录!T118+交易记录!T151*交易记录!T182+交易记录!T215*交易记录!T246+交易记录!T279*交易记录!T310+交易记录!T343*交易记录!T374+交易记录!T407*交易记录!T438+交易记录!T471*交易记录!T502+交易记录!T535*交易记录!T566+交易记录!T599*交易记录!T630+交易记录!T663*交易记录!T694+交易记录!T727*交易记录!T758+交易记录!T791*交易记录!T822+交易记录!T855*交易记录!T886+交易记录!T919*交易记录!T950)/S90)</f>
        <v>372</v>
      </c>
      <c r="T123" s="14">
        <f>IF(T90=0,"",(交易记录!U23*交易记录!U54+交易记录!U87*交易记录!U118+交易记录!U151*交易记录!U182+交易记录!U215*交易记录!U246+交易记录!U279*交易记录!U310+交易记录!U343*交易记录!U374+交易记录!U407*交易记录!U438+交易记录!U471*交易记录!U502+交易记录!U535*交易记录!U566+交易记录!U599*交易记录!U630+交易记录!U663*交易记录!U694+交易记录!U727*交易记录!U758+交易记录!U791*交易记录!U822+交易记录!U855*交易记录!U886+交易记录!U919*交易记录!U950)/T90)</f>
        <v>372</v>
      </c>
      <c r="U123" s="14">
        <f>IF(U90=0,"",(交易记录!V23*交易记录!V54+交易记录!V87*交易记录!V118+交易记录!V151*交易记录!V182+交易记录!V215*交易记录!V246+交易记录!V279*交易记录!V310+交易记录!V343*交易记录!V374+交易记录!V407*交易记录!V438+交易记录!V471*交易记录!V502+交易记录!V535*交易记录!V566+交易记录!V599*交易记录!V630+交易记录!V663*交易记录!V694+交易记录!V727*交易记录!V758+交易记录!V791*交易记录!V822+交易记录!V855*交易记录!V886+交易记录!V919*交易记录!V950)/U90)</f>
        <v>372</v>
      </c>
      <c r="V123" s="14">
        <f>IF(V90=0,"",(交易记录!W23*交易记录!W54+交易记录!W87*交易记录!W118+交易记录!W151*交易记录!W182+交易记录!W215*交易记录!W246+交易记录!W279*交易记录!W310+交易记录!W343*交易记录!W374+交易记录!W407*交易记录!W438+交易记录!W471*交易记录!W502+交易记录!W535*交易记录!W566+交易记录!W599*交易记录!W630+交易记录!W663*交易记录!W694+交易记录!W727*交易记录!W758+交易记录!W791*交易记录!W822+交易记录!W855*交易记录!W886+交易记录!W919*交易记录!W950)/V90)</f>
        <v>372</v>
      </c>
      <c r="W123" s="14">
        <f>IF(W90=0,"",(交易记录!X23*交易记录!X54+交易记录!X87*交易记录!X118+交易记录!X151*交易记录!X182+交易记录!X215*交易记录!X246+交易记录!X279*交易记录!X310+交易记录!X343*交易记录!X374+交易记录!X407*交易记录!X438+交易记录!X471*交易记录!X502+交易记录!X535*交易记录!X566+交易记录!X599*交易记录!X630+交易记录!X663*交易记录!X694+交易记录!X727*交易记录!X758+交易记录!X791*交易记录!X822+交易记录!X855*交易记录!X886+交易记录!X919*交易记录!X950)/W90)</f>
        <v>372</v>
      </c>
      <c r="X123" s="14">
        <f>IF(X90=0,"",(交易记录!Y23*交易记录!Y54+交易记录!Y87*交易记录!Y118+交易记录!Y151*交易记录!Y182+交易记录!Y215*交易记录!Y246+交易记录!Y279*交易记录!Y310+交易记录!Y343*交易记录!Y374+交易记录!Y407*交易记录!Y438+交易记录!Y471*交易记录!Y502+交易记录!Y535*交易记录!Y566+交易记录!Y599*交易记录!Y630+交易记录!Y663*交易记录!Y694+交易记录!Y727*交易记录!Y758+交易记录!Y791*交易记录!Y822+交易记录!Y855*交易记录!Y886+交易记录!Y919*交易记录!Y950)/X90)</f>
        <v>372</v>
      </c>
      <c r="Y123" s="14">
        <f>IF(Y90=0,"",(交易记录!Z23*交易记录!Z54+交易记录!Z87*交易记录!Z118+交易记录!Z151*交易记录!Z182+交易记录!Z215*交易记录!Z246+交易记录!Z279*交易记录!Z310+交易记录!Z343*交易记录!Z374+交易记录!Z407*交易记录!Z438+交易记录!Z471*交易记录!Z502+交易记录!Z535*交易记录!Z566+交易记录!Z599*交易记录!Z630+交易记录!Z663*交易记录!Z694+交易记录!Z727*交易记录!Z758+交易记录!Z791*交易记录!Z822+交易记录!Z855*交易记录!Z886+交易记录!Z919*交易记录!Z950)/Y90)</f>
        <v>372</v>
      </c>
      <c r="Z123" s="14">
        <f>IF(Z90=0,"",(交易记录!AA23*交易记录!AA54+交易记录!AA87*交易记录!AA118+交易记录!AA151*交易记录!AA182+交易记录!AA215*交易记录!AA246+交易记录!AA279*交易记录!AA310+交易记录!AA343*交易记录!AA374+交易记录!AA407*交易记录!AA438+交易记录!AA471*交易记录!AA502+交易记录!AA535*交易记录!AA566+交易记录!AA599*交易记录!AA630+交易记录!AA663*交易记录!AA694+交易记录!AA727*交易记录!AA758+交易记录!AA791*交易记录!AA822+交易记录!AA855*交易记录!AA886+交易记录!AA919*交易记录!AA950)/Z90)</f>
        <v>372</v>
      </c>
      <c r="AA123" s="14">
        <f>IF(AA90=0,"",(交易记录!AB23*交易记录!AB54+交易记录!AB87*交易记录!AB118+交易记录!AB151*交易记录!AB182+交易记录!AB215*交易记录!AB246+交易记录!AB279*交易记录!AB310+交易记录!AB343*交易记录!AB374+交易记录!AB407*交易记录!AB438+交易记录!AB471*交易记录!AB502+交易记录!AB535*交易记录!AB566+交易记录!AB599*交易记录!AB630+交易记录!AB663*交易记录!AB694+交易记录!AB727*交易记录!AB758+交易记录!AB791*交易记录!AB822+交易记录!AB855*交易记录!AB886+交易记录!AB919*交易记录!AB950)/AA90)</f>
        <v>372</v>
      </c>
      <c r="AB123" s="14">
        <f>IF(AB90=0,"",(交易记录!AC23*交易记录!AC54+交易记录!AC87*交易记录!AC118+交易记录!AC151*交易记录!AC182+交易记录!AC215*交易记录!AC246+交易记录!AC279*交易记录!AC310+交易记录!AC343*交易记录!AC374+交易记录!AC407*交易记录!AC438+交易记录!AC471*交易记录!AC502+交易记录!AC535*交易记录!AC566+交易记录!AC599*交易记录!AC630+交易记录!AC663*交易记录!AC694+交易记录!AC727*交易记录!AC758+交易记录!AC791*交易记录!AC822+交易记录!AC855*交易记录!AC886+交易记录!AC919*交易记录!AC950)/AB90)</f>
        <v>372</v>
      </c>
      <c r="AC123" s="14">
        <f>IF(AC90=0,"",(交易记录!AD23*交易记录!AD54+交易记录!AD87*交易记录!AD118+交易记录!AD151*交易记录!AD182+交易记录!AD215*交易记录!AD246+交易记录!AD279*交易记录!AD310+交易记录!AD343*交易记录!AD374+交易记录!AD407*交易记录!AD438+交易记录!AD471*交易记录!AD502+交易记录!AD535*交易记录!AD566+交易记录!AD599*交易记录!AD630+交易记录!AD663*交易记录!AD694+交易记录!AD727*交易记录!AD758+交易记录!AD791*交易记录!AD822+交易记录!AD855*交易记录!AD886+交易记录!AD919*交易记录!AD950)/AC90)</f>
        <v>372</v>
      </c>
      <c r="AD123" s="14">
        <f>IF(AD90=0,"",(交易记录!AE23*交易记录!AE54+交易记录!AE87*交易记录!AE118+交易记录!AE151*交易记录!AE182+交易记录!AE215*交易记录!AE246+交易记录!AE279*交易记录!AE310+交易记录!AE343*交易记录!AE374+交易记录!AE407*交易记录!AE438+交易记录!AE471*交易记录!AE502+交易记录!AE535*交易记录!AE566+交易记录!AE599*交易记录!AE630+交易记录!AE663*交易记录!AE694+交易记录!AE727*交易记录!AE758+交易记录!AE791*交易记录!AE822+交易记录!AE855*交易记录!AE886+交易记录!AE919*交易记录!AE950)/AD90)</f>
        <v>372</v>
      </c>
      <c r="AE123" s="14">
        <f>IF(AE90=0,"",(交易记录!AF23*交易记录!AF54+交易记录!AF87*交易记录!AF118+交易记录!AF151*交易记录!AF182+交易记录!AF215*交易记录!AF246+交易记录!AF279*交易记录!AF310+交易记录!AF343*交易记录!AF374+交易记录!AF407*交易记录!AF438+交易记录!AF471*交易记录!AF502+交易记录!AF535*交易记录!AF566+交易记录!AF599*交易记录!AF630+交易记录!AF663*交易记录!AF694+交易记录!AF727*交易记录!AF758+交易记录!AF791*交易记录!AF822+交易记录!AF855*交易记录!AF886+交易记录!AF919*交易记录!AF950)/AE90)</f>
        <v>372</v>
      </c>
      <c r="AF123" s="14">
        <f>IF(AF90=0,"",(交易记录!AG23*交易记录!AG54+交易记录!AG87*交易记录!AG118+交易记录!AG151*交易记录!AG182+交易记录!AG215*交易记录!AG246+交易记录!AG279*交易记录!AG310+交易记录!AG343*交易记录!AG374+交易记录!AG407*交易记录!AG438+交易记录!AG471*交易记录!AG502+交易记录!AG535*交易记录!AG566+交易记录!AG599*交易记录!AG630+交易记录!AG663*交易记录!AG694+交易记录!AG727*交易记录!AG758+交易记录!AG791*交易记录!AG822+交易记录!AG855*交易记录!AG886+交易记录!AG919*交易记录!AG950)/AF90)</f>
        <v>372</v>
      </c>
      <c r="AG123" s="14">
        <f>IF(AG90=0,"",(交易记录!AH23*交易记录!AH54+交易记录!AH87*交易记录!AH118+交易记录!AH151*交易记录!AH182+交易记录!AH215*交易记录!AH246+交易记录!AH279*交易记录!AH310+交易记录!AH343*交易记录!AH374+交易记录!AH407*交易记录!AH438+交易记录!AH471*交易记录!AH502+交易记录!AH535*交易记录!AH566+交易记录!AH599*交易记录!AH630+交易记录!AH663*交易记录!AH694+交易记录!AH727*交易记录!AH758+交易记录!AH791*交易记录!AH822+交易记录!AH855*交易记录!AH886+交易记录!AH919*交易记录!AH950)/AG90)</f>
        <v>372</v>
      </c>
    </row>
    <row r="124" spans="2:33" s="3" customFormat="1" ht="15">
      <c r="B124" s="7" t="s">
        <v>25</v>
      </c>
      <c r="C124" s="14">
        <f>IF(C91=0,"",(交易记录!D24*交易记录!D55+交易记录!D88*交易记录!D119+交易记录!D152*交易记录!D183+交易记录!D216*交易记录!D247+交易记录!D280*交易记录!D311+交易记录!D344*交易记录!D375+交易记录!D408*交易记录!D439+交易记录!D472*交易记录!D503+交易记录!D536*交易记录!D567+交易记录!D600*交易记录!D631+交易记录!D664*交易记录!D695+交易记录!D728*交易记录!D759+交易记录!D792*交易记录!D823+交易记录!D856*交易记录!D887+交易记录!D920*交易记录!D951)/C91)</f>
        <v>372</v>
      </c>
      <c r="D124" s="14">
        <f>IF(D91=0,"",(交易记录!E24*交易记录!E55+交易记录!E88*交易记录!E119+交易记录!E152*交易记录!E183+交易记录!E216*交易记录!E247+交易记录!E280*交易记录!E311+交易记录!E344*交易记录!E375+交易记录!E408*交易记录!E439+交易记录!E472*交易记录!E503+交易记录!E536*交易记录!E567+交易记录!E600*交易记录!E631+交易记录!E664*交易记录!E695+交易记录!E728*交易记录!E759+交易记录!E792*交易记录!E823+交易记录!E856*交易记录!E887+交易记录!E920*交易记录!E951)/D91)</f>
        <v>372</v>
      </c>
      <c r="E124" s="14">
        <f>IF(E91=0,"",(交易记录!F24*交易记录!F55+交易记录!F88*交易记录!F119+交易记录!F152*交易记录!F183+交易记录!F216*交易记录!F247+交易记录!F280*交易记录!F311+交易记录!F344*交易记录!F375+交易记录!F408*交易记录!F439+交易记录!F472*交易记录!F503+交易记录!F536*交易记录!F567+交易记录!F600*交易记录!F631+交易记录!F664*交易记录!F695+交易记录!F728*交易记录!F759+交易记录!F792*交易记录!F823+交易记录!F856*交易记录!F887+交易记录!F920*交易记录!F951)/E91)</f>
        <v>372</v>
      </c>
      <c r="F124" s="14">
        <f>IF(F91=0,"",(交易记录!G24*交易记录!G55+交易记录!G88*交易记录!G119+交易记录!G152*交易记录!G183+交易记录!G216*交易记录!G247+交易记录!G280*交易记录!G311+交易记录!G344*交易记录!G375+交易记录!G408*交易记录!G439+交易记录!G472*交易记录!G503+交易记录!G536*交易记录!G567+交易记录!G600*交易记录!G631+交易记录!G664*交易记录!G695+交易记录!G728*交易记录!G759+交易记录!G792*交易记录!G823+交易记录!G856*交易记录!G887+交易记录!G920*交易记录!G951)/F91)</f>
        <v>372</v>
      </c>
      <c r="G124" s="14">
        <f>IF(G91=0,"",(交易记录!H24*交易记录!H55+交易记录!H88*交易记录!H119+交易记录!H152*交易记录!H183+交易记录!H216*交易记录!H247+交易记录!H280*交易记录!H311+交易记录!H344*交易记录!H375+交易记录!H408*交易记录!H439+交易记录!H472*交易记录!H503+交易记录!H536*交易记录!H567+交易记录!H600*交易记录!H631+交易记录!H664*交易记录!H695+交易记录!H728*交易记录!H759+交易记录!H792*交易记录!H823+交易记录!H856*交易记录!H887+交易记录!H920*交易记录!H951)/G91)</f>
        <v>372</v>
      </c>
      <c r="H124" s="14">
        <f>IF(H91=0,"",(交易记录!I24*交易记录!I55+交易记录!I88*交易记录!I119+交易记录!I152*交易记录!I183+交易记录!I216*交易记录!I247+交易记录!I280*交易记录!I311+交易记录!I344*交易记录!I375+交易记录!I408*交易记录!I439+交易记录!I472*交易记录!I503+交易记录!I536*交易记录!I567+交易记录!I600*交易记录!I631+交易记录!I664*交易记录!I695+交易记录!I728*交易记录!I759+交易记录!I792*交易记录!I823+交易记录!I856*交易记录!I887+交易记录!I920*交易记录!I951)/H91)</f>
        <v>372</v>
      </c>
      <c r="I124" s="14">
        <f>IF(I91=0,"",(交易记录!J24*交易记录!J55+交易记录!J88*交易记录!J119+交易记录!J152*交易记录!J183+交易记录!J216*交易记录!J247+交易记录!J280*交易记录!J311+交易记录!J344*交易记录!J375+交易记录!J408*交易记录!J439+交易记录!J472*交易记录!J503+交易记录!J536*交易记录!J567+交易记录!J600*交易记录!J631+交易记录!J664*交易记录!J695+交易记录!J728*交易记录!J759+交易记录!J792*交易记录!J823+交易记录!J856*交易记录!J887+交易记录!J920*交易记录!J951)/I91)</f>
        <v>372</v>
      </c>
      <c r="J124" s="14">
        <f>IF(J91=0,"",(交易记录!K24*交易记录!K55+交易记录!K88*交易记录!K119+交易记录!K152*交易记录!K183+交易记录!K216*交易记录!K247+交易记录!K280*交易记录!K311+交易记录!K344*交易记录!K375+交易记录!K408*交易记录!K439+交易记录!K472*交易记录!K503+交易记录!K536*交易记录!K567+交易记录!K600*交易记录!K631+交易记录!K664*交易记录!K695+交易记录!K728*交易记录!K759+交易记录!K792*交易记录!K823+交易记录!K856*交易记录!K887+交易记录!K920*交易记录!K951)/J91)</f>
        <v>372</v>
      </c>
      <c r="K124" s="14">
        <f>IF(K91=0,"",(交易记录!L24*交易记录!L55+交易记录!L88*交易记录!L119+交易记录!L152*交易记录!L183+交易记录!L216*交易记录!L247+交易记录!L280*交易记录!L311+交易记录!L344*交易记录!L375+交易记录!L408*交易记录!L439+交易记录!L472*交易记录!L503+交易记录!L536*交易记录!L567+交易记录!L600*交易记录!L631+交易记录!L664*交易记录!L695+交易记录!L728*交易记录!L759+交易记录!L792*交易记录!L823+交易记录!L856*交易记录!L887+交易记录!L920*交易记录!L951)/K91)</f>
        <v>372</v>
      </c>
      <c r="L124" s="14">
        <f>IF(L91=0,"",(交易记录!M24*交易记录!M55+交易记录!M88*交易记录!M119+交易记录!M152*交易记录!M183+交易记录!M216*交易记录!M247+交易记录!M280*交易记录!M311+交易记录!M344*交易记录!M375+交易记录!M408*交易记录!M439+交易记录!M472*交易记录!M503+交易记录!M536*交易记录!M567+交易记录!M600*交易记录!M631+交易记录!M664*交易记录!M695+交易记录!M728*交易记录!M759+交易记录!M792*交易记录!M823+交易记录!M856*交易记录!M887+交易记录!M920*交易记录!M951)/L91)</f>
        <v>372</v>
      </c>
      <c r="M124" s="14">
        <f>IF(M91=0,"",(交易记录!N24*交易记录!N55+交易记录!N88*交易记录!N119+交易记录!N152*交易记录!N183+交易记录!N216*交易记录!N247+交易记录!N280*交易记录!N311+交易记录!N344*交易记录!N375+交易记录!N408*交易记录!N439+交易记录!N472*交易记录!N503+交易记录!N536*交易记录!N567+交易记录!N600*交易记录!N631+交易记录!N664*交易记录!N695+交易记录!N728*交易记录!N759+交易记录!N792*交易记录!N823+交易记录!N856*交易记录!N887+交易记录!N920*交易记录!N951)/M91)</f>
        <v>372</v>
      </c>
      <c r="N124" s="14">
        <f>IF(N91=0,"",(交易记录!O24*交易记录!O55+交易记录!O88*交易记录!O119+交易记录!O152*交易记录!O183+交易记录!O216*交易记录!O247+交易记录!O280*交易记录!O311+交易记录!O344*交易记录!O375+交易记录!O408*交易记录!O439+交易记录!O472*交易记录!O503+交易记录!O536*交易记录!O567+交易记录!O600*交易记录!O631+交易记录!O664*交易记录!O695+交易记录!O728*交易记录!O759+交易记录!O792*交易记录!O823+交易记录!O856*交易记录!O887+交易记录!O920*交易记录!O951)/N91)</f>
        <v>372</v>
      </c>
      <c r="O124" s="14">
        <f>IF(O91=0,"",(交易记录!P24*交易记录!P55+交易记录!P88*交易记录!P119+交易记录!P152*交易记录!P183+交易记录!P216*交易记录!P247+交易记录!P280*交易记录!P311+交易记录!P344*交易记录!P375+交易记录!P408*交易记录!P439+交易记录!P472*交易记录!P503+交易记录!P536*交易记录!P567+交易记录!P600*交易记录!P631+交易记录!P664*交易记录!P695+交易记录!P728*交易记录!P759+交易记录!P792*交易记录!P823+交易记录!P856*交易记录!P887+交易记录!P920*交易记录!P951)/O91)</f>
        <v>372</v>
      </c>
      <c r="P124" s="14">
        <f>IF(P91=0,"",(交易记录!Q24*交易记录!Q55+交易记录!Q88*交易记录!Q119+交易记录!Q152*交易记录!Q183+交易记录!Q216*交易记录!Q247+交易记录!Q280*交易记录!Q311+交易记录!Q344*交易记录!Q375+交易记录!Q408*交易记录!Q439+交易记录!Q472*交易记录!Q503+交易记录!Q536*交易记录!Q567+交易记录!Q600*交易记录!Q631+交易记录!Q664*交易记录!Q695+交易记录!Q728*交易记录!Q759+交易记录!Q792*交易记录!Q823+交易记录!Q856*交易记录!Q887+交易记录!Q920*交易记录!Q951)/P91)</f>
        <v>372</v>
      </c>
      <c r="Q124" s="14">
        <f>IF(Q91=0,"",(交易记录!R24*交易记录!R55+交易记录!R88*交易记录!R119+交易记录!R152*交易记录!R183+交易记录!R216*交易记录!R247+交易记录!R280*交易记录!R311+交易记录!R344*交易记录!R375+交易记录!R408*交易记录!R439+交易记录!R472*交易记录!R503+交易记录!R536*交易记录!R567+交易记录!R600*交易记录!R631+交易记录!R664*交易记录!R695+交易记录!R728*交易记录!R759+交易记录!R792*交易记录!R823+交易记录!R856*交易记录!R887+交易记录!R920*交易记录!R951)/Q91)</f>
        <v>372</v>
      </c>
      <c r="R124" s="14">
        <f>IF(R91=0,"",(交易记录!S24*交易记录!S55+交易记录!S88*交易记录!S119+交易记录!S152*交易记录!S183+交易记录!S216*交易记录!S247+交易记录!S280*交易记录!S311+交易记录!S344*交易记录!S375+交易记录!S408*交易记录!S439+交易记录!S472*交易记录!S503+交易记录!S536*交易记录!S567+交易记录!S600*交易记录!S631+交易记录!S664*交易记录!S695+交易记录!S728*交易记录!S759+交易记录!S792*交易记录!S823+交易记录!S856*交易记录!S887+交易记录!S920*交易记录!S951)/R91)</f>
        <v>372</v>
      </c>
      <c r="S124" s="14">
        <f>IF(S91=0,"",(交易记录!T24*交易记录!T55+交易记录!T88*交易记录!T119+交易记录!T152*交易记录!T183+交易记录!T216*交易记录!T247+交易记录!T280*交易记录!T311+交易记录!T344*交易记录!T375+交易记录!T408*交易记录!T439+交易记录!T472*交易记录!T503+交易记录!T536*交易记录!T567+交易记录!T600*交易记录!T631+交易记录!T664*交易记录!T695+交易记录!T728*交易记录!T759+交易记录!T792*交易记录!T823+交易记录!T856*交易记录!T887+交易记录!T920*交易记录!T951)/S91)</f>
        <v>372</v>
      </c>
      <c r="T124" s="14">
        <f>IF(T91=0,"",(交易记录!U24*交易记录!U55+交易记录!U88*交易记录!U119+交易记录!U152*交易记录!U183+交易记录!U216*交易记录!U247+交易记录!U280*交易记录!U311+交易记录!U344*交易记录!U375+交易记录!U408*交易记录!U439+交易记录!U472*交易记录!U503+交易记录!U536*交易记录!U567+交易记录!U600*交易记录!U631+交易记录!U664*交易记录!U695+交易记录!U728*交易记录!U759+交易记录!U792*交易记录!U823+交易记录!U856*交易记录!U887+交易记录!U920*交易记录!U951)/T91)</f>
        <v>372</v>
      </c>
      <c r="U124" s="14">
        <f>IF(U91=0,"",(交易记录!V24*交易记录!V55+交易记录!V88*交易记录!V119+交易记录!V152*交易记录!V183+交易记录!V216*交易记录!V247+交易记录!V280*交易记录!V311+交易记录!V344*交易记录!V375+交易记录!V408*交易记录!V439+交易记录!V472*交易记录!V503+交易记录!V536*交易记录!V567+交易记录!V600*交易记录!V631+交易记录!V664*交易记录!V695+交易记录!V728*交易记录!V759+交易记录!V792*交易记录!V823+交易记录!V856*交易记录!V887+交易记录!V920*交易记录!V951)/U91)</f>
        <v>372</v>
      </c>
      <c r="V124" s="14">
        <f>IF(V91=0,"",(交易记录!W24*交易记录!W55+交易记录!W88*交易记录!W119+交易记录!W152*交易记录!W183+交易记录!W216*交易记录!W247+交易记录!W280*交易记录!W311+交易记录!W344*交易记录!W375+交易记录!W408*交易记录!W439+交易记录!W472*交易记录!W503+交易记录!W536*交易记录!W567+交易记录!W600*交易记录!W631+交易记录!W664*交易记录!W695+交易记录!W728*交易记录!W759+交易记录!W792*交易记录!W823+交易记录!W856*交易记录!W887+交易记录!W920*交易记录!W951)/V91)</f>
        <v>372</v>
      </c>
      <c r="W124" s="14">
        <f>IF(W91=0,"",(交易记录!X24*交易记录!X55+交易记录!X88*交易记录!X119+交易记录!X152*交易记录!X183+交易记录!X216*交易记录!X247+交易记录!X280*交易记录!X311+交易记录!X344*交易记录!X375+交易记录!X408*交易记录!X439+交易记录!X472*交易记录!X503+交易记录!X536*交易记录!X567+交易记录!X600*交易记录!X631+交易记录!X664*交易记录!X695+交易记录!X728*交易记录!X759+交易记录!X792*交易记录!X823+交易记录!X856*交易记录!X887+交易记录!X920*交易记录!X951)/W91)</f>
        <v>372</v>
      </c>
      <c r="X124" s="14">
        <f>IF(X91=0,"",(交易记录!Y24*交易记录!Y55+交易记录!Y88*交易记录!Y119+交易记录!Y152*交易记录!Y183+交易记录!Y216*交易记录!Y247+交易记录!Y280*交易记录!Y311+交易记录!Y344*交易记录!Y375+交易记录!Y408*交易记录!Y439+交易记录!Y472*交易记录!Y503+交易记录!Y536*交易记录!Y567+交易记录!Y600*交易记录!Y631+交易记录!Y664*交易记录!Y695+交易记录!Y728*交易记录!Y759+交易记录!Y792*交易记录!Y823+交易记录!Y856*交易记录!Y887+交易记录!Y920*交易记录!Y951)/X91)</f>
        <v>372</v>
      </c>
      <c r="Y124" s="14">
        <f>IF(Y91=0,"",(交易记录!Z24*交易记录!Z55+交易记录!Z88*交易记录!Z119+交易记录!Z152*交易记录!Z183+交易记录!Z216*交易记录!Z247+交易记录!Z280*交易记录!Z311+交易记录!Z344*交易记录!Z375+交易记录!Z408*交易记录!Z439+交易记录!Z472*交易记录!Z503+交易记录!Z536*交易记录!Z567+交易记录!Z600*交易记录!Z631+交易记录!Z664*交易记录!Z695+交易记录!Z728*交易记录!Z759+交易记录!Z792*交易记录!Z823+交易记录!Z856*交易记录!Z887+交易记录!Z920*交易记录!Z951)/Y91)</f>
        <v>372</v>
      </c>
      <c r="Z124" s="14">
        <f>IF(Z91=0,"",(交易记录!AA24*交易记录!AA55+交易记录!AA88*交易记录!AA119+交易记录!AA152*交易记录!AA183+交易记录!AA216*交易记录!AA247+交易记录!AA280*交易记录!AA311+交易记录!AA344*交易记录!AA375+交易记录!AA408*交易记录!AA439+交易记录!AA472*交易记录!AA503+交易记录!AA536*交易记录!AA567+交易记录!AA600*交易记录!AA631+交易记录!AA664*交易记录!AA695+交易记录!AA728*交易记录!AA759+交易记录!AA792*交易记录!AA823+交易记录!AA856*交易记录!AA887+交易记录!AA920*交易记录!AA951)/Z91)</f>
        <v>372</v>
      </c>
      <c r="AA124" s="14">
        <f>IF(AA91=0,"",(交易记录!AB24*交易记录!AB55+交易记录!AB88*交易记录!AB119+交易记录!AB152*交易记录!AB183+交易记录!AB216*交易记录!AB247+交易记录!AB280*交易记录!AB311+交易记录!AB344*交易记录!AB375+交易记录!AB408*交易记录!AB439+交易记录!AB472*交易记录!AB503+交易记录!AB536*交易记录!AB567+交易记录!AB600*交易记录!AB631+交易记录!AB664*交易记录!AB695+交易记录!AB728*交易记录!AB759+交易记录!AB792*交易记录!AB823+交易记录!AB856*交易记录!AB887+交易记录!AB920*交易记录!AB951)/AA91)</f>
        <v>372</v>
      </c>
      <c r="AB124" s="14">
        <f>IF(AB91=0,"",(交易记录!AC24*交易记录!AC55+交易记录!AC88*交易记录!AC119+交易记录!AC152*交易记录!AC183+交易记录!AC216*交易记录!AC247+交易记录!AC280*交易记录!AC311+交易记录!AC344*交易记录!AC375+交易记录!AC408*交易记录!AC439+交易记录!AC472*交易记录!AC503+交易记录!AC536*交易记录!AC567+交易记录!AC600*交易记录!AC631+交易记录!AC664*交易记录!AC695+交易记录!AC728*交易记录!AC759+交易记录!AC792*交易记录!AC823+交易记录!AC856*交易记录!AC887+交易记录!AC920*交易记录!AC951)/AB91)</f>
        <v>372</v>
      </c>
      <c r="AC124" s="14">
        <f>IF(AC91=0,"",(交易记录!AD24*交易记录!AD55+交易记录!AD88*交易记录!AD119+交易记录!AD152*交易记录!AD183+交易记录!AD216*交易记录!AD247+交易记录!AD280*交易记录!AD311+交易记录!AD344*交易记录!AD375+交易记录!AD408*交易记录!AD439+交易记录!AD472*交易记录!AD503+交易记录!AD536*交易记录!AD567+交易记录!AD600*交易记录!AD631+交易记录!AD664*交易记录!AD695+交易记录!AD728*交易记录!AD759+交易记录!AD792*交易记录!AD823+交易记录!AD856*交易记录!AD887+交易记录!AD920*交易记录!AD951)/AC91)</f>
        <v>372</v>
      </c>
      <c r="AD124" s="14">
        <f>IF(AD91=0,"",(交易记录!AE24*交易记录!AE55+交易记录!AE88*交易记录!AE119+交易记录!AE152*交易记录!AE183+交易记录!AE216*交易记录!AE247+交易记录!AE280*交易记录!AE311+交易记录!AE344*交易记录!AE375+交易记录!AE408*交易记录!AE439+交易记录!AE472*交易记录!AE503+交易记录!AE536*交易记录!AE567+交易记录!AE600*交易记录!AE631+交易记录!AE664*交易记录!AE695+交易记录!AE728*交易记录!AE759+交易记录!AE792*交易记录!AE823+交易记录!AE856*交易记录!AE887+交易记录!AE920*交易记录!AE951)/AD91)</f>
        <v>372</v>
      </c>
      <c r="AE124" s="14">
        <f>IF(AE91=0,"",(交易记录!AF24*交易记录!AF55+交易记录!AF88*交易记录!AF119+交易记录!AF152*交易记录!AF183+交易记录!AF216*交易记录!AF247+交易记录!AF280*交易记录!AF311+交易记录!AF344*交易记录!AF375+交易记录!AF408*交易记录!AF439+交易记录!AF472*交易记录!AF503+交易记录!AF536*交易记录!AF567+交易记录!AF600*交易记录!AF631+交易记录!AF664*交易记录!AF695+交易记录!AF728*交易记录!AF759+交易记录!AF792*交易记录!AF823+交易记录!AF856*交易记录!AF887+交易记录!AF920*交易记录!AF951)/AE91)</f>
        <v>372</v>
      </c>
      <c r="AF124" s="14">
        <f>IF(AF91=0,"",(交易记录!AG24*交易记录!AG55+交易记录!AG88*交易记录!AG119+交易记录!AG152*交易记录!AG183+交易记录!AG216*交易记录!AG247+交易记录!AG280*交易记录!AG311+交易记录!AG344*交易记录!AG375+交易记录!AG408*交易记录!AG439+交易记录!AG472*交易记录!AG503+交易记录!AG536*交易记录!AG567+交易记录!AG600*交易记录!AG631+交易记录!AG664*交易记录!AG695+交易记录!AG728*交易记录!AG759+交易记录!AG792*交易记录!AG823+交易记录!AG856*交易记录!AG887+交易记录!AG920*交易记录!AG951)/AF91)</f>
        <v>372</v>
      </c>
      <c r="AG124" s="14">
        <f>IF(AG91=0,"",(交易记录!AH24*交易记录!AH55+交易记录!AH88*交易记录!AH119+交易记录!AH152*交易记录!AH183+交易记录!AH216*交易记录!AH247+交易记录!AH280*交易记录!AH311+交易记录!AH344*交易记录!AH375+交易记录!AH408*交易记录!AH439+交易记录!AH472*交易记录!AH503+交易记录!AH536*交易记录!AH567+交易记录!AH600*交易记录!AH631+交易记录!AH664*交易记录!AH695+交易记录!AH728*交易记录!AH759+交易记录!AH792*交易记录!AH823+交易记录!AH856*交易记录!AH887+交易记录!AH920*交易记录!AH951)/AG91)</f>
        <v>372</v>
      </c>
    </row>
    <row r="125" spans="2:33" s="3" customFormat="1" ht="15">
      <c r="B125" s="7" t="s">
        <v>26</v>
      </c>
      <c r="C125" s="14">
        <f>IF(C92=0,"",(交易记录!D25*交易记录!D56+交易记录!D89*交易记录!D120+交易记录!D153*交易记录!D184+交易记录!D217*交易记录!D248+交易记录!D281*交易记录!D312+交易记录!D345*交易记录!D376+交易记录!D409*交易记录!D440+交易记录!D473*交易记录!D504+交易记录!D537*交易记录!D568+交易记录!D601*交易记录!D632+交易记录!D665*交易记录!D696+交易记录!D729*交易记录!D760+交易记录!D793*交易记录!D824+交易记录!D857*交易记录!D888+交易记录!D921*交易记录!D952)/C92)</f>
        <v>372</v>
      </c>
      <c r="D125" s="14">
        <f>IF(D92=0,"",(交易记录!E25*交易记录!E56+交易记录!E89*交易记录!E120+交易记录!E153*交易记录!E184+交易记录!E217*交易记录!E248+交易记录!E281*交易记录!E312+交易记录!E345*交易记录!E376+交易记录!E409*交易记录!E440+交易记录!E473*交易记录!E504+交易记录!E537*交易记录!E568+交易记录!E601*交易记录!E632+交易记录!E665*交易记录!E696+交易记录!E729*交易记录!E760+交易记录!E793*交易记录!E824+交易记录!E857*交易记录!E888+交易记录!E921*交易记录!E952)/D92)</f>
        <v>372</v>
      </c>
      <c r="E125" s="14">
        <f>IF(E92=0,"",(交易记录!F25*交易记录!F56+交易记录!F89*交易记录!F120+交易记录!F153*交易记录!F184+交易记录!F217*交易记录!F248+交易记录!F281*交易记录!F312+交易记录!F345*交易记录!F376+交易记录!F409*交易记录!F440+交易记录!F473*交易记录!F504+交易记录!F537*交易记录!F568+交易记录!F601*交易记录!F632+交易记录!F665*交易记录!F696+交易记录!F729*交易记录!F760+交易记录!F793*交易记录!F824+交易记录!F857*交易记录!F888+交易记录!F921*交易记录!F952)/E92)</f>
        <v>372</v>
      </c>
      <c r="F125" s="14">
        <f>IF(F92=0,"",(交易记录!G25*交易记录!G56+交易记录!G89*交易记录!G120+交易记录!G153*交易记录!G184+交易记录!G217*交易记录!G248+交易记录!G281*交易记录!G312+交易记录!G345*交易记录!G376+交易记录!G409*交易记录!G440+交易记录!G473*交易记录!G504+交易记录!G537*交易记录!G568+交易记录!G601*交易记录!G632+交易记录!G665*交易记录!G696+交易记录!G729*交易记录!G760+交易记录!G793*交易记录!G824+交易记录!G857*交易记录!G888+交易记录!G921*交易记录!G952)/F92)</f>
        <v>372</v>
      </c>
      <c r="G125" s="14">
        <f>IF(G92=0,"",(交易记录!H25*交易记录!H56+交易记录!H89*交易记录!H120+交易记录!H153*交易记录!H184+交易记录!H217*交易记录!H248+交易记录!H281*交易记录!H312+交易记录!H345*交易记录!H376+交易记录!H409*交易记录!H440+交易记录!H473*交易记录!H504+交易记录!H537*交易记录!H568+交易记录!H601*交易记录!H632+交易记录!H665*交易记录!H696+交易记录!H729*交易记录!H760+交易记录!H793*交易记录!H824+交易记录!H857*交易记录!H888+交易记录!H921*交易记录!H952)/G92)</f>
        <v>372</v>
      </c>
      <c r="H125" s="14">
        <f>IF(H92=0,"",(交易记录!I25*交易记录!I56+交易记录!I89*交易记录!I120+交易记录!I153*交易记录!I184+交易记录!I217*交易记录!I248+交易记录!I281*交易记录!I312+交易记录!I345*交易记录!I376+交易记录!I409*交易记录!I440+交易记录!I473*交易记录!I504+交易记录!I537*交易记录!I568+交易记录!I601*交易记录!I632+交易记录!I665*交易记录!I696+交易记录!I729*交易记录!I760+交易记录!I793*交易记录!I824+交易记录!I857*交易记录!I888+交易记录!I921*交易记录!I952)/H92)</f>
        <v>372</v>
      </c>
      <c r="I125" s="14">
        <f>IF(I92=0,"",(交易记录!J25*交易记录!J56+交易记录!J89*交易记录!J120+交易记录!J153*交易记录!J184+交易记录!J217*交易记录!J248+交易记录!J281*交易记录!J312+交易记录!J345*交易记录!J376+交易记录!J409*交易记录!J440+交易记录!J473*交易记录!J504+交易记录!J537*交易记录!J568+交易记录!J601*交易记录!J632+交易记录!J665*交易记录!J696+交易记录!J729*交易记录!J760+交易记录!J793*交易记录!J824+交易记录!J857*交易记录!J888+交易记录!J921*交易记录!J952)/I92)</f>
        <v>372</v>
      </c>
      <c r="J125" s="14">
        <f>IF(J92=0,"",(交易记录!K25*交易记录!K56+交易记录!K89*交易记录!K120+交易记录!K153*交易记录!K184+交易记录!K217*交易记录!K248+交易记录!K281*交易记录!K312+交易记录!K345*交易记录!K376+交易记录!K409*交易记录!K440+交易记录!K473*交易记录!K504+交易记录!K537*交易记录!K568+交易记录!K601*交易记录!K632+交易记录!K665*交易记录!K696+交易记录!K729*交易记录!K760+交易记录!K793*交易记录!K824+交易记录!K857*交易记录!K888+交易记录!K921*交易记录!K952)/J92)</f>
        <v>372</v>
      </c>
      <c r="K125" s="14">
        <f>IF(K92=0,"",(交易记录!L25*交易记录!L56+交易记录!L89*交易记录!L120+交易记录!L153*交易记录!L184+交易记录!L217*交易记录!L248+交易记录!L281*交易记录!L312+交易记录!L345*交易记录!L376+交易记录!L409*交易记录!L440+交易记录!L473*交易记录!L504+交易记录!L537*交易记录!L568+交易记录!L601*交易记录!L632+交易记录!L665*交易记录!L696+交易记录!L729*交易记录!L760+交易记录!L793*交易记录!L824+交易记录!L857*交易记录!L888+交易记录!L921*交易记录!L952)/K92)</f>
        <v>372</v>
      </c>
      <c r="L125" s="14">
        <f>IF(L92=0,"",(交易记录!M25*交易记录!M56+交易记录!M89*交易记录!M120+交易记录!M153*交易记录!M184+交易记录!M217*交易记录!M248+交易记录!M281*交易记录!M312+交易记录!M345*交易记录!M376+交易记录!M409*交易记录!M440+交易记录!M473*交易记录!M504+交易记录!M537*交易记录!M568+交易记录!M601*交易记录!M632+交易记录!M665*交易记录!M696+交易记录!M729*交易记录!M760+交易记录!M793*交易记录!M824+交易记录!M857*交易记录!M888+交易记录!M921*交易记录!M952)/L92)</f>
        <v>372</v>
      </c>
      <c r="M125" s="14">
        <f>IF(M92=0,"",(交易记录!N25*交易记录!N56+交易记录!N89*交易记录!N120+交易记录!N153*交易记录!N184+交易记录!N217*交易记录!N248+交易记录!N281*交易记录!N312+交易记录!N345*交易记录!N376+交易记录!N409*交易记录!N440+交易记录!N473*交易记录!N504+交易记录!N537*交易记录!N568+交易记录!N601*交易记录!N632+交易记录!N665*交易记录!N696+交易记录!N729*交易记录!N760+交易记录!N793*交易记录!N824+交易记录!N857*交易记录!N888+交易记录!N921*交易记录!N952)/M92)</f>
        <v>372</v>
      </c>
      <c r="N125" s="14">
        <f>IF(N92=0,"",(交易记录!O25*交易记录!O56+交易记录!O89*交易记录!O120+交易记录!O153*交易记录!O184+交易记录!O217*交易记录!O248+交易记录!O281*交易记录!O312+交易记录!O345*交易记录!O376+交易记录!O409*交易记录!O440+交易记录!O473*交易记录!O504+交易记录!O537*交易记录!O568+交易记录!O601*交易记录!O632+交易记录!O665*交易记录!O696+交易记录!O729*交易记录!O760+交易记录!O793*交易记录!O824+交易记录!O857*交易记录!O888+交易记录!O921*交易记录!O952)/N92)</f>
        <v>372</v>
      </c>
      <c r="O125" s="14">
        <f>IF(O92=0,"",(交易记录!P25*交易记录!P56+交易记录!P89*交易记录!P120+交易记录!P153*交易记录!P184+交易记录!P217*交易记录!P248+交易记录!P281*交易记录!P312+交易记录!P345*交易记录!P376+交易记录!P409*交易记录!P440+交易记录!P473*交易记录!P504+交易记录!P537*交易记录!P568+交易记录!P601*交易记录!P632+交易记录!P665*交易记录!P696+交易记录!P729*交易记录!P760+交易记录!P793*交易记录!P824+交易记录!P857*交易记录!P888+交易记录!P921*交易记录!P952)/O92)</f>
        <v>372</v>
      </c>
      <c r="P125" s="14">
        <f>IF(P92=0,"",(交易记录!Q25*交易记录!Q56+交易记录!Q89*交易记录!Q120+交易记录!Q153*交易记录!Q184+交易记录!Q217*交易记录!Q248+交易记录!Q281*交易记录!Q312+交易记录!Q345*交易记录!Q376+交易记录!Q409*交易记录!Q440+交易记录!Q473*交易记录!Q504+交易记录!Q537*交易记录!Q568+交易记录!Q601*交易记录!Q632+交易记录!Q665*交易记录!Q696+交易记录!Q729*交易记录!Q760+交易记录!Q793*交易记录!Q824+交易记录!Q857*交易记录!Q888+交易记录!Q921*交易记录!Q952)/P92)</f>
        <v>372</v>
      </c>
      <c r="Q125" s="14">
        <f>IF(Q92=0,"",(交易记录!R25*交易记录!R56+交易记录!R89*交易记录!R120+交易记录!R153*交易记录!R184+交易记录!R217*交易记录!R248+交易记录!R281*交易记录!R312+交易记录!R345*交易记录!R376+交易记录!R409*交易记录!R440+交易记录!R473*交易记录!R504+交易记录!R537*交易记录!R568+交易记录!R601*交易记录!R632+交易记录!R665*交易记录!R696+交易记录!R729*交易记录!R760+交易记录!R793*交易记录!R824+交易记录!R857*交易记录!R888+交易记录!R921*交易记录!R952)/Q92)</f>
        <v>372</v>
      </c>
      <c r="R125" s="14">
        <f>IF(R92=0,"",(交易记录!S25*交易记录!S56+交易记录!S89*交易记录!S120+交易记录!S153*交易记录!S184+交易记录!S217*交易记录!S248+交易记录!S281*交易记录!S312+交易记录!S345*交易记录!S376+交易记录!S409*交易记录!S440+交易记录!S473*交易记录!S504+交易记录!S537*交易记录!S568+交易记录!S601*交易记录!S632+交易记录!S665*交易记录!S696+交易记录!S729*交易记录!S760+交易记录!S793*交易记录!S824+交易记录!S857*交易记录!S888+交易记录!S921*交易记录!S952)/R92)</f>
        <v>372</v>
      </c>
      <c r="S125" s="14">
        <f>IF(S92=0,"",(交易记录!T25*交易记录!T56+交易记录!T89*交易记录!T120+交易记录!T153*交易记录!T184+交易记录!T217*交易记录!T248+交易记录!T281*交易记录!T312+交易记录!T345*交易记录!T376+交易记录!T409*交易记录!T440+交易记录!T473*交易记录!T504+交易记录!T537*交易记录!T568+交易记录!T601*交易记录!T632+交易记录!T665*交易记录!T696+交易记录!T729*交易记录!T760+交易记录!T793*交易记录!T824+交易记录!T857*交易记录!T888+交易记录!T921*交易记录!T952)/S92)</f>
        <v>372</v>
      </c>
      <c r="T125" s="14">
        <f>IF(T92=0,"",(交易记录!U25*交易记录!U56+交易记录!U89*交易记录!U120+交易记录!U153*交易记录!U184+交易记录!U217*交易记录!U248+交易记录!U281*交易记录!U312+交易记录!U345*交易记录!U376+交易记录!U409*交易记录!U440+交易记录!U473*交易记录!U504+交易记录!U537*交易记录!U568+交易记录!U601*交易记录!U632+交易记录!U665*交易记录!U696+交易记录!U729*交易记录!U760+交易记录!U793*交易记录!U824+交易记录!U857*交易记录!U888+交易记录!U921*交易记录!U952)/T92)</f>
        <v>372</v>
      </c>
      <c r="U125" s="14">
        <f>IF(U92=0,"",(交易记录!V25*交易记录!V56+交易记录!V89*交易记录!V120+交易记录!V153*交易记录!V184+交易记录!V217*交易记录!V248+交易记录!V281*交易记录!V312+交易记录!V345*交易记录!V376+交易记录!V409*交易记录!V440+交易记录!V473*交易记录!V504+交易记录!V537*交易记录!V568+交易记录!V601*交易记录!V632+交易记录!V665*交易记录!V696+交易记录!V729*交易记录!V760+交易记录!V793*交易记录!V824+交易记录!V857*交易记录!V888+交易记录!V921*交易记录!V952)/U92)</f>
        <v>372</v>
      </c>
      <c r="V125" s="14">
        <f>IF(V92=0,"",(交易记录!W25*交易记录!W56+交易记录!W89*交易记录!W120+交易记录!W153*交易记录!W184+交易记录!W217*交易记录!W248+交易记录!W281*交易记录!W312+交易记录!W345*交易记录!W376+交易记录!W409*交易记录!W440+交易记录!W473*交易记录!W504+交易记录!W537*交易记录!W568+交易记录!W601*交易记录!W632+交易记录!W665*交易记录!W696+交易记录!W729*交易记录!W760+交易记录!W793*交易记录!W824+交易记录!W857*交易记录!W888+交易记录!W921*交易记录!W952)/V92)</f>
        <v>372</v>
      </c>
      <c r="W125" s="14">
        <f>IF(W92=0,"",(交易记录!X25*交易记录!X56+交易记录!X89*交易记录!X120+交易记录!X153*交易记录!X184+交易记录!X217*交易记录!X248+交易记录!X281*交易记录!X312+交易记录!X345*交易记录!X376+交易记录!X409*交易记录!X440+交易记录!X473*交易记录!X504+交易记录!X537*交易记录!X568+交易记录!X601*交易记录!X632+交易记录!X665*交易记录!X696+交易记录!X729*交易记录!X760+交易记录!X793*交易记录!X824+交易记录!X857*交易记录!X888+交易记录!X921*交易记录!X952)/W92)</f>
        <v>372</v>
      </c>
      <c r="X125" s="14">
        <f>IF(X92=0,"",(交易记录!Y25*交易记录!Y56+交易记录!Y89*交易记录!Y120+交易记录!Y153*交易记录!Y184+交易记录!Y217*交易记录!Y248+交易记录!Y281*交易记录!Y312+交易记录!Y345*交易记录!Y376+交易记录!Y409*交易记录!Y440+交易记录!Y473*交易记录!Y504+交易记录!Y537*交易记录!Y568+交易记录!Y601*交易记录!Y632+交易记录!Y665*交易记录!Y696+交易记录!Y729*交易记录!Y760+交易记录!Y793*交易记录!Y824+交易记录!Y857*交易记录!Y888+交易记录!Y921*交易记录!Y952)/X92)</f>
        <v>372</v>
      </c>
      <c r="Y125" s="14">
        <f>IF(Y92=0,"",(交易记录!Z25*交易记录!Z56+交易记录!Z89*交易记录!Z120+交易记录!Z153*交易记录!Z184+交易记录!Z217*交易记录!Z248+交易记录!Z281*交易记录!Z312+交易记录!Z345*交易记录!Z376+交易记录!Z409*交易记录!Z440+交易记录!Z473*交易记录!Z504+交易记录!Z537*交易记录!Z568+交易记录!Z601*交易记录!Z632+交易记录!Z665*交易记录!Z696+交易记录!Z729*交易记录!Z760+交易记录!Z793*交易记录!Z824+交易记录!Z857*交易记录!Z888+交易记录!Z921*交易记录!Z952)/Y92)</f>
        <v>372</v>
      </c>
      <c r="Z125" s="14">
        <f>IF(Z92=0,"",(交易记录!AA25*交易记录!AA56+交易记录!AA89*交易记录!AA120+交易记录!AA153*交易记录!AA184+交易记录!AA217*交易记录!AA248+交易记录!AA281*交易记录!AA312+交易记录!AA345*交易记录!AA376+交易记录!AA409*交易记录!AA440+交易记录!AA473*交易记录!AA504+交易记录!AA537*交易记录!AA568+交易记录!AA601*交易记录!AA632+交易记录!AA665*交易记录!AA696+交易记录!AA729*交易记录!AA760+交易记录!AA793*交易记录!AA824+交易记录!AA857*交易记录!AA888+交易记录!AA921*交易记录!AA952)/Z92)</f>
        <v>372</v>
      </c>
      <c r="AA125" s="14">
        <f>IF(AA92=0,"",(交易记录!AB25*交易记录!AB56+交易记录!AB89*交易记录!AB120+交易记录!AB153*交易记录!AB184+交易记录!AB217*交易记录!AB248+交易记录!AB281*交易记录!AB312+交易记录!AB345*交易记录!AB376+交易记录!AB409*交易记录!AB440+交易记录!AB473*交易记录!AB504+交易记录!AB537*交易记录!AB568+交易记录!AB601*交易记录!AB632+交易记录!AB665*交易记录!AB696+交易记录!AB729*交易记录!AB760+交易记录!AB793*交易记录!AB824+交易记录!AB857*交易记录!AB888+交易记录!AB921*交易记录!AB952)/AA92)</f>
        <v>372</v>
      </c>
      <c r="AB125" s="14">
        <f>IF(AB92=0,"",(交易记录!AC25*交易记录!AC56+交易记录!AC89*交易记录!AC120+交易记录!AC153*交易记录!AC184+交易记录!AC217*交易记录!AC248+交易记录!AC281*交易记录!AC312+交易记录!AC345*交易记录!AC376+交易记录!AC409*交易记录!AC440+交易记录!AC473*交易记录!AC504+交易记录!AC537*交易记录!AC568+交易记录!AC601*交易记录!AC632+交易记录!AC665*交易记录!AC696+交易记录!AC729*交易记录!AC760+交易记录!AC793*交易记录!AC824+交易记录!AC857*交易记录!AC888+交易记录!AC921*交易记录!AC952)/AB92)</f>
        <v>372</v>
      </c>
      <c r="AC125" s="14">
        <f>IF(AC92=0,"",(交易记录!AD25*交易记录!AD56+交易记录!AD89*交易记录!AD120+交易记录!AD153*交易记录!AD184+交易记录!AD217*交易记录!AD248+交易记录!AD281*交易记录!AD312+交易记录!AD345*交易记录!AD376+交易记录!AD409*交易记录!AD440+交易记录!AD473*交易记录!AD504+交易记录!AD537*交易记录!AD568+交易记录!AD601*交易记录!AD632+交易记录!AD665*交易记录!AD696+交易记录!AD729*交易记录!AD760+交易记录!AD793*交易记录!AD824+交易记录!AD857*交易记录!AD888+交易记录!AD921*交易记录!AD952)/AC92)</f>
        <v>372</v>
      </c>
      <c r="AD125" s="14">
        <f>IF(AD92=0,"",(交易记录!AE25*交易记录!AE56+交易记录!AE89*交易记录!AE120+交易记录!AE153*交易记录!AE184+交易记录!AE217*交易记录!AE248+交易记录!AE281*交易记录!AE312+交易记录!AE345*交易记录!AE376+交易记录!AE409*交易记录!AE440+交易记录!AE473*交易记录!AE504+交易记录!AE537*交易记录!AE568+交易记录!AE601*交易记录!AE632+交易记录!AE665*交易记录!AE696+交易记录!AE729*交易记录!AE760+交易记录!AE793*交易记录!AE824+交易记录!AE857*交易记录!AE888+交易记录!AE921*交易记录!AE952)/AD92)</f>
        <v>372</v>
      </c>
      <c r="AE125" s="14">
        <f>IF(AE92=0,"",(交易记录!AF25*交易记录!AF56+交易记录!AF89*交易记录!AF120+交易记录!AF153*交易记录!AF184+交易记录!AF217*交易记录!AF248+交易记录!AF281*交易记录!AF312+交易记录!AF345*交易记录!AF376+交易记录!AF409*交易记录!AF440+交易记录!AF473*交易记录!AF504+交易记录!AF537*交易记录!AF568+交易记录!AF601*交易记录!AF632+交易记录!AF665*交易记录!AF696+交易记录!AF729*交易记录!AF760+交易记录!AF793*交易记录!AF824+交易记录!AF857*交易记录!AF888+交易记录!AF921*交易记录!AF952)/AE92)</f>
        <v>372</v>
      </c>
      <c r="AF125" s="14">
        <f>IF(AF92=0,"",(交易记录!AG25*交易记录!AG56+交易记录!AG89*交易记录!AG120+交易记录!AG153*交易记录!AG184+交易记录!AG217*交易记录!AG248+交易记录!AG281*交易记录!AG312+交易记录!AG345*交易记录!AG376+交易记录!AG409*交易记录!AG440+交易记录!AG473*交易记录!AG504+交易记录!AG537*交易记录!AG568+交易记录!AG601*交易记录!AG632+交易记录!AG665*交易记录!AG696+交易记录!AG729*交易记录!AG760+交易记录!AG793*交易记录!AG824+交易记录!AG857*交易记录!AG888+交易记录!AG921*交易记录!AG952)/AF92)</f>
        <v>372</v>
      </c>
      <c r="AG125" s="14">
        <f>IF(AG92=0,"",(交易记录!AH25*交易记录!AH56+交易记录!AH89*交易记录!AH120+交易记录!AH153*交易记录!AH184+交易记录!AH217*交易记录!AH248+交易记录!AH281*交易记录!AH312+交易记录!AH345*交易记录!AH376+交易记录!AH409*交易记录!AH440+交易记录!AH473*交易记录!AH504+交易记录!AH537*交易记录!AH568+交易记录!AH601*交易记录!AH632+交易记录!AH665*交易记录!AH696+交易记录!AH729*交易记录!AH760+交易记录!AH793*交易记录!AH824+交易记录!AH857*交易记录!AH888+交易记录!AH921*交易记录!AH952)/AG92)</f>
        <v>372</v>
      </c>
    </row>
    <row r="126" spans="2:33" s="3" customFormat="1" ht="13.9" customHeight="1">
      <c r="B126" s="7" t="s">
        <v>27</v>
      </c>
      <c r="C126" s="14">
        <f>IF(C93=0,"",(交易记录!D26*交易记录!D57+交易记录!D90*交易记录!D121+交易记录!D154*交易记录!D185+交易记录!D218*交易记录!D249+交易记录!D282*交易记录!D313+交易记录!D346*交易记录!D377+交易记录!D410*交易记录!D441+交易记录!D474*交易记录!D505+交易记录!D538*交易记录!D569+交易记录!D602*交易记录!D633+交易记录!D666*交易记录!D697+交易记录!D730*交易记录!D761+交易记录!D794*交易记录!D825+交易记录!D858*交易记录!D889+交易记录!D922*交易记录!D953)/C93)</f>
        <v>372</v>
      </c>
      <c r="D126" s="14">
        <f>IF(D93=0,"",(交易记录!E26*交易记录!E57+交易记录!E90*交易记录!E121+交易记录!E154*交易记录!E185+交易记录!E218*交易记录!E249+交易记录!E282*交易记录!E313+交易记录!E346*交易记录!E377+交易记录!E410*交易记录!E441+交易记录!E474*交易记录!E505+交易记录!E538*交易记录!E569+交易记录!E602*交易记录!E633+交易记录!E666*交易记录!E697+交易记录!E730*交易记录!E761+交易记录!E794*交易记录!E825+交易记录!E858*交易记录!E889+交易记录!E922*交易记录!E953)/D93)</f>
        <v>372</v>
      </c>
      <c r="E126" s="14">
        <f>IF(E93=0,"",(交易记录!F26*交易记录!F57+交易记录!F90*交易记录!F121+交易记录!F154*交易记录!F185+交易记录!F218*交易记录!F249+交易记录!F282*交易记录!F313+交易记录!F346*交易记录!F377+交易记录!F410*交易记录!F441+交易记录!F474*交易记录!F505+交易记录!F538*交易记录!F569+交易记录!F602*交易记录!F633+交易记录!F666*交易记录!F697+交易记录!F730*交易记录!F761+交易记录!F794*交易记录!F825+交易记录!F858*交易记录!F889+交易记录!F922*交易记录!F953)/E93)</f>
        <v>372</v>
      </c>
      <c r="F126" s="14">
        <f>IF(F93=0,"",(交易记录!G26*交易记录!G57+交易记录!G90*交易记录!G121+交易记录!G154*交易记录!G185+交易记录!G218*交易记录!G249+交易记录!G282*交易记录!G313+交易记录!G346*交易记录!G377+交易记录!G410*交易记录!G441+交易记录!G474*交易记录!G505+交易记录!G538*交易记录!G569+交易记录!G602*交易记录!G633+交易记录!G666*交易记录!G697+交易记录!G730*交易记录!G761+交易记录!G794*交易记录!G825+交易记录!G858*交易记录!G889+交易记录!G922*交易记录!G953)/F93)</f>
        <v>372</v>
      </c>
      <c r="G126" s="14">
        <f>IF(G93=0,"",(交易记录!H26*交易记录!H57+交易记录!H90*交易记录!H121+交易记录!H154*交易记录!H185+交易记录!H218*交易记录!H249+交易记录!H282*交易记录!H313+交易记录!H346*交易记录!H377+交易记录!H410*交易记录!H441+交易记录!H474*交易记录!H505+交易记录!H538*交易记录!H569+交易记录!H602*交易记录!H633+交易记录!H666*交易记录!H697+交易记录!H730*交易记录!H761+交易记录!H794*交易记录!H825+交易记录!H858*交易记录!H889+交易记录!H922*交易记录!H953)/G93)</f>
        <v>372</v>
      </c>
      <c r="H126" s="14">
        <f>IF(H93=0,"",(交易记录!I26*交易记录!I57+交易记录!I90*交易记录!I121+交易记录!I154*交易记录!I185+交易记录!I218*交易记录!I249+交易记录!I282*交易记录!I313+交易记录!I346*交易记录!I377+交易记录!I410*交易记录!I441+交易记录!I474*交易记录!I505+交易记录!I538*交易记录!I569+交易记录!I602*交易记录!I633+交易记录!I666*交易记录!I697+交易记录!I730*交易记录!I761+交易记录!I794*交易记录!I825+交易记录!I858*交易记录!I889+交易记录!I922*交易记录!I953)/H93)</f>
        <v>372</v>
      </c>
      <c r="I126" s="14">
        <f>IF(I93=0,"",(交易记录!J26*交易记录!J57+交易记录!J90*交易记录!J121+交易记录!J154*交易记录!J185+交易记录!J218*交易记录!J249+交易记录!J282*交易记录!J313+交易记录!J346*交易记录!J377+交易记录!J410*交易记录!J441+交易记录!J474*交易记录!J505+交易记录!J538*交易记录!J569+交易记录!J602*交易记录!J633+交易记录!J666*交易记录!J697+交易记录!J730*交易记录!J761+交易记录!J794*交易记录!J825+交易记录!J858*交易记录!J889+交易记录!J922*交易记录!J953)/I93)</f>
        <v>372</v>
      </c>
      <c r="J126" s="14">
        <f>IF(J93=0,"",(交易记录!K26*交易记录!K57+交易记录!K90*交易记录!K121+交易记录!K154*交易记录!K185+交易记录!K218*交易记录!K249+交易记录!K282*交易记录!K313+交易记录!K346*交易记录!K377+交易记录!K410*交易记录!K441+交易记录!K474*交易记录!K505+交易记录!K538*交易记录!K569+交易记录!K602*交易记录!K633+交易记录!K666*交易记录!K697+交易记录!K730*交易记录!K761+交易记录!K794*交易记录!K825+交易记录!K858*交易记录!K889+交易记录!K922*交易记录!K953)/J93)</f>
        <v>372</v>
      </c>
      <c r="K126" s="14">
        <f>IF(K93=0,"",(交易记录!L26*交易记录!L57+交易记录!L90*交易记录!L121+交易记录!L154*交易记录!L185+交易记录!L218*交易记录!L249+交易记录!L282*交易记录!L313+交易记录!L346*交易记录!L377+交易记录!L410*交易记录!L441+交易记录!L474*交易记录!L505+交易记录!L538*交易记录!L569+交易记录!L602*交易记录!L633+交易记录!L666*交易记录!L697+交易记录!L730*交易记录!L761+交易记录!L794*交易记录!L825+交易记录!L858*交易记录!L889+交易记录!L922*交易记录!L953)/K93)</f>
        <v>372</v>
      </c>
      <c r="L126" s="14">
        <f>IF(L93=0,"",(交易记录!M26*交易记录!M57+交易记录!M90*交易记录!M121+交易记录!M154*交易记录!M185+交易记录!M218*交易记录!M249+交易记录!M282*交易记录!M313+交易记录!M346*交易记录!M377+交易记录!M410*交易记录!M441+交易记录!M474*交易记录!M505+交易记录!M538*交易记录!M569+交易记录!M602*交易记录!M633+交易记录!M666*交易记录!M697+交易记录!M730*交易记录!M761+交易记录!M794*交易记录!M825+交易记录!M858*交易记录!M889+交易记录!M922*交易记录!M953)/L93)</f>
        <v>372</v>
      </c>
      <c r="M126" s="14">
        <f>IF(M93=0,"",(交易记录!N26*交易记录!N57+交易记录!N90*交易记录!N121+交易记录!N154*交易记录!N185+交易记录!N218*交易记录!N249+交易记录!N282*交易记录!N313+交易记录!N346*交易记录!N377+交易记录!N410*交易记录!N441+交易记录!N474*交易记录!N505+交易记录!N538*交易记录!N569+交易记录!N602*交易记录!N633+交易记录!N666*交易记录!N697+交易记录!N730*交易记录!N761+交易记录!N794*交易记录!N825+交易记录!N858*交易记录!N889+交易记录!N922*交易记录!N953)/M93)</f>
        <v>372</v>
      </c>
      <c r="N126" s="14">
        <f>IF(N93=0,"",(交易记录!O26*交易记录!O57+交易记录!O90*交易记录!O121+交易记录!O154*交易记录!O185+交易记录!O218*交易记录!O249+交易记录!O282*交易记录!O313+交易记录!O346*交易记录!O377+交易记录!O410*交易记录!O441+交易记录!O474*交易记录!O505+交易记录!O538*交易记录!O569+交易记录!O602*交易记录!O633+交易记录!O666*交易记录!O697+交易记录!O730*交易记录!O761+交易记录!O794*交易记录!O825+交易记录!O858*交易记录!O889+交易记录!O922*交易记录!O953)/N93)</f>
        <v>372</v>
      </c>
      <c r="O126" s="14">
        <f>IF(O93=0,"",(交易记录!P26*交易记录!P57+交易记录!P90*交易记录!P121+交易记录!P154*交易记录!P185+交易记录!P218*交易记录!P249+交易记录!P282*交易记录!P313+交易记录!P346*交易记录!P377+交易记录!P410*交易记录!P441+交易记录!P474*交易记录!P505+交易记录!P538*交易记录!P569+交易记录!P602*交易记录!P633+交易记录!P666*交易记录!P697+交易记录!P730*交易记录!P761+交易记录!P794*交易记录!P825+交易记录!P858*交易记录!P889+交易记录!P922*交易记录!P953)/O93)</f>
        <v>372</v>
      </c>
      <c r="P126" s="14">
        <f>IF(P93=0,"",(交易记录!Q26*交易记录!Q57+交易记录!Q90*交易记录!Q121+交易记录!Q154*交易记录!Q185+交易记录!Q218*交易记录!Q249+交易记录!Q282*交易记录!Q313+交易记录!Q346*交易记录!Q377+交易记录!Q410*交易记录!Q441+交易记录!Q474*交易记录!Q505+交易记录!Q538*交易记录!Q569+交易记录!Q602*交易记录!Q633+交易记录!Q666*交易记录!Q697+交易记录!Q730*交易记录!Q761+交易记录!Q794*交易记录!Q825+交易记录!Q858*交易记录!Q889+交易记录!Q922*交易记录!Q953)/P93)</f>
        <v>372</v>
      </c>
      <c r="Q126" s="14">
        <f>IF(Q93=0,"",(交易记录!R26*交易记录!R57+交易记录!R90*交易记录!R121+交易记录!R154*交易记录!R185+交易记录!R218*交易记录!R249+交易记录!R282*交易记录!R313+交易记录!R346*交易记录!R377+交易记录!R410*交易记录!R441+交易记录!R474*交易记录!R505+交易记录!R538*交易记录!R569+交易记录!R602*交易记录!R633+交易记录!R666*交易记录!R697+交易记录!R730*交易记录!R761+交易记录!R794*交易记录!R825+交易记录!R858*交易记录!R889+交易记录!R922*交易记录!R953)/Q93)</f>
        <v>372</v>
      </c>
      <c r="R126" s="14">
        <f>IF(R93=0,"",(交易记录!S26*交易记录!S57+交易记录!S90*交易记录!S121+交易记录!S154*交易记录!S185+交易记录!S218*交易记录!S249+交易记录!S282*交易记录!S313+交易记录!S346*交易记录!S377+交易记录!S410*交易记录!S441+交易记录!S474*交易记录!S505+交易记录!S538*交易记录!S569+交易记录!S602*交易记录!S633+交易记录!S666*交易记录!S697+交易记录!S730*交易记录!S761+交易记录!S794*交易记录!S825+交易记录!S858*交易记录!S889+交易记录!S922*交易记录!S953)/R93)</f>
        <v>372</v>
      </c>
      <c r="S126" s="14">
        <f>IF(S93=0,"",(交易记录!T26*交易记录!T57+交易记录!T90*交易记录!T121+交易记录!T154*交易记录!T185+交易记录!T218*交易记录!T249+交易记录!T282*交易记录!T313+交易记录!T346*交易记录!T377+交易记录!T410*交易记录!T441+交易记录!T474*交易记录!T505+交易记录!T538*交易记录!T569+交易记录!T602*交易记录!T633+交易记录!T666*交易记录!T697+交易记录!T730*交易记录!T761+交易记录!T794*交易记录!T825+交易记录!T858*交易记录!T889+交易记录!T922*交易记录!T953)/S93)</f>
        <v>372</v>
      </c>
      <c r="T126" s="14">
        <f>IF(T93=0,"",(交易记录!U26*交易记录!U57+交易记录!U90*交易记录!U121+交易记录!U154*交易记录!U185+交易记录!U218*交易记录!U249+交易记录!U282*交易记录!U313+交易记录!U346*交易记录!U377+交易记录!U410*交易记录!U441+交易记录!U474*交易记录!U505+交易记录!U538*交易记录!U569+交易记录!U602*交易记录!U633+交易记录!U666*交易记录!U697+交易记录!U730*交易记录!U761+交易记录!U794*交易记录!U825+交易记录!U858*交易记录!U889+交易记录!U922*交易记录!U953)/T93)</f>
        <v>372</v>
      </c>
      <c r="U126" s="14">
        <f>IF(U93=0,"",(交易记录!V26*交易记录!V57+交易记录!V90*交易记录!V121+交易记录!V154*交易记录!V185+交易记录!V218*交易记录!V249+交易记录!V282*交易记录!V313+交易记录!V346*交易记录!V377+交易记录!V410*交易记录!V441+交易记录!V474*交易记录!V505+交易记录!V538*交易记录!V569+交易记录!V602*交易记录!V633+交易记录!V666*交易记录!V697+交易记录!V730*交易记录!V761+交易记录!V794*交易记录!V825+交易记录!V858*交易记录!V889+交易记录!V922*交易记录!V953)/U93)</f>
        <v>372</v>
      </c>
      <c r="V126" s="14">
        <f>IF(V93=0,"",(交易记录!W26*交易记录!W57+交易记录!W90*交易记录!W121+交易记录!W154*交易记录!W185+交易记录!W218*交易记录!W249+交易记录!W282*交易记录!W313+交易记录!W346*交易记录!W377+交易记录!W410*交易记录!W441+交易记录!W474*交易记录!W505+交易记录!W538*交易记录!W569+交易记录!W602*交易记录!W633+交易记录!W666*交易记录!W697+交易记录!W730*交易记录!W761+交易记录!W794*交易记录!W825+交易记录!W858*交易记录!W889+交易记录!W922*交易记录!W953)/V93)</f>
        <v>372</v>
      </c>
      <c r="W126" s="14">
        <f>IF(W93=0,"",(交易记录!X26*交易记录!X57+交易记录!X90*交易记录!X121+交易记录!X154*交易记录!X185+交易记录!X218*交易记录!X249+交易记录!X282*交易记录!X313+交易记录!X346*交易记录!X377+交易记录!X410*交易记录!X441+交易记录!X474*交易记录!X505+交易记录!X538*交易记录!X569+交易记录!X602*交易记录!X633+交易记录!X666*交易记录!X697+交易记录!X730*交易记录!X761+交易记录!X794*交易记录!X825+交易记录!X858*交易记录!X889+交易记录!X922*交易记录!X953)/W93)</f>
        <v>372</v>
      </c>
      <c r="X126" s="14">
        <f>IF(X93=0,"",(交易记录!Y26*交易记录!Y57+交易记录!Y90*交易记录!Y121+交易记录!Y154*交易记录!Y185+交易记录!Y218*交易记录!Y249+交易记录!Y282*交易记录!Y313+交易记录!Y346*交易记录!Y377+交易记录!Y410*交易记录!Y441+交易记录!Y474*交易记录!Y505+交易记录!Y538*交易记录!Y569+交易记录!Y602*交易记录!Y633+交易记录!Y666*交易记录!Y697+交易记录!Y730*交易记录!Y761+交易记录!Y794*交易记录!Y825+交易记录!Y858*交易记录!Y889+交易记录!Y922*交易记录!Y953)/X93)</f>
        <v>372</v>
      </c>
      <c r="Y126" s="14">
        <f>IF(Y93=0,"",(交易记录!Z26*交易记录!Z57+交易记录!Z90*交易记录!Z121+交易记录!Z154*交易记录!Z185+交易记录!Z218*交易记录!Z249+交易记录!Z282*交易记录!Z313+交易记录!Z346*交易记录!Z377+交易记录!Z410*交易记录!Z441+交易记录!Z474*交易记录!Z505+交易记录!Z538*交易记录!Z569+交易记录!Z602*交易记录!Z633+交易记录!Z666*交易记录!Z697+交易记录!Z730*交易记录!Z761+交易记录!Z794*交易记录!Z825+交易记录!Z858*交易记录!Z889+交易记录!Z922*交易记录!Z953)/Y93)</f>
        <v>372</v>
      </c>
      <c r="Z126" s="14">
        <f>IF(Z93=0,"",(交易记录!AA26*交易记录!AA57+交易记录!AA90*交易记录!AA121+交易记录!AA154*交易记录!AA185+交易记录!AA218*交易记录!AA249+交易记录!AA282*交易记录!AA313+交易记录!AA346*交易记录!AA377+交易记录!AA410*交易记录!AA441+交易记录!AA474*交易记录!AA505+交易记录!AA538*交易记录!AA569+交易记录!AA602*交易记录!AA633+交易记录!AA666*交易记录!AA697+交易记录!AA730*交易记录!AA761+交易记录!AA794*交易记录!AA825+交易记录!AA858*交易记录!AA889+交易记录!AA922*交易记录!AA953)/Z93)</f>
        <v>372</v>
      </c>
      <c r="AA126" s="14">
        <f>IF(AA93=0,"",(交易记录!AB26*交易记录!AB57+交易记录!AB90*交易记录!AB121+交易记录!AB154*交易记录!AB185+交易记录!AB218*交易记录!AB249+交易记录!AB282*交易记录!AB313+交易记录!AB346*交易记录!AB377+交易记录!AB410*交易记录!AB441+交易记录!AB474*交易记录!AB505+交易记录!AB538*交易记录!AB569+交易记录!AB602*交易记录!AB633+交易记录!AB666*交易记录!AB697+交易记录!AB730*交易记录!AB761+交易记录!AB794*交易记录!AB825+交易记录!AB858*交易记录!AB889+交易记录!AB922*交易记录!AB953)/AA93)</f>
        <v>372</v>
      </c>
      <c r="AB126" s="14">
        <f>IF(AB93=0,"",(交易记录!AC26*交易记录!AC57+交易记录!AC90*交易记录!AC121+交易记录!AC154*交易记录!AC185+交易记录!AC218*交易记录!AC249+交易记录!AC282*交易记录!AC313+交易记录!AC346*交易记录!AC377+交易记录!AC410*交易记录!AC441+交易记录!AC474*交易记录!AC505+交易记录!AC538*交易记录!AC569+交易记录!AC602*交易记录!AC633+交易记录!AC666*交易记录!AC697+交易记录!AC730*交易记录!AC761+交易记录!AC794*交易记录!AC825+交易记录!AC858*交易记录!AC889+交易记录!AC922*交易记录!AC953)/AB93)</f>
        <v>372</v>
      </c>
      <c r="AC126" s="14">
        <f>IF(AC93=0,"",(交易记录!AD26*交易记录!AD57+交易记录!AD90*交易记录!AD121+交易记录!AD154*交易记录!AD185+交易记录!AD218*交易记录!AD249+交易记录!AD282*交易记录!AD313+交易记录!AD346*交易记录!AD377+交易记录!AD410*交易记录!AD441+交易记录!AD474*交易记录!AD505+交易记录!AD538*交易记录!AD569+交易记录!AD602*交易记录!AD633+交易记录!AD666*交易记录!AD697+交易记录!AD730*交易记录!AD761+交易记录!AD794*交易记录!AD825+交易记录!AD858*交易记录!AD889+交易记录!AD922*交易记录!AD953)/AC93)</f>
        <v>372</v>
      </c>
      <c r="AD126" s="14">
        <f>IF(AD93=0,"",(交易记录!AE26*交易记录!AE57+交易记录!AE90*交易记录!AE121+交易记录!AE154*交易记录!AE185+交易记录!AE218*交易记录!AE249+交易记录!AE282*交易记录!AE313+交易记录!AE346*交易记录!AE377+交易记录!AE410*交易记录!AE441+交易记录!AE474*交易记录!AE505+交易记录!AE538*交易记录!AE569+交易记录!AE602*交易记录!AE633+交易记录!AE666*交易记录!AE697+交易记录!AE730*交易记录!AE761+交易记录!AE794*交易记录!AE825+交易记录!AE858*交易记录!AE889+交易记录!AE922*交易记录!AE953)/AD93)</f>
        <v>372</v>
      </c>
      <c r="AE126" s="14">
        <f>IF(AE93=0,"",(交易记录!AF26*交易记录!AF57+交易记录!AF90*交易记录!AF121+交易记录!AF154*交易记录!AF185+交易记录!AF218*交易记录!AF249+交易记录!AF282*交易记录!AF313+交易记录!AF346*交易记录!AF377+交易记录!AF410*交易记录!AF441+交易记录!AF474*交易记录!AF505+交易记录!AF538*交易记录!AF569+交易记录!AF602*交易记录!AF633+交易记录!AF666*交易记录!AF697+交易记录!AF730*交易记录!AF761+交易记录!AF794*交易记录!AF825+交易记录!AF858*交易记录!AF889+交易记录!AF922*交易记录!AF953)/AE93)</f>
        <v>372</v>
      </c>
      <c r="AF126" s="14">
        <f>IF(AF93=0,"",(交易记录!AG26*交易记录!AG57+交易记录!AG90*交易记录!AG121+交易记录!AG154*交易记录!AG185+交易记录!AG218*交易记录!AG249+交易记录!AG282*交易记录!AG313+交易记录!AG346*交易记录!AG377+交易记录!AG410*交易记录!AG441+交易记录!AG474*交易记录!AG505+交易记录!AG538*交易记录!AG569+交易记录!AG602*交易记录!AG633+交易记录!AG666*交易记录!AG697+交易记录!AG730*交易记录!AG761+交易记录!AG794*交易记录!AG825+交易记录!AG858*交易记录!AG889+交易记录!AG922*交易记录!AG953)/AF93)</f>
        <v>372</v>
      </c>
      <c r="AG126" s="14">
        <f>IF(AG93=0,"",(交易记录!AH26*交易记录!AH57+交易记录!AH90*交易记录!AH121+交易记录!AH154*交易记录!AH185+交易记录!AH218*交易记录!AH249+交易记录!AH282*交易记录!AH313+交易记录!AH346*交易记录!AH377+交易记录!AH410*交易记录!AH441+交易记录!AH474*交易记录!AH505+交易记录!AH538*交易记录!AH569+交易记录!AH602*交易记录!AH633+交易记录!AH666*交易记录!AH697+交易记录!AH730*交易记录!AH761+交易记录!AH794*交易记录!AH825+交易记录!AH858*交易记录!AH889+交易记录!AH922*交易记录!AH953)/AG93)</f>
        <v>372</v>
      </c>
    </row>
    <row r="127" spans="2:33" s="3" customFormat="1" ht="15">
      <c r="B127" s="7" t="s">
        <v>28</v>
      </c>
      <c r="C127" s="14">
        <f>IF(C94=0,"",(交易记录!D27*交易记录!D58+交易记录!D91*交易记录!D122+交易记录!D155*交易记录!D186+交易记录!D219*交易记录!D250+交易记录!D283*交易记录!D314+交易记录!D347*交易记录!D378+交易记录!D411*交易记录!D442+交易记录!D475*交易记录!D506+交易记录!D539*交易记录!D570+交易记录!D603*交易记录!D634+交易记录!D667*交易记录!D698+交易记录!D731*交易记录!D762+交易记录!D795*交易记录!D826+交易记录!D859*交易记录!D890+交易记录!D923*交易记录!D954)/C94)</f>
        <v>372</v>
      </c>
      <c r="D127" s="14">
        <f>IF(D94=0,"",(交易记录!E27*交易记录!E58+交易记录!E91*交易记录!E122+交易记录!E155*交易记录!E186+交易记录!E219*交易记录!E250+交易记录!E283*交易记录!E314+交易记录!E347*交易记录!E378+交易记录!E411*交易记录!E442+交易记录!E475*交易记录!E506+交易记录!E539*交易记录!E570+交易记录!E603*交易记录!E634+交易记录!E667*交易记录!E698+交易记录!E731*交易记录!E762+交易记录!E795*交易记录!E826+交易记录!E859*交易记录!E890+交易记录!E923*交易记录!E954)/D94)</f>
        <v>371.99999999999994</v>
      </c>
      <c r="E127" s="14">
        <f>IF(E94=0,"",(交易记录!F27*交易记录!F58+交易记录!F91*交易记录!F122+交易记录!F155*交易记录!F186+交易记录!F219*交易记录!F250+交易记录!F283*交易记录!F314+交易记录!F347*交易记录!F378+交易记录!F411*交易记录!F442+交易记录!F475*交易记录!F506+交易记录!F539*交易记录!F570+交易记录!F603*交易记录!F634+交易记录!F667*交易记录!F698+交易记录!F731*交易记录!F762+交易记录!F795*交易记录!F826+交易记录!F859*交易记录!F890+交易记录!F923*交易记录!F954)/E94)</f>
        <v>371.99999999999994</v>
      </c>
      <c r="F127" s="14">
        <f>IF(F94=0,"",(交易记录!G27*交易记录!G58+交易记录!G91*交易记录!G122+交易记录!G155*交易记录!G186+交易记录!G219*交易记录!G250+交易记录!G283*交易记录!G314+交易记录!G347*交易记录!G378+交易记录!G411*交易记录!G442+交易记录!G475*交易记录!G506+交易记录!G539*交易记录!G570+交易记录!G603*交易记录!G634+交易记录!G667*交易记录!G698+交易记录!G731*交易记录!G762+交易记录!G795*交易记录!G826+交易记录!G859*交易记录!G890+交易记录!G923*交易记录!G954)/F94)</f>
        <v>371.99999999999994</v>
      </c>
      <c r="G127" s="14">
        <f>IF(G94=0,"",(交易记录!H27*交易记录!H58+交易记录!H91*交易记录!H122+交易记录!H155*交易记录!H186+交易记录!H219*交易记录!H250+交易记录!H283*交易记录!H314+交易记录!H347*交易记录!H378+交易记录!H411*交易记录!H442+交易记录!H475*交易记录!H506+交易记录!H539*交易记录!H570+交易记录!H603*交易记录!H634+交易记录!H667*交易记录!H698+交易记录!H731*交易记录!H762+交易记录!H795*交易记录!H826+交易记录!H859*交易记录!H890+交易记录!H923*交易记录!H954)/G94)</f>
        <v>372</v>
      </c>
      <c r="H127" s="14">
        <f>IF(H94=0,"",(交易记录!I27*交易记录!I58+交易记录!I91*交易记录!I122+交易记录!I155*交易记录!I186+交易记录!I219*交易记录!I250+交易记录!I283*交易记录!I314+交易记录!I347*交易记录!I378+交易记录!I411*交易记录!I442+交易记录!I475*交易记录!I506+交易记录!I539*交易记录!I570+交易记录!I603*交易记录!I634+交易记录!I667*交易记录!I698+交易记录!I731*交易记录!I762+交易记录!I795*交易记录!I826+交易记录!I859*交易记录!I890+交易记录!I923*交易记录!I954)/H94)</f>
        <v>372</v>
      </c>
      <c r="I127" s="14">
        <f>IF(I94=0,"",(交易记录!J27*交易记录!J58+交易记录!J91*交易记录!J122+交易记录!J155*交易记录!J186+交易记录!J219*交易记录!J250+交易记录!J283*交易记录!J314+交易记录!J347*交易记录!J378+交易记录!J411*交易记录!J442+交易记录!J475*交易记录!J506+交易记录!J539*交易记录!J570+交易记录!J603*交易记录!J634+交易记录!J667*交易记录!J698+交易记录!J731*交易记录!J762+交易记录!J795*交易记录!J826+交易记录!J859*交易记录!J890+交易记录!J923*交易记录!J954)/I94)</f>
        <v>371.99999999999994</v>
      </c>
      <c r="J127" s="14">
        <f>IF(J94=0,"",(交易记录!K27*交易记录!K58+交易记录!K91*交易记录!K122+交易记录!K155*交易记录!K186+交易记录!K219*交易记录!K250+交易记录!K283*交易记录!K314+交易记录!K347*交易记录!K378+交易记录!K411*交易记录!K442+交易记录!K475*交易记录!K506+交易记录!K539*交易记录!K570+交易记录!K603*交易记录!K634+交易记录!K667*交易记录!K698+交易记录!K731*交易记录!K762+交易记录!K795*交易记录!K826+交易记录!K859*交易记录!K890+交易记录!K923*交易记录!K954)/J94)</f>
        <v>371.99999999999994</v>
      </c>
      <c r="K127" s="14">
        <f>IF(K94=0,"",(交易记录!L27*交易记录!L58+交易记录!L91*交易记录!L122+交易记录!L155*交易记录!L186+交易记录!L219*交易记录!L250+交易记录!L283*交易记录!L314+交易记录!L347*交易记录!L378+交易记录!L411*交易记录!L442+交易记录!L475*交易记录!L506+交易记录!L539*交易记录!L570+交易记录!L603*交易记录!L634+交易记录!L667*交易记录!L698+交易记录!L731*交易记录!L762+交易记录!L795*交易记录!L826+交易记录!L859*交易记录!L890+交易记录!L923*交易记录!L954)/K94)</f>
        <v>371.99999999999994</v>
      </c>
      <c r="L127" s="14">
        <f>IF(L94=0,"",(交易记录!M27*交易记录!M58+交易记录!M91*交易记录!M122+交易记录!M155*交易记录!M186+交易记录!M219*交易记录!M250+交易记录!M283*交易记录!M314+交易记录!M347*交易记录!M378+交易记录!M411*交易记录!M442+交易记录!M475*交易记录!M506+交易记录!M539*交易记录!M570+交易记录!M603*交易记录!M634+交易记录!M667*交易记录!M698+交易记录!M731*交易记录!M762+交易记录!M795*交易记录!M826+交易记录!M859*交易记录!M890+交易记录!M923*交易记录!M954)/L94)</f>
        <v>371.99999999999994</v>
      </c>
      <c r="M127" s="14">
        <f>IF(M94=0,"",(交易记录!N27*交易记录!N58+交易记录!N91*交易记录!N122+交易记录!N155*交易记录!N186+交易记录!N219*交易记录!N250+交易记录!N283*交易记录!N314+交易记录!N347*交易记录!N378+交易记录!N411*交易记录!N442+交易记录!N475*交易记录!N506+交易记录!N539*交易记录!N570+交易记录!N603*交易记录!N634+交易记录!N667*交易记录!N698+交易记录!N731*交易记录!N762+交易记录!N795*交易记录!N826+交易记录!N859*交易记录!N890+交易记录!N923*交易记录!N954)/M94)</f>
        <v>371.99999999999994</v>
      </c>
      <c r="N127" s="14">
        <f>IF(N94=0,"",(交易记录!O27*交易记录!O58+交易记录!O91*交易记录!O122+交易记录!O155*交易记录!O186+交易记录!O219*交易记录!O250+交易记录!O283*交易记录!O314+交易记录!O347*交易记录!O378+交易记录!O411*交易记录!O442+交易记录!O475*交易记录!O506+交易记录!O539*交易记录!O570+交易记录!O603*交易记录!O634+交易记录!O667*交易记录!O698+交易记录!O731*交易记录!O762+交易记录!O795*交易记录!O826+交易记录!O859*交易记录!O890+交易记录!O923*交易记录!O954)/N94)</f>
        <v>372</v>
      </c>
      <c r="O127" s="14">
        <f>IF(O94=0,"",(交易记录!P27*交易记录!P58+交易记录!P91*交易记录!P122+交易记录!P155*交易记录!P186+交易记录!P219*交易记录!P250+交易记录!P283*交易记录!P314+交易记录!P347*交易记录!P378+交易记录!P411*交易记录!P442+交易记录!P475*交易记录!P506+交易记录!P539*交易记录!P570+交易记录!P603*交易记录!P634+交易记录!P667*交易记录!P698+交易记录!P731*交易记录!P762+交易记录!P795*交易记录!P826+交易记录!P859*交易记录!P890+交易记录!P923*交易记录!P954)/O94)</f>
        <v>372</v>
      </c>
      <c r="P127" s="14">
        <f>IF(P94=0,"",(交易记录!Q27*交易记录!Q58+交易记录!Q91*交易记录!Q122+交易记录!Q155*交易记录!Q186+交易记录!Q219*交易记录!Q250+交易记录!Q283*交易记录!Q314+交易记录!Q347*交易记录!Q378+交易记录!Q411*交易记录!Q442+交易记录!Q475*交易记录!Q506+交易记录!Q539*交易记录!Q570+交易记录!Q603*交易记录!Q634+交易记录!Q667*交易记录!Q698+交易记录!Q731*交易记录!Q762+交易记录!Q795*交易记录!Q826+交易记录!Q859*交易记录!Q890+交易记录!Q923*交易记录!Q954)/P94)</f>
        <v>371.99999999999994</v>
      </c>
      <c r="Q127" s="14">
        <f>IF(Q94=0,"",(交易记录!R27*交易记录!R58+交易记录!R91*交易记录!R122+交易记录!R155*交易记录!R186+交易记录!R219*交易记录!R250+交易记录!R283*交易记录!R314+交易记录!R347*交易记录!R378+交易记录!R411*交易记录!R442+交易记录!R475*交易记录!R506+交易记录!R539*交易记录!R570+交易记录!R603*交易记录!R634+交易记录!R667*交易记录!R698+交易记录!R731*交易记录!R762+交易记录!R795*交易记录!R826+交易记录!R859*交易记录!R890+交易记录!R923*交易记录!R954)/Q94)</f>
        <v>371.99999999999994</v>
      </c>
      <c r="R127" s="14">
        <f>IF(R94=0,"",(交易记录!S27*交易记录!S58+交易记录!S91*交易记录!S122+交易记录!S155*交易记录!S186+交易记录!S219*交易记录!S250+交易记录!S283*交易记录!S314+交易记录!S347*交易记录!S378+交易记录!S411*交易记录!S442+交易记录!S475*交易记录!S506+交易记录!S539*交易记录!S570+交易记录!S603*交易记录!S634+交易记录!S667*交易记录!S698+交易记录!S731*交易记录!S762+交易记录!S795*交易记录!S826+交易记录!S859*交易记录!S890+交易记录!S923*交易记录!S954)/R94)</f>
        <v>371.99999999999994</v>
      </c>
      <c r="S127" s="14">
        <f>IF(S94=0,"",(交易记录!T27*交易记录!T58+交易记录!T91*交易记录!T122+交易记录!T155*交易记录!T186+交易记录!T219*交易记录!T250+交易记录!T283*交易记录!T314+交易记录!T347*交易记录!T378+交易记录!T411*交易记录!T442+交易记录!T475*交易记录!T506+交易记录!T539*交易记录!T570+交易记录!T603*交易记录!T634+交易记录!T667*交易记录!T698+交易记录!T731*交易记录!T762+交易记录!T795*交易记录!T826+交易记录!T859*交易记录!T890+交易记录!T923*交易记录!T954)/S94)</f>
        <v>371.99999999999994</v>
      </c>
      <c r="T127" s="14">
        <f>IF(T94=0,"",(交易记录!U27*交易记录!U58+交易记录!U91*交易记录!U122+交易记录!U155*交易记录!U186+交易记录!U219*交易记录!U250+交易记录!U283*交易记录!U314+交易记录!U347*交易记录!U378+交易记录!U411*交易记录!U442+交易记录!U475*交易记录!U506+交易记录!U539*交易记录!U570+交易记录!U603*交易记录!U634+交易记录!U667*交易记录!U698+交易记录!U731*交易记录!U762+交易记录!U795*交易记录!U826+交易记录!U859*交易记录!U890+交易记录!U923*交易记录!U954)/T94)</f>
        <v>371.99999999999994</v>
      </c>
      <c r="U127" s="14">
        <f>IF(U94=0,"",(交易记录!V27*交易记录!V58+交易记录!V91*交易记录!V122+交易记录!V155*交易记录!V186+交易记录!V219*交易记录!V250+交易记录!V283*交易记录!V314+交易记录!V347*交易记录!V378+交易记录!V411*交易记录!V442+交易记录!V475*交易记录!V506+交易记录!V539*交易记录!V570+交易记录!V603*交易记录!V634+交易记录!V667*交易记录!V698+交易记录!V731*交易记录!V762+交易记录!V795*交易记录!V826+交易记录!V859*交易记录!V890+交易记录!V923*交易记录!V954)/U94)</f>
        <v>372</v>
      </c>
      <c r="V127" s="14">
        <f>IF(V94=0,"",(交易记录!W27*交易记录!W58+交易记录!W91*交易记录!W122+交易记录!W155*交易记录!W186+交易记录!W219*交易记录!W250+交易记录!W283*交易记录!W314+交易记录!W347*交易记录!W378+交易记录!W411*交易记录!W442+交易记录!W475*交易记录!W506+交易记录!W539*交易记录!W570+交易记录!W603*交易记录!W634+交易记录!W667*交易记录!W698+交易记录!W731*交易记录!W762+交易记录!W795*交易记录!W826+交易记录!W859*交易记录!W890+交易记录!W923*交易记录!W954)/V94)</f>
        <v>372</v>
      </c>
      <c r="W127" s="14">
        <f>IF(W94=0,"",(交易记录!X27*交易记录!X58+交易记录!X91*交易记录!X122+交易记录!X155*交易记录!X186+交易记录!X219*交易记录!X250+交易记录!X283*交易记录!X314+交易记录!X347*交易记录!X378+交易记录!X411*交易记录!X442+交易记录!X475*交易记录!X506+交易记录!X539*交易记录!X570+交易记录!X603*交易记录!X634+交易记录!X667*交易记录!X698+交易记录!X731*交易记录!X762+交易记录!X795*交易记录!X826+交易记录!X859*交易记录!X890+交易记录!X923*交易记录!X954)/W94)</f>
        <v>371.99999999999994</v>
      </c>
      <c r="X127" s="14">
        <f>IF(X94=0,"",(交易记录!Y27*交易记录!Y58+交易记录!Y91*交易记录!Y122+交易记录!Y155*交易记录!Y186+交易记录!Y219*交易记录!Y250+交易记录!Y283*交易记录!Y314+交易记录!Y347*交易记录!Y378+交易记录!Y411*交易记录!Y442+交易记录!Y475*交易记录!Y506+交易记录!Y539*交易记录!Y570+交易记录!Y603*交易记录!Y634+交易记录!Y667*交易记录!Y698+交易记录!Y731*交易记录!Y762+交易记录!Y795*交易记录!Y826+交易记录!Y859*交易记录!Y890+交易记录!Y923*交易记录!Y954)/X94)</f>
        <v>371.99999999999994</v>
      </c>
      <c r="Y127" s="14">
        <f>IF(Y94=0,"",(交易记录!Z27*交易记录!Z58+交易记录!Z91*交易记录!Z122+交易记录!Z155*交易记录!Z186+交易记录!Z219*交易记录!Z250+交易记录!Z283*交易记录!Z314+交易记录!Z347*交易记录!Z378+交易记录!Z411*交易记录!Z442+交易记录!Z475*交易记录!Z506+交易记录!Z539*交易记录!Z570+交易记录!Z603*交易记录!Z634+交易记录!Z667*交易记录!Z698+交易记录!Z731*交易记录!Z762+交易记录!Z795*交易记录!Z826+交易记录!Z859*交易记录!Z890+交易记录!Z923*交易记录!Z954)/Y94)</f>
        <v>371.99999999999994</v>
      </c>
      <c r="Z127" s="14">
        <f>IF(Z94=0,"",(交易记录!AA27*交易记录!AA58+交易记录!AA91*交易记录!AA122+交易记录!AA155*交易记录!AA186+交易记录!AA219*交易记录!AA250+交易记录!AA283*交易记录!AA314+交易记录!AA347*交易记录!AA378+交易记录!AA411*交易记录!AA442+交易记录!AA475*交易记录!AA506+交易记录!AA539*交易记录!AA570+交易记录!AA603*交易记录!AA634+交易记录!AA667*交易记录!AA698+交易记录!AA731*交易记录!AA762+交易记录!AA795*交易记录!AA826+交易记录!AA859*交易记录!AA890+交易记录!AA923*交易记录!AA954)/Z94)</f>
        <v>371.99999999999994</v>
      </c>
      <c r="AA127" s="14">
        <f>IF(AA94=0,"",(交易记录!AB27*交易记录!AB58+交易记录!AB91*交易记录!AB122+交易记录!AB155*交易记录!AB186+交易记录!AB219*交易记录!AB250+交易记录!AB283*交易记录!AB314+交易记录!AB347*交易记录!AB378+交易记录!AB411*交易记录!AB442+交易记录!AB475*交易记录!AB506+交易记录!AB539*交易记录!AB570+交易记录!AB603*交易记录!AB634+交易记录!AB667*交易记录!AB698+交易记录!AB731*交易记录!AB762+交易记录!AB795*交易记录!AB826+交易记录!AB859*交易记录!AB890+交易记录!AB923*交易记录!AB954)/AA94)</f>
        <v>371.99999999999994</v>
      </c>
      <c r="AB127" s="14">
        <f>IF(AB94=0,"",(交易记录!AC27*交易记录!AC58+交易记录!AC91*交易记录!AC122+交易记录!AC155*交易记录!AC186+交易记录!AC219*交易记录!AC250+交易记录!AC283*交易记录!AC314+交易记录!AC347*交易记录!AC378+交易记录!AC411*交易记录!AC442+交易记录!AC475*交易记录!AC506+交易记录!AC539*交易记录!AC570+交易记录!AC603*交易记录!AC634+交易记录!AC667*交易记录!AC698+交易记录!AC731*交易记录!AC762+交易记录!AC795*交易记录!AC826+交易记录!AC859*交易记录!AC890+交易记录!AC923*交易记录!AC954)/AB94)</f>
        <v>372</v>
      </c>
      <c r="AC127" s="14">
        <f>IF(AC94=0,"",(交易记录!AD27*交易记录!AD58+交易记录!AD91*交易记录!AD122+交易记录!AD155*交易记录!AD186+交易记录!AD219*交易记录!AD250+交易记录!AD283*交易记录!AD314+交易记录!AD347*交易记录!AD378+交易记录!AD411*交易记录!AD442+交易记录!AD475*交易记录!AD506+交易记录!AD539*交易记录!AD570+交易记录!AD603*交易记录!AD634+交易记录!AD667*交易记录!AD698+交易记录!AD731*交易记录!AD762+交易记录!AD795*交易记录!AD826+交易记录!AD859*交易记录!AD890+交易记录!AD923*交易记录!AD954)/AC94)</f>
        <v>372</v>
      </c>
      <c r="AD127" s="14">
        <f>IF(AD94=0,"",(交易记录!AE27*交易记录!AE58+交易记录!AE91*交易记录!AE122+交易记录!AE155*交易记录!AE186+交易记录!AE219*交易记录!AE250+交易记录!AE283*交易记录!AE314+交易记录!AE347*交易记录!AE378+交易记录!AE411*交易记录!AE442+交易记录!AE475*交易记录!AE506+交易记录!AE539*交易记录!AE570+交易记录!AE603*交易记录!AE634+交易记录!AE667*交易记录!AE698+交易记录!AE731*交易记录!AE762+交易记录!AE795*交易记录!AE826+交易记录!AE859*交易记录!AE890+交易记录!AE923*交易记录!AE954)/AD94)</f>
        <v>371.99999999999994</v>
      </c>
      <c r="AE127" s="14">
        <f>IF(AE94=0,"",(交易记录!AF27*交易记录!AF58+交易记录!AF91*交易记录!AF122+交易记录!AF155*交易记录!AF186+交易记录!AF219*交易记录!AF250+交易记录!AF283*交易记录!AF314+交易记录!AF347*交易记录!AF378+交易记录!AF411*交易记录!AF442+交易记录!AF475*交易记录!AF506+交易记录!AF539*交易记录!AF570+交易记录!AF603*交易记录!AF634+交易记录!AF667*交易记录!AF698+交易记录!AF731*交易记录!AF762+交易记录!AF795*交易记录!AF826+交易记录!AF859*交易记录!AF890+交易记录!AF923*交易记录!AF954)/AE94)</f>
        <v>371.99999999999994</v>
      </c>
      <c r="AF127" s="14">
        <f>IF(AF94=0,"",(交易记录!AG27*交易记录!AG58+交易记录!AG91*交易记录!AG122+交易记录!AG155*交易记录!AG186+交易记录!AG219*交易记录!AG250+交易记录!AG283*交易记录!AG314+交易记录!AG347*交易记录!AG378+交易记录!AG411*交易记录!AG442+交易记录!AG475*交易记录!AG506+交易记录!AG539*交易记录!AG570+交易记录!AG603*交易记录!AG634+交易记录!AG667*交易记录!AG698+交易记录!AG731*交易记录!AG762+交易记录!AG795*交易记录!AG826+交易记录!AG859*交易记录!AG890+交易记录!AG923*交易记录!AG954)/AF94)</f>
        <v>371.99999999999994</v>
      </c>
      <c r="AG127" s="14">
        <f>IF(AG94=0,"",(交易记录!AH27*交易记录!AH58+交易记录!AH91*交易记录!AH122+交易记录!AH155*交易记录!AH186+交易记录!AH219*交易记录!AH250+交易记录!AH283*交易记录!AH314+交易记录!AH347*交易记录!AH378+交易记录!AH411*交易记录!AH442+交易记录!AH475*交易记录!AH506+交易记录!AH539*交易记录!AH570+交易记录!AH603*交易记录!AH634+交易记录!AH667*交易记录!AH698+交易记录!AH731*交易记录!AH762+交易记录!AH795*交易记录!AH826+交易记录!AH859*交易记录!AH890+交易记录!AH923*交易记录!AH954)/AG94)</f>
        <v>371.99999999999994</v>
      </c>
    </row>
    <row r="128" spans="2:33" s="3" customFormat="1" ht="15">
      <c r="B128" s="7" t="s">
        <v>29</v>
      </c>
      <c r="C128" s="14">
        <f>IF(C95=0,"",(交易记录!D28*交易记录!D59+交易记录!D92*交易记录!D123+交易记录!D156*交易记录!D187+交易记录!D220*交易记录!D251+交易记录!D284*交易记录!D315+交易记录!D348*交易记录!D379+交易记录!D412*交易记录!D443+交易记录!D476*交易记录!D507+交易记录!D540*交易记录!D571+交易记录!D604*交易记录!D635+交易记录!D668*交易记录!D699+交易记录!D732*交易记录!D763+交易记录!D796*交易记录!D827+交易记录!D860*交易记录!D891+交易记录!D924*交易记录!D955)/C95)</f>
        <v>372</v>
      </c>
      <c r="D128" s="14">
        <f>IF(D95=0,"",(交易记录!E28*交易记录!E59+交易记录!E92*交易记录!E123+交易记录!E156*交易记录!E187+交易记录!E220*交易记录!E251+交易记录!E284*交易记录!E315+交易记录!E348*交易记录!E379+交易记录!E412*交易记录!E443+交易记录!E476*交易记录!E507+交易记录!E540*交易记录!E571+交易记录!E604*交易记录!E635+交易记录!E668*交易记录!E699+交易记录!E732*交易记录!E763+交易记录!E796*交易记录!E827+交易记录!E860*交易记录!E891+交易记录!E924*交易记录!E955)/D95)</f>
        <v>372</v>
      </c>
      <c r="E128" s="14">
        <f>IF(E95=0,"",(交易记录!F28*交易记录!F59+交易记录!F92*交易记录!F123+交易记录!F156*交易记录!F187+交易记录!F220*交易记录!F251+交易记录!F284*交易记录!F315+交易记录!F348*交易记录!F379+交易记录!F412*交易记录!F443+交易记录!F476*交易记录!F507+交易记录!F540*交易记录!F571+交易记录!F604*交易记录!F635+交易记录!F668*交易记录!F699+交易记录!F732*交易记录!F763+交易记录!F796*交易记录!F827+交易记录!F860*交易记录!F891+交易记录!F924*交易记录!F955)/E95)</f>
        <v>372</v>
      </c>
      <c r="F128" s="14">
        <f>IF(F95=0,"",(交易记录!G28*交易记录!G59+交易记录!G92*交易记录!G123+交易记录!G156*交易记录!G187+交易记录!G220*交易记录!G251+交易记录!G284*交易记录!G315+交易记录!G348*交易记录!G379+交易记录!G412*交易记录!G443+交易记录!G476*交易记录!G507+交易记录!G540*交易记录!G571+交易记录!G604*交易记录!G635+交易记录!G668*交易记录!G699+交易记录!G732*交易记录!G763+交易记录!G796*交易记录!G827+交易记录!G860*交易记录!G891+交易记录!G924*交易记录!G955)/F95)</f>
        <v>372</v>
      </c>
      <c r="G128" s="14">
        <f>IF(G95=0,"",(交易记录!H28*交易记录!H59+交易记录!H92*交易记录!H123+交易记录!H156*交易记录!H187+交易记录!H220*交易记录!H251+交易记录!H284*交易记录!H315+交易记录!H348*交易记录!H379+交易记录!H412*交易记录!H443+交易记录!H476*交易记录!H507+交易记录!H540*交易记录!H571+交易记录!H604*交易记录!H635+交易记录!H668*交易记录!H699+交易记录!H732*交易记录!H763+交易记录!H796*交易记录!H827+交易记录!H860*交易记录!H891+交易记录!H924*交易记录!H955)/G95)</f>
        <v>371.99999999999994</v>
      </c>
      <c r="H128" s="14">
        <f>IF(H95=0,"",(交易记录!I28*交易记录!I59+交易记录!I92*交易记录!I123+交易记录!I156*交易记录!I187+交易记录!I220*交易记录!I251+交易记录!I284*交易记录!I315+交易记录!I348*交易记录!I379+交易记录!I412*交易记录!I443+交易记录!I476*交易记录!I507+交易记录!I540*交易记录!I571+交易记录!I604*交易记录!I635+交易记录!I668*交易记录!I699+交易记录!I732*交易记录!I763+交易记录!I796*交易记录!I827+交易记录!I860*交易记录!I891+交易记录!I924*交易记录!I955)/H95)</f>
        <v>371.99999999999994</v>
      </c>
      <c r="I128" s="14">
        <f>IF(I95=0,"",(交易记录!J28*交易记录!J59+交易记录!J92*交易记录!J123+交易记录!J156*交易记录!J187+交易记录!J220*交易记录!J251+交易记录!J284*交易记录!J315+交易记录!J348*交易记录!J379+交易记录!J412*交易记录!J443+交易记录!J476*交易记录!J507+交易记录!J540*交易记录!J571+交易记录!J604*交易记录!J635+交易记录!J668*交易记录!J699+交易记录!J732*交易记录!J763+交易记录!J796*交易记录!J827+交易记录!J860*交易记录!J891+交易记录!J924*交易记录!J955)/I95)</f>
        <v>372</v>
      </c>
      <c r="J128" s="14">
        <f>IF(J95=0,"",(交易记录!K28*交易记录!K59+交易记录!K92*交易记录!K123+交易记录!K156*交易记录!K187+交易记录!K220*交易记录!K251+交易记录!K284*交易记录!K315+交易记录!K348*交易记录!K379+交易记录!K412*交易记录!K443+交易记录!K476*交易记录!K507+交易记录!K540*交易记录!K571+交易记录!K604*交易记录!K635+交易记录!K668*交易记录!K699+交易记录!K732*交易记录!K763+交易记录!K796*交易记录!K827+交易记录!K860*交易记录!K891+交易记录!K924*交易记录!K955)/J95)</f>
        <v>372</v>
      </c>
      <c r="K128" s="14">
        <f>IF(K95=0,"",(交易记录!L28*交易记录!L59+交易记录!L92*交易记录!L123+交易记录!L156*交易记录!L187+交易记录!L220*交易记录!L251+交易记录!L284*交易记录!L315+交易记录!L348*交易记录!L379+交易记录!L412*交易记录!L443+交易记录!L476*交易记录!L507+交易记录!L540*交易记录!L571+交易记录!L604*交易记录!L635+交易记录!L668*交易记录!L699+交易记录!L732*交易记录!L763+交易记录!L796*交易记录!L827+交易记录!L860*交易记录!L891+交易记录!L924*交易记录!L955)/K95)</f>
        <v>372</v>
      </c>
      <c r="L128" s="14">
        <f>IF(L95=0,"",(交易记录!M28*交易记录!M59+交易记录!M92*交易记录!M123+交易记录!M156*交易记录!M187+交易记录!M220*交易记录!M251+交易记录!M284*交易记录!M315+交易记录!M348*交易记录!M379+交易记录!M412*交易记录!M443+交易记录!M476*交易记录!M507+交易记录!M540*交易记录!M571+交易记录!M604*交易记录!M635+交易记录!M668*交易记录!M699+交易记录!M732*交易记录!M763+交易记录!M796*交易记录!M827+交易记录!M860*交易记录!M891+交易记录!M924*交易记录!M955)/L95)</f>
        <v>372</v>
      </c>
      <c r="M128" s="14">
        <f>IF(M95=0,"",(交易记录!N28*交易记录!N59+交易记录!N92*交易记录!N123+交易记录!N156*交易记录!N187+交易记录!N220*交易记录!N251+交易记录!N284*交易记录!N315+交易记录!N348*交易记录!N379+交易记录!N412*交易记录!N443+交易记录!N476*交易记录!N507+交易记录!N540*交易记录!N571+交易记录!N604*交易记录!N635+交易记录!N668*交易记录!N699+交易记录!N732*交易记录!N763+交易记录!N796*交易记录!N827+交易记录!N860*交易记录!N891+交易记录!N924*交易记录!N955)/M95)</f>
        <v>372</v>
      </c>
      <c r="N128" s="14">
        <f>IF(N95=0,"",(交易记录!O28*交易记录!O59+交易记录!O92*交易记录!O123+交易记录!O156*交易记录!O187+交易记录!O220*交易记录!O251+交易记录!O284*交易记录!O315+交易记录!O348*交易记录!O379+交易记录!O412*交易记录!O443+交易记录!O476*交易记录!O507+交易记录!O540*交易记录!O571+交易记录!O604*交易记录!O635+交易记录!O668*交易记录!O699+交易记录!O732*交易记录!O763+交易记录!O796*交易记录!O827+交易记录!O860*交易记录!O891+交易记录!O924*交易记录!O955)/N95)</f>
        <v>371.99999999999994</v>
      </c>
      <c r="O128" s="14">
        <f>IF(O95=0,"",(交易记录!P28*交易记录!P59+交易记录!P92*交易记录!P123+交易记录!P156*交易记录!P187+交易记录!P220*交易记录!P251+交易记录!P284*交易记录!P315+交易记录!P348*交易记录!P379+交易记录!P412*交易记录!P443+交易记录!P476*交易记录!P507+交易记录!P540*交易记录!P571+交易记录!P604*交易记录!P635+交易记录!P668*交易记录!P699+交易记录!P732*交易记录!P763+交易记录!P796*交易记录!P827+交易记录!P860*交易记录!P891+交易记录!P924*交易记录!P955)/O95)</f>
        <v>371.99999999999994</v>
      </c>
      <c r="P128" s="14">
        <f>IF(P95=0,"",(交易记录!Q28*交易记录!Q59+交易记录!Q92*交易记录!Q123+交易记录!Q156*交易记录!Q187+交易记录!Q220*交易记录!Q251+交易记录!Q284*交易记录!Q315+交易记录!Q348*交易记录!Q379+交易记录!Q412*交易记录!Q443+交易记录!Q476*交易记录!Q507+交易记录!Q540*交易记录!Q571+交易记录!Q604*交易记录!Q635+交易记录!Q668*交易记录!Q699+交易记录!Q732*交易记录!Q763+交易记录!Q796*交易记录!Q827+交易记录!Q860*交易记录!Q891+交易记录!Q924*交易记录!Q955)/P95)</f>
        <v>372</v>
      </c>
      <c r="Q128" s="14">
        <f>IF(Q95=0,"",(交易记录!R28*交易记录!R59+交易记录!R92*交易记录!R123+交易记录!R156*交易记录!R187+交易记录!R220*交易记录!R251+交易记录!R284*交易记录!R315+交易记录!R348*交易记录!R379+交易记录!R412*交易记录!R443+交易记录!R476*交易记录!R507+交易记录!R540*交易记录!R571+交易记录!R604*交易记录!R635+交易记录!R668*交易记录!R699+交易记录!R732*交易记录!R763+交易记录!R796*交易记录!R827+交易记录!R860*交易记录!R891+交易记录!R924*交易记录!R955)/Q95)</f>
        <v>372</v>
      </c>
      <c r="R128" s="14">
        <f>IF(R95=0,"",(交易记录!S28*交易记录!S59+交易记录!S92*交易记录!S123+交易记录!S156*交易记录!S187+交易记录!S220*交易记录!S251+交易记录!S284*交易记录!S315+交易记录!S348*交易记录!S379+交易记录!S412*交易记录!S443+交易记录!S476*交易记录!S507+交易记录!S540*交易记录!S571+交易记录!S604*交易记录!S635+交易记录!S668*交易记录!S699+交易记录!S732*交易记录!S763+交易记录!S796*交易记录!S827+交易记录!S860*交易记录!S891+交易记录!S924*交易记录!S955)/R95)</f>
        <v>372</v>
      </c>
      <c r="S128" s="14">
        <f>IF(S95=0,"",(交易记录!T28*交易记录!T59+交易记录!T92*交易记录!T123+交易记录!T156*交易记录!T187+交易记录!T220*交易记录!T251+交易记录!T284*交易记录!T315+交易记录!T348*交易记录!T379+交易记录!T412*交易记录!T443+交易记录!T476*交易记录!T507+交易记录!T540*交易记录!T571+交易记录!T604*交易记录!T635+交易记录!T668*交易记录!T699+交易记录!T732*交易记录!T763+交易记录!T796*交易记录!T827+交易记录!T860*交易记录!T891+交易记录!T924*交易记录!T955)/S95)</f>
        <v>372</v>
      </c>
      <c r="T128" s="14">
        <f>IF(T95=0,"",(交易记录!U28*交易记录!U59+交易记录!U92*交易记录!U123+交易记录!U156*交易记录!U187+交易记录!U220*交易记录!U251+交易记录!U284*交易记录!U315+交易记录!U348*交易记录!U379+交易记录!U412*交易记录!U443+交易记录!U476*交易记录!U507+交易记录!U540*交易记录!U571+交易记录!U604*交易记录!U635+交易记录!U668*交易记录!U699+交易记录!U732*交易记录!U763+交易记录!U796*交易记录!U827+交易记录!U860*交易记录!U891+交易记录!U924*交易记录!U955)/T95)</f>
        <v>372</v>
      </c>
      <c r="U128" s="14">
        <f>IF(U95=0,"",(交易记录!V28*交易记录!V59+交易记录!V92*交易记录!V123+交易记录!V156*交易记录!V187+交易记录!V220*交易记录!V251+交易记录!V284*交易记录!V315+交易记录!V348*交易记录!V379+交易记录!V412*交易记录!V443+交易记录!V476*交易记录!V507+交易记录!V540*交易记录!V571+交易记录!V604*交易记录!V635+交易记录!V668*交易记录!V699+交易记录!V732*交易记录!V763+交易记录!V796*交易记录!V827+交易记录!V860*交易记录!V891+交易记录!V924*交易记录!V955)/U95)</f>
        <v>371.99999999999994</v>
      </c>
      <c r="V128" s="14">
        <f>IF(V95=0,"",(交易记录!W28*交易记录!W59+交易记录!W92*交易记录!W123+交易记录!W156*交易记录!W187+交易记录!W220*交易记录!W251+交易记录!W284*交易记录!W315+交易记录!W348*交易记录!W379+交易记录!W412*交易记录!W443+交易记录!W476*交易记录!W507+交易记录!W540*交易记录!W571+交易记录!W604*交易记录!W635+交易记录!W668*交易记录!W699+交易记录!W732*交易记录!W763+交易记录!W796*交易记录!W827+交易记录!W860*交易记录!W891+交易记录!W924*交易记录!W955)/V95)</f>
        <v>371.99999999999994</v>
      </c>
      <c r="W128" s="14">
        <f>IF(W95=0,"",(交易记录!X28*交易记录!X59+交易记录!X92*交易记录!X123+交易记录!X156*交易记录!X187+交易记录!X220*交易记录!X251+交易记录!X284*交易记录!X315+交易记录!X348*交易记录!X379+交易记录!X412*交易记录!X443+交易记录!X476*交易记录!X507+交易记录!X540*交易记录!X571+交易记录!X604*交易记录!X635+交易记录!X668*交易记录!X699+交易记录!X732*交易记录!X763+交易记录!X796*交易记录!X827+交易记录!X860*交易记录!X891+交易记录!X924*交易记录!X955)/W95)</f>
        <v>372</v>
      </c>
      <c r="X128" s="14">
        <f>IF(X95=0,"",(交易记录!Y28*交易记录!Y59+交易记录!Y92*交易记录!Y123+交易记录!Y156*交易记录!Y187+交易记录!Y220*交易记录!Y251+交易记录!Y284*交易记录!Y315+交易记录!Y348*交易记录!Y379+交易记录!Y412*交易记录!Y443+交易记录!Y476*交易记录!Y507+交易记录!Y540*交易记录!Y571+交易记录!Y604*交易记录!Y635+交易记录!Y668*交易记录!Y699+交易记录!Y732*交易记录!Y763+交易记录!Y796*交易记录!Y827+交易记录!Y860*交易记录!Y891+交易记录!Y924*交易记录!Y955)/X95)</f>
        <v>372</v>
      </c>
      <c r="Y128" s="14">
        <f>IF(Y95=0,"",(交易记录!Z28*交易记录!Z59+交易记录!Z92*交易记录!Z123+交易记录!Z156*交易记录!Z187+交易记录!Z220*交易记录!Z251+交易记录!Z284*交易记录!Z315+交易记录!Z348*交易记录!Z379+交易记录!Z412*交易记录!Z443+交易记录!Z476*交易记录!Z507+交易记录!Z540*交易记录!Z571+交易记录!Z604*交易记录!Z635+交易记录!Z668*交易记录!Z699+交易记录!Z732*交易记录!Z763+交易记录!Z796*交易记录!Z827+交易记录!Z860*交易记录!Z891+交易记录!Z924*交易记录!Z955)/Y95)</f>
        <v>372</v>
      </c>
      <c r="Z128" s="14">
        <f>IF(Z95=0,"",(交易记录!AA28*交易记录!AA59+交易记录!AA92*交易记录!AA123+交易记录!AA156*交易记录!AA187+交易记录!AA220*交易记录!AA251+交易记录!AA284*交易记录!AA315+交易记录!AA348*交易记录!AA379+交易记录!AA412*交易记录!AA443+交易记录!AA476*交易记录!AA507+交易记录!AA540*交易记录!AA571+交易记录!AA604*交易记录!AA635+交易记录!AA668*交易记录!AA699+交易记录!AA732*交易记录!AA763+交易记录!AA796*交易记录!AA827+交易记录!AA860*交易记录!AA891+交易记录!AA924*交易记录!AA955)/Z95)</f>
        <v>372</v>
      </c>
      <c r="AA128" s="14">
        <f>IF(AA95=0,"",(交易记录!AB28*交易记录!AB59+交易记录!AB92*交易记录!AB123+交易记录!AB156*交易记录!AB187+交易记录!AB220*交易记录!AB251+交易记录!AB284*交易记录!AB315+交易记录!AB348*交易记录!AB379+交易记录!AB412*交易记录!AB443+交易记录!AB476*交易记录!AB507+交易记录!AB540*交易记录!AB571+交易记录!AB604*交易记录!AB635+交易记录!AB668*交易记录!AB699+交易记录!AB732*交易记录!AB763+交易记录!AB796*交易记录!AB827+交易记录!AB860*交易记录!AB891+交易记录!AB924*交易记录!AB955)/AA95)</f>
        <v>372</v>
      </c>
      <c r="AB128" s="14">
        <f>IF(AB95=0,"",(交易记录!AC28*交易记录!AC59+交易记录!AC92*交易记录!AC123+交易记录!AC156*交易记录!AC187+交易记录!AC220*交易记录!AC251+交易记录!AC284*交易记录!AC315+交易记录!AC348*交易记录!AC379+交易记录!AC412*交易记录!AC443+交易记录!AC476*交易记录!AC507+交易记录!AC540*交易记录!AC571+交易记录!AC604*交易记录!AC635+交易记录!AC668*交易记录!AC699+交易记录!AC732*交易记录!AC763+交易记录!AC796*交易记录!AC827+交易记录!AC860*交易记录!AC891+交易记录!AC924*交易记录!AC955)/AB95)</f>
        <v>371.99999999999994</v>
      </c>
      <c r="AC128" s="14">
        <f>IF(AC95=0,"",(交易记录!AD28*交易记录!AD59+交易记录!AD92*交易记录!AD123+交易记录!AD156*交易记录!AD187+交易记录!AD220*交易记录!AD251+交易记录!AD284*交易记录!AD315+交易记录!AD348*交易记录!AD379+交易记录!AD412*交易记录!AD443+交易记录!AD476*交易记录!AD507+交易记录!AD540*交易记录!AD571+交易记录!AD604*交易记录!AD635+交易记录!AD668*交易记录!AD699+交易记录!AD732*交易记录!AD763+交易记录!AD796*交易记录!AD827+交易记录!AD860*交易记录!AD891+交易记录!AD924*交易记录!AD955)/AC95)</f>
        <v>371.99999999999994</v>
      </c>
      <c r="AD128" s="14">
        <f>IF(AD95=0,"",(交易记录!AE28*交易记录!AE59+交易记录!AE92*交易记录!AE123+交易记录!AE156*交易记录!AE187+交易记录!AE220*交易记录!AE251+交易记录!AE284*交易记录!AE315+交易记录!AE348*交易记录!AE379+交易记录!AE412*交易记录!AE443+交易记录!AE476*交易记录!AE507+交易记录!AE540*交易记录!AE571+交易记录!AE604*交易记录!AE635+交易记录!AE668*交易记录!AE699+交易记录!AE732*交易记录!AE763+交易记录!AE796*交易记录!AE827+交易记录!AE860*交易记录!AE891+交易记录!AE924*交易记录!AE955)/AD95)</f>
        <v>372</v>
      </c>
      <c r="AE128" s="14">
        <f>IF(AE95=0,"",(交易记录!AF28*交易记录!AF59+交易记录!AF92*交易记录!AF123+交易记录!AF156*交易记录!AF187+交易记录!AF220*交易记录!AF251+交易记录!AF284*交易记录!AF315+交易记录!AF348*交易记录!AF379+交易记录!AF412*交易记录!AF443+交易记录!AF476*交易记录!AF507+交易记录!AF540*交易记录!AF571+交易记录!AF604*交易记录!AF635+交易记录!AF668*交易记录!AF699+交易记录!AF732*交易记录!AF763+交易记录!AF796*交易记录!AF827+交易记录!AF860*交易记录!AF891+交易记录!AF924*交易记录!AF955)/AE95)</f>
        <v>372</v>
      </c>
      <c r="AF128" s="14">
        <f>IF(AF95=0,"",(交易记录!AG28*交易记录!AG59+交易记录!AG92*交易记录!AG123+交易记录!AG156*交易记录!AG187+交易记录!AG220*交易记录!AG251+交易记录!AG284*交易记录!AG315+交易记录!AG348*交易记录!AG379+交易记录!AG412*交易记录!AG443+交易记录!AG476*交易记录!AG507+交易记录!AG540*交易记录!AG571+交易记录!AG604*交易记录!AG635+交易记录!AG668*交易记录!AG699+交易记录!AG732*交易记录!AG763+交易记录!AG796*交易记录!AG827+交易记录!AG860*交易记录!AG891+交易记录!AG924*交易记录!AG955)/AF95)</f>
        <v>372</v>
      </c>
      <c r="AG128" s="14">
        <f>IF(AG95=0,"",(交易记录!AH28*交易记录!AH59+交易记录!AH92*交易记录!AH123+交易记录!AH156*交易记录!AH187+交易记录!AH220*交易记录!AH251+交易记录!AH284*交易记录!AH315+交易记录!AH348*交易记录!AH379+交易记录!AH412*交易记录!AH443+交易记录!AH476*交易记录!AH507+交易记录!AH540*交易记录!AH571+交易记录!AH604*交易记录!AH635+交易记录!AH668*交易记录!AH699+交易记录!AH732*交易记录!AH763+交易记录!AH796*交易记录!AH827+交易记录!AH860*交易记录!AH891+交易记录!AH924*交易记录!AH955)/AG95)</f>
        <v>372</v>
      </c>
    </row>
    <row r="129" spans="2:33" s="3" customFormat="1" ht="15.75" thickBot="1"/>
    <row r="130" spans="2:33" s="3" customFormat="1" ht="15.75" thickBot="1">
      <c r="B130" s="8" t="s">
        <v>63</v>
      </c>
      <c r="C130" s="9">
        <f t="shared" ref="C130:AC130" si="5">SUMPRODUCT(C105:C128,C72:C95)/SUM(C72:C95)</f>
        <v>371.99999999999994</v>
      </c>
      <c r="D130" s="10">
        <f t="shared" si="5"/>
        <v>372</v>
      </c>
      <c r="E130" s="10">
        <f t="shared" si="5"/>
        <v>372</v>
      </c>
      <c r="F130" s="10">
        <f t="shared" si="5"/>
        <v>372</v>
      </c>
      <c r="G130" s="10">
        <f t="shared" si="5"/>
        <v>371.99999999999994</v>
      </c>
      <c r="H130" s="10">
        <f t="shared" si="5"/>
        <v>371.99999999999994</v>
      </c>
      <c r="I130" s="10">
        <f t="shared" si="5"/>
        <v>372</v>
      </c>
      <c r="J130" s="10">
        <f t="shared" si="5"/>
        <v>372</v>
      </c>
      <c r="K130" s="10">
        <f t="shared" si="5"/>
        <v>372</v>
      </c>
      <c r="L130" s="10">
        <f t="shared" si="5"/>
        <v>372</v>
      </c>
      <c r="M130" s="10">
        <f t="shared" si="5"/>
        <v>372</v>
      </c>
      <c r="N130" s="10">
        <f t="shared" si="5"/>
        <v>371.99999999999994</v>
      </c>
      <c r="O130" s="10">
        <f t="shared" si="5"/>
        <v>371.99999999999994</v>
      </c>
      <c r="P130" s="10">
        <f t="shared" si="5"/>
        <v>372</v>
      </c>
      <c r="Q130" s="10">
        <f t="shared" si="5"/>
        <v>372</v>
      </c>
      <c r="R130" s="10">
        <f t="shared" si="5"/>
        <v>372</v>
      </c>
      <c r="S130" s="10">
        <f t="shared" si="5"/>
        <v>372</v>
      </c>
      <c r="T130" s="10">
        <f t="shared" si="5"/>
        <v>372</v>
      </c>
      <c r="U130" s="10">
        <f t="shared" si="5"/>
        <v>371.99999999999994</v>
      </c>
      <c r="V130" s="10">
        <f t="shared" si="5"/>
        <v>371.99999999999994</v>
      </c>
      <c r="W130" s="10">
        <f t="shared" si="5"/>
        <v>372</v>
      </c>
      <c r="X130" s="10">
        <f t="shared" si="5"/>
        <v>372</v>
      </c>
      <c r="Y130" s="10">
        <f t="shared" si="5"/>
        <v>372</v>
      </c>
      <c r="Z130" s="10">
        <f t="shared" si="5"/>
        <v>372</v>
      </c>
      <c r="AA130" s="10">
        <f t="shared" si="5"/>
        <v>372</v>
      </c>
      <c r="AB130" s="10">
        <f t="shared" si="5"/>
        <v>371.99999999999994</v>
      </c>
      <c r="AC130" s="10">
        <f t="shared" si="5"/>
        <v>371.99999999999994</v>
      </c>
      <c r="AD130" s="10">
        <f>IFERROR(SUMPRODUCT(AD105:AD128,AD72:AD95)/SUM(AD72:AD95),"")</f>
        <v>372</v>
      </c>
      <c r="AE130" s="10">
        <f>IFERROR(SUMPRODUCT(AE105:AE128,AE72:AE95)/SUM(AE72:AE95),"")</f>
        <v>372</v>
      </c>
      <c r="AF130" s="10">
        <f>IFERROR(SUMPRODUCT(AF105:AF128,AF72:AF95)/SUM(AF72:AF95),"")</f>
        <v>372</v>
      </c>
      <c r="AG130" s="10">
        <f>IFERROR(SUMPRODUCT(AG105:AG128,AG72:AG95)/SUM(AG72:AG95),"")</f>
        <v>372</v>
      </c>
    </row>
    <row r="131" spans="2:33" s="3" customFormat="1" ht="15.75" thickBot="1"/>
    <row r="132" spans="2:33" ht="15.75" thickBot="1">
      <c r="B132" s="8" t="s">
        <v>64</v>
      </c>
      <c r="C132" s="12">
        <f>SUMPRODUCT(C130:AG130,C97:AG97)/SUM(C97:AG97)</f>
        <v>372.00000000000011</v>
      </c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</sheetData>
  <mergeCells count="4">
    <mergeCell ref="B70:AG70"/>
    <mergeCell ref="B103:AG103"/>
    <mergeCell ref="B1:AG1"/>
    <mergeCell ref="B36:AG36"/>
  </mergeCells>
  <phoneticPr fontId="2" type="noConversion"/>
  <conditionalFormatting sqref="C31">
    <cfRule type="cellIs" dxfId="6" priority="4" operator="lessThan">
      <formula>$F$31</formula>
    </cfRule>
  </conditionalFormatting>
  <conditionalFormatting sqref="C32">
    <cfRule type="cellIs" dxfId="5" priority="3" operator="lessThan">
      <formula>$F$32</formula>
    </cfRule>
  </conditionalFormatting>
  <conditionalFormatting sqref="C33">
    <cfRule type="cellIs" dxfId="4" priority="2" operator="greaterThan">
      <formula>$F$33</formula>
    </cfRule>
  </conditionalFormatting>
  <conditionalFormatting sqref="C34">
    <cfRule type="cellIs" dxfId="3" priority="1" operator="greaterThan">
      <formula>$F$34</formula>
    </cfRule>
  </conditionalFormatting>
  <conditionalFormatting sqref="C38:AG61">
    <cfRule type="cellIs" dxfId="2" priority="5" operator="lessThan">
      <formula>0</formula>
    </cfRule>
  </conditionalFormatting>
  <conditionalFormatting sqref="AH72:AH95">
    <cfRule type="cellIs" dxfId="1" priority="6" operator="lessThan">
      <formula>INDIRECT(ADDRESS(ROW(),COLUMN()+2))*0.9</formula>
    </cfRule>
    <cfRule type="cellIs" dxfId="0" priority="7" operator="greaterThan">
      <formula>INDIRECT(ADDRESS(ROW(),COLUMN()+2))*1.1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tabColor theme="9" tint="-0.249977111117893"/>
  </sheetPr>
  <dimension ref="A1:AU961"/>
  <sheetViews>
    <sheetView showGridLines="0" zoomScale="90" zoomScaleNormal="90" workbookViewId="0">
      <selection activeCell="AA7" sqref="AA7"/>
    </sheetView>
  </sheetViews>
  <sheetFormatPr defaultColWidth="8.625" defaultRowHeight="14.25"/>
  <cols>
    <col min="1" max="1" width="12.875" style="16" customWidth="1"/>
    <col min="2" max="2" width="1.5" style="16" customWidth="1"/>
    <col min="3" max="3" width="12.375" style="16" customWidth="1"/>
    <col min="4" max="35" width="8.625" style="16"/>
    <col min="36" max="36" width="8.25" style="16" customWidth="1"/>
    <col min="37" max="37" width="9.5" style="16" bestFit="1" customWidth="1"/>
    <col min="38" max="38" width="6.75" style="17" bestFit="1" customWidth="1"/>
    <col min="39" max="39" width="9.5" style="17" bestFit="1" customWidth="1"/>
    <col min="40" max="40" width="6.75" style="17" bestFit="1" customWidth="1"/>
    <col min="41" max="41" width="9.5" style="17" bestFit="1" customWidth="1"/>
    <col min="42" max="42" width="8.5" style="17" customWidth="1"/>
    <col min="43" max="44" width="9.75" style="17" customWidth="1"/>
    <col min="45" max="45" width="8.25" style="17" customWidth="1"/>
    <col min="46" max="46" width="8" style="19" customWidth="1"/>
    <col min="47" max="47" width="6.75" style="20" customWidth="1"/>
    <col min="48" max="16384" width="8.625" style="16"/>
  </cols>
  <sheetData>
    <row r="1" spans="1:47" ht="15.75" thickBot="1">
      <c r="A1" s="94" t="s">
        <v>95</v>
      </c>
      <c r="B1" s="161"/>
      <c r="C1" s="161"/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61"/>
      <c r="AH1" s="161"/>
      <c r="AI1" s="161"/>
      <c r="AJ1" s="161"/>
      <c r="AK1" s="161"/>
      <c r="AL1" s="161"/>
      <c r="AM1" s="161"/>
      <c r="AN1" s="161"/>
      <c r="AO1" s="161"/>
    </row>
    <row r="2" spans="1:47" s="3" customFormat="1" ht="22.5">
      <c r="A2" s="95" t="str">
        <f>$C$2</f>
        <v>年度双边交易</v>
      </c>
      <c r="C2" s="162" t="s">
        <v>89</v>
      </c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2"/>
      <c r="AH2" s="153"/>
    </row>
    <row r="3" spans="1:47" s="3" customFormat="1" ht="22.5">
      <c r="A3" s="95" t="str">
        <f t="shared" ref="A3:A65" si="0">$C$2</f>
        <v>年度双边交易</v>
      </c>
      <c r="C3" s="154" t="str">
        <f>C2&amp;"电量(MWh)"</f>
        <v>年度双边交易电量(MWh)</v>
      </c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5"/>
      <c r="AH3" s="156"/>
      <c r="AI3" s="35" t="s">
        <v>75</v>
      </c>
      <c r="AJ3" s="50">
        <v>31</v>
      </c>
    </row>
    <row r="4" spans="1:47" s="3" customFormat="1" ht="15">
      <c r="A4" s="95" t="str">
        <f t="shared" si="0"/>
        <v>年度双边交易</v>
      </c>
      <c r="C4" s="74" t="s">
        <v>31</v>
      </c>
      <c r="D4" s="5" t="s">
        <v>32</v>
      </c>
      <c r="E4" s="6" t="s">
        <v>33</v>
      </c>
      <c r="F4" s="6" t="s">
        <v>34</v>
      </c>
      <c r="G4" s="6" t="s">
        <v>35</v>
      </c>
      <c r="H4" s="6" t="s">
        <v>36</v>
      </c>
      <c r="I4" s="6" t="s">
        <v>37</v>
      </c>
      <c r="J4" s="6" t="s">
        <v>38</v>
      </c>
      <c r="K4" s="6" t="s">
        <v>39</v>
      </c>
      <c r="L4" s="6" t="s">
        <v>40</v>
      </c>
      <c r="M4" s="6" t="s">
        <v>41</v>
      </c>
      <c r="N4" s="6" t="s">
        <v>42</v>
      </c>
      <c r="O4" s="6" t="s">
        <v>43</v>
      </c>
      <c r="P4" s="6" t="s">
        <v>44</v>
      </c>
      <c r="Q4" s="6" t="s">
        <v>45</v>
      </c>
      <c r="R4" s="6" t="s">
        <v>46</v>
      </c>
      <c r="S4" s="6" t="s">
        <v>47</v>
      </c>
      <c r="T4" s="6" t="s">
        <v>48</v>
      </c>
      <c r="U4" s="6" t="s">
        <v>49</v>
      </c>
      <c r="V4" s="6" t="s">
        <v>50</v>
      </c>
      <c r="W4" s="6" t="s">
        <v>51</v>
      </c>
      <c r="X4" s="6" t="s">
        <v>52</v>
      </c>
      <c r="Y4" s="6" t="s">
        <v>53</v>
      </c>
      <c r="Z4" s="6" t="s">
        <v>54</v>
      </c>
      <c r="AA4" s="6" t="s">
        <v>55</v>
      </c>
      <c r="AB4" s="6" t="s">
        <v>56</v>
      </c>
      <c r="AC4" s="6" t="s">
        <v>57</v>
      </c>
      <c r="AD4" s="6" t="s">
        <v>58</v>
      </c>
      <c r="AE4" s="6" t="s">
        <v>59</v>
      </c>
      <c r="AF4" s="6" t="s">
        <v>60</v>
      </c>
      <c r="AG4" s="6" t="s">
        <v>61</v>
      </c>
      <c r="AH4" s="75" t="s">
        <v>62</v>
      </c>
      <c r="AJ4" s="35" t="s">
        <v>74</v>
      </c>
    </row>
    <row r="5" spans="1:47" s="3" customFormat="1" ht="15">
      <c r="A5" s="95" t="str">
        <f t="shared" si="0"/>
        <v>年度双边交易</v>
      </c>
      <c r="C5" s="76" t="s">
        <v>6</v>
      </c>
      <c r="D5" s="115">
        <v>0.36699999999999999</v>
      </c>
      <c r="E5" s="115">
        <v>0.39700000000000002</v>
      </c>
      <c r="F5" s="115">
        <v>0.39700000000000002</v>
      </c>
      <c r="G5" s="115">
        <v>0.39700000000000002</v>
      </c>
      <c r="H5" s="115">
        <v>0.1</v>
      </c>
      <c r="I5" s="115">
        <v>0.1</v>
      </c>
      <c r="J5" s="115">
        <v>0.39700000000000002</v>
      </c>
      <c r="K5" s="115">
        <v>0.39700000000000002</v>
      </c>
      <c r="L5" s="115">
        <v>0.39700000000000002</v>
      </c>
      <c r="M5" s="115">
        <v>0.39700000000000002</v>
      </c>
      <c r="N5" s="115">
        <v>0.39700000000000002</v>
      </c>
      <c r="O5" s="115">
        <v>0.1</v>
      </c>
      <c r="P5" s="115">
        <v>0.1</v>
      </c>
      <c r="Q5" s="115">
        <v>0.39700000000000002</v>
      </c>
      <c r="R5" s="115">
        <v>0.39700000000000002</v>
      </c>
      <c r="S5" s="115">
        <v>0.39700000000000002</v>
      </c>
      <c r="T5" s="115">
        <v>0.39700000000000002</v>
      </c>
      <c r="U5" s="115">
        <v>0.39700000000000002</v>
      </c>
      <c r="V5" s="115">
        <v>0.1</v>
      </c>
      <c r="W5" s="115">
        <v>0.1</v>
      </c>
      <c r="X5" s="115">
        <v>0.39700000000000002</v>
      </c>
      <c r="Y5" s="115">
        <v>0.39700000000000002</v>
      </c>
      <c r="Z5" s="115">
        <v>0.39700000000000002</v>
      </c>
      <c r="AA5" s="115">
        <v>0.39700000000000002</v>
      </c>
      <c r="AB5" s="115">
        <v>0.39700000000000002</v>
      </c>
      <c r="AC5" s="115">
        <v>0.1</v>
      </c>
      <c r="AD5" s="115">
        <v>0.1</v>
      </c>
      <c r="AE5" s="115">
        <v>0.39700000000000002</v>
      </c>
      <c r="AF5" s="115">
        <v>0.39700000000000002</v>
      </c>
      <c r="AG5" s="115">
        <v>0.39700000000000002</v>
      </c>
      <c r="AH5" s="116">
        <v>0.39700000000000002</v>
      </c>
      <c r="AJ5" s="39"/>
      <c r="AN5" s="26"/>
      <c r="AQ5" s="41"/>
      <c r="AU5" s="39"/>
    </row>
    <row r="6" spans="1:47" s="3" customFormat="1" ht="15">
      <c r="A6" s="95" t="str">
        <f t="shared" si="0"/>
        <v>年度双边交易</v>
      </c>
      <c r="C6" s="76" t="s">
        <v>7</v>
      </c>
      <c r="D6" s="115">
        <v>0.33099999999999996</v>
      </c>
      <c r="E6" s="115">
        <v>0.26500000000000001</v>
      </c>
      <c r="F6" s="115">
        <v>0.26500000000000001</v>
      </c>
      <c r="G6" s="115">
        <v>0.26500000000000001</v>
      </c>
      <c r="H6" s="115">
        <v>9.5000000000000001E-2</v>
      </c>
      <c r="I6" s="115">
        <v>9.5000000000000001E-2</v>
      </c>
      <c r="J6" s="115">
        <v>0.26500000000000001</v>
      </c>
      <c r="K6" s="115">
        <v>0.26500000000000001</v>
      </c>
      <c r="L6" s="115">
        <v>0.26500000000000001</v>
      </c>
      <c r="M6" s="115">
        <v>0.26500000000000001</v>
      </c>
      <c r="N6" s="115">
        <v>0.26500000000000001</v>
      </c>
      <c r="O6" s="115">
        <v>9.5000000000000001E-2</v>
      </c>
      <c r="P6" s="115">
        <v>9.5000000000000001E-2</v>
      </c>
      <c r="Q6" s="115">
        <v>0.26500000000000001</v>
      </c>
      <c r="R6" s="115">
        <v>0.26500000000000001</v>
      </c>
      <c r="S6" s="115">
        <v>0.26500000000000001</v>
      </c>
      <c r="T6" s="115">
        <v>0.26500000000000001</v>
      </c>
      <c r="U6" s="115">
        <v>0.26500000000000001</v>
      </c>
      <c r="V6" s="115">
        <v>9.5000000000000001E-2</v>
      </c>
      <c r="W6" s="115">
        <v>9.5000000000000001E-2</v>
      </c>
      <c r="X6" s="115">
        <v>0.26500000000000001</v>
      </c>
      <c r="Y6" s="115">
        <v>0.26500000000000001</v>
      </c>
      <c r="Z6" s="115">
        <v>0.26500000000000001</v>
      </c>
      <c r="AA6" s="115">
        <v>0.26500000000000001</v>
      </c>
      <c r="AB6" s="115">
        <v>0.26500000000000001</v>
      </c>
      <c r="AC6" s="115">
        <v>9.5000000000000001E-2</v>
      </c>
      <c r="AD6" s="115">
        <v>9.5000000000000001E-2</v>
      </c>
      <c r="AE6" s="115">
        <v>0.26500000000000001</v>
      </c>
      <c r="AF6" s="115">
        <v>0.26500000000000001</v>
      </c>
      <c r="AG6" s="115">
        <v>0.26500000000000001</v>
      </c>
      <c r="AH6" s="116">
        <v>0.26500000000000001</v>
      </c>
      <c r="AJ6" s="39"/>
      <c r="AN6" s="26"/>
      <c r="AQ6" s="41"/>
      <c r="AU6" s="39"/>
    </row>
    <row r="7" spans="1:47" s="3" customFormat="1" ht="15">
      <c r="A7" s="95" t="str">
        <f t="shared" si="0"/>
        <v>年度双边交易</v>
      </c>
      <c r="C7" s="76" t="s">
        <v>8</v>
      </c>
      <c r="D7" s="115">
        <v>0.23799999999999999</v>
      </c>
      <c r="E7" s="115">
        <v>0.24199999999999999</v>
      </c>
      <c r="F7" s="115">
        <v>0.24199999999999999</v>
      </c>
      <c r="G7" s="115">
        <v>0.24199999999999999</v>
      </c>
      <c r="H7" s="115">
        <v>8.5999999999999993E-2</v>
      </c>
      <c r="I7" s="115">
        <v>8.5999999999999993E-2</v>
      </c>
      <c r="J7" s="115">
        <v>0.24199999999999999</v>
      </c>
      <c r="K7" s="115">
        <v>0.24199999999999999</v>
      </c>
      <c r="L7" s="115">
        <v>0.24199999999999999</v>
      </c>
      <c r="M7" s="115">
        <v>0.24199999999999999</v>
      </c>
      <c r="N7" s="115">
        <v>0.24199999999999999</v>
      </c>
      <c r="O7" s="115">
        <v>8.5999999999999993E-2</v>
      </c>
      <c r="P7" s="115">
        <v>8.5999999999999993E-2</v>
      </c>
      <c r="Q7" s="115">
        <v>0.24199999999999999</v>
      </c>
      <c r="R7" s="115">
        <v>0.24199999999999999</v>
      </c>
      <c r="S7" s="115">
        <v>0.24199999999999999</v>
      </c>
      <c r="T7" s="115">
        <v>0.24199999999999999</v>
      </c>
      <c r="U7" s="115">
        <v>0.24199999999999999</v>
      </c>
      <c r="V7" s="115">
        <v>8.5999999999999993E-2</v>
      </c>
      <c r="W7" s="115">
        <v>8.5999999999999993E-2</v>
      </c>
      <c r="X7" s="115">
        <v>0.24199999999999999</v>
      </c>
      <c r="Y7" s="115">
        <v>0.24199999999999999</v>
      </c>
      <c r="Z7" s="115">
        <v>0.24199999999999999</v>
      </c>
      <c r="AA7" s="115">
        <v>0.24199999999999999</v>
      </c>
      <c r="AB7" s="115">
        <v>0.24199999999999999</v>
      </c>
      <c r="AC7" s="115">
        <v>8.5999999999999993E-2</v>
      </c>
      <c r="AD7" s="115">
        <v>8.5999999999999993E-2</v>
      </c>
      <c r="AE7" s="115">
        <v>0.24199999999999999</v>
      </c>
      <c r="AF7" s="115">
        <v>0.24199999999999999</v>
      </c>
      <c r="AG7" s="115">
        <v>0.24199999999999999</v>
      </c>
      <c r="AH7" s="116">
        <v>0.24199999999999999</v>
      </c>
      <c r="AJ7" s="39"/>
      <c r="AN7" s="26"/>
      <c r="AQ7" s="41"/>
      <c r="AU7" s="39"/>
    </row>
    <row r="8" spans="1:47" s="3" customFormat="1" ht="15">
      <c r="A8" s="95" t="str">
        <f t="shared" si="0"/>
        <v>年度双边交易</v>
      </c>
      <c r="C8" s="76" t="s">
        <v>9</v>
      </c>
      <c r="D8" s="115">
        <v>0.17100000000000001</v>
      </c>
      <c r="E8" s="115">
        <v>0.09</v>
      </c>
      <c r="F8" s="115">
        <v>0.09</v>
      </c>
      <c r="G8" s="115">
        <v>0.09</v>
      </c>
      <c r="H8" s="115">
        <v>7.7000000000000013E-2</v>
      </c>
      <c r="I8" s="115">
        <v>7.7000000000000013E-2</v>
      </c>
      <c r="J8" s="115">
        <v>0.09</v>
      </c>
      <c r="K8" s="115">
        <v>0.09</v>
      </c>
      <c r="L8" s="115">
        <v>0.09</v>
      </c>
      <c r="M8" s="115">
        <v>0.09</v>
      </c>
      <c r="N8" s="115">
        <v>0.09</v>
      </c>
      <c r="O8" s="115">
        <v>7.7000000000000013E-2</v>
      </c>
      <c r="P8" s="115">
        <v>7.7000000000000013E-2</v>
      </c>
      <c r="Q8" s="115">
        <v>0.09</v>
      </c>
      <c r="R8" s="115">
        <v>0.09</v>
      </c>
      <c r="S8" s="115">
        <v>0.09</v>
      </c>
      <c r="T8" s="115">
        <v>0.09</v>
      </c>
      <c r="U8" s="115">
        <v>0.09</v>
      </c>
      <c r="V8" s="115">
        <v>7.7000000000000013E-2</v>
      </c>
      <c r="W8" s="115">
        <v>7.7000000000000013E-2</v>
      </c>
      <c r="X8" s="115">
        <v>0.09</v>
      </c>
      <c r="Y8" s="115">
        <v>0.09</v>
      </c>
      <c r="Z8" s="115">
        <v>0.09</v>
      </c>
      <c r="AA8" s="115">
        <v>0.09</v>
      </c>
      <c r="AB8" s="115">
        <v>0.09</v>
      </c>
      <c r="AC8" s="115">
        <v>7.7000000000000013E-2</v>
      </c>
      <c r="AD8" s="115">
        <v>7.7000000000000013E-2</v>
      </c>
      <c r="AE8" s="115">
        <v>0.09</v>
      </c>
      <c r="AF8" s="115">
        <v>0.09</v>
      </c>
      <c r="AG8" s="115">
        <v>0.09</v>
      </c>
      <c r="AH8" s="116">
        <v>0.09</v>
      </c>
      <c r="AJ8" s="39"/>
      <c r="AN8" s="26"/>
      <c r="AQ8" s="41"/>
      <c r="AU8" s="39"/>
    </row>
    <row r="9" spans="1:47" s="3" customFormat="1" ht="15">
      <c r="A9" s="95" t="str">
        <f t="shared" si="0"/>
        <v>年度双边交易</v>
      </c>
      <c r="C9" s="76" t="s">
        <v>10</v>
      </c>
      <c r="D9" s="115">
        <v>7.3999999999999996E-2</v>
      </c>
      <c r="E9" s="115">
        <v>8.6999999999999994E-2</v>
      </c>
      <c r="F9" s="115">
        <v>8.6999999999999994E-2</v>
      </c>
      <c r="G9" s="115">
        <v>8.6999999999999994E-2</v>
      </c>
      <c r="H9" s="115">
        <v>7.5000000000000011E-2</v>
      </c>
      <c r="I9" s="115">
        <v>7.5000000000000011E-2</v>
      </c>
      <c r="J9" s="115">
        <v>8.6999999999999994E-2</v>
      </c>
      <c r="K9" s="115">
        <v>8.6999999999999994E-2</v>
      </c>
      <c r="L9" s="115">
        <v>8.6999999999999994E-2</v>
      </c>
      <c r="M9" s="115">
        <v>8.6999999999999994E-2</v>
      </c>
      <c r="N9" s="115">
        <v>8.6999999999999994E-2</v>
      </c>
      <c r="O9" s="115">
        <v>7.5000000000000011E-2</v>
      </c>
      <c r="P9" s="115">
        <v>7.5000000000000011E-2</v>
      </c>
      <c r="Q9" s="115">
        <v>8.6999999999999994E-2</v>
      </c>
      <c r="R9" s="115">
        <v>8.6999999999999994E-2</v>
      </c>
      <c r="S9" s="115">
        <v>8.6999999999999994E-2</v>
      </c>
      <c r="T9" s="115">
        <v>8.6999999999999994E-2</v>
      </c>
      <c r="U9" s="115">
        <v>8.6999999999999994E-2</v>
      </c>
      <c r="V9" s="115">
        <v>7.5000000000000011E-2</v>
      </c>
      <c r="W9" s="115">
        <v>7.5000000000000011E-2</v>
      </c>
      <c r="X9" s="115">
        <v>8.6999999999999994E-2</v>
      </c>
      <c r="Y9" s="115">
        <v>8.6999999999999994E-2</v>
      </c>
      <c r="Z9" s="115">
        <v>8.6999999999999994E-2</v>
      </c>
      <c r="AA9" s="115">
        <v>8.6999999999999994E-2</v>
      </c>
      <c r="AB9" s="115">
        <v>8.6999999999999994E-2</v>
      </c>
      <c r="AC9" s="115">
        <v>7.5000000000000011E-2</v>
      </c>
      <c r="AD9" s="115">
        <v>7.5000000000000011E-2</v>
      </c>
      <c r="AE9" s="115">
        <v>8.6999999999999994E-2</v>
      </c>
      <c r="AF9" s="115">
        <v>8.6999999999999994E-2</v>
      </c>
      <c r="AG9" s="115">
        <v>8.6999999999999994E-2</v>
      </c>
      <c r="AH9" s="116">
        <v>8.6999999999999994E-2</v>
      </c>
      <c r="AJ9" s="39"/>
      <c r="AN9" s="26"/>
      <c r="AQ9" s="41"/>
      <c r="AU9" s="39"/>
    </row>
    <row r="10" spans="1:47" s="3" customFormat="1" ht="15">
      <c r="A10" s="95" t="str">
        <f t="shared" si="0"/>
        <v>年度双边交易</v>
      </c>
      <c r="C10" s="76" t="s">
        <v>11</v>
      </c>
      <c r="D10" s="115">
        <v>7.1999999999999995E-2</v>
      </c>
      <c r="E10" s="115">
        <v>8.6999999999999994E-2</v>
      </c>
      <c r="F10" s="115">
        <v>8.6999999999999994E-2</v>
      </c>
      <c r="G10" s="115">
        <v>8.6999999999999994E-2</v>
      </c>
      <c r="H10" s="115">
        <v>7.5000000000000011E-2</v>
      </c>
      <c r="I10" s="115">
        <v>7.5000000000000011E-2</v>
      </c>
      <c r="J10" s="115">
        <v>8.6999999999999994E-2</v>
      </c>
      <c r="K10" s="115">
        <v>8.6999999999999994E-2</v>
      </c>
      <c r="L10" s="115">
        <v>8.6999999999999994E-2</v>
      </c>
      <c r="M10" s="115">
        <v>8.6999999999999994E-2</v>
      </c>
      <c r="N10" s="115">
        <v>8.6999999999999994E-2</v>
      </c>
      <c r="O10" s="115">
        <v>7.5000000000000011E-2</v>
      </c>
      <c r="P10" s="115">
        <v>7.5000000000000011E-2</v>
      </c>
      <c r="Q10" s="115">
        <v>8.6999999999999994E-2</v>
      </c>
      <c r="R10" s="115">
        <v>8.6999999999999994E-2</v>
      </c>
      <c r="S10" s="115">
        <v>8.6999999999999994E-2</v>
      </c>
      <c r="T10" s="115">
        <v>8.6999999999999994E-2</v>
      </c>
      <c r="U10" s="115">
        <v>8.6999999999999994E-2</v>
      </c>
      <c r="V10" s="115">
        <v>7.5000000000000011E-2</v>
      </c>
      <c r="W10" s="115">
        <v>7.5000000000000011E-2</v>
      </c>
      <c r="X10" s="115">
        <v>8.6999999999999994E-2</v>
      </c>
      <c r="Y10" s="115">
        <v>8.6999999999999994E-2</v>
      </c>
      <c r="Z10" s="115">
        <v>8.6999999999999994E-2</v>
      </c>
      <c r="AA10" s="115">
        <v>8.6999999999999994E-2</v>
      </c>
      <c r="AB10" s="115">
        <v>8.6999999999999994E-2</v>
      </c>
      <c r="AC10" s="115">
        <v>7.5000000000000011E-2</v>
      </c>
      <c r="AD10" s="115">
        <v>7.5000000000000011E-2</v>
      </c>
      <c r="AE10" s="115">
        <v>8.6999999999999994E-2</v>
      </c>
      <c r="AF10" s="115">
        <v>8.6999999999999994E-2</v>
      </c>
      <c r="AG10" s="115">
        <v>8.6999999999999994E-2</v>
      </c>
      <c r="AH10" s="116">
        <v>8.6999999999999994E-2</v>
      </c>
      <c r="AJ10" s="39"/>
      <c r="AK10" s="71"/>
      <c r="AN10" s="26"/>
      <c r="AQ10" s="41"/>
      <c r="AU10" s="39"/>
    </row>
    <row r="11" spans="1:47" s="3" customFormat="1" ht="15">
      <c r="A11" s="95" t="str">
        <f t="shared" si="0"/>
        <v>年度双边交易</v>
      </c>
      <c r="C11" s="76" t="s">
        <v>12</v>
      </c>
      <c r="D11" s="115">
        <v>0.11800000000000001</v>
      </c>
      <c r="E11" s="115">
        <v>0.14499999999999999</v>
      </c>
      <c r="F11" s="115">
        <v>0.14499999999999999</v>
      </c>
      <c r="G11" s="115">
        <v>0.14499999999999999</v>
      </c>
      <c r="H11" s="115">
        <v>0.106</v>
      </c>
      <c r="I11" s="115">
        <v>0.106</v>
      </c>
      <c r="J11" s="115">
        <v>0.14499999999999999</v>
      </c>
      <c r="K11" s="115">
        <v>0.14499999999999999</v>
      </c>
      <c r="L11" s="115">
        <v>0.14499999999999999</v>
      </c>
      <c r="M11" s="115">
        <v>0.14499999999999999</v>
      </c>
      <c r="N11" s="115">
        <v>0.14499999999999999</v>
      </c>
      <c r="O11" s="115">
        <v>0.106</v>
      </c>
      <c r="P11" s="115">
        <v>0.106</v>
      </c>
      <c r="Q11" s="115">
        <v>0.14499999999999999</v>
      </c>
      <c r="R11" s="115">
        <v>0.14499999999999999</v>
      </c>
      <c r="S11" s="115">
        <v>0.14499999999999999</v>
      </c>
      <c r="T11" s="115">
        <v>0.14499999999999999</v>
      </c>
      <c r="U11" s="115">
        <v>0.14499999999999999</v>
      </c>
      <c r="V11" s="115">
        <v>0.106</v>
      </c>
      <c r="W11" s="115">
        <v>0.106</v>
      </c>
      <c r="X11" s="115">
        <v>0.14499999999999999</v>
      </c>
      <c r="Y11" s="115">
        <v>0.14499999999999999</v>
      </c>
      <c r="Z11" s="115">
        <v>0.14499999999999999</v>
      </c>
      <c r="AA11" s="115">
        <v>0.14499999999999999</v>
      </c>
      <c r="AB11" s="115">
        <v>0.14499999999999999</v>
      </c>
      <c r="AC11" s="115">
        <v>0.106</v>
      </c>
      <c r="AD11" s="115">
        <v>0.106</v>
      </c>
      <c r="AE11" s="115">
        <v>0.14499999999999999</v>
      </c>
      <c r="AF11" s="115">
        <v>0.14499999999999999</v>
      </c>
      <c r="AG11" s="115">
        <v>0.14499999999999999</v>
      </c>
      <c r="AH11" s="116">
        <v>0.14499999999999999</v>
      </c>
      <c r="AJ11" s="39"/>
      <c r="AK11" s="71"/>
      <c r="AN11" s="26"/>
      <c r="AQ11" s="41"/>
      <c r="AU11" s="39"/>
    </row>
    <row r="12" spans="1:47" s="3" customFormat="1" ht="15">
      <c r="A12" s="95" t="str">
        <f t="shared" si="0"/>
        <v>年度双边交易</v>
      </c>
      <c r="C12" s="76" t="s">
        <v>13</v>
      </c>
      <c r="D12" s="115">
        <v>0.13500000000000001</v>
      </c>
      <c r="E12" s="115">
        <v>0.307</v>
      </c>
      <c r="F12" s="115">
        <v>0.307</v>
      </c>
      <c r="G12" s="115">
        <v>0.307</v>
      </c>
      <c r="H12" s="115">
        <v>0.11600000000000001</v>
      </c>
      <c r="I12" s="115">
        <v>0.11600000000000001</v>
      </c>
      <c r="J12" s="115">
        <v>0.307</v>
      </c>
      <c r="K12" s="115">
        <v>0.307</v>
      </c>
      <c r="L12" s="115">
        <v>0.307</v>
      </c>
      <c r="M12" s="115">
        <v>0.307</v>
      </c>
      <c r="N12" s="115">
        <v>0.307</v>
      </c>
      <c r="O12" s="115">
        <v>0.11600000000000001</v>
      </c>
      <c r="P12" s="115">
        <v>0.11600000000000001</v>
      </c>
      <c r="Q12" s="115">
        <v>0.307</v>
      </c>
      <c r="R12" s="115">
        <v>0.307</v>
      </c>
      <c r="S12" s="115">
        <v>0.307</v>
      </c>
      <c r="T12" s="115">
        <v>0.307</v>
      </c>
      <c r="U12" s="115">
        <v>0.307</v>
      </c>
      <c r="V12" s="115">
        <v>0.11600000000000001</v>
      </c>
      <c r="W12" s="115">
        <v>0.11600000000000001</v>
      </c>
      <c r="X12" s="115">
        <v>0.307</v>
      </c>
      <c r="Y12" s="115">
        <v>0.307</v>
      </c>
      <c r="Z12" s="115">
        <v>0.307</v>
      </c>
      <c r="AA12" s="115">
        <v>0.307</v>
      </c>
      <c r="AB12" s="115">
        <v>0.307</v>
      </c>
      <c r="AC12" s="115">
        <v>0.11600000000000001</v>
      </c>
      <c r="AD12" s="115">
        <v>0.11600000000000001</v>
      </c>
      <c r="AE12" s="115">
        <v>0.307</v>
      </c>
      <c r="AF12" s="115">
        <v>0.307</v>
      </c>
      <c r="AG12" s="115">
        <v>0.307</v>
      </c>
      <c r="AH12" s="116">
        <v>0.307</v>
      </c>
      <c r="AJ12" s="39"/>
      <c r="AK12" s="71"/>
      <c r="AN12" s="26"/>
      <c r="AQ12" s="41"/>
      <c r="AU12" s="39"/>
    </row>
    <row r="13" spans="1:47" s="3" customFormat="1" ht="15">
      <c r="A13" s="95" t="str">
        <f t="shared" si="0"/>
        <v>年度双边交易</v>
      </c>
      <c r="C13" s="76" t="s">
        <v>14</v>
      </c>
      <c r="D13" s="115">
        <v>0.26100000000000001</v>
      </c>
      <c r="E13" s="115">
        <v>0.42800000000000005</v>
      </c>
      <c r="F13" s="115">
        <v>0.42800000000000005</v>
      </c>
      <c r="G13" s="115">
        <v>0.42800000000000005</v>
      </c>
      <c r="H13" s="115">
        <v>0.122</v>
      </c>
      <c r="I13" s="115">
        <v>0.122</v>
      </c>
      <c r="J13" s="115">
        <v>0.42800000000000005</v>
      </c>
      <c r="K13" s="115">
        <v>0.42800000000000005</v>
      </c>
      <c r="L13" s="115">
        <v>0.42800000000000005</v>
      </c>
      <c r="M13" s="115">
        <v>0.42800000000000005</v>
      </c>
      <c r="N13" s="115">
        <v>0.42800000000000005</v>
      </c>
      <c r="O13" s="115">
        <v>0.122</v>
      </c>
      <c r="P13" s="115">
        <v>0.122</v>
      </c>
      <c r="Q13" s="115">
        <v>0.42800000000000005</v>
      </c>
      <c r="R13" s="115">
        <v>0.42800000000000005</v>
      </c>
      <c r="S13" s="115">
        <v>0.42800000000000005</v>
      </c>
      <c r="T13" s="115">
        <v>0.42800000000000005</v>
      </c>
      <c r="U13" s="115">
        <v>0.42800000000000005</v>
      </c>
      <c r="V13" s="115">
        <v>0.122</v>
      </c>
      <c r="W13" s="115">
        <v>0.122</v>
      </c>
      <c r="X13" s="115">
        <v>0.42800000000000005</v>
      </c>
      <c r="Y13" s="115">
        <v>0.42800000000000005</v>
      </c>
      <c r="Z13" s="115">
        <v>0.42800000000000005</v>
      </c>
      <c r="AA13" s="115">
        <v>0.42800000000000005</v>
      </c>
      <c r="AB13" s="115">
        <v>0.42800000000000005</v>
      </c>
      <c r="AC13" s="115">
        <v>0.122</v>
      </c>
      <c r="AD13" s="115">
        <v>0.122</v>
      </c>
      <c r="AE13" s="115">
        <v>0.42800000000000005</v>
      </c>
      <c r="AF13" s="115">
        <v>0.42800000000000005</v>
      </c>
      <c r="AG13" s="115">
        <v>0.42800000000000005</v>
      </c>
      <c r="AH13" s="116">
        <v>0.42800000000000005</v>
      </c>
      <c r="AJ13" s="39"/>
      <c r="AK13" s="71"/>
      <c r="AN13" s="26"/>
      <c r="AQ13" s="41"/>
      <c r="AU13" s="39"/>
    </row>
    <row r="14" spans="1:47" s="3" customFormat="1" ht="15">
      <c r="A14" s="95" t="str">
        <f t="shared" si="0"/>
        <v>年度双边交易</v>
      </c>
      <c r="C14" s="76" t="s">
        <v>15</v>
      </c>
      <c r="D14" s="115">
        <v>0.28000000000000003</v>
      </c>
      <c r="E14" s="115">
        <v>0.46100000000000002</v>
      </c>
      <c r="F14" s="115">
        <v>0.46100000000000002</v>
      </c>
      <c r="G14" s="115">
        <v>0.46100000000000002</v>
      </c>
      <c r="H14" s="115">
        <v>0.127</v>
      </c>
      <c r="I14" s="115">
        <v>0.127</v>
      </c>
      <c r="J14" s="115">
        <v>0.46100000000000002</v>
      </c>
      <c r="K14" s="115">
        <v>0.46100000000000002</v>
      </c>
      <c r="L14" s="115">
        <v>0.46100000000000002</v>
      </c>
      <c r="M14" s="115">
        <v>0.46100000000000002</v>
      </c>
      <c r="N14" s="115">
        <v>0.46100000000000002</v>
      </c>
      <c r="O14" s="115">
        <v>0.127</v>
      </c>
      <c r="P14" s="115">
        <v>0.127</v>
      </c>
      <c r="Q14" s="115">
        <v>0.46100000000000002</v>
      </c>
      <c r="R14" s="115">
        <v>0.46100000000000002</v>
      </c>
      <c r="S14" s="115">
        <v>0.46100000000000002</v>
      </c>
      <c r="T14" s="115">
        <v>0.46100000000000002</v>
      </c>
      <c r="U14" s="115">
        <v>0.46100000000000002</v>
      </c>
      <c r="V14" s="115">
        <v>0.127</v>
      </c>
      <c r="W14" s="115">
        <v>0.127</v>
      </c>
      <c r="X14" s="115">
        <v>0.46100000000000002</v>
      </c>
      <c r="Y14" s="115">
        <v>0.46100000000000002</v>
      </c>
      <c r="Z14" s="115">
        <v>0.46100000000000002</v>
      </c>
      <c r="AA14" s="115">
        <v>0.46100000000000002</v>
      </c>
      <c r="AB14" s="115">
        <v>0.46100000000000002</v>
      </c>
      <c r="AC14" s="115">
        <v>0.127</v>
      </c>
      <c r="AD14" s="115">
        <v>0.127</v>
      </c>
      <c r="AE14" s="115">
        <v>0.46100000000000002</v>
      </c>
      <c r="AF14" s="115">
        <v>0.46100000000000002</v>
      </c>
      <c r="AG14" s="115">
        <v>0.46100000000000002</v>
      </c>
      <c r="AH14" s="116">
        <v>0.46100000000000002</v>
      </c>
      <c r="AJ14" s="39"/>
      <c r="AK14" s="71"/>
      <c r="AN14" s="26"/>
      <c r="AQ14" s="41"/>
      <c r="AU14" s="39"/>
    </row>
    <row r="15" spans="1:47" s="3" customFormat="1" ht="15">
      <c r="A15" s="95" t="str">
        <f t="shared" si="0"/>
        <v>年度双边交易</v>
      </c>
      <c r="C15" s="76" t="s">
        <v>16</v>
      </c>
      <c r="D15" s="115">
        <v>0.28400000000000003</v>
      </c>
      <c r="E15" s="115">
        <v>0.46700000000000003</v>
      </c>
      <c r="F15" s="115">
        <v>0.46700000000000003</v>
      </c>
      <c r="G15" s="115">
        <v>0.46700000000000003</v>
      </c>
      <c r="H15" s="115">
        <v>0.128</v>
      </c>
      <c r="I15" s="115">
        <v>0.128</v>
      </c>
      <c r="J15" s="115">
        <v>0.46700000000000003</v>
      </c>
      <c r="K15" s="115">
        <v>0.46700000000000003</v>
      </c>
      <c r="L15" s="115">
        <v>0.46700000000000003</v>
      </c>
      <c r="M15" s="115">
        <v>0.46700000000000003</v>
      </c>
      <c r="N15" s="115">
        <v>0.46700000000000003</v>
      </c>
      <c r="O15" s="115">
        <v>0.128</v>
      </c>
      <c r="P15" s="115">
        <v>0.128</v>
      </c>
      <c r="Q15" s="115">
        <v>0.46700000000000003</v>
      </c>
      <c r="R15" s="115">
        <v>0.46700000000000003</v>
      </c>
      <c r="S15" s="115">
        <v>0.46700000000000003</v>
      </c>
      <c r="T15" s="115">
        <v>0.46700000000000003</v>
      </c>
      <c r="U15" s="115">
        <v>0.46700000000000003</v>
      </c>
      <c r="V15" s="115">
        <v>0.128</v>
      </c>
      <c r="W15" s="115">
        <v>0.128</v>
      </c>
      <c r="X15" s="115">
        <v>0.46700000000000003</v>
      </c>
      <c r="Y15" s="115">
        <v>0.46700000000000003</v>
      </c>
      <c r="Z15" s="115">
        <v>0.46700000000000003</v>
      </c>
      <c r="AA15" s="115">
        <v>0.46700000000000003</v>
      </c>
      <c r="AB15" s="115">
        <v>0.46700000000000003</v>
      </c>
      <c r="AC15" s="115">
        <v>0.128</v>
      </c>
      <c r="AD15" s="115">
        <v>0.128</v>
      </c>
      <c r="AE15" s="115">
        <v>0.46700000000000003</v>
      </c>
      <c r="AF15" s="115">
        <v>0.46700000000000003</v>
      </c>
      <c r="AG15" s="115">
        <v>0.46700000000000003</v>
      </c>
      <c r="AH15" s="116">
        <v>0.46700000000000003</v>
      </c>
      <c r="AJ15" s="39"/>
      <c r="AK15" s="71"/>
      <c r="AN15" s="26"/>
      <c r="AQ15" s="41"/>
      <c r="AU15" s="39"/>
    </row>
    <row r="16" spans="1:47" s="3" customFormat="1" ht="15">
      <c r="A16" s="95" t="str">
        <f t="shared" si="0"/>
        <v>年度双边交易</v>
      </c>
      <c r="C16" s="76" t="s">
        <v>17</v>
      </c>
      <c r="D16" s="115">
        <v>0.28400000000000003</v>
      </c>
      <c r="E16" s="115">
        <v>0.32100000000000001</v>
      </c>
      <c r="F16" s="115">
        <v>0.32100000000000001</v>
      </c>
      <c r="G16" s="115">
        <v>0.32100000000000001</v>
      </c>
      <c r="H16" s="115">
        <v>0.13</v>
      </c>
      <c r="I16" s="115">
        <v>0.13</v>
      </c>
      <c r="J16" s="115">
        <v>0.32100000000000001</v>
      </c>
      <c r="K16" s="115">
        <v>0.32100000000000001</v>
      </c>
      <c r="L16" s="115">
        <v>0.32100000000000001</v>
      </c>
      <c r="M16" s="115">
        <v>0.32100000000000001</v>
      </c>
      <c r="N16" s="115">
        <v>0.32100000000000001</v>
      </c>
      <c r="O16" s="115">
        <v>0.13</v>
      </c>
      <c r="P16" s="115">
        <v>0.13</v>
      </c>
      <c r="Q16" s="115">
        <v>0.32100000000000001</v>
      </c>
      <c r="R16" s="115">
        <v>0.32100000000000001</v>
      </c>
      <c r="S16" s="115">
        <v>0.32100000000000001</v>
      </c>
      <c r="T16" s="115">
        <v>0.32100000000000001</v>
      </c>
      <c r="U16" s="115">
        <v>0.32100000000000001</v>
      </c>
      <c r="V16" s="115">
        <v>0.13</v>
      </c>
      <c r="W16" s="115">
        <v>0.13</v>
      </c>
      <c r="X16" s="115">
        <v>0.32100000000000001</v>
      </c>
      <c r="Y16" s="115">
        <v>0.32100000000000001</v>
      </c>
      <c r="Z16" s="115">
        <v>0.32100000000000001</v>
      </c>
      <c r="AA16" s="115">
        <v>0.32100000000000001</v>
      </c>
      <c r="AB16" s="115">
        <v>0.32100000000000001</v>
      </c>
      <c r="AC16" s="115">
        <v>0.13</v>
      </c>
      <c r="AD16" s="115">
        <v>0.13</v>
      </c>
      <c r="AE16" s="115">
        <v>0.32100000000000001</v>
      </c>
      <c r="AF16" s="115">
        <v>0.32100000000000001</v>
      </c>
      <c r="AG16" s="115">
        <v>0.32100000000000001</v>
      </c>
      <c r="AH16" s="116">
        <v>0.32100000000000001</v>
      </c>
      <c r="AJ16" s="39"/>
      <c r="AK16" s="71"/>
      <c r="AN16" s="26"/>
      <c r="AQ16" s="41"/>
      <c r="AU16" s="39"/>
    </row>
    <row r="17" spans="1:47" s="3" customFormat="1" ht="15">
      <c r="A17" s="95" t="str">
        <f t="shared" si="0"/>
        <v>年度双边交易</v>
      </c>
      <c r="C17" s="76" t="s">
        <v>18</v>
      </c>
      <c r="D17" s="115">
        <v>4.1000000000000002E-2</v>
      </c>
      <c r="E17" s="115">
        <v>7.8E-2</v>
      </c>
      <c r="F17" s="115">
        <v>7.8E-2</v>
      </c>
      <c r="G17" s="115">
        <v>7.8E-2</v>
      </c>
      <c r="H17" s="115">
        <v>6.0999999999999999E-2</v>
      </c>
      <c r="I17" s="115">
        <v>6.0999999999999999E-2</v>
      </c>
      <c r="J17" s="115">
        <v>7.8E-2</v>
      </c>
      <c r="K17" s="115">
        <v>7.8E-2</v>
      </c>
      <c r="L17" s="115">
        <v>7.8E-2</v>
      </c>
      <c r="M17" s="115">
        <v>7.8E-2</v>
      </c>
      <c r="N17" s="115">
        <v>7.8E-2</v>
      </c>
      <c r="O17" s="115">
        <v>6.0999999999999999E-2</v>
      </c>
      <c r="P17" s="115">
        <v>6.0999999999999999E-2</v>
      </c>
      <c r="Q17" s="115">
        <v>7.8E-2</v>
      </c>
      <c r="R17" s="115">
        <v>7.8E-2</v>
      </c>
      <c r="S17" s="115">
        <v>7.8E-2</v>
      </c>
      <c r="T17" s="115">
        <v>7.8E-2</v>
      </c>
      <c r="U17" s="115">
        <v>7.8E-2</v>
      </c>
      <c r="V17" s="115">
        <v>6.0999999999999999E-2</v>
      </c>
      <c r="W17" s="115">
        <v>6.0999999999999999E-2</v>
      </c>
      <c r="X17" s="115">
        <v>7.8E-2</v>
      </c>
      <c r="Y17" s="115">
        <v>7.8E-2</v>
      </c>
      <c r="Z17" s="115">
        <v>7.8E-2</v>
      </c>
      <c r="AA17" s="115">
        <v>7.8E-2</v>
      </c>
      <c r="AB17" s="115">
        <v>7.8E-2</v>
      </c>
      <c r="AC17" s="115">
        <v>6.0999999999999999E-2</v>
      </c>
      <c r="AD17" s="115">
        <v>6.0999999999999999E-2</v>
      </c>
      <c r="AE17" s="115">
        <v>7.8E-2</v>
      </c>
      <c r="AF17" s="115">
        <v>7.8E-2</v>
      </c>
      <c r="AG17" s="115">
        <v>7.8E-2</v>
      </c>
      <c r="AH17" s="116">
        <v>7.8E-2</v>
      </c>
      <c r="AJ17" s="39"/>
      <c r="AK17" s="71"/>
      <c r="AN17" s="26"/>
      <c r="AO17" s="40"/>
      <c r="AQ17" s="41"/>
      <c r="AU17" s="39"/>
    </row>
    <row r="18" spans="1:47" s="3" customFormat="1" ht="15">
      <c r="A18" s="95" t="str">
        <f t="shared" si="0"/>
        <v>年度双边交易</v>
      </c>
      <c r="C18" s="76" t="s">
        <v>19</v>
      </c>
      <c r="D18" s="115">
        <v>6.9000000000000006E-2</v>
      </c>
      <c r="E18" s="115">
        <v>0.19500000000000001</v>
      </c>
      <c r="F18" s="115">
        <v>0.19500000000000001</v>
      </c>
      <c r="G18" s="115">
        <v>0.19500000000000001</v>
      </c>
      <c r="H18" s="115">
        <v>8.1000000000000003E-2</v>
      </c>
      <c r="I18" s="115">
        <v>8.1000000000000003E-2</v>
      </c>
      <c r="J18" s="115">
        <v>0.19500000000000001</v>
      </c>
      <c r="K18" s="115">
        <v>0.19500000000000001</v>
      </c>
      <c r="L18" s="115">
        <v>0.19500000000000001</v>
      </c>
      <c r="M18" s="115">
        <v>0.19500000000000001</v>
      </c>
      <c r="N18" s="115">
        <v>0.19500000000000001</v>
      </c>
      <c r="O18" s="115">
        <v>8.1000000000000003E-2</v>
      </c>
      <c r="P18" s="115">
        <v>8.1000000000000003E-2</v>
      </c>
      <c r="Q18" s="115">
        <v>0.19500000000000001</v>
      </c>
      <c r="R18" s="115">
        <v>0.19500000000000001</v>
      </c>
      <c r="S18" s="115">
        <v>0.19500000000000001</v>
      </c>
      <c r="T18" s="115">
        <v>0.19500000000000001</v>
      </c>
      <c r="U18" s="115">
        <v>0.19500000000000001</v>
      </c>
      <c r="V18" s="115">
        <v>8.1000000000000003E-2</v>
      </c>
      <c r="W18" s="115">
        <v>8.1000000000000003E-2</v>
      </c>
      <c r="X18" s="115">
        <v>0.19500000000000001</v>
      </c>
      <c r="Y18" s="115">
        <v>0.19500000000000001</v>
      </c>
      <c r="Z18" s="115">
        <v>0.19500000000000001</v>
      </c>
      <c r="AA18" s="115">
        <v>0.19500000000000001</v>
      </c>
      <c r="AB18" s="115">
        <v>0.19500000000000001</v>
      </c>
      <c r="AC18" s="115">
        <v>8.1000000000000003E-2</v>
      </c>
      <c r="AD18" s="115">
        <v>8.1000000000000003E-2</v>
      </c>
      <c r="AE18" s="115">
        <v>0.19500000000000001</v>
      </c>
      <c r="AF18" s="115">
        <v>0.19500000000000001</v>
      </c>
      <c r="AG18" s="115">
        <v>0.19500000000000001</v>
      </c>
      <c r="AH18" s="116">
        <v>0.19500000000000001</v>
      </c>
      <c r="AJ18" s="39"/>
      <c r="AK18" s="71"/>
      <c r="AN18" s="26"/>
      <c r="AQ18" s="41"/>
      <c r="AU18" s="39"/>
    </row>
    <row r="19" spans="1:47" s="3" customFormat="1" ht="15">
      <c r="A19" s="95" t="str">
        <f t="shared" si="0"/>
        <v>年度双边交易</v>
      </c>
      <c r="C19" s="76" t="s">
        <v>20</v>
      </c>
      <c r="D19" s="115">
        <v>0.23599999999999999</v>
      </c>
      <c r="E19" s="115">
        <v>0.34599999999999997</v>
      </c>
      <c r="F19" s="115">
        <v>0.34599999999999997</v>
      </c>
      <c r="G19" s="115">
        <v>0.34599999999999997</v>
      </c>
      <c r="H19" s="115">
        <v>0.13</v>
      </c>
      <c r="I19" s="115">
        <v>0.13</v>
      </c>
      <c r="J19" s="115">
        <v>0.34599999999999997</v>
      </c>
      <c r="K19" s="115">
        <v>0.34599999999999997</v>
      </c>
      <c r="L19" s="115">
        <v>0.34599999999999997</v>
      </c>
      <c r="M19" s="115">
        <v>0.34599999999999997</v>
      </c>
      <c r="N19" s="115">
        <v>0.34599999999999997</v>
      </c>
      <c r="O19" s="115">
        <v>0.13</v>
      </c>
      <c r="P19" s="115">
        <v>0.13</v>
      </c>
      <c r="Q19" s="115">
        <v>0.34599999999999997</v>
      </c>
      <c r="R19" s="115">
        <v>0.34599999999999997</v>
      </c>
      <c r="S19" s="115">
        <v>0.34599999999999997</v>
      </c>
      <c r="T19" s="115">
        <v>0.34599999999999997</v>
      </c>
      <c r="U19" s="115">
        <v>0.34599999999999997</v>
      </c>
      <c r="V19" s="115">
        <v>0.13</v>
      </c>
      <c r="W19" s="115">
        <v>0.13</v>
      </c>
      <c r="X19" s="115">
        <v>0.34599999999999997</v>
      </c>
      <c r="Y19" s="115">
        <v>0.34599999999999997</v>
      </c>
      <c r="Z19" s="115">
        <v>0.34599999999999997</v>
      </c>
      <c r="AA19" s="115">
        <v>0.34599999999999997</v>
      </c>
      <c r="AB19" s="115">
        <v>0.34599999999999997</v>
      </c>
      <c r="AC19" s="115">
        <v>0.13</v>
      </c>
      <c r="AD19" s="115">
        <v>0.13</v>
      </c>
      <c r="AE19" s="115">
        <v>0.34599999999999997</v>
      </c>
      <c r="AF19" s="115">
        <v>0.34599999999999997</v>
      </c>
      <c r="AG19" s="115">
        <v>0.34599999999999997</v>
      </c>
      <c r="AH19" s="116">
        <v>0.34599999999999997</v>
      </c>
      <c r="AJ19" s="39"/>
      <c r="AK19" s="71"/>
      <c r="AN19" s="26"/>
      <c r="AQ19" s="41"/>
      <c r="AU19" s="39"/>
    </row>
    <row r="20" spans="1:47" s="3" customFormat="1" ht="15">
      <c r="A20" s="95" t="str">
        <f t="shared" si="0"/>
        <v>年度双边交易</v>
      </c>
      <c r="C20" s="76" t="s">
        <v>21</v>
      </c>
      <c r="D20" s="115">
        <v>0.28400000000000003</v>
      </c>
      <c r="E20" s="115">
        <v>0.38</v>
      </c>
      <c r="F20" s="115">
        <v>0.38</v>
      </c>
      <c r="G20" s="115">
        <v>0.38</v>
      </c>
      <c r="H20" s="115">
        <v>0.13</v>
      </c>
      <c r="I20" s="115">
        <v>0.13</v>
      </c>
      <c r="J20" s="115">
        <v>0.38</v>
      </c>
      <c r="K20" s="115">
        <v>0.38</v>
      </c>
      <c r="L20" s="115">
        <v>0.38</v>
      </c>
      <c r="M20" s="115">
        <v>0.38</v>
      </c>
      <c r="N20" s="115">
        <v>0.38</v>
      </c>
      <c r="O20" s="115">
        <v>0.13</v>
      </c>
      <c r="P20" s="115">
        <v>0.13</v>
      </c>
      <c r="Q20" s="115">
        <v>0.38</v>
      </c>
      <c r="R20" s="115">
        <v>0.38</v>
      </c>
      <c r="S20" s="115">
        <v>0.38</v>
      </c>
      <c r="T20" s="115">
        <v>0.38</v>
      </c>
      <c r="U20" s="115">
        <v>0.38</v>
      </c>
      <c r="V20" s="115">
        <v>0.13</v>
      </c>
      <c r="W20" s="115">
        <v>0.13</v>
      </c>
      <c r="X20" s="115">
        <v>0.38</v>
      </c>
      <c r="Y20" s="115">
        <v>0.38</v>
      </c>
      <c r="Z20" s="115">
        <v>0.38</v>
      </c>
      <c r="AA20" s="115">
        <v>0.38</v>
      </c>
      <c r="AB20" s="115">
        <v>0.38</v>
      </c>
      <c r="AC20" s="115">
        <v>0.13</v>
      </c>
      <c r="AD20" s="115">
        <v>0.13</v>
      </c>
      <c r="AE20" s="115">
        <v>0.38</v>
      </c>
      <c r="AF20" s="115">
        <v>0.38</v>
      </c>
      <c r="AG20" s="115">
        <v>0.38</v>
      </c>
      <c r="AH20" s="116">
        <v>0.38</v>
      </c>
      <c r="AJ20" s="39"/>
      <c r="AK20" s="71"/>
      <c r="AN20" s="26"/>
      <c r="AQ20" s="41"/>
      <c r="AU20" s="39"/>
    </row>
    <row r="21" spans="1:47" s="3" customFormat="1" ht="15">
      <c r="A21" s="95" t="str">
        <f t="shared" si="0"/>
        <v>年度双边交易</v>
      </c>
      <c r="C21" s="76" t="s">
        <v>22</v>
      </c>
      <c r="D21" s="115">
        <v>0.33799999999999997</v>
      </c>
      <c r="E21" s="115">
        <v>0.58600000000000008</v>
      </c>
      <c r="F21" s="115">
        <v>0.58600000000000008</v>
      </c>
      <c r="G21" s="115">
        <v>0.58600000000000008</v>
      </c>
      <c r="H21" s="115">
        <v>0.10200000000000001</v>
      </c>
      <c r="I21" s="115">
        <v>0.10200000000000001</v>
      </c>
      <c r="J21" s="115">
        <v>0.58600000000000008</v>
      </c>
      <c r="K21" s="115">
        <v>0.58600000000000008</v>
      </c>
      <c r="L21" s="115">
        <v>0.58600000000000008</v>
      </c>
      <c r="M21" s="115">
        <v>0.58600000000000008</v>
      </c>
      <c r="N21" s="115">
        <v>0.58600000000000008</v>
      </c>
      <c r="O21" s="115">
        <v>0.10200000000000001</v>
      </c>
      <c r="P21" s="115">
        <v>0.10200000000000001</v>
      </c>
      <c r="Q21" s="115">
        <v>0.58600000000000008</v>
      </c>
      <c r="R21" s="115">
        <v>0.58600000000000008</v>
      </c>
      <c r="S21" s="115">
        <v>0.58600000000000008</v>
      </c>
      <c r="T21" s="115">
        <v>0.58600000000000008</v>
      </c>
      <c r="U21" s="115">
        <v>0.58600000000000008</v>
      </c>
      <c r="V21" s="115">
        <v>0.10200000000000001</v>
      </c>
      <c r="W21" s="115">
        <v>0.10200000000000001</v>
      </c>
      <c r="X21" s="115">
        <v>0.58600000000000008</v>
      </c>
      <c r="Y21" s="115">
        <v>0.58600000000000008</v>
      </c>
      <c r="Z21" s="115">
        <v>0.58600000000000008</v>
      </c>
      <c r="AA21" s="115">
        <v>0.58600000000000008</v>
      </c>
      <c r="AB21" s="115">
        <v>0.58600000000000008</v>
      </c>
      <c r="AC21" s="115">
        <v>0.10200000000000001</v>
      </c>
      <c r="AD21" s="115">
        <v>0.10200000000000001</v>
      </c>
      <c r="AE21" s="115">
        <v>0.58600000000000008</v>
      </c>
      <c r="AF21" s="115">
        <v>0.58600000000000008</v>
      </c>
      <c r="AG21" s="115">
        <v>0.58600000000000008</v>
      </c>
      <c r="AH21" s="116">
        <v>0.58600000000000008</v>
      </c>
      <c r="AJ21" s="39"/>
      <c r="AK21" s="71"/>
      <c r="AN21" s="26"/>
      <c r="AQ21" s="41"/>
      <c r="AU21" s="39"/>
    </row>
    <row r="22" spans="1:47" s="3" customFormat="1" ht="15">
      <c r="A22" s="95" t="str">
        <f t="shared" si="0"/>
        <v>年度双边交易</v>
      </c>
      <c r="C22" s="76" t="s">
        <v>23</v>
      </c>
      <c r="D22" s="115">
        <v>0.54099999999999993</v>
      </c>
      <c r="E22" s="115">
        <v>0.63300000000000001</v>
      </c>
      <c r="F22" s="115">
        <v>0.63300000000000001</v>
      </c>
      <c r="G22" s="115">
        <v>0.63300000000000001</v>
      </c>
      <c r="H22" s="115">
        <v>0.127</v>
      </c>
      <c r="I22" s="115">
        <v>0.127</v>
      </c>
      <c r="J22" s="115">
        <v>0.63300000000000001</v>
      </c>
      <c r="K22" s="115">
        <v>0.63300000000000001</v>
      </c>
      <c r="L22" s="115">
        <v>0.63300000000000001</v>
      </c>
      <c r="M22" s="115">
        <v>0.63300000000000001</v>
      </c>
      <c r="N22" s="115">
        <v>0.63300000000000001</v>
      </c>
      <c r="O22" s="115">
        <v>0.127</v>
      </c>
      <c r="P22" s="115">
        <v>0.127</v>
      </c>
      <c r="Q22" s="115">
        <v>0.63300000000000001</v>
      </c>
      <c r="R22" s="115">
        <v>0.63300000000000001</v>
      </c>
      <c r="S22" s="115">
        <v>0.63300000000000001</v>
      </c>
      <c r="T22" s="115">
        <v>0.63300000000000001</v>
      </c>
      <c r="U22" s="115">
        <v>0.63300000000000001</v>
      </c>
      <c r="V22" s="115">
        <v>0.127</v>
      </c>
      <c r="W22" s="115">
        <v>0.127</v>
      </c>
      <c r="X22" s="115">
        <v>0.63300000000000001</v>
      </c>
      <c r="Y22" s="115">
        <v>0.63300000000000001</v>
      </c>
      <c r="Z22" s="115">
        <v>0.63300000000000001</v>
      </c>
      <c r="AA22" s="115">
        <v>0.63300000000000001</v>
      </c>
      <c r="AB22" s="115">
        <v>0.63300000000000001</v>
      </c>
      <c r="AC22" s="115">
        <v>0.127</v>
      </c>
      <c r="AD22" s="115">
        <v>0.127</v>
      </c>
      <c r="AE22" s="115">
        <v>0.63300000000000001</v>
      </c>
      <c r="AF22" s="115">
        <v>0.63300000000000001</v>
      </c>
      <c r="AG22" s="115">
        <v>0.63300000000000001</v>
      </c>
      <c r="AH22" s="116">
        <v>0.63300000000000001</v>
      </c>
      <c r="AJ22" s="39"/>
      <c r="AK22" s="71"/>
      <c r="AN22" s="26"/>
      <c r="AQ22" s="41"/>
      <c r="AU22" s="39"/>
    </row>
    <row r="23" spans="1:47" s="3" customFormat="1" ht="15">
      <c r="A23" s="95" t="str">
        <f t="shared" si="0"/>
        <v>年度双边交易</v>
      </c>
      <c r="C23" s="76" t="s">
        <v>24</v>
      </c>
      <c r="D23" s="115">
        <v>0.46600000000000003</v>
      </c>
      <c r="E23" s="115">
        <v>0.45400000000000001</v>
      </c>
      <c r="F23" s="115">
        <v>0.45400000000000001</v>
      </c>
      <c r="G23" s="115">
        <v>0.45400000000000001</v>
      </c>
      <c r="H23" s="115">
        <v>0.128</v>
      </c>
      <c r="I23" s="115">
        <v>0.128</v>
      </c>
      <c r="J23" s="115">
        <v>0.45400000000000001</v>
      </c>
      <c r="K23" s="115">
        <v>0.45400000000000001</v>
      </c>
      <c r="L23" s="115">
        <v>0.45400000000000001</v>
      </c>
      <c r="M23" s="115">
        <v>0.45400000000000001</v>
      </c>
      <c r="N23" s="115">
        <v>0.45400000000000001</v>
      </c>
      <c r="O23" s="115">
        <v>0.128</v>
      </c>
      <c r="P23" s="115">
        <v>0.128</v>
      </c>
      <c r="Q23" s="115">
        <v>0.45400000000000001</v>
      </c>
      <c r="R23" s="115">
        <v>0.45400000000000001</v>
      </c>
      <c r="S23" s="115">
        <v>0.45400000000000001</v>
      </c>
      <c r="T23" s="115">
        <v>0.45400000000000001</v>
      </c>
      <c r="U23" s="115">
        <v>0.45400000000000001</v>
      </c>
      <c r="V23" s="115">
        <v>0.128</v>
      </c>
      <c r="W23" s="115">
        <v>0.128</v>
      </c>
      <c r="X23" s="115">
        <v>0.45400000000000001</v>
      </c>
      <c r="Y23" s="115">
        <v>0.45400000000000001</v>
      </c>
      <c r="Z23" s="115">
        <v>0.45400000000000001</v>
      </c>
      <c r="AA23" s="115">
        <v>0.45400000000000001</v>
      </c>
      <c r="AB23" s="115">
        <v>0.45400000000000001</v>
      </c>
      <c r="AC23" s="115">
        <v>0.128</v>
      </c>
      <c r="AD23" s="115">
        <v>0.128</v>
      </c>
      <c r="AE23" s="115">
        <v>0.45400000000000001</v>
      </c>
      <c r="AF23" s="115">
        <v>0.45400000000000001</v>
      </c>
      <c r="AG23" s="115">
        <v>0.45400000000000001</v>
      </c>
      <c r="AH23" s="116">
        <v>0.45400000000000001</v>
      </c>
      <c r="AJ23" s="39"/>
      <c r="AK23" s="71"/>
      <c r="AN23" s="26"/>
      <c r="AQ23" s="41"/>
      <c r="AU23" s="39"/>
    </row>
    <row r="24" spans="1:47" s="3" customFormat="1" ht="15">
      <c r="A24" s="95" t="str">
        <f t="shared" si="0"/>
        <v>年度双边交易</v>
      </c>
      <c r="C24" s="76" t="s">
        <v>25</v>
      </c>
      <c r="D24" s="115">
        <v>1.028</v>
      </c>
      <c r="E24" s="115">
        <v>1.1160000000000001</v>
      </c>
      <c r="F24" s="115">
        <v>1.1160000000000001</v>
      </c>
      <c r="G24" s="115">
        <v>1.1160000000000001</v>
      </c>
      <c r="H24" s="115">
        <v>0.22399999999999998</v>
      </c>
      <c r="I24" s="115">
        <v>0.22399999999999998</v>
      </c>
      <c r="J24" s="115">
        <v>1.1160000000000001</v>
      </c>
      <c r="K24" s="115">
        <v>1.1160000000000001</v>
      </c>
      <c r="L24" s="115">
        <v>1.1160000000000001</v>
      </c>
      <c r="M24" s="115">
        <v>1.1160000000000001</v>
      </c>
      <c r="N24" s="115">
        <v>1.1160000000000001</v>
      </c>
      <c r="O24" s="115">
        <v>0.22399999999999998</v>
      </c>
      <c r="P24" s="115">
        <v>0.22399999999999998</v>
      </c>
      <c r="Q24" s="115">
        <v>1.1160000000000001</v>
      </c>
      <c r="R24" s="115">
        <v>1.1160000000000001</v>
      </c>
      <c r="S24" s="115">
        <v>1.1160000000000001</v>
      </c>
      <c r="T24" s="115">
        <v>1.1160000000000001</v>
      </c>
      <c r="U24" s="115">
        <v>1.1160000000000001</v>
      </c>
      <c r="V24" s="115">
        <v>0.22399999999999998</v>
      </c>
      <c r="W24" s="115">
        <v>0.22399999999999998</v>
      </c>
      <c r="X24" s="115">
        <v>1.1160000000000001</v>
      </c>
      <c r="Y24" s="115">
        <v>1.1160000000000001</v>
      </c>
      <c r="Z24" s="115">
        <v>1.1160000000000001</v>
      </c>
      <c r="AA24" s="115">
        <v>1.1160000000000001</v>
      </c>
      <c r="AB24" s="115">
        <v>1.1160000000000001</v>
      </c>
      <c r="AC24" s="115">
        <v>0.22399999999999998</v>
      </c>
      <c r="AD24" s="115">
        <v>0.22399999999999998</v>
      </c>
      <c r="AE24" s="115">
        <v>1.1160000000000001</v>
      </c>
      <c r="AF24" s="115">
        <v>1.1160000000000001</v>
      </c>
      <c r="AG24" s="115">
        <v>1.1160000000000001</v>
      </c>
      <c r="AH24" s="116">
        <v>1.1160000000000001</v>
      </c>
      <c r="AJ24" s="39"/>
      <c r="AK24" s="71"/>
      <c r="AN24" s="26"/>
      <c r="AQ24" s="41"/>
      <c r="AU24" s="39"/>
    </row>
    <row r="25" spans="1:47" s="3" customFormat="1" ht="15">
      <c r="A25" s="95" t="str">
        <f t="shared" si="0"/>
        <v>年度双边交易</v>
      </c>
      <c r="C25" s="76" t="s">
        <v>26</v>
      </c>
      <c r="D25" s="115">
        <v>0.89100000000000001</v>
      </c>
      <c r="E25" s="115">
        <v>1</v>
      </c>
      <c r="F25" s="115">
        <v>1</v>
      </c>
      <c r="G25" s="115">
        <v>1</v>
      </c>
      <c r="H25" s="115">
        <v>0.16399999999999998</v>
      </c>
      <c r="I25" s="115">
        <v>0.16399999999999998</v>
      </c>
      <c r="J25" s="115">
        <v>1</v>
      </c>
      <c r="K25" s="115">
        <v>1</v>
      </c>
      <c r="L25" s="115">
        <v>1</v>
      </c>
      <c r="M25" s="115">
        <v>1</v>
      </c>
      <c r="N25" s="115">
        <v>1</v>
      </c>
      <c r="O25" s="115">
        <v>0.16399999999999998</v>
      </c>
      <c r="P25" s="115">
        <v>0.16399999999999998</v>
      </c>
      <c r="Q25" s="115">
        <v>1</v>
      </c>
      <c r="R25" s="115">
        <v>1</v>
      </c>
      <c r="S25" s="115">
        <v>1</v>
      </c>
      <c r="T25" s="115">
        <v>1</v>
      </c>
      <c r="U25" s="115">
        <v>1</v>
      </c>
      <c r="V25" s="115">
        <v>0.16399999999999998</v>
      </c>
      <c r="W25" s="115">
        <v>0.16399999999999998</v>
      </c>
      <c r="X25" s="115">
        <v>1</v>
      </c>
      <c r="Y25" s="115">
        <v>1</v>
      </c>
      <c r="Z25" s="115">
        <v>1</v>
      </c>
      <c r="AA25" s="115">
        <v>1</v>
      </c>
      <c r="AB25" s="115">
        <v>1</v>
      </c>
      <c r="AC25" s="115">
        <v>0.16399999999999998</v>
      </c>
      <c r="AD25" s="115">
        <v>0.16399999999999998</v>
      </c>
      <c r="AE25" s="115">
        <v>1</v>
      </c>
      <c r="AF25" s="115">
        <v>1</v>
      </c>
      <c r="AG25" s="115">
        <v>1</v>
      </c>
      <c r="AH25" s="116">
        <v>1</v>
      </c>
      <c r="AJ25" s="39"/>
      <c r="AK25" s="71"/>
      <c r="AN25" s="26"/>
      <c r="AQ25" s="41"/>
      <c r="AU25" s="39"/>
    </row>
    <row r="26" spans="1:47" s="3" customFormat="1" ht="15">
      <c r="A26" s="95" t="str">
        <f t="shared" si="0"/>
        <v>年度双边交易</v>
      </c>
      <c r="C26" s="76" t="s">
        <v>27</v>
      </c>
      <c r="D26" s="115">
        <v>0.85499999999999998</v>
      </c>
      <c r="E26" s="115">
        <v>0.95199999999999996</v>
      </c>
      <c r="F26" s="115">
        <v>0.95199999999999996</v>
      </c>
      <c r="G26" s="115">
        <v>0.95199999999999996</v>
      </c>
      <c r="H26" s="115">
        <v>0.15200000000000002</v>
      </c>
      <c r="I26" s="115">
        <v>0.15200000000000002</v>
      </c>
      <c r="J26" s="115">
        <v>0.95199999999999996</v>
      </c>
      <c r="K26" s="115">
        <v>0.95199999999999996</v>
      </c>
      <c r="L26" s="115">
        <v>0.95199999999999996</v>
      </c>
      <c r="M26" s="115">
        <v>0.95199999999999996</v>
      </c>
      <c r="N26" s="115">
        <v>0.95199999999999996</v>
      </c>
      <c r="O26" s="115">
        <v>0.15200000000000002</v>
      </c>
      <c r="P26" s="115">
        <v>0.15200000000000002</v>
      </c>
      <c r="Q26" s="115">
        <v>0.95199999999999996</v>
      </c>
      <c r="R26" s="115">
        <v>0.95199999999999996</v>
      </c>
      <c r="S26" s="115">
        <v>0.95199999999999996</v>
      </c>
      <c r="T26" s="115">
        <v>0.95199999999999996</v>
      </c>
      <c r="U26" s="115">
        <v>0.95199999999999996</v>
      </c>
      <c r="V26" s="115">
        <v>0.15200000000000002</v>
      </c>
      <c r="W26" s="115">
        <v>0.15200000000000002</v>
      </c>
      <c r="X26" s="115">
        <v>0.95199999999999996</v>
      </c>
      <c r="Y26" s="115">
        <v>0.95199999999999996</v>
      </c>
      <c r="Z26" s="115">
        <v>0.95199999999999996</v>
      </c>
      <c r="AA26" s="115">
        <v>0.95199999999999996</v>
      </c>
      <c r="AB26" s="115">
        <v>0.95199999999999996</v>
      </c>
      <c r="AC26" s="115">
        <v>0.15200000000000002</v>
      </c>
      <c r="AD26" s="115">
        <v>0.15200000000000002</v>
      </c>
      <c r="AE26" s="115">
        <v>0.95199999999999996</v>
      </c>
      <c r="AF26" s="115">
        <v>0.95199999999999996</v>
      </c>
      <c r="AG26" s="115">
        <v>0.95199999999999996</v>
      </c>
      <c r="AH26" s="116">
        <v>0.95199999999999996</v>
      </c>
      <c r="AJ26" s="39"/>
      <c r="AK26" s="71"/>
      <c r="AN26" s="26"/>
      <c r="AQ26" s="41"/>
      <c r="AU26" s="39"/>
    </row>
    <row r="27" spans="1:47" s="3" customFormat="1" ht="15">
      <c r="A27" s="95" t="str">
        <f t="shared" si="0"/>
        <v>年度双边交易</v>
      </c>
      <c r="C27" s="76" t="s">
        <v>28</v>
      </c>
      <c r="D27" s="115">
        <v>0.77200000000000002</v>
      </c>
      <c r="E27" s="115">
        <v>0.84300000000000008</v>
      </c>
      <c r="F27" s="115">
        <v>0.84300000000000008</v>
      </c>
      <c r="G27" s="115">
        <v>0.84300000000000008</v>
      </c>
      <c r="H27" s="115">
        <v>0.111</v>
      </c>
      <c r="I27" s="115">
        <v>0.111</v>
      </c>
      <c r="J27" s="115">
        <v>0.84300000000000008</v>
      </c>
      <c r="K27" s="115">
        <v>0.84300000000000008</v>
      </c>
      <c r="L27" s="115">
        <v>0.84300000000000008</v>
      </c>
      <c r="M27" s="115">
        <v>0.84300000000000008</v>
      </c>
      <c r="N27" s="115">
        <v>0.84300000000000008</v>
      </c>
      <c r="O27" s="115">
        <v>0.111</v>
      </c>
      <c r="P27" s="115">
        <v>0.111</v>
      </c>
      <c r="Q27" s="115">
        <v>0.84300000000000008</v>
      </c>
      <c r="R27" s="115">
        <v>0.84300000000000008</v>
      </c>
      <c r="S27" s="115">
        <v>0.84300000000000008</v>
      </c>
      <c r="T27" s="115">
        <v>0.84300000000000008</v>
      </c>
      <c r="U27" s="115">
        <v>0.84300000000000008</v>
      </c>
      <c r="V27" s="115">
        <v>0.111</v>
      </c>
      <c r="W27" s="115">
        <v>0.111</v>
      </c>
      <c r="X27" s="115">
        <v>0.84300000000000008</v>
      </c>
      <c r="Y27" s="115">
        <v>0.84300000000000008</v>
      </c>
      <c r="Z27" s="115">
        <v>0.84300000000000008</v>
      </c>
      <c r="AA27" s="115">
        <v>0.84300000000000008</v>
      </c>
      <c r="AB27" s="115">
        <v>0.84300000000000008</v>
      </c>
      <c r="AC27" s="115">
        <v>0.111</v>
      </c>
      <c r="AD27" s="115">
        <v>0.111</v>
      </c>
      <c r="AE27" s="115">
        <v>0.84300000000000008</v>
      </c>
      <c r="AF27" s="115">
        <v>0.84300000000000008</v>
      </c>
      <c r="AG27" s="115">
        <v>0.84300000000000008</v>
      </c>
      <c r="AH27" s="116">
        <v>0.84300000000000008</v>
      </c>
      <c r="AJ27" s="39"/>
      <c r="AK27" s="71"/>
      <c r="AN27" s="26"/>
      <c r="AQ27" s="41"/>
      <c r="AU27" s="39"/>
    </row>
    <row r="28" spans="1:47" s="3" customFormat="1" ht="15">
      <c r="A28" s="95" t="str">
        <f t="shared" si="0"/>
        <v>年度双边交易</v>
      </c>
      <c r="C28" s="76" t="s">
        <v>29</v>
      </c>
      <c r="D28" s="115">
        <v>0.318</v>
      </c>
      <c r="E28" s="115">
        <v>0.33299999999999996</v>
      </c>
      <c r="F28" s="115">
        <v>0.33299999999999996</v>
      </c>
      <c r="G28" s="115">
        <v>0.33299999999999996</v>
      </c>
      <c r="H28" s="115">
        <v>9.2999999999999999E-2</v>
      </c>
      <c r="I28" s="115">
        <v>9.2999999999999999E-2</v>
      </c>
      <c r="J28" s="115">
        <v>0.33299999999999996</v>
      </c>
      <c r="K28" s="115">
        <v>0.33299999999999996</v>
      </c>
      <c r="L28" s="115">
        <v>0.33299999999999996</v>
      </c>
      <c r="M28" s="115">
        <v>0.33299999999999996</v>
      </c>
      <c r="N28" s="115">
        <v>0.33299999999999996</v>
      </c>
      <c r="O28" s="115">
        <v>9.2999999999999999E-2</v>
      </c>
      <c r="P28" s="115">
        <v>9.2999999999999999E-2</v>
      </c>
      <c r="Q28" s="115">
        <v>0.33299999999999996</v>
      </c>
      <c r="R28" s="115">
        <v>0.33299999999999996</v>
      </c>
      <c r="S28" s="115">
        <v>0.33299999999999996</v>
      </c>
      <c r="T28" s="115">
        <v>0.33299999999999996</v>
      </c>
      <c r="U28" s="115">
        <v>0.33299999999999996</v>
      </c>
      <c r="V28" s="115">
        <v>9.2999999999999999E-2</v>
      </c>
      <c r="W28" s="115">
        <v>9.2999999999999999E-2</v>
      </c>
      <c r="X28" s="115">
        <v>0.33299999999999996</v>
      </c>
      <c r="Y28" s="115">
        <v>0.33299999999999996</v>
      </c>
      <c r="Z28" s="115">
        <v>0.33299999999999996</v>
      </c>
      <c r="AA28" s="115">
        <v>0.33299999999999996</v>
      </c>
      <c r="AB28" s="115">
        <v>0.33299999999999996</v>
      </c>
      <c r="AC28" s="115">
        <v>9.2999999999999999E-2</v>
      </c>
      <c r="AD28" s="115">
        <v>9.2999999999999999E-2</v>
      </c>
      <c r="AE28" s="115">
        <v>0.33299999999999996</v>
      </c>
      <c r="AF28" s="115">
        <v>0.33299999999999996</v>
      </c>
      <c r="AG28" s="115">
        <v>0.33299999999999996</v>
      </c>
      <c r="AH28" s="116">
        <v>0.33299999999999996</v>
      </c>
      <c r="AJ28" s="39"/>
      <c r="AK28" s="71"/>
      <c r="AN28" s="26"/>
      <c r="AQ28" s="41"/>
      <c r="AU28" s="39"/>
    </row>
    <row r="29" spans="1:47" s="3" customFormat="1" ht="15.75" thickBot="1">
      <c r="A29" s="95" t="str">
        <f t="shared" si="0"/>
        <v>年度双边交易</v>
      </c>
      <c r="C29" s="77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9"/>
    </row>
    <row r="30" spans="1:47" s="3" customFormat="1" ht="15.75" thickBot="1">
      <c r="A30" s="95" t="str">
        <f t="shared" si="0"/>
        <v>年度双边交易</v>
      </c>
      <c r="C30" s="80" t="s">
        <v>63</v>
      </c>
      <c r="D30" s="9">
        <f>SUM(D5:D28)</f>
        <v>8.4540000000000006</v>
      </c>
      <c r="E30" s="10">
        <f>SUM(E5:E28)</f>
        <v>10.213000000000001</v>
      </c>
      <c r="F30" s="10">
        <f t="shared" ref="F30:AG30" si="1">SUM(F5:F28)</f>
        <v>10.213000000000001</v>
      </c>
      <c r="G30" s="10">
        <f t="shared" si="1"/>
        <v>10.213000000000001</v>
      </c>
      <c r="H30" s="10">
        <f t="shared" si="1"/>
        <v>2.74</v>
      </c>
      <c r="I30" s="10">
        <f t="shared" si="1"/>
        <v>2.74</v>
      </c>
      <c r="J30" s="10">
        <f t="shared" si="1"/>
        <v>10.213000000000001</v>
      </c>
      <c r="K30" s="10">
        <f t="shared" si="1"/>
        <v>10.213000000000001</v>
      </c>
      <c r="L30" s="10">
        <f t="shared" si="1"/>
        <v>10.213000000000001</v>
      </c>
      <c r="M30" s="10">
        <f t="shared" si="1"/>
        <v>10.213000000000001</v>
      </c>
      <c r="N30" s="10">
        <f t="shared" si="1"/>
        <v>10.213000000000001</v>
      </c>
      <c r="O30" s="10">
        <f t="shared" si="1"/>
        <v>2.74</v>
      </c>
      <c r="P30" s="10">
        <f t="shared" si="1"/>
        <v>2.74</v>
      </c>
      <c r="Q30" s="10">
        <f t="shared" si="1"/>
        <v>10.213000000000001</v>
      </c>
      <c r="R30" s="10">
        <f t="shared" si="1"/>
        <v>10.213000000000001</v>
      </c>
      <c r="S30" s="10">
        <f t="shared" si="1"/>
        <v>10.213000000000001</v>
      </c>
      <c r="T30" s="10">
        <f t="shared" si="1"/>
        <v>10.213000000000001</v>
      </c>
      <c r="U30" s="10">
        <f t="shared" si="1"/>
        <v>10.213000000000001</v>
      </c>
      <c r="V30" s="10">
        <f t="shared" si="1"/>
        <v>2.74</v>
      </c>
      <c r="W30" s="10">
        <f t="shared" si="1"/>
        <v>2.74</v>
      </c>
      <c r="X30" s="10">
        <f t="shared" si="1"/>
        <v>10.213000000000001</v>
      </c>
      <c r="Y30" s="10">
        <f t="shared" si="1"/>
        <v>10.213000000000001</v>
      </c>
      <c r="Z30" s="10">
        <f t="shared" si="1"/>
        <v>10.213000000000001</v>
      </c>
      <c r="AA30" s="10">
        <f t="shared" si="1"/>
        <v>10.213000000000001</v>
      </c>
      <c r="AB30" s="10">
        <f t="shared" si="1"/>
        <v>10.213000000000001</v>
      </c>
      <c r="AC30" s="10">
        <f t="shared" si="1"/>
        <v>2.74</v>
      </c>
      <c r="AD30" s="10">
        <f t="shared" si="1"/>
        <v>2.74</v>
      </c>
      <c r="AE30" s="10">
        <f t="shared" si="1"/>
        <v>10.213000000000001</v>
      </c>
      <c r="AF30" s="10">
        <f t="shared" si="1"/>
        <v>10.213000000000001</v>
      </c>
      <c r="AG30" s="10">
        <f t="shared" si="1"/>
        <v>10.213000000000001</v>
      </c>
      <c r="AH30" s="49">
        <f>SUM(AH5:AH28)</f>
        <v>10.213000000000001</v>
      </c>
    </row>
    <row r="31" spans="1:47" s="3" customFormat="1" ht="15.75" thickBot="1">
      <c r="A31" s="95" t="str">
        <f t="shared" si="0"/>
        <v>年度双边交易</v>
      </c>
      <c r="C31" s="77"/>
      <c r="D31" s="15"/>
      <c r="AH31" s="81"/>
    </row>
    <row r="32" spans="1:47" s="3" customFormat="1" ht="15.75" thickBot="1">
      <c r="A32" s="95" t="str">
        <f t="shared" si="0"/>
        <v>年度双边交易</v>
      </c>
      <c r="C32" s="80" t="s">
        <v>64</v>
      </c>
      <c r="D32" s="12">
        <f>SUM(D30:AH30)</f>
        <v>255.05999999999995</v>
      </c>
      <c r="AH32" s="81"/>
    </row>
    <row r="33" spans="1:41" s="3" customFormat="1" ht="15">
      <c r="A33" s="95" t="str">
        <f t="shared" si="0"/>
        <v>年度双边交易</v>
      </c>
      <c r="C33" s="77"/>
      <c r="AH33" s="81"/>
    </row>
    <row r="34" spans="1:41" s="3" customFormat="1" ht="22.5">
      <c r="A34" s="95" t="str">
        <f t="shared" si="0"/>
        <v>年度双边交易</v>
      </c>
      <c r="C34" s="166" t="str">
        <f>C2&amp;"电价(元/MWh)"</f>
        <v>年度双边交易电价(元/MWh)</v>
      </c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55"/>
      <c r="AD34" s="155"/>
      <c r="AE34" s="155"/>
      <c r="AF34" s="155"/>
      <c r="AG34" s="155"/>
      <c r="AH34" s="156"/>
    </row>
    <row r="35" spans="1:41" s="3" customFormat="1" ht="15">
      <c r="A35" s="95" t="str">
        <f t="shared" si="0"/>
        <v>年度双边交易</v>
      </c>
      <c r="C35" s="74" t="s">
        <v>31</v>
      </c>
      <c r="D35" s="5" t="s">
        <v>32</v>
      </c>
      <c r="E35" s="6" t="s">
        <v>33</v>
      </c>
      <c r="F35" s="6" t="s">
        <v>34</v>
      </c>
      <c r="G35" s="6" t="s">
        <v>35</v>
      </c>
      <c r="H35" s="6" t="s">
        <v>36</v>
      </c>
      <c r="I35" s="6" t="s">
        <v>37</v>
      </c>
      <c r="J35" s="6" t="s">
        <v>38</v>
      </c>
      <c r="K35" s="6" t="s">
        <v>39</v>
      </c>
      <c r="L35" s="6" t="s">
        <v>40</v>
      </c>
      <c r="M35" s="6" t="s">
        <v>41</v>
      </c>
      <c r="N35" s="6" t="s">
        <v>42</v>
      </c>
      <c r="O35" s="6" t="s">
        <v>43</v>
      </c>
      <c r="P35" s="6" t="s">
        <v>44</v>
      </c>
      <c r="Q35" s="6" t="s">
        <v>45</v>
      </c>
      <c r="R35" s="6" t="s">
        <v>46</v>
      </c>
      <c r="S35" s="6" t="s">
        <v>47</v>
      </c>
      <c r="T35" s="6" t="s">
        <v>48</v>
      </c>
      <c r="U35" s="6" t="s">
        <v>49</v>
      </c>
      <c r="V35" s="6" t="s">
        <v>50</v>
      </c>
      <c r="W35" s="6" t="s">
        <v>51</v>
      </c>
      <c r="X35" s="6" t="s">
        <v>52</v>
      </c>
      <c r="Y35" s="6" t="s">
        <v>53</v>
      </c>
      <c r="Z35" s="6" t="s">
        <v>54</v>
      </c>
      <c r="AA35" s="6" t="s">
        <v>55</v>
      </c>
      <c r="AB35" s="6" t="s">
        <v>56</v>
      </c>
      <c r="AC35" s="6" t="s">
        <v>57</v>
      </c>
      <c r="AD35" s="6" t="s">
        <v>58</v>
      </c>
      <c r="AE35" s="6" t="s">
        <v>59</v>
      </c>
      <c r="AF35" s="6" t="s">
        <v>60</v>
      </c>
      <c r="AG35" s="6" t="s">
        <v>61</v>
      </c>
      <c r="AH35" s="75" t="s">
        <v>62</v>
      </c>
      <c r="AK35" s="72" t="s">
        <v>87</v>
      </c>
      <c r="AL35" s="73" t="s">
        <v>88</v>
      </c>
    </row>
    <row r="36" spans="1:41" s="3" customFormat="1" ht="15">
      <c r="A36" s="95" t="str">
        <f t="shared" si="0"/>
        <v>年度双边交易</v>
      </c>
      <c r="C36" s="76" t="s">
        <v>6</v>
      </c>
      <c r="D36" s="68">
        <v>372</v>
      </c>
      <c r="E36" s="68">
        <v>372</v>
      </c>
      <c r="F36" s="68">
        <v>372</v>
      </c>
      <c r="G36" s="68">
        <v>372</v>
      </c>
      <c r="H36" s="68">
        <v>372</v>
      </c>
      <c r="I36" s="68">
        <v>372</v>
      </c>
      <c r="J36" s="68">
        <v>372</v>
      </c>
      <c r="K36" s="68">
        <v>372</v>
      </c>
      <c r="L36" s="68">
        <v>372</v>
      </c>
      <c r="M36" s="68">
        <v>372</v>
      </c>
      <c r="N36" s="68">
        <v>372</v>
      </c>
      <c r="O36" s="68">
        <v>372</v>
      </c>
      <c r="P36" s="68">
        <v>372</v>
      </c>
      <c r="Q36" s="68">
        <v>372</v>
      </c>
      <c r="R36" s="68">
        <v>372</v>
      </c>
      <c r="S36" s="68">
        <v>372</v>
      </c>
      <c r="T36" s="68">
        <v>372</v>
      </c>
      <c r="U36" s="68">
        <v>372</v>
      </c>
      <c r="V36" s="68">
        <v>372</v>
      </c>
      <c r="W36" s="68">
        <v>372</v>
      </c>
      <c r="X36" s="68">
        <v>372</v>
      </c>
      <c r="Y36" s="68">
        <v>372</v>
      </c>
      <c r="Z36" s="68">
        <v>372</v>
      </c>
      <c r="AA36" s="68">
        <v>372</v>
      </c>
      <c r="AB36" s="68">
        <v>372</v>
      </c>
      <c r="AC36" s="68">
        <v>372</v>
      </c>
      <c r="AD36" s="68">
        <v>372</v>
      </c>
      <c r="AE36" s="68">
        <v>372</v>
      </c>
      <c r="AF36" s="68">
        <v>372</v>
      </c>
      <c r="AG36" s="68">
        <v>372</v>
      </c>
      <c r="AH36" s="82">
        <v>372</v>
      </c>
      <c r="AK36" s="32" t="s">
        <v>71</v>
      </c>
      <c r="AL36" s="32" t="s">
        <v>71</v>
      </c>
      <c r="AM36" s="69">
        <f t="shared" ref="AM36:AM59" si="2">SUMIF($AN$36:$AN$39,AK36,$AO$36:$AO$39)</f>
        <v>175.94</v>
      </c>
      <c r="AN36" s="32" t="s">
        <v>71</v>
      </c>
      <c r="AO36" s="70">
        <f>AO37*0.38</f>
        <v>175.94</v>
      </c>
    </row>
    <row r="37" spans="1:41" s="3" customFormat="1" ht="15">
      <c r="A37" s="95" t="str">
        <f t="shared" si="0"/>
        <v>年度双边交易</v>
      </c>
      <c r="C37" s="76" t="s">
        <v>7</v>
      </c>
      <c r="D37" s="68">
        <v>372</v>
      </c>
      <c r="E37" s="68">
        <v>372</v>
      </c>
      <c r="F37" s="68">
        <v>372</v>
      </c>
      <c r="G37" s="68">
        <v>372</v>
      </c>
      <c r="H37" s="68">
        <v>372</v>
      </c>
      <c r="I37" s="68">
        <v>372</v>
      </c>
      <c r="J37" s="68">
        <v>372</v>
      </c>
      <c r="K37" s="68">
        <v>372</v>
      </c>
      <c r="L37" s="68">
        <v>372</v>
      </c>
      <c r="M37" s="68">
        <v>372</v>
      </c>
      <c r="N37" s="68">
        <v>372</v>
      </c>
      <c r="O37" s="68">
        <v>372</v>
      </c>
      <c r="P37" s="68">
        <v>372</v>
      </c>
      <c r="Q37" s="68">
        <v>372</v>
      </c>
      <c r="R37" s="68">
        <v>372</v>
      </c>
      <c r="S37" s="68">
        <v>372</v>
      </c>
      <c r="T37" s="68">
        <v>372</v>
      </c>
      <c r="U37" s="68">
        <v>372</v>
      </c>
      <c r="V37" s="68">
        <v>372</v>
      </c>
      <c r="W37" s="68">
        <v>372</v>
      </c>
      <c r="X37" s="68">
        <v>372</v>
      </c>
      <c r="Y37" s="68">
        <v>372</v>
      </c>
      <c r="Z37" s="68">
        <v>372</v>
      </c>
      <c r="AA37" s="68">
        <v>372</v>
      </c>
      <c r="AB37" s="68">
        <v>372</v>
      </c>
      <c r="AC37" s="68">
        <v>372</v>
      </c>
      <c r="AD37" s="68">
        <v>372</v>
      </c>
      <c r="AE37" s="68">
        <v>372</v>
      </c>
      <c r="AF37" s="68">
        <v>372</v>
      </c>
      <c r="AG37" s="68">
        <v>372</v>
      </c>
      <c r="AH37" s="82">
        <v>372</v>
      </c>
      <c r="AK37" s="32" t="s">
        <v>71</v>
      </c>
      <c r="AL37" s="32" t="s">
        <v>71</v>
      </c>
      <c r="AM37" s="69">
        <f t="shared" si="2"/>
        <v>175.94</v>
      </c>
      <c r="AN37" s="31" t="s">
        <v>70</v>
      </c>
      <c r="AO37" s="69">
        <v>463</v>
      </c>
    </row>
    <row r="38" spans="1:41" s="3" customFormat="1" ht="15">
      <c r="A38" s="95" t="str">
        <f t="shared" si="0"/>
        <v>年度双边交易</v>
      </c>
      <c r="C38" s="76" t="s">
        <v>8</v>
      </c>
      <c r="D38" s="68">
        <v>372</v>
      </c>
      <c r="E38" s="68">
        <v>372</v>
      </c>
      <c r="F38" s="68">
        <v>372</v>
      </c>
      <c r="G38" s="68">
        <v>372</v>
      </c>
      <c r="H38" s="68">
        <v>372</v>
      </c>
      <c r="I38" s="68">
        <v>372</v>
      </c>
      <c r="J38" s="68">
        <v>372</v>
      </c>
      <c r="K38" s="68">
        <v>372</v>
      </c>
      <c r="L38" s="68">
        <v>372</v>
      </c>
      <c r="M38" s="68">
        <v>372</v>
      </c>
      <c r="N38" s="68">
        <v>372</v>
      </c>
      <c r="O38" s="68">
        <v>372</v>
      </c>
      <c r="P38" s="68">
        <v>372</v>
      </c>
      <c r="Q38" s="68">
        <v>372</v>
      </c>
      <c r="R38" s="68">
        <v>372</v>
      </c>
      <c r="S38" s="68">
        <v>372</v>
      </c>
      <c r="T38" s="68">
        <v>372</v>
      </c>
      <c r="U38" s="68">
        <v>372</v>
      </c>
      <c r="V38" s="68">
        <v>372</v>
      </c>
      <c r="W38" s="68">
        <v>372</v>
      </c>
      <c r="X38" s="68">
        <v>372</v>
      </c>
      <c r="Y38" s="68">
        <v>372</v>
      </c>
      <c r="Z38" s="68">
        <v>372</v>
      </c>
      <c r="AA38" s="68">
        <v>372</v>
      </c>
      <c r="AB38" s="68">
        <v>372</v>
      </c>
      <c r="AC38" s="68">
        <v>372</v>
      </c>
      <c r="AD38" s="68">
        <v>372</v>
      </c>
      <c r="AE38" s="68">
        <v>372</v>
      </c>
      <c r="AF38" s="68">
        <v>372</v>
      </c>
      <c r="AG38" s="68">
        <v>372</v>
      </c>
      <c r="AH38" s="82">
        <v>372</v>
      </c>
      <c r="AK38" s="32" t="s">
        <v>71</v>
      </c>
      <c r="AL38" s="32" t="s">
        <v>71</v>
      </c>
      <c r="AM38" s="69">
        <f t="shared" si="2"/>
        <v>175.94</v>
      </c>
      <c r="AN38" s="33" t="s">
        <v>72</v>
      </c>
      <c r="AO38" s="70">
        <f>AO37*1.7</f>
        <v>787.1</v>
      </c>
    </row>
    <row r="39" spans="1:41" s="3" customFormat="1" ht="15">
      <c r="A39" s="95" t="str">
        <f t="shared" si="0"/>
        <v>年度双边交易</v>
      </c>
      <c r="C39" s="76" t="s">
        <v>9</v>
      </c>
      <c r="D39" s="68">
        <v>372</v>
      </c>
      <c r="E39" s="68">
        <v>372</v>
      </c>
      <c r="F39" s="68">
        <v>372</v>
      </c>
      <c r="G39" s="68">
        <v>372</v>
      </c>
      <c r="H39" s="68">
        <v>372</v>
      </c>
      <c r="I39" s="68">
        <v>372</v>
      </c>
      <c r="J39" s="68">
        <v>372</v>
      </c>
      <c r="K39" s="68">
        <v>372</v>
      </c>
      <c r="L39" s="68">
        <v>372</v>
      </c>
      <c r="M39" s="68">
        <v>372</v>
      </c>
      <c r="N39" s="68">
        <v>372</v>
      </c>
      <c r="O39" s="68">
        <v>372</v>
      </c>
      <c r="P39" s="68">
        <v>372</v>
      </c>
      <c r="Q39" s="68">
        <v>372</v>
      </c>
      <c r="R39" s="68">
        <v>372</v>
      </c>
      <c r="S39" s="68">
        <v>372</v>
      </c>
      <c r="T39" s="68">
        <v>372</v>
      </c>
      <c r="U39" s="68">
        <v>372</v>
      </c>
      <c r="V39" s="68">
        <v>372</v>
      </c>
      <c r="W39" s="68">
        <v>372</v>
      </c>
      <c r="X39" s="68">
        <v>372</v>
      </c>
      <c r="Y39" s="68">
        <v>372</v>
      </c>
      <c r="Z39" s="68">
        <v>372</v>
      </c>
      <c r="AA39" s="68">
        <v>372</v>
      </c>
      <c r="AB39" s="68">
        <v>372</v>
      </c>
      <c r="AC39" s="68">
        <v>372</v>
      </c>
      <c r="AD39" s="68">
        <v>372</v>
      </c>
      <c r="AE39" s="68">
        <v>372</v>
      </c>
      <c r="AF39" s="68">
        <v>372</v>
      </c>
      <c r="AG39" s="68">
        <v>372</v>
      </c>
      <c r="AH39" s="82">
        <v>372</v>
      </c>
      <c r="AK39" s="32" t="s">
        <v>71</v>
      </c>
      <c r="AL39" s="32" t="s">
        <v>71</v>
      </c>
      <c r="AM39" s="69">
        <f t="shared" si="2"/>
        <v>175.94</v>
      </c>
      <c r="AN39" s="34" t="s">
        <v>73</v>
      </c>
      <c r="AO39" s="70">
        <f>AO38*1.25</f>
        <v>983.875</v>
      </c>
    </row>
    <row r="40" spans="1:41" s="3" customFormat="1" ht="15">
      <c r="A40" s="95" t="str">
        <f t="shared" si="0"/>
        <v>年度双边交易</v>
      </c>
      <c r="C40" s="76" t="s">
        <v>10</v>
      </c>
      <c r="D40" s="68">
        <v>372</v>
      </c>
      <c r="E40" s="68">
        <v>372</v>
      </c>
      <c r="F40" s="68">
        <v>372</v>
      </c>
      <c r="G40" s="68">
        <v>372</v>
      </c>
      <c r="H40" s="68">
        <v>372</v>
      </c>
      <c r="I40" s="68">
        <v>372</v>
      </c>
      <c r="J40" s="68">
        <v>372</v>
      </c>
      <c r="K40" s="68">
        <v>372</v>
      </c>
      <c r="L40" s="68">
        <v>372</v>
      </c>
      <c r="M40" s="68">
        <v>372</v>
      </c>
      <c r="N40" s="68">
        <v>372</v>
      </c>
      <c r="O40" s="68">
        <v>372</v>
      </c>
      <c r="P40" s="68">
        <v>372</v>
      </c>
      <c r="Q40" s="68">
        <v>372</v>
      </c>
      <c r="R40" s="68">
        <v>372</v>
      </c>
      <c r="S40" s="68">
        <v>372</v>
      </c>
      <c r="T40" s="68">
        <v>372</v>
      </c>
      <c r="U40" s="68">
        <v>372</v>
      </c>
      <c r="V40" s="68">
        <v>372</v>
      </c>
      <c r="W40" s="68">
        <v>372</v>
      </c>
      <c r="X40" s="68">
        <v>372</v>
      </c>
      <c r="Y40" s="68">
        <v>372</v>
      </c>
      <c r="Z40" s="68">
        <v>372</v>
      </c>
      <c r="AA40" s="68">
        <v>372</v>
      </c>
      <c r="AB40" s="68">
        <v>372</v>
      </c>
      <c r="AC40" s="68">
        <v>372</v>
      </c>
      <c r="AD40" s="68">
        <v>372</v>
      </c>
      <c r="AE40" s="68">
        <v>372</v>
      </c>
      <c r="AF40" s="68">
        <v>372</v>
      </c>
      <c r="AG40" s="68">
        <v>372</v>
      </c>
      <c r="AH40" s="82">
        <v>372</v>
      </c>
      <c r="AK40" s="32" t="s">
        <v>71</v>
      </c>
      <c r="AL40" s="32" t="s">
        <v>71</v>
      </c>
      <c r="AM40" s="69">
        <f t="shared" si="2"/>
        <v>175.94</v>
      </c>
    </row>
    <row r="41" spans="1:41" s="3" customFormat="1" ht="15">
      <c r="A41" s="95" t="str">
        <f t="shared" si="0"/>
        <v>年度双边交易</v>
      </c>
      <c r="C41" s="76" t="s">
        <v>11</v>
      </c>
      <c r="D41" s="68">
        <v>372</v>
      </c>
      <c r="E41" s="68">
        <v>372</v>
      </c>
      <c r="F41" s="68">
        <v>372</v>
      </c>
      <c r="G41" s="68">
        <v>372</v>
      </c>
      <c r="H41" s="68">
        <v>372</v>
      </c>
      <c r="I41" s="68">
        <v>372</v>
      </c>
      <c r="J41" s="68">
        <v>372</v>
      </c>
      <c r="K41" s="68">
        <v>372</v>
      </c>
      <c r="L41" s="68">
        <v>372</v>
      </c>
      <c r="M41" s="68">
        <v>372</v>
      </c>
      <c r="N41" s="68">
        <v>372</v>
      </c>
      <c r="O41" s="68">
        <v>372</v>
      </c>
      <c r="P41" s="68">
        <v>372</v>
      </c>
      <c r="Q41" s="68">
        <v>372</v>
      </c>
      <c r="R41" s="68">
        <v>372</v>
      </c>
      <c r="S41" s="68">
        <v>372</v>
      </c>
      <c r="T41" s="68">
        <v>372</v>
      </c>
      <c r="U41" s="68">
        <v>372</v>
      </c>
      <c r="V41" s="68">
        <v>372</v>
      </c>
      <c r="W41" s="68">
        <v>372</v>
      </c>
      <c r="X41" s="68">
        <v>372</v>
      </c>
      <c r="Y41" s="68">
        <v>372</v>
      </c>
      <c r="Z41" s="68">
        <v>372</v>
      </c>
      <c r="AA41" s="68">
        <v>372</v>
      </c>
      <c r="AB41" s="68">
        <v>372</v>
      </c>
      <c r="AC41" s="68">
        <v>372</v>
      </c>
      <c r="AD41" s="68">
        <v>372</v>
      </c>
      <c r="AE41" s="68">
        <v>372</v>
      </c>
      <c r="AF41" s="68">
        <v>372</v>
      </c>
      <c r="AG41" s="68">
        <v>372</v>
      </c>
      <c r="AH41" s="82">
        <v>372</v>
      </c>
      <c r="AK41" s="32" t="s">
        <v>71</v>
      </c>
      <c r="AL41" s="32" t="s">
        <v>71</v>
      </c>
      <c r="AM41" s="69">
        <f t="shared" si="2"/>
        <v>175.94</v>
      </c>
    </row>
    <row r="42" spans="1:41" s="3" customFormat="1" ht="15">
      <c r="A42" s="95" t="str">
        <f t="shared" si="0"/>
        <v>年度双边交易</v>
      </c>
      <c r="C42" s="76" t="s">
        <v>12</v>
      </c>
      <c r="D42" s="68">
        <v>372</v>
      </c>
      <c r="E42" s="68">
        <v>372</v>
      </c>
      <c r="F42" s="68">
        <v>372</v>
      </c>
      <c r="G42" s="68">
        <v>372</v>
      </c>
      <c r="H42" s="68">
        <v>372</v>
      </c>
      <c r="I42" s="68">
        <v>372</v>
      </c>
      <c r="J42" s="68">
        <v>372</v>
      </c>
      <c r="K42" s="68">
        <v>372</v>
      </c>
      <c r="L42" s="68">
        <v>372</v>
      </c>
      <c r="M42" s="68">
        <v>372</v>
      </c>
      <c r="N42" s="68">
        <v>372</v>
      </c>
      <c r="O42" s="68">
        <v>372</v>
      </c>
      <c r="P42" s="68">
        <v>372</v>
      </c>
      <c r="Q42" s="68">
        <v>372</v>
      </c>
      <c r="R42" s="68">
        <v>372</v>
      </c>
      <c r="S42" s="68">
        <v>372</v>
      </c>
      <c r="T42" s="68">
        <v>372</v>
      </c>
      <c r="U42" s="68">
        <v>372</v>
      </c>
      <c r="V42" s="68">
        <v>372</v>
      </c>
      <c r="W42" s="68">
        <v>372</v>
      </c>
      <c r="X42" s="68">
        <v>372</v>
      </c>
      <c r="Y42" s="68">
        <v>372</v>
      </c>
      <c r="Z42" s="68">
        <v>372</v>
      </c>
      <c r="AA42" s="68">
        <v>372</v>
      </c>
      <c r="AB42" s="68">
        <v>372</v>
      </c>
      <c r="AC42" s="68">
        <v>372</v>
      </c>
      <c r="AD42" s="68">
        <v>372</v>
      </c>
      <c r="AE42" s="68">
        <v>372</v>
      </c>
      <c r="AF42" s="68">
        <v>372</v>
      </c>
      <c r="AG42" s="68">
        <v>372</v>
      </c>
      <c r="AH42" s="82">
        <v>372</v>
      </c>
      <c r="AK42" s="32" t="s">
        <v>71</v>
      </c>
      <c r="AL42" s="32" t="s">
        <v>71</v>
      </c>
      <c r="AM42" s="69">
        <f t="shared" si="2"/>
        <v>175.94</v>
      </c>
    </row>
    <row r="43" spans="1:41" s="3" customFormat="1" ht="15">
      <c r="A43" s="95" t="str">
        <f t="shared" si="0"/>
        <v>年度双边交易</v>
      </c>
      <c r="C43" s="76" t="s">
        <v>13</v>
      </c>
      <c r="D43" s="68">
        <v>372</v>
      </c>
      <c r="E43" s="68">
        <v>372</v>
      </c>
      <c r="F43" s="68">
        <v>372</v>
      </c>
      <c r="G43" s="68">
        <v>372</v>
      </c>
      <c r="H43" s="68">
        <v>372</v>
      </c>
      <c r="I43" s="68">
        <v>372</v>
      </c>
      <c r="J43" s="68">
        <v>372</v>
      </c>
      <c r="K43" s="68">
        <v>372</v>
      </c>
      <c r="L43" s="68">
        <v>372</v>
      </c>
      <c r="M43" s="68">
        <v>372</v>
      </c>
      <c r="N43" s="68">
        <v>372</v>
      </c>
      <c r="O43" s="68">
        <v>372</v>
      </c>
      <c r="P43" s="68">
        <v>372</v>
      </c>
      <c r="Q43" s="68">
        <v>372</v>
      </c>
      <c r="R43" s="68">
        <v>372</v>
      </c>
      <c r="S43" s="68">
        <v>372</v>
      </c>
      <c r="T43" s="68">
        <v>372</v>
      </c>
      <c r="U43" s="68">
        <v>372</v>
      </c>
      <c r="V43" s="68">
        <v>372</v>
      </c>
      <c r="W43" s="68">
        <v>372</v>
      </c>
      <c r="X43" s="68">
        <v>372</v>
      </c>
      <c r="Y43" s="68">
        <v>372</v>
      </c>
      <c r="Z43" s="68">
        <v>372</v>
      </c>
      <c r="AA43" s="68">
        <v>372</v>
      </c>
      <c r="AB43" s="68">
        <v>372</v>
      </c>
      <c r="AC43" s="68">
        <v>372</v>
      </c>
      <c r="AD43" s="68">
        <v>372</v>
      </c>
      <c r="AE43" s="68">
        <v>372</v>
      </c>
      <c r="AF43" s="68">
        <v>372</v>
      </c>
      <c r="AG43" s="68">
        <v>372</v>
      </c>
      <c r="AH43" s="82">
        <v>372</v>
      </c>
      <c r="AK43" s="32" t="s">
        <v>71</v>
      </c>
      <c r="AL43" s="32" t="s">
        <v>71</v>
      </c>
      <c r="AM43" s="69">
        <f t="shared" si="2"/>
        <v>175.94</v>
      </c>
    </row>
    <row r="44" spans="1:41" s="3" customFormat="1" ht="15">
      <c r="A44" s="95" t="str">
        <f t="shared" si="0"/>
        <v>年度双边交易</v>
      </c>
      <c r="C44" s="76" t="s">
        <v>14</v>
      </c>
      <c r="D44" s="68">
        <v>372</v>
      </c>
      <c r="E44" s="68">
        <v>372</v>
      </c>
      <c r="F44" s="68">
        <v>372</v>
      </c>
      <c r="G44" s="68">
        <v>372</v>
      </c>
      <c r="H44" s="68">
        <v>372</v>
      </c>
      <c r="I44" s="68">
        <v>372</v>
      </c>
      <c r="J44" s="68">
        <v>372</v>
      </c>
      <c r="K44" s="68">
        <v>372</v>
      </c>
      <c r="L44" s="68">
        <v>372</v>
      </c>
      <c r="M44" s="68">
        <v>372</v>
      </c>
      <c r="N44" s="68">
        <v>372</v>
      </c>
      <c r="O44" s="68">
        <v>372</v>
      </c>
      <c r="P44" s="68">
        <v>372</v>
      </c>
      <c r="Q44" s="68">
        <v>372</v>
      </c>
      <c r="R44" s="68">
        <v>372</v>
      </c>
      <c r="S44" s="68">
        <v>372</v>
      </c>
      <c r="T44" s="68">
        <v>372</v>
      </c>
      <c r="U44" s="68">
        <v>372</v>
      </c>
      <c r="V44" s="68">
        <v>372</v>
      </c>
      <c r="W44" s="68">
        <v>372</v>
      </c>
      <c r="X44" s="68">
        <v>372</v>
      </c>
      <c r="Y44" s="68">
        <v>372</v>
      </c>
      <c r="Z44" s="68">
        <v>372</v>
      </c>
      <c r="AA44" s="68">
        <v>372</v>
      </c>
      <c r="AB44" s="68">
        <v>372</v>
      </c>
      <c r="AC44" s="68">
        <v>372</v>
      </c>
      <c r="AD44" s="68">
        <v>372</v>
      </c>
      <c r="AE44" s="68">
        <v>372</v>
      </c>
      <c r="AF44" s="68">
        <v>372</v>
      </c>
      <c r="AG44" s="68">
        <v>372</v>
      </c>
      <c r="AH44" s="82">
        <v>372</v>
      </c>
      <c r="AK44" s="31" t="s">
        <v>70</v>
      </c>
      <c r="AL44" s="31" t="s">
        <v>70</v>
      </c>
      <c r="AM44" s="69">
        <f t="shared" si="2"/>
        <v>463</v>
      </c>
    </row>
    <row r="45" spans="1:41" s="3" customFormat="1" ht="15">
      <c r="A45" s="95" t="str">
        <f t="shared" si="0"/>
        <v>年度双边交易</v>
      </c>
      <c r="C45" s="76" t="s">
        <v>15</v>
      </c>
      <c r="D45" s="68">
        <v>372</v>
      </c>
      <c r="E45" s="68">
        <v>372</v>
      </c>
      <c r="F45" s="68">
        <v>372</v>
      </c>
      <c r="G45" s="68">
        <v>372</v>
      </c>
      <c r="H45" s="68">
        <v>372</v>
      </c>
      <c r="I45" s="68">
        <v>372</v>
      </c>
      <c r="J45" s="68">
        <v>372</v>
      </c>
      <c r="K45" s="68">
        <v>372</v>
      </c>
      <c r="L45" s="68">
        <v>372</v>
      </c>
      <c r="M45" s="68">
        <v>372</v>
      </c>
      <c r="N45" s="68">
        <v>372</v>
      </c>
      <c r="O45" s="68">
        <v>372</v>
      </c>
      <c r="P45" s="68">
        <v>372</v>
      </c>
      <c r="Q45" s="68">
        <v>372</v>
      </c>
      <c r="R45" s="68">
        <v>372</v>
      </c>
      <c r="S45" s="68">
        <v>372</v>
      </c>
      <c r="T45" s="68">
        <v>372</v>
      </c>
      <c r="U45" s="68">
        <v>372</v>
      </c>
      <c r="V45" s="68">
        <v>372</v>
      </c>
      <c r="W45" s="68">
        <v>372</v>
      </c>
      <c r="X45" s="68">
        <v>372</v>
      </c>
      <c r="Y45" s="68">
        <v>372</v>
      </c>
      <c r="Z45" s="68">
        <v>372</v>
      </c>
      <c r="AA45" s="68">
        <v>372</v>
      </c>
      <c r="AB45" s="68">
        <v>372</v>
      </c>
      <c r="AC45" s="68">
        <v>372</v>
      </c>
      <c r="AD45" s="68">
        <v>372</v>
      </c>
      <c r="AE45" s="68">
        <v>372</v>
      </c>
      <c r="AF45" s="68">
        <v>372</v>
      </c>
      <c r="AG45" s="68">
        <v>372</v>
      </c>
      <c r="AH45" s="82">
        <v>372</v>
      </c>
      <c r="AK45" s="31" t="s">
        <v>70</v>
      </c>
      <c r="AL45" s="31" t="s">
        <v>70</v>
      </c>
      <c r="AM45" s="69">
        <f t="shared" si="2"/>
        <v>463</v>
      </c>
    </row>
    <row r="46" spans="1:41" s="3" customFormat="1" ht="15">
      <c r="A46" s="95" t="str">
        <f t="shared" si="0"/>
        <v>年度双边交易</v>
      </c>
      <c r="C46" s="76" t="s">
        <v>16</v>
      </c>
      <c r="D46" s="68">
        <v>372</v>
      </c>
      <c r="E46" s="68">
        <v>372</v>
      </c>
      <c r="F46" s="68">
        <v>372</v>
      </c>
      <c r="G46" s="68">
        <v>372</v>
      </c>
      <c r="H46" s="68">
        <v>372</v>
      </c>
      <c r="I46" s="68">
        <v>372</v>
      </c>
      <c r="J46" s="68">
        <v>372</v>
      </c>
      <c r="K46" s="68">
        <v>372</v>
      </c>
      <c r="L46" s="68">
        <v>372</v>
      </c>
      <c r="M46" s="68">
        <v>372</v>
      </c>
      <c r="N46" s="68">
        <v>372</v>
      </c>
      <c r="O46" s="68">
        <v>372</v>
      </c>
      <c r="P46" s="68">
        <v>372</v>
      </c>
      <c r="Q46" s="68">
        <v>372</v>
      </c>
      <c r="R46" s="68">
        <v>372</v>
      </c>
      <c r="S46" s="68">
        <v>372</v>
      </c>
      <c r="T46" s="68">
        <v>372</v>
      </c>
      <c r="U46" s="68">
        <v>372</v>
      </c>
      <c r="V46" s="68">
        <v>372</v>
      </c>
      <c r="W46" s="68">
        <v>372</v>
      </c>
      <c r="X46" s="68">
        <v>372</v>
      </c>
      <c r="Y46" s="68">
        <v>372</v>
      </c>
      <c r="Z46" s="68">
        <v>372</v>
      </c>
      <c r="AA46" s="68">
        <v>372</v>
      </c>
      <c r="AB46" s="68">
        <v>372</v>
      </c>
      <c r="AC46" s="68">
        <v>372</v>
      </c>
      <c r="AD46" s="68">
        <v>372</v>
      </c>
      <c r="AE46" s="68">
        <v>372</v>
      </c>
      <c r="AF46" s="68">
        <v>372</v>
      </c>
      <c r="AG46" s="68">
        <v>372</v>
      </c>
      <c r="AH46" s="82">
        <v>372</v>
      </c>
      <c r="AK46" s="33" t="s">
        <v>72</v>
      </c>
      <c r="AL46" s="33" t="s">
        <v>72</v>
      </c>
      <c r="AM46" s="69">
        <f t="shared" si="2"/>
        <v>787.1</v>
      </c>
    </row>
    <row r="47" spans="1:41" s="3" customFormat="1" ht="15">
      <c r="A47" s="95" t="str">
        <f t="shared" si="0"/>
        <v>年度双边交易</v>
      </c>
      <c r="C47" s="76" t="s">
        <v>17</v>
      </c>
      <c r="D47" s="68">
        <v>372</v>
      </c>
      <c r="E47" s="68">
        <v>372</v>
      </c>
      <c r="F47" s="68">
        <v>372</v>
      </c>
      <c r="G47" s="68">
        <v>372</v>
      </c>
      <c r="H47" s="68">
        <v>372</v>
      </c>
      <c r="I47" s="68">
        <v>372</v>
      </c>
      <c r="J47" s="68">
        <v>372</v>
      </c>
      <c r="K47" s="68">
        <v>372</v>
      </c>
      <c r="L47" s="68">
        <v>372</v>
      </c>
      <c r="M47" s="68">
        <v>372</v>
      </c>
      <c r="N47" s="68">
        <v>372</v>
      </c>
      <c r="O47" s="68">
        <v>372</v>
      </c>
      <c r="P47" s="68">
        <v>372</v>
      </c>
      <c r="Q47" s="68">
        <v>372</v>
      </c>
      <c r="R47" s="68">
        <v>372</v>
      </c>
      <c r="S47" s="68">
        <v>372</v>
      </c>
      <c r="T47" s="68">
        <v>372</v>
      </c>
      <c r="U47" s="68">
        <v>372</v>
      </c>
      <c r="V47" s="68">
        <v>372</v>
      </c>
      <c r="W47" s="68">
        <v>372</v>
      </c>
      <c r="X47" s="68">
        <v>372</v>
      </c>
      <c r="Y47" s="68">
        <v>372</v>
      </c>
      <c r="Z47" s="68">
        <v>372</v>
      </c>
      <c r="AA47" s="68">
        <v>372</v>
      </c>
      <c r="AB47" s="68">
        <v>372</v>
      </c>
      <c r="AC47" s="68">
        <v>372</v>
      </c>
      <c r="AD47" s="68">
        <v>372</v>
      </c>
      <c r="AE47" s="68">
        <v>372</v>
      </c>
      <c r="AF47" s="68">
        <v>372</v>
      </c>
      <c r="AG47" s="68">
        <v>372</v>
      </c>
      <c r="AH47" s="82">
        <v>372</v>
      </c>
      <c r="AK47" s="34" t="s">
        <v>73</v>
      </c>
      <c r="AL47" s="33" t="s">
        <v>72</v>
      </c>
      <c r="AM47" s="69">
        <f t="shared" si="2"/>
        <v>983.875</v>
      </c>
    </row>
    <row r="48" spans="1:41" s="3" customFormat="1" ht="15">
      <c r="A48" s="95" t="str">
        <f t="shared" si="0"/>
        <v>年度双边交易</v>
      </c>
      <c r="C48" s="76" t="s">
        <v>18</v>
      </c>
      <c r="D48" s="68">
        <v>372</v>
      </c>
      <c r="E48" s="68">
        <v>372</v>
      </c>
      <c r="F48" s="68">
        <v>372</v>
      </c>
      <c r="G48" s="68">
        <v>372</v>
      </c>
      <c r="H48" s="68">
        <v>372</v>
      </c>
      <c r="I48" s="68">
        <v>372</v>
      </c>
      <c r="J48" s="68">
        <v>372</v>
      </c>
      <c r="K48" s="68">
        <v>372</v>
      </c>
      <c r="L48" s="68">
        <v>372</v>
      </c>
      <c r="M48" s="68">
        <v>372</v>
      </c>
      <c r="N48" s="68">
        <v>372</v>
      </c>
      <c r="O48" s="68">
        <v>372</v>
      </c>
      <c r="P48" s="68">
        <v>372</v>
      </c>
      <c r="Q48" s="68">
        <v>372</v>
      </c>
      <c r="R48" s="68">
        <v>372</v>
      </c>
      <c r="S48" s="68">
        <v>372</v>
      </c>
      <c r="T48" s="68">
        <v>372</v>
      </c>
      <c r="U48" s="68">
        <v>372</v>
      </c>
      <c r="V48" s="68">
        <v>372</v>
      </c>
      <c r="W48" s="68">
        <v>372</v>
      </c>
      <c r="X48" s="68">
        <v>372</v>
      </c>
      <c r="Y48" s="68">
        <v>372</v>
      </c>
      <c r="Z48" s="68">
        <v>372</v>
      </c>
      <c r="AA48" s="68">
        <v>372</v>
      </c>
      <c r="AB48" s="68">
        <v>372</v>
      </c>
      <c r="AC48" s="68">
        <v>372</v>
      </c>
      <c r="AD48" s="68">
        <v>372</v>
      </c>
      <c r="AE48" s="68">
        <v>372</v>
      </c>
      <c r="AF48" s="68">
        <v>372</v>
      </c>
      <c r="AG48" s="68">
        <v>372</v>
      </c>
      <c r="AH48" s="82">
        <v>372</v>
      </c>
      <c r="AK48" s="31" t="s">
        <v>70</v>
      </c>
      <c r="AL48" s="31" t="s">
        <v>70</v>
      </c>
      <c r="AM48" s="69">
        <f t="shared" si="2"/>
        <v>463</v>
      </c>
    </row>
    <row r="49" spans="1:39" s="3" customFormat="1" ht="15">
      <c r="A49" s="95" t="str">
        <f t="shared" si="0"/>
        <v>年度双边交易</v>
      </c>
      <c r="C49" s="76" t="s">
        <v>19</v>
      </c>
      <c r="D49" s="68">
        <v>372</v>
      </c>
      <c r="E49" s="68">
        <v>372</v>
      </c>
      <c r="F49" s="68">
        <v>372</v>
      </c>
      <c r="G49" s="68">
        <v>372</v>
      </c>
      <c r="H49" s="68">
        <v>372</v>
      </c>
      <c r="I49" s="68">
        <v>372</v>
      </c>
      <c r="J49" s="68">
        <v>372</v>
      </c>
      <c r="K49" s="68">
        <v>372</v>
      </c>
      <c r="L49" s="68">
        <v>372</v>
      </c>
      <c r="M49" s="68">
        <v>372</v>
      </c>
      <c r="N49" s="68">
        <v>372</v>
      </c>
      <c r="O49" s="68">
        <v>372</v>
      </c>
      <c r="P49" s="68">
        <v>372</v>
      </c>
      <c r="Q49" s="68">
        <v>372</v>
      </c>
      <c r="R49" s="68">
        <v>372</v>
      </c>
      <c r="S49" s="68">
        <v>372</v>
      </c>
      <c r="T49" s="68">
        <v>372</v>
      </c>
      <c r="U49" s="68">
        <v>372</v>
      </c>
      <c r="V49" s="68">
        <v>372</v>
      </c>
      <c r="W49" s="68">
        <v>372</v>
      </c>
      <c r="X49" s="68">
        <v>372</v>
      </c>
      <c r="Y49" s="68">
        <v>372</v>
      </c>
      <c r="Z49" s="68">
        <v>372</v>
      </c>
      <c r="AA49" s="68">
        <v>372</v>
      </c>
      <c r="AB49" s="68">
        <v>372</v>
      </c>
      <c r="AC49" s="68">
        <v>372</v>
      </c>
      <c r="AD49" s="68">
        <v>372</v>
      </c>
      <c r="AE49" s="68">
        <v>372</v>
      </c>
      <c r="AF49" s="68">
        <v>372</v>
      </c>
      <c r="AG49" s="68">
        <v>372</v>
      </c>
      <c r="AH49" s="82">
        <v>372</v>
      </c>
      <c r="AK49" s="31" t="s">
        <v>70</v>
      </c>
      <c r="AL49" s="31" t="s">
        <v>70</v>
      </c>
      <c r="AM49" s="69">
        <f t="shared" si="2"/>
        <v>463</v>
      </c>
    </row>
    <row r="50" spans="1:39" s="3" customFormat="1" ht="15">
      <c r="A50" s="95" t="str">
        <f t="shared" si="0"/>
        <v>年度双边交易</v>
      </c>
      <c r="C50" s="76" t="s">
        <v>20</v>
      </c>
      <c r="D50" s="68">
        <v>372</v>
      </c>
      <c r="E50" s="68">
        <v>372</v>
      </c>
      <c r="F50" s="68">
        <v>372</v>
      </c>
      <c r="G50" s="68">
        <v>372</v>
      </c>
      <c r="H50" s="68">
        <v>372</v>
      </c>
      <c r="I50" s="68">
        <v>372</v>
      </c>
      <c r="J50" s="68">
        <v>372</v>
      </c>
      <c r="K50" s="68">
        <v>372</v>
      </c>
      <c r="L50" s="68">
        <v>372</v>
      </c>
      <c r="M50" s="68">
        <v>372</v>
      </c>
      <c r="N50" s="68">
        <v>372</v>
      </c>
      <c r="O50" s="68">
        <v>372</v>
      </c>
      <c r="P50" s="68">
        <v>372</v>
      </c>
      <c r="Q50" s="68">
        <v>372</v>
      </c>
      <c r="R50" s="68">
        <v>372</v>
      </c>
      <c r="S50" s="68">
        <v>372</v>
      </c>
      <c r="T50" s="68">
        <v>372</v>
      </c>
      <c r="U50" s="68">
        <v>372</v>
      </c>
      <c r="V50" s="68">
        <v>372</v>
      </c>
      <c r="W50" s="68">
        <v>372</v>
      </c>
      <c r="X50" s="68">
        <v>372</v>
      </c>
      <c r="Y50" s="68">
        <v>372</v>
      </c>
      <c r="Z50" s="68">
        <v>372</v>
      </c>
      <c r="AA50" s="68">
        <v>372</v>
      </c>
      <c r="AB50" s="68">
        <v>372</v>
      </c>
      <c r="AC50" s="68">
        <v>372</v>
      </c>
      <c r="AD50" s="68">
        <v>372</v>
      </c>
      <c r="AE50" s="68">
        <v>372</v>
      </c>
      <c r="AF50" s="68">
        <v>372</v>
      </c>
      <c r="AG50" s="68">
        <v>372</v>
      </c>
      <c r="AH50" s="82">
        <v>372</v>
      </c>
      <c r="AK50" s="32" t="s">
        <v>71</v>
      </c>
      <c r="AL50" s="32" t="s">
        <v>71</v>
      </c>
      <c r="AM50" s="69">
        <f t="shared" si="2"/>
        <v>175.94</v>
      </c>
    </row>
    <row r="51" spans="1:39" s="3" customFormat="1" ht="15">
      <c r="A51" s="95" t="str">
        <f t="shared" si="0"/>
        <v>年度双边交易</v>
      </c>
      <c r="C51" s="76" t="s">
        <v>21</v>
      </c>
      <c r="D51" s="68">
        <v>372</v>
      </c>
      <c r="E51" s="68">
        <v>372</v>
      </c>
      <c r="F51" s="68">
        <v>372</v>
      </c>
      <c r="G51" s="68">
        <v>372</v>
      </c>
      <c r="H51" s="68">
        <v>372</v>
      </c>
      <c r="I51" s="68">
        <v>372</v>
      </c>
      <c r="J51" s="68">
        <v>372</v>
      </c>
      <c r="K51" s="68">
        <v>372</v>
      </c>
      <c r="L51" s="68">
        <v>372</v>
      </c>
      <c r="M51" s="68">
        <v>372</v>
      </c>
      <c r="N51" s="68">
        <v>372</v>
      </c>
      <c r="O51" s="68">
        <v>372</v>
      </c>
      <c r="P51" s="68">
        <v>372</v>
      </c>
      <c r="Q51" s="68">
        <v>372</v>
      </c>
      <c r="R51" s="68">
        <v>372</v>
      </c>
      <c r="S51" s="68">
        <v>372</v>
      </c>
      <c r="T51" s="68">
        <v>372</v>
      </c>
      <c r="U51" s="68">
        <v>372</v>
      </c>
      <c r="V51" s="68">
        <v>372</v>
      </c>
      <c r="W51" s="68">
        <v>372</v>
      </c>
      <c r="X51" s="68">
        <v>372</v>
      </c>
      <c r="Y51" s="68">
        <v>372</v>
      </c>
      <c r="Z51" s="68">
        <v>372</v>
      </c>
      <c r="AA51" s="68">
        <v>372</v>
      </c>
      <c r="AB51" s="68">
        <v>372</v>
      </c>
      <c r="AC51" s="68">
        <v>372</v>
      </c>
      <c r="AD51" s="68">
        <v>372</v>
      </c>
      <c r="AE51" s="68">
        <v>372</v>
      </c>
      <c r="AF51" s="68">
        <v>372</v>
      </c>
      <c r="AG51" s="68">
        <v>372</v>
      </c>
      <c r="AH51" s="82">
        <v>372</v>
      </c>
      <c r="AK51" s="33" t="s">
        <v>72</v>
      </c>
      <c r="AL51" s="33" t="s">
        <v>72</v>
      </c>
      <c r="AM51" s="69">
        <f t="shared" si="2"/>
        <v>787.1</v>
      </c>
    </row>
    <row r="52" spans="1:39" s="3" customFormat="1" ht="15">
      <c r="A52" s="95" t="str">
        <f t="shared" si="0"/>
        <v>年度双边交易</v>
      </c>
      <c r="C52" s="76" t="s">
        <v>22</v>
      </c>
      <c r="D52" s="68">
        <v>372</v>
      </c>
      <c r="E52" s="68">
        <v>372</v>
      </c>
      <c r="F52" s="68">
        <v>372</v>
      </c>
      <c r="G52" s="68">
        <v>372</v>
      </c>
      <c r="H52" s="68">
        <v>372</v>
      </c>
      <c r="I52" s="68">
        <v>372</v>
      </c>
      <c r="J52" s="68">
        <v>372</v>
      </c>
      <c r="K52" s="68">
        <v>372</v>
      </c>
      <c r="L52" s="68">
        <v>372</v>
      </c>
      <c r="M52" s="68">
        <v>372</v>
      </c>
      <c r="N52" s="68">
        <v>372</v>
      </c>
      <c r="O52" s="68">
        <v>372</v>
      </c>
      <c r="P52" s="68">
        <v>372</v>
      </c>
      <c r="Q52" s="68">
        <v>372</v>
      </c>
      <c r="R52" s="68">
        <v>372</v>
      </c>
      <c r="S52" s="68">
        <v>372</v>
      </c>
      <c r="T52" s="68">
        <v>372</v>
      </c>
      <c r="U52" s="68">
        <v>372</v>
      </c>
      <c r="V52" s="68">
        <v>372</v>
      </c>
      <c r="W52" s="68">
        <v>372</v>
      </c>
      <c r="X52" s="68">
        <v>372</v>
      </c>
      <c r="Y52" s="68">
        <v>372</v>
      </c>
      <c r="Z52" s="68">
        <v>372</v>
      </c>
      <c r="AA52" s="68">
        <v>372</v>
      </c>
      <c r="AB52" s="68">
        <v>372</v>
      </c>
      <c r="AC52" s="68">
        <v>372</v>
      </c>
      <c r="AD52" s="68">
        <v>372</v>
      </c>
      <c r="AE52" s="68">
        <v>372</v>
      </c>
      <c r="AF52" s="68">
        <v>372</v>
      </c>
      <c r="AG52" s="68">
        <v>372</v>
      </c>
      <c r="AH52" s="82">
        <v>372</v>
      </c>
      <c r="AK52" s="34" t="s">
        <v>73</v>
      </c>
      <c r="AL52" s="33" t="s">
        <v>72</v>
      </c>
      <c r="AM52" s="69">
        <f t="shared" si="2"/>
        <v>983.875</v>
      </c>
    </row>
    <row r="53" spans="1:39" s="3" customFormat="1" ht="15">
      <c r="A53" s="95" t="str">
        <f t="shared" si="0"/>
        <v>年度双边交易</v>
      </c>
      <c r="C53" s="76" t="s">
        <v>23</v>
      </c>
      <c r="D53" s="68">
        <v>372</v>
      </c>
      <c r="E53" s="68">
        <v>372</v>
      </c>
      <c r="F53" s="68">
        <v>372</v>
      </c>
      <c r="G53" s="68">
        <v>372</v>
      </c>
      <c r="H53" s="68">
        <v>372</v>
      </c>
      <c r="I53" s="68">
        <v>372</v>
      </c>
      <c r="J53" s="68">
        <v>372</v>
      </c>
      <c r="K53" s="68">
        <v>372</v>
      </c>
      <c r="L53" s="68">
        <v>372</v>
      </c>
      <c r="M53" s="68">
        <v>372</v>
      </c>
      <c r="N53" s="68">
        <v>372</v>
      </c>
      <c r="O53" s="68">
        <v>372</v>
      </c>
      <c r="P53" s="68">
        <v>372</v>
      </c>
      <c r="Q53" s="68">
        <v>372</v>
      </c>
      <c r="R53" s="68">
        <v>372</v>
      </c>
      <c r="S53" s="68">
        <v>372</v>
      </c>
      <c r="T53" s="68">
        <v>372</v>
      </c>
      <c r="U53" s="68">
        <v>372</v>
      </c>
      <c r="V53" s="68">
        <v>372</v>
      </c>
      <c r="W53" s="68">
        <v>372</v>
      </c>
      <c r="X53" s="68">
        <v>372</v>
      </c>
      <c r="Y53" s="68">
        <v>372</v>
      </c>
      <c r="Z53" s="68">
        <v>372</v>
      </c>
      <c r="AA53" s="68">
        <v>372</v>
      </c>
      <c r="AB53" s="68">
        <v>372</v>
      </c>
      <c r="AC53" s="68">
        <v>372</v>
      </c>
      <c r="AD53" s="68">
        <v>372</v>
      </c>
      <c r="AE53" s="68">
        <v>372</v>
      </c>
      <c r="AF53" s="68">
        <v>372</v>
      </c>
      <c r="AG53" s="68">
        <v>372</v>
      </c>
      <c r="AH53" s="82">
        <v>372</v>
      </c>
      <c r="AK53" s="34" t="s">
        <v>73</v>
      </c>
      <c r="AL53" s="33" t="s">
        <v>72</v>
      </c>
      <c r="AM53" s="69">
        <f t="shared" si="2"/>
        <v>983.875</v>
      </c>
    </row>
    <row r="54" spans="1:39" s="3" customFormat="1" ht="15">
      <c r="A54" s="95" t="str">
        <f t="shared" si="0"/>
        <v>年度双边交易</v>
      </c>
      <c r="C54" s="76" t="s">
        <v>24</v>
      </c>
      <c r="D54" s="68">
        <v>372</v>
      </c>
      <c r="E54" s="68">
        <v>372</v>
      </c>
      <c r="F54" s="68">
        <v>372</v>
      </c>
      <c r="G54" s="68">
        <v>372</v>
      </c>
      <c r="H54" s="68">
        <v>372</v>
      </c>
      <c r="I54" s="68">
        <v>372</v>
      </c>
      <c r="J54" s="68">
        <v>372</v>
      </c>
      <c r="K54" s="68">
        <v>372</v>
      </c>
      <c r="L54" s="68">
        <v>372</v>
      </c>
      <c r="M54" s="68">
        <v>372</v>
      </c>
      <c r="N54" s="68">
        <v>372</v>
      </c>
      <c r="O54" s="68">
        <v>372</v>
      </c>
      <c r="P54" s="68">
        <v>372</v>
      </c>
      <c r="Q54" s="68">
        <v>372</v>
      </c>
      <c r="R54" s="68">
        <v>372</v>
      </c>
      <c r="S54" s="68">
        <v>372</v>
      </c>
      <c r="T54" s="68">
        <v>372</v>
      </c>
      <c r="U54" s="68">
        <v>372</v>
      </c>
      <c r="V54" s="68">
        <v>372</v>
      </c>
      <c r="W54" s="68">
        <v>372</v>
      </c>
      <c r="X54" s="68">
        <v>372</v>
      </c>
      <c r="Y54" s="68">
        <v>372</v>
      </c>
      <c r="Z54" s="68">
        <v>372</v>
      </c>
      <c r="AA54" s="68">
        <v>372</v>
      </c>
      <c r="AB54" s="68">
        <v>372</v>
      </c>
      <c r="AC54" s="68">
        <v>372</v>
      </c>
      <c r="AD54" s="68">
        <v>372</v>
      </c>
      <c r="AE54" s="68">
        <v>372</v>
      </c>
      <c r="AF54" s="68">
        <v>372</v>
      </c>
      <c r="AG54" s="68">
        <v>372</v>
      </c>
      <c r="AH54" s="82">
        <v>372</v>
      </c>
      <c r="AK54" s="33" t="s">
        <v>72</v>
      </c>
      <c r="AL54" s="33" t="s">
        <v>72</v>
      </c>
      <c r="AM54" s="69">
        <f t="shared" si="2"/>
        <v>787.1</v>
      </c>
    </row>
    <row r="55" spans="1:39" s="3" customFormat="1" ht="15">
      <c r="A55" s="95" t="str">
        <f t="shared" si="0"/>
        <v>年度双边交易</v>
      </c>
      <c r="C55" s="76" t="s">
        <v>25</v>
      </c>
      <c r="D55" s="68">
        <v>372</v>
      </c>
      <c r="E55" s="68">
        <v>372</v>
      </c>
      <c r="F55" s="68">
        <v>372</v>
      </c>
      <c r="G55" s="68">
        <v>372</v>
      </c>
      <c r="H55" s="68">
        <v>372</v>
      </c>
      <c r="I55" s="68">
        <v>372</v>
      </c>
      <c r="J55" s="68">
        <v>372</v>
      </c>
      <c r="K55" s="68">
        <v>372</v>
      </c>
      <c r="L55" s="68">
        <v>372</v>
      </c>
      <c r="M55" s="68">
        <v>372</v>
      </c>
      <c r="N55" s="68">
        <v>372</v>
      </c>
      <c r="O55" s="68">
        <v>372</v>
      </c>
      <c r="P55" s="68">
        <v>372</v>
      </c>
      <c r="Q55" s="68">
        <v>372</v>
      </c>
      <c r="R55" s="68">
        <v>372</v>
      </c>
      <c r="S55" s="68">
        <v>372</v>
      </c>
      <c r="T55" s="68">
        <v>372</v>
      </c>
      <c r="U55" s="68">
        <v>372</v>
      </c>
      <c r="V55" s="68">
        <v>372</v>
      </c>
      <c r="W55" s="68">
        <v>372</v>
      </c>
      <c r="X55" s="68">
        <v>372</v>
      </c>
      <c r="Y55" s="68">
        <v>372</v>
      </c>
      <c r="Z55" s="68">
        <v>372</v>
      </c>
      <c r="AA55" s="68">
        <v>372</v>
      </c>
      <c r="AB55" s="68">
        <v>372</v>
      </c>
      <c r="AC55" s="68">
        <v>372</v>
      </c>
      <c r="AD55" s="68">
        <v>372</v>
      </c>
      <c r="AE55" s="68">
        <v>372</v>
      </c>
      <c r="AF55" s="68">
        <v>372</v>
      </c>
      <c r="AG55" s="68">
        <v>372</v>
      </c>
      <c r="AH55" s="82">
        <v>372</v>
      </c>
      <c r="AK55" s="33" t="s">
        <v>72</v>
      </c>
      <c r="AL55" s="33" t="s">
        <v>72</v>
      </c>
      <c r="AM55" s="69">
        <f t="shared" si="2"/>
        <v>787.1</v>
      </c>
    </row>
    <row r="56" spans="1:39" s="3" customFormat="1" ht="15">
      <c r="A56" s="95" t="str">
        <f t="shared" si="0"/>
        <v>年度双边交易</v>
      </c>
      <c r="C56" s="76" t="s">
        <v>26</v>
      </c>
      <c r="D56" s="68">
        <v>372</v>
      </c>
      <c r="E56" s="68">
        <v>372</v>
      </c>
      <c r="F56" s="68">
        <v>372</v>
      </c>
      <c r="G56" s="68">
        <v>372</v>
      </c>
      <c r="H56" s="68">
        <v>372</v>
      </c>
      <c r="I56" s="68">
        <v>372</v>
      </c>
      <c r="J56" s="68">
        <v>372</v>
      </c>
      <c r="K56" s="68">
        <v>372</v>
      </c>
      <c r="L56" s="68">
        <v>372</v>
      </c>
      <c r="M56" s="68">
        <v>372</v>
      </c>
      <c r="N56" s="68">
        <v>372</v>
      </c>
      <c r="O56" s="68">
        <v>372</v>
      </c>
      <c r="P56" s="68">
        <v>372</v>
      </c>
      <c r="Q56" s="68">
        <v>372</v>
      </c>
      <c r="R56" s="68">
        <v>372</v>
      </c>
      <c r="S56" s="68">
        <v>372</v>
      </c>
      <c r="T56" s="68">
        <v>372</v>
      </c>
      <c r="U56" s="68">
        <v>372</v>
      </c>
      <c r="V56" s="68">
        <v>372</v>
      </c>
      <c r="W56" s="68">
        <v>372</v>
      </c>
      <c r="X56" s="68">
        <v>372</v>
      </c>
      <c r="Y56" s="68">
        <v>372</v>
      </c>
      <c r="Z56" s="68">
        <v>372</v>
      </c>
      <c r="AA56" s="68">
        <v>372</v>
      </c>
      <c r="AB56" s="68">
        <v>372</v>
      </c>
      <c r="AC56" s="68">
        <v>372</v>
      </c>
      <c r="AD56" s="68">
        <v>372</v>
      </c>
      <c r="AE56" s="68">
        <v>372</v>
      </c>
      <c r="AF56" s="68">
        <v>372</v>
      </c>
      <c r="AG56" s="68">
        <v>372</v>
      </c>
      <c r="AH56" s="82">
        <v>372</v>
      </c>
      <c r="AK56" s="31" t="s">
        <v>70</v>
      </c>
      <c r="AL56" s="31" t="s">
        <v>70</v>
      </c>
      <c r="AM56" s="69">
        <f t="shared" si="2"/>
        <v>463</v>
      </c>
    </row>
    <row r="57" spans="1:39" s="3" customFormat="1" ht="15">
      <c r="A57" s="95" t="str">
        <f t="shared" si="0"/>
        <v>年度双边交易</v>
      </c>
      <c r="C57" s="76" t="s">
        <v>27</v>
      </c>
      <c r="D57" s="68">
        <v>372</v>
      </c>
      <c r="E57" s="68">
        <v>372</v>
      </c>
      <c r="F57" s="68">
        <v>372</v>
      </c>
      <c r="G57" s="68">
        <v>372</v>
      </c>
      <c r="H57" s="68">
        <v>372</v>
      </c>
      <c r="I57" s="68">
        <v>372</v>
      </c>
      <c r="J57" s="68">
        <v>372</v>
      </c>
      <c r="K57" s="68">
        <v>372</v>
      </c>
      <c r="L57" s="68">
        <v>372</v>
      </c>
      <c r="M57" s="68">
        <v>372</v>
      </c>
      <c r="N57" s="68">
        <v>372</v>
      </c>
      <c r="O57" s="68">
        <v>372</v>
      </c>
      <c r="P57" s="68">
        <v>372</v>
      </c>
      <c r="Q57" s="68">
        <v>372</v>
      </c>
      <c r="R57" s="68">
        <v>372</v>
      </c>
      <c r="S57" s="68">
        <v>372</v>
      </c>
      <c r="T57" s="68">
        <v>372</v>
      </c>
      <c r="U57" s="68">
        <v>372</v>
      </c>
      <c r="V57" s="68">
        <v>372</v>
      </c>
      <c r="W57" s="68">
        <v>372</v>
      </c>
      <c r="X57" s="68">
        <v>372</v>
      </c>
      <c r="Y57" s="68">
        <v>372</v>
      </c>
      <c r="Z57" s="68">
        <v>372</v>
      </c>
      <c r="AA57" s="68">
        <v>372</v>
      </c>
      <c r="AB57" s="68">
        <v>372</v>
      </c>
      <c r="AC57" s="68">
        <v>372</v>
      </c>
      <c r="AD57" s="68">
        <v>372</v>
      </c>
      <c r="AE57" s="68">
        <v>372</v>
      </c>
      <c r="AF57" s="68">
        <v>372</v>
      </c>
      <c r="AG57" s="68">
        <v>372</v>
      </c>
      <c r="AH57" s="82">
        <v>372</v>
      </c>
      <c r="AK57" s="31" t="s">
        <v>70</v>
      </c>
      <c r="AL57" s="31" t="s">
        <v>70</v>
      </c>
      <c r="AM57" s="69">
        <f t="shared" si="2"/>
        <v>463</v>
      </c>
    </row>
    <row r="58" spans="1:39" s="3" customFormat="1" ht="15">
      <c r="A58" s="95" t="str">
        <f t="shared" si="0"/>
        <v>年度双边交易</v>
      </c>
      <c r="C58" s="76" t="s">
        <v>28</v>
      </c>
      <c r="D58" s="68">
        <v>372</v>
      </c>
      <c r="E58" s="68">
        <v>372</v>
      </c>
      <c r="F58" s="68">
        <v>372</v>
      </c>
      <c r="G58" s="68">
        <v>372</v>
      </c>
      <c r="H58" s="68">
        <v>372</v>
      </c>
      <c r="I58" s="68">
        <v>372</v>
      </c>
      <c r="J58" s="68">
        <v>372</v>
      </c>
      <c r="K58" s="68">
        <v>372</v>
      </c>
      <c r="L58" s="68">
        <v>372</v>
      </c>
      <c r="M58" s="68">
        <v>372</v>
      </c>
      <c r="N58" s="68">
        <v>372</v>
      </c>
      <c r="O58" s="68">
        <v>372</v>
      </c>
      <c r="P58" s="68">
        <v>372</v>
      </c>
      <c r="Q58" s="68">
        <v>372</v>
      </c>
      <c r="R58" s="68">
        <v>372</v>
      </c>
      <c r="S58" s="68">
        <v>372</v>
      </c>
      <c r="T58" s="68">
        <v>372</v>
      </c>
      <c r="U58" s="68">
        <v>372</v>
      </c>
      <c r="V58" s="68">
        <v>372</v>
      </c>
      <c r="W58" s="68">
        <v>372</v>
      </c>
      <c r="X58" s="68">
        <v>372</v>
      </c>
      <c r="Y58" s="68">
        <v>372</v>
      </c>
      <c r="Z58" s="68">
        <v>372</v>
      </c>
      <c r="AA58" s="68">
        <v>372</v>
      </c>
      <c r="AB58" s="68">
        <v>372</v>
      </c>
      <c r="AC58" s="68">
        <v>372</v>
      </c>
      <c r="AD58" s="68">
        <v>372</v>
      </c>
      <c r="AE58" s="68">
        <v>372</v>
      </c>
      <c r="AF58" s="68">
        <v>372</v>
      </c>
      <c r="AG58" s="68">
        <v>372</v>
      </c>
      <c r="AH58" s="82">
        <v>372</v>
      </c>
      <c r="AK58" s="31" t="s">
        <v>70</v>
      </c>
      <c r="AL58" s="31" t="s">
        <v>70</v>
      </c>
      <c r="AM58" s="69">
        <f t="shared" si="2"/>
        <v>463</v>
      </c>
    </row>
    <row r="59" spans="1:39" s="3" customFormat="1" ht="15">
      <c r="A59" s="95" t="str">
        <f t="shared" si="0"/>
        <v>年度双边交易</v>
      </c>
      <c r="C59" s="76" t="s">
        <v>29</v>
      </c>
      <c r="D59" s="68">
        <v>372</v>
      </c>
      <c r="E59" s="68">
        <v>372</v>
      </c>
      <c r="F59" s="68">
        <v>372</v>
      </c>
      <c r="G59" s="68">
        <v>372</v>
      </c>
      <c r="H59" s="68">
        <v>372</v>
      </c>
      <c r="I59" s="68">
        <v>372</v>
      </c>
      <c r="J59" s="68">
        <v>372</v>
      </c>
      <c r="K59" s="68">
        <v>372</v>
      </c>
      <c r="L59" s="68">
        <v>372</v>
      </c>
      <c r="M59" s="68">
        <v>372</v>
      </c>
      <c r="N59" s="68">
        <v>372</v>
      </c>
      <c r="O59" s="68">
        <v>372</v>
      </c>
      <c r="P59" s="68">
        <v>372</v>
      </c>
      <c r="Q59" s="68">
        <v>372</v>
      </c>
      <c r="R59" s="68">
        <v>372</v>
      </c>
      <c r="S59" s="68">
        <v>372</v>
      </c>
      <c r="T59" s="68">
        <v>372</v>
      </c>
      <c r="U59" s="68">
        <v>372</v>
      </c>
      <c r="V59" s="68">
        <v>372</v>
      </c>
      <c r="W59" s="68">
        <v>372</v>
      </c>
      <c r="X59" s="68">
        <v>372</v>
      </c>
      <c r="Y59" s="68">
        <v>372</v>
      </c>
      <c r="Z59" s="68">
        <v>372</v>
      </c>
      <c r="AA59" s="68">
        <v>372</v>
      </c>
      <c r="AB59" s="68">
        <v>372</v>
      </c>
      <c r="AC59" s="68">
        <v>372</v>
      </c>
      <c r="AD59" s="68">
        <v>372</v>
      </c>
      <c r="AE59" s="68">
        <v>372</v>
      </c>
      <c r="AF59" s="68">
        <v>372</v>
      </c>
      <c r="AG59" s="68">
        <v>372</v>
      </c>
      <c r="AH59" s="82">
        <v>372</v>
      </c>
      <c r="AK59" s="31" t="s">
        <v>70</v>
      </c>
      <c r="AL59" s="31" t="s">
        <v>70</v>
      </c>
      <c r="AM59" s="69">
        <f t="shared" si="2"/>
        <v>463</v>
      </c>
    </row>
    <row r="60" spans="1:39" s="3" customFormat="1" ht="15.75" thickBot="1">
      <c r="A60" s="95" t="str">
        <f t="shared" si="0"/>
        <v>年度双边交易</v>
      </c>
      <c r="C60" s="77"/>
      <c r="AH60" s="81"/>
    </row>
    <row r="61" spans="1:39" s="3" customFormat="1" ht="15.75" thickBot="1">
      <c r="A61" s="95" t="str">
        <f t="shared" si="0"/>
        <v>年度双边交易</v>
      </c>
      <c r="C61" s="80" t="s">
        <v>63</v>
      </c>
      <c r="D61" s="9">
        <f t="shared" ref="D61:AH61" si="3">IFERROR(SUMPRODUCT(D36:D59,D5:D28)/D30,0)</f>
        <v>371.99999999999994</v>
      </c>
      <c r="E61" s="10">
        <f t="shared" si="3"/>
        <v>372</v>
      </c>
      <c r="F61" s="10">
        <f t="shared" si="3"/>
        <v>372</v>
      </c>
      <c r="G61" s="10">
        <f t="shared" si="3"/>
        <v>372</v>
      </c>
      <c r="H61" s="10">
        <f t="shared" si="3"/>
        <v>371.99999999999994</v>
      </c>
      <c r="I61" s="10">
        <f t="shared" si="3"/>
        <v>371.99999999999994</v>
      </c>
      <c r="J61" s="10">
        <f t="shared" si="3"/>
        <v>372</v>
      </c>
      <c r="K61" s="10">
        <f t="shared" si="3"/>
        <v>372</v>
      </c>
      <c r="L61" s="10">
        <f t="shared" si="3"/>
        <v>372</v>
      </c>
      <c r="M61" s="10">
        <f t="shared" si="3"/>
        <v>372</v>
      </c>
      <c r="N61" s="10">
        <f t="shared" si="3"/>
        <v>372</v>
      </c>
      <c r="O61" s="10">
        <f t="shared" si="3"/>
        <v>371.99999999999994</v>
      </c>
      <c r="P61" s="10">
        <f t="shared" si="3"/>
        <v>371.99999999999994</v>
      </c>
      <c r="Q61" s="10">
        <f t="shared" si="3"/>
        <v>372</v>
      </c>
      <c r="R61" s="10">
        <f t="shared" si="3"/>
        <v>372</v>
      </c>
      <c r="S61" s="10">
        <f t="shared" si="3"/>
        <v>372</v>
      </c>
      <c r="T61" s="10">
        <f t="shared" si="3"/>
        <v>372</v>
      </c>
      <c r="U61" s="10">
        <f t="shared" si="3"/>
        <v>372</v>
      </c>
      <c r="V61" s="10">
        <f t="shared" si="3"/>
        <v>371.99999999999994</v>
      </c>
      <c r="W61" s="10">
        <f t="shared" si="3"/>
        <v>371.99999999999994</v>
      </c>
      <c r="X61" s="10">
        <f t="shared" si="3"/>
        <v>372</v>
      </c>
      <c r="Y61" s="10">
        <f t="shared" si="3"/>
        <v>372</v>
      </c>
      <c r="Z61" s="10">
        <f t="shared" si="3"/>
        <v>372</v>
      </c>
      <c r="AA61" s="10">
        <f t="shared" si="3"/>
        <v>372</v>
      </c>
      <c r="AB61" s="10">
        <f t="shared" si="3"/>
        <v>372</v>
      </c>
      <c r="AC61" s="10">
        <f t="shared" si="3"/>
        <v>371.99999999999994</v>
      </c>
      <c r="AD61" s="10">
        <f t="shared" si="3"/>
        <v>371.99999999999994</v>
      </c>
      <c r="AE61" s="10">
        <f t="shared" si="3"/>
        <v>372</v>
      </c>
      <c r="AF61" s="10">
        <f t="shared" si="3"/>
        <v>372</v>
      </c>
      <c r="AG61" s="10">
        <f t="shared" si="3"/>
        <v>372</v>
      </c>
      <c r="AH61" s="49">
        <f t="shared" si="3"/>
        <v>372</v>
      </c>
    </row>
    <row r="62" spans="1:39" s="3" customFormat="1" ht="15.75" thickBot="1">
      <c r="A62" s="95" t="str">
        <f t="shared" si="0"/>
        <v>年度双边交易</v>
      </c>
      <c r="C62" s="77"/>
      <c r="D62" s="15"/>
      <c r="AH62" s="81"/>
    </row>
    <row r="63" spans="1:39" s="3" customFormat="1" ht="15.75" thickBot="1">
      <c r="A63" s="95" t="str">
        <f t="shared" si="0"/>
        <v>年度双边交易</v>
      </c>
      <c r="C63" s="80" t="s">
        <v>64</v>
      </c>
      <c r="D63" s="12">
        <f>IFERROR(SUMPRODUCT(D30:AH30,D61:AH61)/D32,0)</f>
        <v>372.00000000000011</v>
      </c>
      <c r="AH63" s="81"/>
    </row>
    <row r="64" spans="1:39" s="3" customFormat="1" ht="15.75" thickBot="1">
      <c r="A64" s="95" t="str">
        <f t="shared" si="0"/>
        <v>年度双边交易</v>
      </c>
      <c r="C64" s="83"/>
      <c r="D64" s="87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5"/>
    </row>
    <row r="65" spans="1:34" s="3" customFormat="1" ht="15.75" thickBot="1">
      <c r="A65" s="95" t="str">
        <f t="shared" si="0"/>
        <v>年度双边交易</v>
      </c>
    </row>
    <row r="66" spans="1:34" s="3" customFormat="1" ht="23.25">
      <c r="A66" s="95" t="str">
        <f>$C$66</f>
        <v>年度挂牌交易</v>
      </c>
      <c r="C66" s="157" t="s">
        <v>90</v>
      </c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4"/>
    </row>
    <row r="67" spans="1:34" s="3" customFormat="1" ht="22.5">
      <c r="A67" s="95" t="str">
        <f t="shared" ref="A67:A129" si="4">$C$66</f>
        <v>年度挂牌交易</v>
      </c>
      <c r="C67" s="167" t="str">
        <f>C66&amp;"电量(MWh)"</f>
        <v>年度挂牌交易电量(MWh)</v>
      </c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9"/>
    </row>
    <row r="68" spans="1:34" s="3" customFormat="1" ht="15">
      <c r="A68" s="95" t="str">
        <f t="shared" si="4"/>
        <v>年度挂牌交易</v>
      </c>
      <c r="C68" s="74" t="s">
        <v>31</v>
      </c>
      <c r="D68" s="5" t="s">
        <v>32</v>
      </c>
      <c r="E68" s="6" t="s">
        <v>33</v>
      </c>
      <c r="F68" s="6" t="s">
        <v>34</v>
      </c>
      <c r="G68" s="6" t="s">
        <v>35</v>
      </c>
      <c r="H68" s="6" t="s">
        <v>36</v>
      </c>
      <c r="I68" s="6" t="s">
        <v>37</v>
      </c>
      <c r="J68" s="6" t="s">
        <v>38</v>
      </c>
      <c r="K68" s="6" t="s">
        <v>39</v>
      </c>
      <c r="L68" s="6" t="s">
        <v>40</v>
      </c>
      <c r="M68" s="6" t="s">
        <v>41</v>
      </c>
      <c r="N68" s="6" t="s">
        <v>42</v>
      </c>
      <c r="O68" s="6" t="s">
        <v>43</v>
      </c>
      <c r="P68" s="6" t="s">
        <v>44</v>
      </c>
      <c r="Q68" s="6" t="s">
        <v>45</v>
      </c>
      <c r="R68" s="6" t="s">
        <v>46</v>
      </c>
      <c r="S68" s="6" t="s">
        <v>47</v>
      </c>
      <c r="T68" s="6" t="s">
        <v>48</v>
      </c>
      <c r="U68" s="6" t="s">
        <v>49</v>
      </c>
      <c r="V68" s="6" t="s">
        <v>50</v>
      </c>
      <c r="W68" s="6" t="s">
        <v>51</v>
      </c>
      <c r="X68" s="6" t="s">
        <v>52</v>
      </c>
      <c r="Y68" s="6" t="s">
        <v>53</v>
      </c>
      <c r="Z68" s="6" t="s">
        <v>54</v>
      </c>
      <c r="AA68" s="6" t="s">
        <v>55</v>
      </c>
      <c r="AB68" s="6" t="s">
        <v>56</v>
      </c>
      <c r="AC68" s="6" t="s">
        <v>57</v>
      </c>
      <c r="AD68" s="6" t="s">
        <v>58</v>
      </c>
      <c r="AE68" s="6" t="s">
        <v>59</v>
      </c>
      <c r="AF68" s="6" t="s">
        <v>60</v>
      </c>
      <c r="AG68" s="6" t="s">
        <v>61</v>
      </c>
      <c r="AH68" s="75" t="s">
        <v>62</v>
      </c>
    </row>
    <row r="69" spans="1:34" s="3" customFormat="1" ht="15.75">
      <c r="A69" s="95" t="str">
        <f t="shared" si="4"/>
        <v>年度挂牌交易</v>
      </c>
      <c r="C69" s="76" t="s">
        <v>6</v>
      </c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88"/>
    </row>
    <row r="70" spans="1:34" s="3" customFormat="1" ht="15.75">
      <c r="A70" s="95" t="str">
        <f t="shared" si="4"/>
        <v>年度挂牌交易</v>
      </c>
      <c r="C70" s="76" t="s">
        <v>7</v>
      </c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88"/>
    </row>
    <row r="71" spans="1:34" s="3" customFormat="1" ht="15.75">
      <c r="A71" s="95" t="str">
        <f t="shared" si="4"/>
        <v>年度挂牌交易</v>
      </c>
      <c r="C71" s="76" t="s">
        <v>8</v>
      </c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88"/>
    </row>
    <row r="72" spans="1:34" s="3" customFormat="1" ht="15.75">
      <c r="A72" s="95" t="str">
        <f t="shared" si="4"/>
        <v>年度挂牌交易</v>
      </c>
      <c r="C72" s="76" t="s">
        <v>9</v>
      </c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88"/>
    </row>
    <row r="73" spans="1:34" s="3" customFormat="1" ht="15.75">
      <c r="A73" s="95" t="str">
        <f t="shared" si="4"/>
        <v>年度挂牌交易</v>
      </c>
      <c r="C73" s="76" t="s">
        <v>10</v>
      </c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88"/>
    </row>
    <row r="74" spans="1:34" s="3" customFormat="1" ht="15.75">
      <c r="A74" s="95" t="str">
        <f t="shared" si="4"/>
        <v>年度挂牌交易</v>
      </c>
      <c r="C74" s="76" t="s">
        <v>11</v>
      </c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88"/>
    </row>
    <row r="75" spans="1:34" s="3" customFormat="1" ht="15.75">
      <c r="A75" s="95" t="str">
        <f t="shared" si="4"/>
        <v>年度挂牌交易</v>
      </c>
      <c r="C75" s="76" t="s">
        <v>12</v>
      </c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88"/>
    </row>
    <row r="76" spans="1:34" s="3" customFormat="1" ht="15.75">
      <c r="A76" s="95" t="str">
        <f t="shared" si="4"/>
        <v>年度挂牌交易</v>
      </c>
      <c r="C76" s="76" t="s">
        <v>13</v>
      </c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88"/>
    </row>
    <row r="77" spans="1:34" s="3" customFormat="1" ht="15.75">
      <c r="A77" s="95" t="str">
        <f t="shared" si="4"/>
        <v>年度挂牌交易</v>
      </c>
      <c r="C77" s="76" t="s">
        <v>14</v>
      </c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88"/>
    </row>
    <row r="78" spans="1:34" s="3" customFormat="1" ht="15.75">
      <c r="A78" s="95" t="str">
        <f t="shared" si="4"/>
        <v>年度挂牌交易</v>
      </c>
      <c r="C78" s="76" t="s">
        <v>15</v>
      </c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88"/>
    </row>
    <row r="79" spans="1:34" s="3" customFormat="1" ht="15.75">
      <c r="A79" s="95" t="str">
        <f t="shared" si="4"/>
        <v>年度挂牌交易</v>
      </c>
      <c r="C79" s="76" t="s">
        <v>16</v>
      </c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88"/>
    </row>
    <row r="80" spans="1:34" s="3" customFormat="1" ht="15.75">
      <c r="A80" s="95" t="str">
        <f t="shared" si="4"/>
        <v>年度挂牌交易</v>
      </c>
      <c r="C80" s="76" t="s">
        <v>17</v>
      </c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88"/>
    </row>
    <row r="81" spans="1:34" s="3" customFormat="1" ht="15.75">
      <c r="A81" s="95" t="str">
        <f t="shared" si="4"/>
        <v>年度挂牌交易</v>
      </c>
      <c r="C81" s="76" t="s">
        <v>18</v>
      </c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88"/>
    </row>
    <row r="82" spans="1:34" s="3" customFormat="1" ht="15.75">
      <c r="A82" s="95" t="str">
        <f t="shared" si="4"/>
        <v>年度挂牌交易</v>
      </c>
      <c r="C82" s="76" t="s">
        <v>19</v>
      </c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88"/>
    </row>
    <row r="83" spans="1:34" s="3" customFormat="1" ht="15.75">
      <c r="A83" s="95" t="str">
        <f t="shared" si="4"/>
        <v>年度挂牌交易</v>
      </c>
      <c r="C83" s="76" t="s">
        <v>20</v>
      </c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88"/>
    </row>
    <row r="84" spans="1:34" s="3" customFormat="1" ht="15.75">
      <c r="A84" s="95" t="str">
        <f t="shared" si="4"/>
        <v>年度挂牌交易</v>
      </c>
      <c r="C84" s="76" t="s">
        <v>21</v>
      </c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88"/>
    </row>
    <row r="85" spans="1:34" s="3" customFormat="1" ht="15.75">
      <c r="A85" s="95" t="str">
        <f t="shared" si="4"/>
        <v>年度挂牌交易</v>
      </c>
      <c r="C85" s="76" t="s">
        <v>22</v>
      </c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88"/>
    </row>
    <row r="86" spans="1:34" s="3" customFormat="1" ht="15.75">
      <c r="A86" s="95" t="str">
        <f t="shared" si="4"/>
        <v>年度挂牌交易</v>
      </c>
      <c r="C86" s="76" t="s">
        <v>23</v>
      </c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88"/>
    </row>
    <row r="87" spans="1:34" s="3" customFormat="1" ht="15.75">
      <c r="A87" s="95" t="str">
        <f t="shared" si="4"/>
        <v>年度挂牌交易</v>
      </c>
      <c r="C87" s="76" t="s">
        <v>24</v>
      </c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88"/>
    </row>
    <row r="88" spans="1:34" s="3" customFormat="1" ht="15.75">
      <c r="A88" s="95" t="str">
        <f t="shared" si="4"/>
        <v>年度挂牌交易</v>
      </c>
      <c r="C88" s="76" t="s">
        <v>25</v>
      </c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88"/>
    </row>
    <row r="89" spans="1:34" s="3" customFormat="1" ht="15.75">
      <c r="A89" s="95" t="str">
        <f t="shared" si="4"/>
        <v>年度挂牌交易</v>
      </c>
      <c r="C89" s="76" t="s">
        <v>26</v>
      </c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88"/>
    </row>
    <row r="90" spans="1:34" s="3" customFormat="1" ht="15.75">
      <c r="A90" s="95" t="str">
        <f t="shared" si="4"/>
        <v>年度挂牌交易</v>
      </c>
      <c r="C90" s="76" t="s">
        <v>27</v>
      </c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88"/>
    </row>
    <row r="91" spans="1:34" s="3" customFormat="1" ht="15.75">
      <c r="A91" s="95" t="str">
        <f t="shared" si="4"/>
        <v>年度挂牌交易</v>
      </c>
      <c r="C91" s="76" t="s">
        <v>28</v>
      </c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88"/>
    </row>
    <row r="92" spans="1:34" s="3" customFormat="1" ht="15.75">
      <c r="A92" s="95" t="str">
        <f t="shared" si="4"/>
        <v>年度挂牌交易</v>
      </c>
      <c r="C92" s="76" t="s">
        <v>29</v>
      </c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88"/>
    </row>
    <row r="93" spans="1:34" s="3" customFormat="1" ht="15.75" thickBot="1">
      <c r="A93" s="95" t="str">
        <f t="shared" si="4"/>
        <v>年度挂牌交易</v>
      </c>
      <c r="C93" s="77"/>
      <c r="AH93" s="81"/>
    </row>
    <row r="94" spans="1:34" s="3" customFormat="1" ht="15.75" thickBot="1">
      <c r="A94" s="95" t="str">
        <f t="shared" si="4"/>
        <v>年度挂牌交易</v>
      </c>
      <c r="C94" s="80" t="s">
        <v>63</v>
      </c>
      <c r="D94" s="9"/>
      <c r="E94" s="10"/>
      <c r="F94" s="10"/>
      <c r="G94" s="10"/>
      <c r="H94" s="11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49"/>
    </row>
    <row r="95" spans="1:34" s="3" customFormat="1" ht="15.75" thickBot="1">
      <c r="A95" s="95" t="str">
        <f t="shared" si="4"/>
        <v>年度挂牌交易</v>
      </c>
      <c r="C95" s="77"/>
      <c r="D95" s="15"/>
      <c r="Y95" s="89"/>
      <c r="Z95" s="89"/>
      <c r="AA95" s="89"/>
      <c r="AB95" s="89"/>
      <c r="AC95" s="89"/>
      <c r="AD95" s="89"/>
      <c r="AE95" s="89"/>
      <c r="AH95" s="81"/>
    </row>
    <row r="96" spans="1:34" s="3" customFormat="1" ht="15.75" thickBot="1">
      <c r="A96" s="95" t="str">
        <f t="shared" si="4"/>
        <v>年度挂牌交易</v>
      </c>
      <c r="C96" s="80" t="s">
        <v>64</v>
      </c>
      <c r="D96" s="12"/>
      <c r="Y96" s="13"/>
      <c r="Z96" s="13"/>
      <c r="AA96" s="13"/>
      <c r="AB96" s="13"/>
      <c r="AC96" s="13"/>
      <c r="AD96" s="13"/>
      <c r="AE96" s="13"/>
      <c r="AH96" s="81"/>
    </row>
    <row r="97" spans="1:34" s="3" customFormat="1" ht="15">
      <c r="A97" s="95" t="str">
        <f t="shared" si="4"/>
        <v>年度挂牌交易</v>
      </c>
      <c r="C97" s="77"/>
      <c r="AH97" s="81"/>
    </row>
    <row r="98" spans="1:34" s="3" customFormat="1" ht="22.5">
      <c r="A98" s="95" t="str">
        <f t="shared" si="4"/>
        <v>年度挂牌交易</v>
      </c>
      <c r="C98" s="154" t="str">
        <f>C66&amp;"电价(元/MWh)"</f>
        <v>年度挂牌交易电价(元/MWh)</v>
      </c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  <c r="Z98" s="155"/>
      <c r="AA98" s="155"/>
      <c r="AB98" s="155"/>
      <c r="AC98" s="155"/>
      <c r="AD98" s="155"/>
      <c r="AE98" s="155"/>
      <c r="AF98" s="155"/>
      <c r="AG98" s="155"/>
      <c r="AH98" s="156"/>
    </row>
    <row r="99" spans="1:34" s="3" customFormat="1" ht="15">
      <c r="A99" s="95" t="str">
        <f t="shared" si="4"/>
        <v>年度挂牌交易</v>
      </c>
      <c r="C99" s="74" t="s">
        <v>31</v>
      </c>
      <c r="D99" s="5" t="s">
        <v>32</v>
      </c>
      <c r="E99" s="6" t="s">
        <v>33</v>
      </c>
      <c r="F99" s="6" t="s">
        <v>34</v>
      </c>
      <c r="G99" s="6" t="s">
        <v>35</v>
      </c>
      <c r="H99" s="6" t="s">
        <v>36</v>
      </c>
      <c r="I99" s="6" t="s">
        <v>37</v>
      </c>
      <c r="J99" s="6" t="s">
        <v>38</v>
      </c>
      <c r="K99" s="6" t="s">
        <v>39</v>
      </c>
      <c r="L99" s="6" t="s">
        <v>40</v>
      </c>
      <c r="M99" s="6" t="s">
        <v>41</v>
      </c>
      <c r="N99" s="6" t="s">
        <v>42</v>
      </c>
      <c r="O99" s="6" t="s">
        <v>43</v>
      </c>
      <c r="P99" s="6" t="s">
        <v>44</v>
      </c>
      <c r="Q99" s="6" t="s">
        <v>45</v>
      </c>
      <c r="R99" s="6" t="s">
        <v>46</v>
      </c>
      <c r="S99" s="6" t="s">
        <v>47</v>
      </c>
      <c r="T99" s="6" t="s">
        <v>48</v>
      </c>
      <c r="U99" s="6" t="s">
        <v>49</v>
      </c>
      <c r="V99" s="6" t="s">
        <v>50</v>
      </c>
      <c r="W99" s="6" t="s">
        <v>51</v>
      </c>
      <c r="X99" s="6" t="s">
        <v>52</v>
      </c>
      <c r="Y99" s="6" t="s">
        <v>53</v>
      </c>
      <c r="Z99" s="6" t="s">
        <v>54</v>
      </c>
      <c r="AA99" s="6" t="s">
        <v>55</v>
      </c>
      <c r="AB99" s="6" t="s">
        <v>56</v>
      </c>
      <c r="AC99" s="6" t="s">
        <v>57</v>
      </c>
      <c r="AD99" s="6" t="s">
        <v>58</v>
      </c>
      <c r="AE99" s="6" t="s">
        <v>59</v>
      </c>
      <c r="AF99" s="6" t="s">
        <v>60</v>
      </c>
      <c r="AG99" s="6" t="s">
        <v>61</v>
      </c>
      <c r="AH99" s="75" t="s">
        <v>62</v>
      </c>
    </row>
    <row r="100" spans="1:34" s="3" customFormat="1" ht="15">
      <c r="A100" s="95" t="str">
        <f t="shared" si="4"/>
        <v>年度挂牌交易</v>
      </c>
      <c r="C100" s="76" t="s">
        <v>6</v>
      </c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90"/>
    </row>
    <row r="101" spans="1:34" s="3" customFormat="1" ht="15">
      <c r="A101" s="95" t="str">
        <f t="shared" si="4"/>
        <v>年度挂牌交易</v>
      </c>
      <c r="C101" s="76" t="s">
        <v>7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90"/>
    </row>
    <row r="102" spans="1:34" s="3" customFormat="1" ht="15">
      <c r="A102" s="95" t="str">
        <f t="shared" si="4"/>
        <v>年度挂牌交易</v>
      </c>
      <c r="C102" s="76" t="s">
        <v>8</v>
      </c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90"/>
    </row>
    <row r="103" spans="1:34" s="3" customFormat="1" ht="15">
      <c r="A103" s="95" t="str">
        <f t="shared" si="4"/>
        <v>年度挂牌交易</v>
      </c>
      <c r="C103" s="76" t="s">
        <v>9</v>
      </c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90"/>
    </row>
    <row r="104" spans="1:34" s="3" customFormat="1" ht="15">
      <c r="A104" s="95" t="str">
        <f t="shared" si="4"/>
        <v>年度挂牌交易</v>
      </c>
      <c r="C104" s="76" t="s">
        <v>10</v>
      </c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90"/>
    </row>
    <row r="105" spans="1:34" s="3" customFormat="1" ht="15">
      <c r="A105" s="95" t="str">
        <f t="shared" si="4"/>
        <v>年度挂牌交易</v>
      </c>
      <c r="C105" s="76" t="s">
        <v>11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90"/>
    </row>
    <row r="106" spans="1:34" s="3" customFormat="1" ht="15">
      <c r="A106" s="95" t="str">
        <f t="shared" si="4"/>
        <v>年度挂牌交易</v>
      </c>
      <c r="C106" s="76" t="s">
        <v>12</v>
      </c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90"/>
    </row>
    <row r="107" spans="1:34" s="3" customFormat="1" ht="15">
      <c r="A107" s="95" t="str">
        <f t="shared" si="4"/>
        <v>年度挂牌交易</v>
      </c>
      <c r="C107" s="76" t="s">
        <v>13</v>
      </c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90"/>
    </row>
    <row r="108" spans="1:34" s="3" customFormat="1" ht="15">
      <c r="A108" s="95" t="str">
        <f t="shared" si="4"/>
        <v>年度挂牌交易</v>
      </c>
      <c r="C108" s="76" t="s">
        <v>14</v>
      </c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90"/>
    </row>
    <row r="109" spans="1:34" s="3" customFormat="1" ht="15">
      <c r="A109" s="95" t="str">
        <f t="shared" si="4"/>
        <v>年度挂牌交易</v>
      </c>
      <c r="C109" s="76" t="s">
        <v>15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90"/>
    </row>
    <row r="110" spans="1:34" s="3" customFormat="1" ht="15">
      <c r="A110" s="95" t="str">
        <f t="shared" si="4"/>
        <v>年度挂牌交易</v>
      </c>
      <c r="C110" s="76" t="s">
        <v>16</v>
      </c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90"/>
    </row>
    <row r="111" spans="1:34" s="3" customFormat="1" ht="15">
      <c r="A111" s="95" t="str">
        <f t="shared" si="4"/>
        <v>年度挂牌交易</v>
      </c>
      <c r="C111" s="76" t="s">
        <v>17</v>
      </c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90"/>
    </row>
    <row r="112" spans="1:34" s="3" customFormat="1" ht="15">
      <c r="A112" s="95" t="str">
        <f t="shared" si="4"/>
        <v>年度挂牌交易</v>
      </c>
      <c r="C112" s="76" t="s">
        <v>18</v>
      </c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90"/>
    </row>
    <row r="113" spans="1:34" s="3" customFormat="1" ht="15">
      <c r="A113" s="95" t="str">
        <f t="shared" si="4"/>
        <v>年度挂牌交易</v>
      </c>
      <c r="C113" s="76" t="s">
        <v>19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90"/>
    </row>
    <row r="114" spans="1:34" s="3" customFormat="1" ht="15">
      <c r="A114" s="95" t="str">
        <f t="shared" si="4"/>
        <v>年度挂牌交易</v>
      </c>
      <c r="C114" s="76" t="s">
        <v>20</v>
      </c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90"/>
    </row>
    <row r="115" spans="1:34" s="3" customFormat="1" ht="15">
      <c r="A115" s="95" t="str">
        <f t="shared" si="4"/>
        <v>年度挂牌交易</v>
      </c>
      <c r="C115" s="76" t="s">
        <v>21</v>
      </c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90"/>
    </row>
    <row r="116" spans="1:34" s="3" customFormat="1" ht="15">
      <c r="A116" s="95" t="str">
        <f t="shared" si="4"/>
        <v>年度挂牌交易</v>
      </c>
      <c r="C116" s="76" t="s">
        <v>22</v>
      </c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90"/>
    </row>
    <row r="117" spans="1:34" s="3" customFormat="1" ht="15">
      <c r="A117" s="95" t="str">
        <f t="shared" si="4"/>
        <v>年度挂牌交易</v>
      </c>
      <c r="C117" s="76" t="s">
        <v>23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90"/>
    </row>
    <row r="118" spans="1:34" s="3" customFormat="1" ht="15">
      <c r="A118" s="95" t="str">
        <f t="shared" si="4"/>
        <v>年度挂牌交易</v>
      </c>
      <c r="C118" s="76" t="s">
        <v>24</v>
      </c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90"/>
    </row>
    <row r="119" spans="1:34" s="3" customFormat="1" ht="15">
      <c r="A119" s="95" t="str">
        <f t="shared" si="4"/>
        <v>年度挂牌交易</v>
      </c>
      <c r="C119" s="76" t="s">
        <v>25</v>
      </c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90"/>
    </row>
    <row r="120" spans="1:34" s="3" customFormat="1" ht="15">
      <c r="A120" s="95" t="str">
        <f t="shared" si="4"/>
        <v>年度挂牌交易</v>
      </c>
      <c r="C120" s="76" t="s">
        <v>26</v>
      </c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90"/>
    </row>
    <row r="121" spans="1:34" s="3" customFormat="1" ht="15">
      <c r="A121" s="95" t="str">
        <f t="shared" si="4"/>
        <v>年度挂牌交易</v>
      </c>
      <c r="C121" s="76" t="s">
        <v>27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90"/>
    </row>
    <row r="122" spans="1:34" s="3" customFormat="1" ht="15">
      <c r="A122" s="95" t="str">
        <f t="shared" si="4"/>
        <v>年度挂牌交易</v>
      </c>
      <c r="C122" s="76" t="s">
        <v>28</v>
      </c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90"/>
    </row>
    <row r="123" spans="1:34" s="3" customFormat="1" ht="15">
      <c r="A123" s="95" t="str">
        <f t="shared" si="4"/>
        <v>年度挂牌交易</v>
      </c>
      <c r="C123" s="76" t="s">
        <v>29</v>
      </c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90"/>
    </row>
    <row r="124" spans="1:34" s="3" customFormat="1" ht="15.75" thickBot="1">
      <c r="A124" s="95" t="str">
        <f t="shared" si="4"/>
        <v>年度挂牌交易</v>
      </c>
      <c r="C124" s="77"/>
      <c r="AH124" s="81"/>
    </row>
    <row r="125" spans="1:34" s="3" customFormat="1" ht="15.75" thickBot="1">
      <c r="A125" s="95" t="str">
        <f t="shared" si="4"/>
        <v>年度挂牌交易</v>
      </c>
      <c r="C125" s="80" t="s">
        <v>63</v>
      </c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12"/>
    </row>
    <row r="126" spans="1:34" s="3" customFormat="1" ht="15.75" thickBot="1">
      <c r="A126" s="95" t="str">
        <f t="shared" si="4"/>
        <v>年度挂牌交易</v>
      </c>
      <c r="C126" s="77"/>
      <c r="D126" s="15"/>
      <c r="AH126" s="81"/>
    </row>
    <row r="127" spans="1:34" s="3" customFormat="1" ht="15.75" thickBot="1">
      <c r="A127" s="95" t="str">
        <f t="shared" si="4"/>
        <v>年度挂牌交易</v>
      </c>
      <c r="C127" s="80" t="s">
        <v>64</v>
      </c>
      <c r="D127" s="12"/>
      <c r="AH127" s="81"/>
    </row>
    <row r="128" spans="1:34" s="3" customFormat="1" ht="15.75" thickBot="1">
      <c r="A128" s="95" t="str">
        <f t="shared" si="4"/>
        <v>年度挂牌交易</v>
      </c>
      <c r="C128" s="83"/>
      <c r="D128" s="87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5"/>
    </row>
    <row r="129" spans="1:34" s="3" customFormat="1" ht="15.75" thickBot="1">
      <c r="A129" s="95" t="str">
        <f t="shared" si="4"/>
        <v>年度挂牌交易</v>
      </c>
    </row>
    <row r="130" spans="1:34" s="3" customFormat="1" ht="23.25">
      <c r="A130" s="95" t="str">
        <f>$C$130</f>
        <v>年度集中竞争交易</v>
      </c>
      <c r="C130" s="160" t="s">
        <v>91</v>
      </c>
      <c r="D130" s="152"/>
      <c r="E130" s="152"/>
      <c r="F130" s="152"/>
      <c r="G130" s="152"/>
      <c r="H130" s="152"/>
      <c r="I130" s="152"/>
      <c r="J130" s="152"/>
      <c r="K130" s="152"/>
      <c r="L130" s="152"/>
      <c r="M130" s="152"/>
      <c r="N130" s="152"/>
      <c r="O130" s="152"/>
      <c r="P130" s="152"/>
      <c r="Q130" s="152"/>
      <c r="R130" s="152"/>
      <c r="S130" s="152"/>
      <c r="T130" s="152"/>
      <c r="U130" s="152"/>
      <c r="V130" s="152"/>
      <c r="W130" s="152"/>
      <c r="X130" s="152"/>
      <c r="Y130" s="152"/>
      <c r="Z130" s="152"/>
      <c r="AA130" s="152"/>
      <c r="AB130" s="152"/>
      <c r="AC130" s="152"/>
      <c r="AD130" s="152"/>
      <c r="AE130" s="152"/>
      <c r="AF130" s="152"/>
      <c r="AG130" s="152"/>
      <c r="AH130" s="153"/>
    </row>
    <row r="131" spans="1:34" s="3" customFormat="1" ht="22.5">
      <c r="A131" s="95" t="str">
        <f t="shared" ref="A131:A193" si="5">$C$130</f>
        <v>年度集中竞争交易</v>
      </c>
      <c r="C131" s="154" t="str">
        <f>C130&amp;"电量(MWh)"</f>
        <v>年度集中竞争交易电量(MWh)</v>
      </c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  <c r="AA131" s="155"/>
      <c r="AB131" s="155"/>
      <c r="AC131" s="155"/>
      <c r="AD131" s="155"/>
      <c r="AE131" s="155"/>
      <c r="AF131" s="155"/>
      <c r="AG131" s="155"/>
      <c r="AH131" s="156"/>
    </row>
    <row r="132" spans="1:34" s="3" customFormat="1" ht="15">
      <c r="A132" s="95" t="str">
        <f t="shared" si="5"/>
        <v>年度集中竞争交易</v>
      </c>
      <c r="C132" s="74" t="s">
        <v>31</v>
      </c>
      <c r="D132" s="5" t="s">
        <v>32</v>
      </c>
      <c r="E132" s="6" t="s">
        <v>33</v>
      </c>
      <c r="F132" s="6" t="s">
        <v>34</v>
      </c>
      <c r="G132" s="6" t="s">
        <v>35</v>
      </c>
      <c r="H132" s="6" t="s">
        <v>36</v>
      </c>
      <c r="I132" s="6" t="s">
        <v>37</v>
      </c>
      <c r="J132" s="6" t="s">
        <v>38</v>
      </c>
      <c r="K132" s="6" t="s">
        <v>39</v>
      </c>
      <c r="L132" s="6" t="s">
        <v>40</v>
      </c>
      <c r="M132" s="6" t="s">
        <v>41</v>
      </c>
      <c r="N132" s="6" t="s">
        <v>42</v>
      </c>
      <c r="O132" s="6" t="s">
        <v>43</v>
      </c>
      <c r="P132" s="6" t="s">
        <v>44</v>
      </c>
      <c r="Q132" s="6" t="s">
        <v>45</v>
      </c>
      <c r="R132" s="6" t="s">
        <v>46</v>
      </c>
      <c r="S132" s="6" t="s">
        <v>47</v>
      </c>
      <c r="T132" s="6" t="s">
        <v>48</v>
      </c>
      <c r="U132" s="6" t="s">
        <v>49</v>
      </c>
      <c r="V132" s="6" t="s">
        <v>50</v>
      </c>
      <c r="W132" s="6" t="s">
        <v>51</v>
      </c>
      <c r="X132" s="6" t="s">
        <v>52</v>
      </c>
      <c r="Y132" s="6" t="s">
        <v>53</v>
      </c>
      <c r="Z132" s="6" t="s">
        <v>54</v>
      </c>
      <c r="AA132" s="6" t="s">
        <v>55</v>
      </c>
      <c r="AB132" s="6" t="s">
        <v>56</v>
      </c>
      <c r="AC132" s="6" t="s">
        <v>57</v>
      </c>
      <c r="AD132" s="6" t="s">
        <v>58</v>
      </c>
      <c r="AE132" s="6" t="s">
        <v>59</v>
      </c>
      <c r="AF132" s="6" t="s">
        <v>60</v>
      </c>
      <c r="AG132" s="6" t="s">
        <v>61</v>
      </c>
      <c r="AH132" s="75" t="s">
        <v>62</v>
      </c>
    </row>
    <row r="133" spans="1:34" s="3" customFormat="1" ht="15">
      <c r="A133" s="95" t="str">
        <f t="shared" si="5"/>
        <v>年度集中竞争交易</v>
      </c>
      <c r="C133" s="76" t="s">
        <v>6</v>
      </c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91"/>
    </row>
    <row r="134" spans="1:34" s="3" customFormat="1" ht="15">
      <c r="A134" s="95" t="str">
        <f t="shared" si="5"/>
        <v>年度集中竞争交易</v>
      </c>
      <c r="C134" s="76" t="s">
        <v>7</v>
      </c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91"/>
    </row>
    <row r="135" spans="1:34" s="3" customFormat="1" ht="15">
      <c r="A135" s="95" t="str">
        <f t="shared" si="5"/>
        <v>年度集中竞争交易</v>
      </c>
      <c r="C135" s="76" t="s">
        <v>8</v>
      </c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91"/>
    </row>
    <row r="136" spans="1:34" s="3" customFormat="1" ht="15">
      <c r="A136" s="95" t="str">
        <f t="shared" si="5"/>
        <v>年度集中竞争交易</v>
      </c>
      <c r="C136" s="76" t="s">
        <v>9</v>
      </c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91"/>
    </row>
    <row r="137" spans="1:34" s="3" customFormat="1" ht="15">
      <c r="A137" s="95" t="str">
        <f t="shared" si="5"/>
        <v>年度集中竞争交易</v>
      </c>
      <c r="C137" s="76" t="s">
        <v>10</v>
      </c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91"/>
    </row>
    <row r="138" spans="1:34" s="3" customFormat="1" ht="15">
      <c r="A138" s="95" t="str">
        <f t="shared" si="5"/>
        <v>年度集中竞争交易</v>
      </c>
      <c r="C138" s="76" t="s">
        <v>11</v>
      </c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91"/>
    </row>
    <row r="139" spans="1:34" s="3" customFormat="1" ht="15">
      <c r="A139" s="95" t="str">
        <f t="shared" si="5"/>
        <v>年度集中竞争交易</v>
      </c>
      <c r="C139" s="76" t="s">
        <v>12</v>
      </c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91"/>
    </row>
    <row r="140" spans="1:34" s="3" customFormat="1" ht="15">
      <c r="A140" s="95" t="str">
        <f t="shared" si="5"/>
        <v>年度集中竞争交易</v>
      </c>
      <c r="C140" s="76" t="s">
        <v>13</v>
      </c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91"/>
    </row>
    <row r="141" spans="1:34" s="3" customFormat="1" ht="15">
      <c r="A141" s="95" t="str">
        <f t="shared" si="5"/>
        <v>年度集中竞争交易</v>
      </c>
      <c r="C141" s="76" t="s">
        <v>14</v>
      </c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91"/>
    </row>
    <row r="142" spans="1:34" s="3" customFormat="1" ht="15">
      <c r="A142" s="95" t="str">
        <f t="shared" si="5"/>
        <v>年度集中竞争交易</v>
      </c>
      <c r="C142" s="76" t="s">
        <v>15</v>
      </c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91"/>
    </row>
    <row r="143" spans="1:34" s="3" customFormat="1" ht="15">
      <c r="A143" s="95" t="str">
        <f t="shared" si="5"/>
        <v>年度集中竞争交易</v>
      </c>
      <c r="C143" s="76" t="s">
        <v>16</v>
      </c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91"/>
    </row>
    <row r="144" spans="1:34" s="3" customFormat="1" ht="15">
      <c r="A144" s="95" t="str">
        <f t="shared" si="5"/>
        <v>年度集中竞争交易</v>
      </c>
      <c r="C144" s="76" t="s">
        <v>17</v>
      </c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91"/>
    </row>
    <row r="145" spans="1:34" s="3" customFormat="1" ht="15">
      <c r="A145" s="95" t="str">
        <f t="shared" si="5"/>
        <v>年度集中竞争交易</v>
      </c>
      <c r="C145" s="76" t="s">
        <v>18</v>
      </c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91"/>
    </row>
    <row r="146" spans="1:34" s="3" customFormat="1" ht="15">
      <c r="A146" s="95" t="str">
        <f t="shared" si="5"/>
        <v>年度集中竞争交易</v>
      </c>
      <c r="C146" s="76" t="s">
        <v>19</v>
      </c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91"/>
    </row>
    <row r="147" spans="1:34" s="3" customFormat="1" ht="15">
      <c r="A147" s="95" t="str">
        <f t="shared" si="5"/>
        <v>年度集中竞争交易</v>
      </c>
      <c r="C147" s="76" t="s">
        <v>20</v>
      </c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91"/>
    </row>
    <row r="148" spans="1:34" s="3" customFormat="1" ht="15">
      <c r="A148" s="95" t="str">
        <f t="shared" si="5"/>
        <v>年度集中竞争交易</v>
      </c>
      <c r="C148" s="76" t="s">
        <v>21</v>
      </c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91"/>
    </row>
    <row r="149" spans="1:34" s="3" customFormat="1" ht="15">
      <c r="A149" s="95" t="str">
        <f t="shared" si="5"/>
        <v>年度集中竞争交易</v>
      </c>
      <c r="C149" s="76" t="s">
        <v>22</v>
      </c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91"/>
    </row>
    <row r="150" spans="1:34" s="3" customFormat="1" ht="15">
      <c r="A150" s="95" t="str">
        <f t="shared" si="5"/>
        <v>年度集中竞争交易</v>
      </c>
      <c r="C150" s="76" t="s">
        <v>23</v>
      </c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91"/>
    </row>
    <row r="151" spans="1:34" s="3" customFormat="1" ht="15">
      <c r="A151" s="95" t="str">
        <f t="shared" si="5"/>
        <v>年度集中竞争交易</v>
      </c>
      <c r="C151" s="76" t="s">
        <v>24</v>
      </c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91"/>
    </row>
    <row r="152" spans="1:34" s="3" customFormat="1" ht="15">
      <c r="A152" s="95" t="str">
        <f t="shared" si="5"/>
        <v>年度集中竞争交易</v>
      </c>
      <c r="C152" s="76" t="s">
        <v>25</v>
      </c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91"/>
    </row>
    <row r="153" spans="1:34" s="3" customFormat="1" ht="15">
      <c r="A153" s="95" t="str">
        <f t="shared" si="5"/>
        <v>年度集中竞争交易</v>
      </c>
      <c r="C153" s="76" t="s">
        <v>26</v>
      </c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91"/>
    </row>
    <row r="154" spans="1:34" s="3" customFormat="1" ht="15">
      <c r="A154" s="95" t="str">
        <f t="shared" si="5"/>
        <v>年度集中竞争交易</v>
      </c>
      <c r="C154" s="76" t="s">
        <v>27</v>
      </c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91"/>
    </row>
    <row r="155" spans="1:34" s="3" customFormat="1" ht="15">
      <c r="A155" s="95" t="str">
        <f t="shared" si="5"/>
        <v>年度集中竞争交易</v>
      </c>
      <c r="C155" s="76" t="s">
        <v>28</v>
      </c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91"/>
    </row>
    <row r="156" spans="1:34" s="3" customFormat="1" ht="15">
      <c r="A156" s="95" t="str">
        <f t="shared" si="5"/>
        <v>年度集中竞争交易</v>
      </c>
      <c r="C156" s="76" t="s">
        <v>29</v>
      </c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91"/>
    </row>
    <row r="157" spans="1:34" s="3" customFormat="1" ht="15.75" thickBot="1">
      <c r="A157" s="95" t="str">
        <f t="shared" si="5"/>
        <v>年度集中竞争交易</v>
      </c>
      <c r="C157" s="77"/>
      <c r="AH157" s="81"/>
    </row>
    <row r="158" spans="1:34" s="3" customFormat="1" ht="15.75" thickBot="1">
      <c r="A158" s="95" t="str">
        <f t="shared" si="5"/>
        <v>年度集中竞争交易</v>
      </c>
      <c r="C158" s="80" t="s">
        <v>63</v>
      </c>
      <c r="D158" s="9">
        <f>SUM(D133:D156)</f>
        <v>0</v>
      </c>
      <c r="E158" s="10">
        <f t="shared" ref="E158:AH158" si="6">SUM(E133:E156)</f>
        <v>0</v>
      </c>
      <c r="F158" s="10">
        <f t="shared" si="6"/>
        <v>0</v>
      </c>
      <c r="G158" s="10">
        <f t="shared" si="6"/>
        <v>0</v>
      </c>
      <c r="H158" s="10">
        <f t="shared" si="6"/>
        <v>0</v>
      </c>
      <c r="I158" s="10">
        <f t="shared" si="6"/>
        <v>0</v>
      </c>
      <c r="J158" s="10">
        <f t="shared" si="6"/>
        <v>0</v>
      </c>
      <c r="K158" s="10">
        <f t="shared" si="6"/>
        <v>0</v>
      </c>
      <c r="L158" s="10">
        <f t="shared" si="6"/>
        <v>0</v>
      </c>
      <c r="M158" s="10">
        <f t="shared" si="6"/>
        <v>0</v>
      </c>
      <c r="N158" s="10">
        <f t="shared" si="6"/>
        <v>0</v>
      </c>
      <c r="O158" s="10">
        <f t="shared" si="6"/>
        <v>0</v>
      </c>
      <c r="P158" s="10">
        <f t="shared" si="6"/>
        <v>0</v>
      </c>
      <c r="Q158" s="10">
        <f t="shared" si="6"/>
        <v>0</v>
      </c>
      <c r="R158" s="10">
        <f t="shared" si="6"/>
        <v>0</v>
      </c>
      <c r="S158" s="10">
        <f t="shared" si="6"/>
        <v>0</v>
      </c>
      <c r="T158" s="10">
        <f t="shared" si="6"/>
        <v>0</v>
      </c>
      <c r="U158" s="10">
        <f t="shared" si="6"/>
        <v>0</v>
      </c>
      <c r="V158" s="10">
        <f t="shared" si="6"/>
        <v>0</v>
      </c>
      <c r="W158" s="10">
        <f t="shared" si="6"/>
        <v>0</v>
      </c>
      <c r="X158" s="10">
        <f t="shared" si="6"/>
        <v>0</v>
      </c>
      <c r="Y158" s="10">
        <f t="shared" si="6"/>
        <v>0</v>
      </c>
      <c r="Z158" s="10">
        <f t="shared" si="6"/>
        <v>0</v>
      </c>
      <c r="AA158" s="10">
        <f t="shared" si="6"/>
        <v>0</v>
      </c>
      <c r="AB158" s="10">
        <f t="shared" si="6"/>
        <v>0</v>
      </c>
      <c r="AC158" s="10">
        <f t="shared" si="6"/>
        <v>0</v>
      </c>
      <c r="AD158" s="10">
        <f t="shared" si="6"/>
        <v>0</v>
      </c>
      <c r="AE158" s="10">
        <f t="shared" si="6"/>
        <v>0</v>
      </c>
      <c r="AF158" s="10">
        <f t="shared" si="6"/>
        <v>0</v>
      </c>
      <c r="AG158" s="10">
        <f t="shared" si="6"/>
        <v>0</v>
      </c>
      <c r="AH158" s="49">
        <f t="shared" si="6"/>
        <v>0</v>
      </c>
    </row>
    <row r="159" spans="1:34" s="3" customFormat="1" ht="15.75" thickBot="1">
      <c r="A159" s="95" t="str">
        <f t="shared" si="5"/>
        <v>年度集中竞争交易</v>
      </c>
      <c r="C159" s="77"/>
      <c r="D159" s="15"/>
      <c r="AH159" s="81"/>
    </row>
    <row r="160" spans="1:34" s="3" customFormat="1" ht="15.75" thickBot="1">
      <c r="A160" s="95" t="str">
        <f t="shared" si="5"/>
        <v>年度集中竞争交易</v>
      </c>
      <c r="C160" s="80" t="s">
        <v>64</v>
      </c>
      <c r="D160" s="12">
        <f>SUM(D158:AH158)</f>
        <v>0</v>
      </c>
      <c r="AH160" s="81"/>
    </row>
    <row r="161" spans="1:34" s="3" customFormat="1" ht="15">
      <c r="A161" s="95" t="str">
        <f t="shared" si="5"/>
        <v>年度集中竞争交易</v>
      </c>
      <c r="C161" s="77"/>
      <c r="AH161" s="81"/>
    </row>
    <row r="162" spans="1:34" s="3" customFormat="1" ht="22.5">
      <c r="A162" s="95" t="str">
        <f t="shared" si="5"/>
        <v>年度集中竞争交易</v>
      </c>
      <c r="C162" s="154" t="str">
        <f>C130&amp;"电价(元/MWh)"</f>
        <v>年度集中竞争交易电价(元/MWh)</v>
      </c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  <c r="AA162" s="155"/>
      <c r="AB162" s="155"/>
      <c r="AC162" s="155"/>
      <c r="AD162" s="155"/>
      <c r="AE162" s="155"/>
      <c r="AF162" s="155"/>
      <c r="AG162" s="155"/>
      <c r="AH162" s="156"/>
    </row>
    <row r="163" spans="1:34" s="3" customFormat="1" ht="15">
      <c r="A163" s="95" t="str">
        <f t="shared" si="5"/>
        <v>年度集中竞争交易</v>
      </c>
      <c r="C163" s="74" t="s">
        <v>31</v>
      </c>
      <c r="D163" s="5" t="s">
        <v>32</v>
      </c>
      <c r="E163" s="6" t="s">
        <v>33</v>
      </c>
      <c r="F163" s="6" t="s">
        <v>34</v>
      </c>
      <c r="G163" s="6" t="s">
        <v>35</v>
      </c>
      <c r="H163" s="6" t="s">
        <v>36</v>
      </c>
      <c r="I163" s="6" t="s">
        <v>37</v>
      </c>
      <c r="J163" s="6" t="s">
        <v>38</v>
      </c>
      <c r="K163" s="6" t="s">
        <v>39</v>
      </c>
      <c r="L163" s="6" t="s">
        <v>40</v>
      </c>
      <c r="M163" s="6" t="s">
        <v>41</v>
      </c>
      <c r="N163" s="6" t="s">
        <v>42</v>
      </c>
      <c r="O163" s="6" t="s">
        <v>43</v>
      </c>
      <c r="P163" s="6" t="s">
        <v>44</v>
      </c>
      <c r="Q163" s="6" t="s">
        <v>45</v>
      </c>
      <c r="R163" s="6" t="s">
        <v>46</v>
      </c>
      <c r="S163" s="6" t="s">
        <v>47</v>
      </c>
      <c r="T163" s="6" t="s">
        <v>48</v>
      </c>
      <c r="U163" s="6" t="s">
        <v>49</v>
      </c>
      <c r="V163" s="6" t="s">
        <v>50</v>
      </c>
      <c r="W163" s="6" t="s">
        <v>51</v>
      </c>
      <c r="X163" s="6" t="s">
        <v>52</v>
      </c>
      <c r="Y163" s="6" t="s">
        <v>53</v>
      </c>
      <c r="Z163" s="6" t="s">
        <v>54</v>
      </c>
      <c r="AA163" s="6" t="s">
        <v>55</v>
      </c>
      <c r="AB163" s="6" t="s">
        <v>56</v>
      </c>
      <c r="AC163" s="6" t="s">
        <v>57</v>
      </c>
      <c r="AD163" s="6" t="s">
        <v>58</v>
      </c>
      <c r="AE163" s="6" t="s">
        <v>59</v>
      </c>
      <c r="AF163" s="6" t="s">
        <v>60</v>
      </c>
      <c r="AG163" s="6" t="s">
        <v>61</v>
      </c>
      <c r="AH163" s="75" t="s">
        <v>62</v>
      </c>
    </row>
    <row r="164" spans="1:34" s="3" customFormat="1" ht="15">
      <c r="A164" s="95" t="str">
        <f t="shared" si="5"/>
        <v>年度集中竞争交易</v>
      </c>
      <c r="C164" s="76" t="s">
        <v>6</v>
      </c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92"/>
    </row>
    <row r="165" spans="1:34" s="3" customFormat="1" ht="15">
      <c r="A165" s="95" t="str">
        <f t="shared" si="5"/>
        <v>年度集中竞争交易</v>
      </c>
      <c r="C165" s="76" t="s">
        <v>7</v>
      </c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92"/>
    </row>
    <row r="166" spans="1:34" s="3" customFormat="1" ht="15">
      <c r="A166" s="95" t="str">
        <f t="shared" si="5"/>
        <v>年度集中竞争交易</v>
      </c>
      <c r="C166" s="76" t="s">
        <v>8</v>
      </c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92"/>
    </row>
    <row r="167" spans="1:34" s="3" customFormat="1" ht="15">
      <c r="A167" s="95" t="str">
        <f t="shared" si="5"/>
        <v>年度集中竞争交易</v>
      </c>
      <c r="C167" s="76" t="s">
        <v>9</v>
      </c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92"/>
    </row>
    <row r="168" spans="1:34" s="3" customFormat="1" ht="15">
      <c r="A168" s="95" t="str">
        <f t="shared" si="5"/>
        <v>年度集中竞争交易</v>
      </c>
      <c r="C168" s="76" t="s">
        <v>10</v>
      </c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92"/>
    </row>
    <row r="169" spans="1:34" s="3" customFormat="1" ht="15">
      <c r="A169" s="95" t="str">
        <f t="shared" si="5"/>
        <v>年度集中竞争交易</v>
      </c>
      <c r="C169" s="76" t="s">
        <v>11</v>
      </c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92"/>
    </row>
    <row r="170" spans="1:34" s="3" customFormat="1" ht="15">
      <c r="A170" s="95" t="str">
        <f t="shared" si="5"/>
        <v>年度集中竞争交易</v>
      </c>
      <c r="C170" s="76" t="s">
        <v>12</v>
      </c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92"/>
    </row>
    <row r="171" spans="1:34" s="3" customFormat="1" ht="15">
      <c r="A171" s="95" t="str">
        <f t="shared" si="5"/>
        <v>年度集中竞争交易</v>
      </c>
      <c r="C171" s="76" t="s">
        <v>13</v>
      </c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92"/>
    </row>
    <row r="172" spans="1:34" s="3" customFormat="1" ht="15">
      <c r="A172" s="95" t="str">
        <f t="shared" si="5"/>
        <v>年度集中竞争交易</v>
      </c>
      <c r="C172" s="76" t="s">
        <v>14</v>
      </c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92"/>
    </row>
    <row r="173" spans="1:34" s="3" customFormat="1" ht="15">
      <c r="A173" s="95" t="str">
        <f t="shared" si="5"/>
        <v>年度集中竞争交易</v>
      </c>
      <c r="C173" s="76" t="s">
        <v>15</v>
      </c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92"/>
    </row>
    <row r="174" spans="1:34" s="3" customFormat="1" ht="15">
      <c r="A174" s="95" t="str">
        <f t="shared" si="5"/>
        <v>年度集中竞争交易</v>
      </c>
      <c r="C174" s="76" t="s">
        <v>16</v>
      </c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92"/>
    </row>
    <row r="175" spans="1:34" s="3" customFormat="1" ht="15">
      <c r="A175" s="95" t="str">
        <f t="shared" si="5"/>
        <v>年度集中竞争交易</v>
      </c>
      <c r="C175" s="76" t="s">
        <v>17</v>
      </c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92"/>
    </row>
    <row r="176" spans="1:34" s="3" customFormat="1" ht="15">
      <c r="A176" s="95" t="str">
        <f t="shared" si="5"/>
        <v>年度集中竞争交易</v>
      </c>
      <c r="C176" s="76" t="s">
        <v>18</v>
      </c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92"/>
    </row>
    <row r="177" spans="1:34" s="3" customFormat="1" ht="15">
      <c r="A177" s="95" t="str">
        <f t="shared" si="5"/>
        <v>年度集中竞争交易</v>
      </c>
      <c r="C177" s="76" t="s">
        <v>19</v>
      </c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92"/>
    </row>
    <row r="178" spans="1:34" s="3" customFormat="1" ht="15">
      <c r="A178" s="95" t="str">
        <f t="shared" si="5"/>
        <v>年度集中竞争交易</v>
      </c>
      <c r="C178" s="76" t="s">
        <v>20</v>
      </c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92"/>
    </row>
    <row r="179" spans="1:34" s="3" customFormat="1" ht="15">
      <c r="A179" s="95" t="str">
        <f t="shared" si="5"/>
        <v>年度集中竞争交易</v>
      </c>
      <c r="C179" s="76" t="s">
        <v>21</v>
      </c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92"/>
    </row>
    <row r="180" spans="1:34" s="3" customFormat="1" ht="15">
      <c r="A180" s="95" t="str">
        <f t="shared" si="5"/>
        <v>年度集中竞争交易</v>
      </c>
      <c r="C180" s="76" t="s">
        <v>22</v>
      </c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92"/>
    </row>
    <row r="181" spans="1:34" s="3" customFormat="1" ht="15">
      <c r="A181" s="95" t="str">
        <f t="shared" si="5"/>
        <v>年度集中竞争交易</v>
      </c>
      <c r="C181" s="76" t="s">
        <v>23</v>
      </c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92"/>
    </row>
    <row r="182" spans="1:34" s="3" customFormat="1" ht="15">
      <c r="A182" s="95" t="str">
        <f t="shared" si="5"/>
        <v>年度集中竞争交易</v>
      </c>
      <c r="C182" s="76" t="s">
        <v>24</v>
      </c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92"/>
    </row>
    <row r="183" spans="1:34" s="3" customFormat="1" ht="15">
      <c r="A183" s="95" t="str">
        <f t="shared" si="5"/>
        <v>年度集中竞争交易</v>
      </c>
      <c r="C183" s="76" t="s">
        <v>25</v>
      </c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92"/>
    </row>
    <row r="184" spans="1:34" s="3" customFormat="1" ht="15">
      <c r="A184" s="95" t="str">
        <f t="shared" si="5"/>
        <v>年度集中竞争交易</v>
      </c>
      <c r="C184" s="76" t="s">
        <v>26</v>
      </c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92"/>
    </row>
    <row r="185" spans="1:34" s="3" customFormat="1" ht="15">
      <c r="A185" s="95" t="str">
        <f t="shared" si="5"/>
        <v>年度集中竞争交易</v>
      </c>
      <c r="C185" s="76" t="s">
        <v>27</v>
      </c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92"/>
    </row>
    <row r="186" spans="1:34" s="3" customFormat="1" ht="15">
      <c r="A186" s="95" t="str">
        <f t="shared" si="5"/>
        <v>年度集中竞争交易</v>
      </c>
      <c r="C186" s="76" t="s">
        <v>28</v>
      </c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92"/>
    </row>
    <row r="187" spans="1:34" s="3" customFormat="1" ht="15">
      <c r="A187" s="95" t="str">
        <f t="shared" si="5"/>
        <v>年度集中竞争交易</v>
      </c>
      <c r="C187" s="76" t="s">
        <v>29</v>
      </c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92"/>
    </row>
    <row r="188" spans="1:34" s="3" customFormat="1" ht="15.75" thickBot="1">
      <c r="A188" s="95" t="str">
        <f t="shared" si="5"/>
        <v>年度集中竞争交易</v>
      </c>
      <c r="C188" s="77"/>
      <c r="AH188" s="81"/>
    </row>
    <row r="189" spans="1:34" s="3" customFormat="1" ht="15.75" thickBot="1">
      <c r="A189" s="95" t="str">
        <f t="shared" si="5"/>
        <v>年度集中竞争交易</v>
      </c>
      <c r="C189" s="80" t="s">
        <v>63</v>
      </c>
      <c r="D189" s="9">
        <f t="shared" ref="D189:AH189" si="7">IFERROR(SUMPRODUCT(D164:D187,D133:D156)/D158,0)</f>
        <v>0</v>
      </c>
      <c r="E189" s="10">
        <f t="shared" si="7"/>
        <v>0</v>
      </c>
      <c r="F189" s="10">
        <f t="shared" si="7"/>
        <v>0</v>
      </c>
      <c r="G189" s="10">
        <f t="shared" si="7"/>
        <v>0</v>
      </c>
      <c r="H189" s="10">
        <f t="shared" si="7"/>
        <v>0</v>
      </c>
      <c r="I189" s="10">
        <f t="shared" si="7"/>
        <v>0</v>
      </c>
      <c r="J189" s="10">
        <f t="shared" si="7"/>
        <v>0</v>
      </c>
      <c r="K189" s="10">
        <f t="shared" si="7"/>
        <v>0</v>
      </c>
      <c r="L189" s="10">
        <f t="shared" si="7"/>
        <v>0</v>
      </c>
      <c r="M189" s="10">
        <f t="shared" si="7"/>
        <v>0</v>
      </c>
      <c r="N189" s="10">
        <f t="shared" si="7"/>
        <v>0</v>
      </c>
      <c r="O189" s="10">
        <f t="shared" si="7"/>
        <v>0</v>
      </c>
      <c r="P189" s="10">
        <f t="shared" si="7"/>
        <v>0</v>
      </c>
      <c r="Q189" s="10">
        <f t="shared" si="7"/>
        <v>0</v>
      </c>
      <c r="R189" s="10">
        <f t="shared" si="7"/>
        <v>0</v>
      </c>
      <c r="S189" s="10">
        <f t="shared" si="7"/>
        <v>0</v>
      </c>
      <c r="T189" s="10">
        <f t="shared" si="7"/>
        <v>0</v>
      </c>
      <c r="U189" s="10">
        <f t="shared" si="7"/>
        <v>0</v>
      </c>
      <c r="V189" s="10">
        <f t="shared" si="7"/>
        <v>0</v>
      </c>
      <c r="W189" s="10">
        <f t="shared" si="7"/>
        <v>0</v>
      </c>
      <c r="X189" s="10">
        <f t="shared" si="7"/>
        <v>0</v>
      </c>
      <c r="Y189" s="10">
        <f t="shared" si="7"/>
        <v>0</v>
      </c>
      <c r="Z189" s="10">
        <f t="shared" si="7"/>
        <v>0</v>
      </c>
      <c r="AA189" s="10">
        <f t="shared" si="7"/>
        <v>0</v>
      </c>
      <c r="AB189" s="10">
        <f t="shared" si="7"/>
        <v>0</v>
      </c>
      <c r="AC189" s="10">
        <f t="shared" si="7"/>
        <v>0</v>
      </c>
      <c r="AD189" s="10">
        <f t="shared" si="7"/>
        <v>0</v>
      </c>
      <c r="AE189" s="10">
        <f t="shared" si="7"/>
        <v>0</v>
      </c>
      <c r="AF189" s="10">
        <f t="shared" si="7"/>
        <v>0</v>
      </c>
      <c r="AG189" s="10">
        <f t="shared" si="7"/>
        <v>0</v>
      </c>
      <c r="AH189" s="49">
        <f t="shared" si="7"/>
        <v>0</v>
      </c>
    </row>
    <row r="190" spans="1:34" s="3" customFormat="1" ht="15.75" thickBot="1">
      <c r="A190" s="95" t="str">
        <f t="shared" si="5"/>
        <v>年度集中竞争交易</v>
      </c>
      <c r="C190" s="77"/>
      <c r="D190" s="15"/>
      <c r="AH190" s="81"/>
    </row>
    <row r="191" spans="1:34" s="3" customFormat="1" ht="15.75" thickBot="1">
      <c r="A191" s="95" t="str">
        <f t="shared" si="5"/>
        <v>年度集中竞争交易</v>
      </c>
      <c r="C191" s="80" t="s">
        <v>64</v>
      </c>
      <c r="D191" s="12">
        <f>IFERROR(SUMPRODUCT(D158:AH158,D189:AH189)/D160,0)</f>
        <v>0</v>
      </c>
      <c r="AH191" s="81"/>
    </row>
    <row r="192" spans="1:34" s="3" customFormat="1" ht="15.75" thickBot="1">
      <c r="A192" s="95" t="str">
        <f t="shared" si="5"/>
        <v>年度集中竞争交易</v>
      </c>
      <c r="C192" s="83"/>
      <c r="D192" s="87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5"/>
    </row>
    <row r="193" spans="1:34" s="3" customFormat="1" ht="15.75" thickBot="1">
      <c r="A193" s="95" t="str">
        <f t="shared" si="5"/>
        <v>年度集中竞争交易</v>
      </c>
    </row>
    <row r="194" spans="1:34" s="3" customFormat="1" ht="24.75">
      <c r="A194" s="95" t="str">
        <f>$C$194</f>
        <v>年度绿电双边交易</v>
      </c>
      <c r="C194" s="151" t="s">
        <v>92</v>
      </c>
      <c r="D194" s="152"/>
      <c r="E194" s="152"/>
      <c r="F194" s="152"/>
      <c r="G194" s="152"/>
      <c r="H194" s="152"/>
      <c r="I194" s="152"/>
      <c r="J194" s="152"/>
      <c r="K194" s="152"/>
      <c r="L194" s="152"/>
      <c r="M194" s="152"/>
      <c r="N194" s="152"/>
      <c r="O194" s="152"/>
      <c r="P194" s="152"/>
      <c r="Q194" s="152"/>
      <c r="R194" s="152"/>
      <c r="S194" s="152"/>
      <c r="T194" s="152"/>
      <c r="U194" s="152"/>
      <c r="V194" s="152"/>
      <c r="W194" s="152"/>
      <c r="X194" s="152"/>
      <c r="Y194" s="152"/>
      <c r="Z194" s="152"/>
      <c r="AA194" s="152"/>
      <c r="AB194" s="152"/>
      <c r="AC194" s="152"/>
      <c r="AD194" s="152"/>
      <c r="AE194" s="152"/>
      <c r="AF194" s="152"/>
      <c r="AG194" s="152"/>
      <c r="AH194" s="153"/>
    </row>
    <row r="195" spans="1:34" s="3" customFormat="1" ht="22.5">
      <c r="A195" s="95" t="str">
        <f t="shared" ref="A195:A257" si="8">$C$194</f>
        <v>年度绿电双边交易</v>
      </c>
      <c r="C195" s="165" t="str">
        <f>C194&amp;"电量(MWh)"</f>
        <v>年度绿电双边交易电量(MWh)</v>
      </c>
      <c r="D195" s="155"/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  <c r="AA195" s="155"/>
      <c r="AB195" s="155"/>
      <c r="AC195" s="155"/>
      <c r="AD195" s="155"/>
      <c r="AE195" s="155"/>
      <c r="AF195" s="155"/>
      <c r="AG195" s="155"/>
      <c r="AH195" s="156"/>
    </row>
    <row r="196" spans="1:34" s="3" customFormat="1" ht="15">
      <c r="A196" s="95" t="str">
        <f t="shared" si="8"/>
        <v>年度绿电双边交易</v>
      </c>
      <c r="C196" s="74" t="s">
        <v>31</v>
      </c>
      <c r="D196" s="5" t="s">
        <v>32</v>
      </c>
      <c r="E196" s="6" t="s">
        <v>33</v>
      </c>
      <c r="F196" s="6" t="s">
        <v>34</v>
      </c>
      <c r="G196" s="6" t="s">
        <v>35</v>
      </c>
      <c r="H196" s="6" t="s">
        <v>36</v>
      </c>
      <c r="I196" s="6" t="s">
        <v>37</v>
      </c>
      <c r="J196" s="6" t="s">
        <v>38</v>
      </c>
      <c r="K196" s="6" t="s">
        <v>39</v>
      </c>
      <c r="L196" s="6" t="s">
        <v>40</v>
      </c>
      <c r="M196" s="6" t="s">
        <v>41</v>
      </c>
      <c r="N196" s="6" t="s">
        <v>42</v>
      </c>
      <c r="O196" s="6" t="s">
        <v>43</v>
      </c>
      <c r="P196" s="6" t="s">
        <v>44</v>
      </c>
      <c r="Q196" s="6" t="s">
        <v>45</v>
      </c>
      <c r="R196" s="6" t="s">
        <v>46</v>
      </c>
      <c r="S196" s="6" t="s">
        <v>47</v>
      </c>
      <c r="T196" s="6" t="s">
        <v>48</v>
      </c>
      <c r="U196" s="6" t="s">
        <v>49</v>
      </c>
      <c r="V196" s="6" t="s">
        <v>50</v>
      </c>
      <c r="W196" s="6" t="s">
        <v>51</v>
      </c>
      <c r="X196" s="6" t="s">
        <v>52</v>
      </c>
      <c r="Y196" s="6" t="s">
        <v>53</v>
      </c>
      <c r="Z196" s="6" t="s">
        <v>54</v>
      </c>
      <c r="AA196" s="6" t="s">
        <v>55</v>
      </c>
      <c r="AB196" s="6" t="s">
        <v>56</v>
      </c>
      <c r="AC196" s="6" t="s">
        <v>57</v>
      </c>
      <c r="AD196" s="6" t="s">
        <v>58</v>
      </c>
      <c r="AE196" s="6" t="s">
        <v>59</v>
      </c>
      <c r="AF196" s="6" t="s">
        <v>60</v>
      </c>
      <c r="AG196" s="6" t="s">
        <v>61</v>
      </c>
      <c r="AH196" s="75" t="s">
        <v>62</v>
      </c>
    </row>
    <row r="197" spans="1:34" s="3" customFormat="1" ht="15">
      <c r="A197" s="95" t="str">
        <f t="shared" si="8"/>
        <v>年度绿电双边交易</v>
      </c>
      <c r="C197" s="76" t="s">
        <v>6</v>
      </c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91"/>
    </row>
    <row r="198" spans="1:34" s="3" customFormat="1" ht="15">
      <c r="A198" s="95" t="str">
        <f t="shared" si="8"/>
        <v>年度绿电双边交易</v>
      </c>
      <c r="C198" s="76" t="s">
        <v>7</v>
      </c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91"/>
    </row>
    <row r="199" spans="1:34" s="3" customFormat="1" ht="15">
      <c r="A199" s="95" t="str">
        <f t="shared" si="8"/>
        <v>年度绿电双边交易</v>
      </c>
      <c r="C199" s="76" t="s">
        <v>8</v>
      </c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91"/>
    </row>
    <row r="200" spans="1:34" s="3" customFormat="1" ht="15">
      <c r="A200" s="95" t="str">
        <f t="shared" si="8"/>
        <v>年度绿电双边交易</v>
      </c>
      <c r="C200" s="76" t="s">
        <v>9</v>
      </c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91"/>
    </row>
    <row r="201" spans="1:34" s="3" customFormat="1" ht="15">
      <c r="A201" s="95" t="str">
        <f t="shared" si="8"/>
        <v>年度绿电双边交易</v>
      </c>
      <c r="C201" s="76" t="s">
        <v>10</v>
      </c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91"/>
    </row>
    <row r="202" spans="1:34" s="3" customFormat="1" ht="15">
      <c r="A202" s="95" t="str">
        <f t="shared" si="8"/>
        <v>年度绿电双边交易</v>
      </c>
      <c r="C202" s="76" t="s">
        <v>11</v>
      </c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91"/>
    </row>
    <row r="203" spans="1:34" s="3" customFormat="1" ht="15">
      <c r="A203" s="95" t="str">
        <f t="shared" si="8"/>
        <v>年度绿电双边交易</v>
      </c>
      <c r="C203" s="76" t="s">
        <v>12</v>
      </c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91"/>
    </row>
    <row r="204" spans="1:34" s="3" customFormat="1" ht="15">
      <c r="A204" s="95" t="str">
        <f t="shared" si="8"/>
        <v>年度绿电双边交易</v>
      </c>
      <c r="C204" s="76" t="s">
        <v>13</v>
      </c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91"/>
    </row>
    <row r="205" spans="1:34" s="3" customFormat="1" ht="15">
      <c r="A205" s="95" t="str">
        <f t="shared" si="8"/>
        <v>年度绿电双边交易</v>
      </c>
      <c r="C205" s="76" t="s">
        <v>14</v>
      </c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91"/>
    </row>
    <row r="206" spans="1:34" s="3" customFormat="1" ht="15">
      <c r="A206" s="95" t="str">
        <f t="shared" si="8"/>
        <v>年度绿电双边交易</v>
      </c>
      <c r="C206" s="76" t="s">
        <v>15</v>
      </c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91"/>
    </row>
    <row r="207" spans="1:34" s="3" customFormat="1" ht="15">
      <c r="A207" s="95" t="str">
        <f t="shared" si="8"/>
        <v>年度绿电双边交易</v>
      </c>
      <c r="C207" s="76" t="s">
        <v>16</v>
      </c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91"/>
    </row>
    <row r="208" spans="1:34" s="3" customFormat="1" ht="15">
      <c r="A208" s="95" t="str">
        <f t="shared" si="8"/>
        <v>年度绿电双边交易</v>
      </c>
      <c r="C208" s="76" t="s">
        <v>17</v>
      </c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91"/>
    </row>
    <row r="209" spans="1:34" s="3" customFormat="1" ht="15">
      <c r="A209" s="95" t="str">
        <f t="shared" si="8"/>
        <v>年度绿电双边交易</v>
      </c>
      <c r="C209" s="76" t="s">
        <v>18</v>
      </c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91"/>
    </row>
    <row r="210" spans="1:34" s="3" customFormat="1" ht="15">
      <c r="A210" s="95" t="str">
        <f t="shared" si="8"/>
        <v>年度绿电双边交易</v>
      </c>
      <c r="C210" s="76" t="s">
        <v>19</v>
      </c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91"/>
    </row>
    <row r="211" spans="1:34" s="3" customFormat="1" ht="15">
      <c r="A211" s="95" t="str">
        <f t="shared" si="8"/>
        <v>年度绿电双边交易</v>
      </c>
      <c r="C211" s="76" t="s">
        <v>20</v>
      </c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91"/>
    </row>
    <row r="212" spans="1:34" s="3" customFormat="1" ht="15">
      <c r="A212" s="95" t="str">
        <f t="shared" si="8"/>
        <v>年度绿电双边交易</v>
      </c>
      <c r="C212" s="76" t="s">
        <v>21</v>
      </c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91"/>
    </row>
    <row r="213" spans="1:34" s="3" customFormat="1" ht="15">
      <c r="A213" s="95" t="str">
        <f t="shared" si="8"/>
        <v>年度绿电双边交易</v>
      </c>
      <c r="C213" s="76" t="s">
        <v>22</v>
      </c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91"/>
    </row>
    <row r="214" spans="1:34" s="3" customFormat="1" ht="15">
      <c r="A214" s="95" t="str">
        <f t="shared" si="8"/>
        <v>年度绿电双边交易</v>
      </c>
      <c r="C214" s="76" t="s">
        <v>23</v>
      </c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91"/>
    </row>
    <row r="215" spans="1:34" s="3" customFormat="1" ht="15">
      <c r="A215" s="95" t="str">
        <f t="shared" si="8"/>
        <v>年度绿电双边交易</v>
      </c>
      <c r="C215" s="76" t="s">
        <v>24</v>
      </c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91"/>
    </row>
    <row r="216" spans="1:34" s="3" customFormat="1" ht="15">
      <c r="A216" s="95" t="str">
        <f t="shared" si="8"/>
        <v>年度绿电双边交易</v>
      </c>
      <c r="C216" s="76" t="s">
        <v>25</v>
      </c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91"/>
    </row>
    <row r="217" spans="1:34" s="3" customFormat="1" ht="15">
      <c r="A217" s="95" t="str">
        <f t="shared" si="8"/>
        <v>年度绿电双边交易</v>
      </c>
      <c r="C217" s="76" t="s">
        <v>26</v>
      </c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91"/>
    </row>
    <row r="218" spans="1:34" s="3" customFormat="1" ht="15">
      <c r="A218" s="95" t="str">
        <f t="shared" si="8"/>
        <v>年度绿电双边交易</v>
      </c>
      <c r="C218" s="76" t="s">
        <v>27</v>
      </c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91"/>
    </row>
    <row r="219" spans="1:34" s="3" customFormat="1" ht="15">
      <c r="A219" s="95" t="str">
        <f t="shared" si="8"/>
        <v>年度绿电双边交易</v>
      </c>
      <c r="C219" s="76" t="s">
        <v>28</v>
      </c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91"/>
    </row>
    <row r="220" spans="1:34" s="3" customFormat="1" ht="15">
      <c r="A220" s="95" t="str">
        <f t="shared" si="8"/>
        <v>年度绿电双边交易</v>
      </c>
      <c r="C220" s="76" t="s">
        <v>29</v>
      </c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91"/>
    </row>
    <row r="221" spans="1:34" s="3" customFormat="1" ht="15.75" thickBot="1">
      <c r="A221" s="95" t="str">
        <f t="shared" si="8"/>
        <v>年度绿电双边交易</v>
      </c>
      <c r="C221" s="77"/>
      <c r="AH221" s="81"/>
    </row>
    <row r="222" spans="1:34" s="3" customFormat="1" ht="15.75" thickBot="1">
      <c r="A222" s="95" t="str">
        <f t="shared" si="8"/>
        <v>年度绿电双边交易</v>
      </c>
      <c r="C222" s="80" t="s">
        <v>63</v>
      </c>
      <c r="D222" s="9">
        <f>SUM(D197:D220)</f>
        <v>0</v>
      </c>
      <c r="E222" s="10">
        <f t="shared" ref="E222:AH222" si="9">SUM(E197:E220)</f>
        <v>0</v>
      </c>
      <c r="F222" s="10">
        <f t="shared" si="9"/>
        <v>0</v>
      </c>
      <c r="G222" s="10">
        <f t="shared" si="9"/>
        <v>0</v>
      </c>
      <c r="H222" s="10">
        <f t="shared" si="9"/>
        <v>0</v>
      </c>
      <c r="I222" s="10">
        <f t="shared" si="9"/>
        <v>0</v>
      </c>
      <c r="J222" s="10">
        <f t="shared" si="9"/>
        <v>0</v>
      </c>
      <c r="K222" s="10">
        <f t="shared" si="9"/>
        <v>0</v>
      </c>
      <c r="L222" s="10">
        <f t="shared" si="9"/>
        <v>0</v>
      </c>
      <c r="M222" s="10">
        <f t="shared" si="9"/>
        <v>0</v>
      </c>
      <c r="N222" s="10">
        <f t="shared" si="9"/>
        <v>0</v>
      </c>
      <c r="O222" s="10">
        <f t="shared" si="9"/>
        <v>0</v>
      </c>
      <c r="P222" s="10">
        <f t="shared" si="9"/>
        <v>0</v>
      </c>
      <c r="Q222" s="10">
        <f t="shared" si="9"/>
        <v>0</v>
      </c>
      <c r="R222" s="10">
        <f t="shared" si="9"/>
        <v>0</v>
      </c>
      <c r="S222" s="10">
        <f t="shared" si="9"/>
        <v>0</v>
      </c>
      <c r="T222" s="10">
        <f t="shared" si="9"/>
        <v>0</v>
      </c>
      <c r="U222" s="10">
        <f t="shared" si="9"/>
        <v>0</v>
      </c>
      <c r="V222" s="10">
        <f t="shared" si="9"/>
        <v>0</v>
      </c>
      <c r="W222" s="10">
        <f t="shared" si="9"/>
        <v>0</v>
      </c>
      <c r="X222" s="10">
        <f t="shared" si="9"/>
        <v>0</v>
      </c>
      <c r="Y222" s="10">
        <f t="shared" si="9"/>
        <v>0</v>
      </c>
      <c r="Z222" s="10">
        <f t="shared" si="9"/>
        <v>0</v>
      </c>
      <c r="AA222" s="10">
        <f t="shared" si="9"/>
        <v>0</v>
      </c>
      <c r="AB222" s="10">
        <f t="shared" si="9"/>
        <v>0</v>
      </c>
      <c r="AC222" s="10">
        <f t="shared" si="9"/>
        <v>0</v>
      </c>
      <c r="AD222" s="10">
        <f t="shared" si="9"/>
        <v>0</v>
      </c>
      <c r="AE222" s="10">
        <f t="shared" si="9"/>
        <v>0</v>
      </c>
      <c r="AF222" s="10">
        <f t="shared" si="9"/>
        <v>0</v>
      </c>
      <c r="AG222" s="10">
        <f t="shared" si="9"/>
        <v>0</v>
      </c>
      <c r="AH222" s="49">
        <f t="shared" si="9"/>
        <v>0</v>
      </c>
    </row>
    <row r="223" spans="1:34" s="3" customFormat="1" ht="15.75" thickBot="1">
      <c r="A223" s="95" t="str">
        <f t="shared" si="8"/>
        <v>年度绿电双边交易</v>
      </c>
      <c r="C223" s="77"/>
      <c r="D223" s="15"/>
      <c r="AH223" s="81"/>
    </row>
    <row r="224" spans="1:34" s="3" customFormat="1" ht="15.75" thickBot="1">
      <c r="A224" s="95" t="str">
        <f t="shared" si="8"/>
        <v>年度绿电双边交易</v>
      </c>
      <c r="C224" s="80" t="s">
        <v>64</v>
      </c>
      <c r="D224" s="12">
        <f>SUM(D222:AH222)</f>
        <v>0</v>
      </c>
      <c r="AH224" s="81"/>
    </row>
    <row r="225" spans="1:34" s="3" customFormat="1" ht="15">
      <c r="A225" s="95" t="str">
        <f t="shared" si="8"/>
        <v>年度绿电双边交易</v>
      </c>
      <c r="C225" s="77"/>
      <c r="AH225" s="81"/>
    </row>
    <row r="226" spans="1:34" s="3" customFormat="1" ht="22.5">
      <c r="A226" s="95" t="str">
        <f t="shared" si="8"/>
        <v>年度绿电双边交易</v>
      </c>
      <c r="C226" s="154" t="str">
        <f>C194&amp;"电价(元/MWh)"</f>
        <v>年度绿电双边交易电价(元/MWh)</v>
      </c>
      <c r="D226" s="155"/>
      <c r="E226" s="155"/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  <c r="AA226" s="155"/>
      <c r="AB226" s="155"/>
      <c r="AC226" s="155"/>
      <c r="AD226" s="155"/>
      <c r="AE226" s="155"/>
      <c r="AF226" s="155"/>
      <c r="AG226" s="155"/>
      <c r="AH226" s="156"/>
    </row>
    <row r="227" spans="1:34" s="3" customFormat="1" ht="15">
      <c r="A227" s="95" t="str">
        <f t="shared" si="8"/>
        <v>年度绿电双边交易</v>
      </c>
      <c r="C227" s="74" t="s">
        <v>31</v>
      </c>
      <c r="D227" s="5" t="s">
        <v>32</v>
      </c>
      <c r="E227" s="6" t="s">
        <v>33</v>
      </c>
      <c r="F227" s="6" t="s">
        <v>34</v>
      </c>
      <c r="G227" s="6" t="s">
        <v>35</v>
      </c>
      <c r="H227" s="6" t="s">
        <v>36</v>
      </c>
      <c r="I227" s="6" t="s">
        <v>37</v>
      </c>
      <c r="J227" s="6" t="s">
        <v>38</v>
      </c>
      <c r="K227" s="6" t="s">
        <v>39</v>
      </c>
      <c r="L227" s="6" t="s">
        <v>40</v>
      </c>
      <c r="M227" s="6" t="s">
        <v>41</v>
      </c>
      <c r="N227" s="6" t="s">
        <v>42</v>
      </c>
      <c r="O227" s="6" t="s">
        <v>43</v>
      </c>
      <c r="P227" s="6" t="s">
        <v>44</v>
      </c>
      <c r="Q227" s="6" t="s">
        <v>45</v>
      </c>
      <c r="R227" s="6" t="s">
        <v>46</v>
      </c>
      <c r="S227" s="6" t="s">
        <v>47</v>
      </c>
      <c r="T227" s="6" t="s">
        <v>48</v>
      </c>
      <c r="U227" s="6" t="s">
        <v>49</v>
      </c>
      <c r="V227" s="6" t="s">
        <v>50</v>
      </c>
      <c r="W227" s="6" t="s">
        <v>51</v>
      </c>
      <c r="X227" s="6" t="s">
        <v>52</v>
      </c>
      <c r="Y227" s="6" t="s">
        <v>53</v>
      </c>
      <c r="Z227" s="6" t="s">
        <v>54</v>
      </c>
      <c r="AA227" s="6" t="s">
        <v>55</v>
      </c>
      <c r="AB227" s="6" t="s">
        <v>56</v>
      </c>
      <c r="AC227" s="6" t="s">
        <v>57</v>
      </c>
      <c r="AD227" s="6" t="s">
        <v>58</v>
      </c>
      <c r="AE227" s="6" t="s">
        <v>59</v>
      </c>
      <c r="AF227" s="6" t="s">
        <v>60</v>
      </c>
      <c r="AG227" s="6" t="s">
        <v>61</v>
      </c>
      <c r="AH227" s="75" t="s">
        <v>62</v>
      </c>
    </row>
    <row r="228" spans="1:34" s="3" customFormat="1" ht="15">
      <c r="A228" s="95" t="str">
        <f t="shared" si="8"/>
        <v>年度绿电双边交易</v>
      </c>
      <c r="C228" s="76" t="s">
        <v>6</v>
      </c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92"/>
    </row>
    <row r="229" spans="1:34" s="3" customFormat="1" ht="15">
      <c r="A229" s="95" t="str">
        <f t="shared" si="8"/>
        <v>年度绿电双边交易</v>
      </c>
      <c r="C229" s="76" t="s">
        <v>7</v>
      </c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92"/>
    </row>
    <row r="230" spans="1:34" s="3" customFormat="1" ht="15">
      <c r="A230" s="95" t="str">
        <f t="shared" si="8"/>
        <v>年度绿电双边交易</v>
      </c>
      <c r="C230" s="76" t="s">
        <v>8</v>
      </c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92"/>
    </row>
    <row r="231" spans="1:34" s="3" customFormat="1" ht="15">
      <c r="A231" s="95" t="str">
        <f t="shared" si="8"/>
        <v>年度绿电双边交易</v>
      </c>
      <c r="C231" s="76" t="s">
        <v>9</v>
      </c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92"/>
    </row>
    <row r="232" spans="1:34" s="3" customFormat="1" ht="15">
      <c r="A232" s="95" t="str">
        <f t="shared" si="8"/>
        <v>年度绿电双边交易</v>
      </c>
      <c r="C232" s="76" t="s">
        <v>10</v>
      </c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92"/>
    </row>
    <row r="233" spans="1:34" s="3" customFormat="1" ht="15">
      <c r="A233" s="95" t="str">
        <f t="shared" si="8"/>
        <v>年度绿电双边交易</v>
      </c>
      <c r="C233" s="76" t="s">
        <v>11</v>
      </c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92"/>
    </row>
    <row r="234" spans="1:34" s="3" customFormat="1" ht="15">
      <c r="A234" s="95" t="str">
        <f t="shared" si="8"/>
        <v>年度绿电双边交易</v>
      </c>
      <c r="C234" s="76" t="s">
        <v>12</v>
      </c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92"/>
    </row>
    <row r="235" spans="1:34" s="3" customFormat="1" ht="15">
      <c r="A235" s="95" t="str">
        <f t="shared" si="8"/>
        <v>年度绿电双边交易</v>
      </c>
      <c r="C235" s="76" t="s">
        <v>13</v>
      </c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92"/>
    </row>
    <row r="236" spans="1:34" s="3" customFormat="1" ht="15">
      <c r="A236" s="95" t="str">
        <f t="shared" si="8"/>
        <v>年度绿电双边交易</v>
      </c>
      <c r="C236" s="76" t="s">
        <v>14</v>
      </c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92"/>
    </row>
    <row r="237" spans="1:34" s="3" customFormat="1" ht="15">
      <c r="A237" s="95" t="str">
        <f t="shared" si="8"/>
        <v>年度绿电双边交易</v>
      </c>
      <c r="C237" s="76" t="s">
        <v>15</v>
      </c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92"/>
    </row>
    <row r="238" spans="1:34" s="3" customFormat="1" ht="15">
      <c r="A238" s="95" t="str">
        <f t="shared" si="8"/>
        <v>年度绿电双边交易</v>
      </c>
      <c r="C238" s="76" t="s">
        <v>16</v>
      </c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92"/>
    </row>
    <row r="239" spans="1:34" s="3" customFormat="1" ht="15">
      <c r="A239" s="95" t="str">
        <f t="shared" si="8"/>
        <v>年度绿电双边交易</v>
      </c>
      <c r="C239" s="76" t="s">
        <v>17</v>
      </c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92"/>
    </row>
    <row r="240" spans="1:34" s="3" customFormat="1" ht="15">
      <c r="A240" s="95" t="str">
        <f t="shared" si="8"/>
        <v>年度绿电双边交易</v>
      </c>
      <c r="C240" s="76" t="s">
        <v>18</v>
      </c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92"/>
    </row>
    <row r="241" spans="1:34" s="3" customFormat="1" ht="15">
      <c r="A241" s="95" t="str">
        <f t="shared" si="8"/>
        <v>年度绿电双边交易</v>
      </c>
      <c r="C241" s="76" t="s">
        <v>19</v>
      </c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92"/>
    </row>
    <row r="242" spans="1:34" s="3" customFormat="1" ht="15">
      <c r="A242" s="95" t="str">
        <f t="shared" si="8"/>
        <v>年度绿电双边交易</v>
      </c>
      <c r="C242" s="76" t="s">
        <v>20</v>
      </c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92"/>
    </row>
    <row r="243" spans="1:34" s="3" customFormat="1" ht="15">
      <c r="A243" s="95" t="str">
        <f t="shared" si="8"/>
        <v>年度绿电双边交易</v>
      </c>
      <c r="C243" s="76" t="s">
        <v>21</v>
      </c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92"/>
    </row>
    <row r="244" spans="1:34" s="3" customFormat="1" ht="15">
      <c r="A244" s="95" t="str">
        <f t="shared" si="8"/>
        <v>年度绿电双边交易</v>
      </c>
      <c r="C244" s="76" t="s">
        <v>22</v>
      </c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92"/>
    </row>
    <row r="245" spans="1:34" s="3" customFormat="1" ht="15">
      <c r="A245" s="95" t="str">
        <f t="shared" si="8"/>
        <v>年度绿电双边交易</v>
      </c>
      <c r="C245" s="76" t="s">
        <v>23</v>
      </c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92"/>
    </row>
    <row r="246" spans="1:34" s="3" customFormat="1" ht="15">
      <c r="A246" s="95" t="str">
        <f t="shared" si="8"/>
        <v>年度绿电双边交易</v>
      </c>
      <c r="C246" s="76" t="s">
        <v>24</v>
      </c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92"/>
    </row>
    <row r="247" spans="1:34" s="3" customFormat="1" ht="15">
      <c r="A247" s="95" t="str">
        <f t="shared" si="8"/>
        <v>年度绿电双边交易</v>
      </c>
      <c r="C247" s="76" t="s">
        <v>25</v>
      </c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92"/>
    </row>
    <row r="248" spans="1:34" s="3" customFormat="1" ht="15">
      <c r="A248" s="95" t="str">
        <f t="shared" si="8"/>
        <v>年度绿电双边交易</v>
      </c>
      <c r="C248" s="76" t="s">
        <v>26</v>
      </c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92"/>
    </row>
    <row r="249" spans="1:34" s="3" customFormat="1" ht="15">
      <c r="A249" s="95" t="str">
        <f t="shared" si="8"/>
        <v>年度绿电双边交易</v>
      </c>
      <c r="C249" s="76" t="s">
        <v>27</v>
      </c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92"/>
    </row>
    <row r="250" spans="1:34" s="3" customFormat="1" ht="15">
      <c r="A250" s="95" t="str">
        <f t="shared" si="8"/>
        <v>年度绿电双边交易</v>
      </c>
      <c r="C250" s="76" t="s">
        <v>28</v>
      </c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92"/>
    </row>
    <row r="251" spans="1:34" s="3" customFormat="1" ht="15">
      <c r="A251" s="95" t="str">
        <f t="shared" si="8"/>
        <v>年度绿电双边交易</v>
      </c>
      <c r="C251" s="76" t="s">
        <v>29</v>
      </c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92"/>
    </row>
    <row r="252" spans="1:34" s="3" customFormat="1" ht="15.75" thickBot="1">
      <c r="A252" s="95" t="str">
        <f t="shared" si="8"/>
        <v>年度绿电双边交易</v>
      </c>
      <c r="C252" s="77"/>
      <c r="AH252" s="81"/>
    </row>
    <row r="253" spans="1:34" s="3" customFormat="1" ht="15.75" thickBot="1">
      <c r="A253" s="95" t="str">
        <f t="shared" si="8"/>
        <v>年度绿电双边交易</v>
      </c>
      <c r="C253" s="80" t="s">
        <v>63</v>
      </c>
      <c r="D253" s="9">
        <f t="shared" ref="D253:AH253" si="10">IFERROR(SUMPRODUCT(D228:D251,D197:D220)/D222,0)</f>
        <v>0</v>
      </c>
      <c r="E253" s="10">
        <f t="shared" si="10"/>
        <v>0</v>
      </c>
      <c r="F253" s="10">
        <f t="shared" si="10"/>
        <v>0</v>
      </c>
      <c r="G253" s="10">
        <f t="shared" si="10"/>
        <v>0</v>
      </c>
      <c r="H253" s="10">
        <f t="shared" si="10"/>
        <v>0</v>
      </c>
      <c r="I253" s="10">
        <f t="shared" si="10"/>
        <v>0</v>
      </c>
      <c r="J253" s="10">
        <f t="shared" si="10"/>
        <v>0</v>
      </c>
      <c r="K253" s="10">
        <f t="shared" si="10"/>
        <v>0</v>
      </c>
      <c r="L253" s="10">
        <f t="shared" si="10"/>
        <v>0</v>
      </c>
      <c r="M253" s="10">
        <f t="shared" si="10"/>
        <v>0</v>
      </c>
      <c r="N253" s="10">
        <f t="shared" si="10"/>
        <v>0</v>
      </c>
      <c r="O253" s="10">
        <f t="shared" si="10"/>
        <v>0</v>
      </c>
      <c r="P253" s="10">
        <f t="shared" si="10"/>
        <v>0</v>
      </c>
      <c r="Q253" s="10">
        <f t="shared" si="10"/>
        <v>0</v>
      </c>
      <c r="R253" s="10">
        <f t="shared" si="10"/>
        <v>0</v>
      </c>
      <c r="S253" s="10">
        <f t="shared" si="10"/>
        <v>0</v>
      </c>
      <c r="T253" s="10">
        <f t="shared" si="10"/>
        <v>0</v>
      </c>
      <c r="U253" s="10">
        <f t="shared" si="10"/>
        <v>0</v>
      </c>
      <c r="V253" s="10">
        <f t="shared" si="10"/>
        <v>0</v>
      </c>
      <c r="W253" s="10">
        <f t="shared" si="10"/>
        <v>0</v>
      </c>
      <c r="X253" s="10">
        <f t="shared" si="10"/>
        <v>0</v>
      </c>
      <c r="Y253" s="10">
        <f t="shared" si="10"/>
        <v>0</v>
      </c>
      <c r="Z253" s="10">
        <f t="shared" si="10"/>
        <v>0</v>
      </c>
      <c r="AA253" s="10">
        <f t="shared" si="10"/>
        <v>0</v>
      </c>
      <c r="AB253" s="10">
        <f t="shared" si="10"/>
        <v>0</v>
      </c>
      <c r="AC253" s="10">
        <f t="shared" si="10"/>
        <v>0</v>
      </c>
      <c r="AD253" s="10">
        <f t="shared" si="10"/>
        <v>0</v>
      </c>
      <c r="AE253" s="10">
        <f t="shared" si="10"/>
        <v>0</v>
      </c>
      <c r="AF253" s="10">
        <f t="shared" si="10"/>
        <v>0</v>
      </c>
      <c r="AG253" s="10">
        <f t="shared" si="10"/>
        <v>0</v>
      </c>
      <c r="AH253" s="49">
        <f t="shared" si="10"/>
        <v>0</v>
      </c>
    </row>
    <row r="254" spans="1:34" s="3" customFormat="1" ht="15.75" thickBot="1">
      <c r="A254" s="95" t="str">
        <f t="shared" si="8"/>
        <v>年度绿电双边交易</v>
      </c>
      <c r="C254" s="77"/>
      <c r="D254" s="15"/>
      <c r="AH254" s="81"/>
    </row>
    <row r="255" spans="1:34" s="3" customFormat="1" ht="15.75" thickBot="1">
      <c r="A255" s="95" t="str">
        <f t="shared" si="8"/>
        <v>年度绿电双边交易</v>
      </c>
      <c r="C255" s="80" t="s">
        <v>64</v>
      </c>
      <c r="D255" s="12">
        <f>IFERROR(SUMPRODUCT(D222:AH222,D253:AH253)/D224,0)</f>
        <v>0</v>
      </c>
      <c r="AH255" s="81"/>
    </row>
    <row r="256" spans="1:34" s="3" customFormat="1" ht="15.75" thickBot="1">
      <c r="A256" s="95" t="str">
        <f t="shared" si="8"/>
        <v>年度绿电双边交易</v>
      </c>
      <c r="C256" s="83"/>
      <c r="D256" s="87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5"/>
    </row>
    <row r="257" spans="1:34" s="3" customFormat="1" ht="15.75" thickBot="1">
      <c r="A257" s="95" t="str">
        <f t="shared" si="8"/>
        <v>年度绿电双边交易</v>
      </c>
      <c r="C257" s="8"/>
      <c r="D257" s="86"/>
    </row>
    <row r="258" spans="1:34" s="3" customFormat="1" ht="23.25">
      <c r="A258" s="95" t="str">
        <f>$C$258</f>
        <v>多月连续集中交易</v>
      </c>
      <c r="C258" s="157" t="s">
        <v>147</v>
      </c>
      <c r="D258" s="158"/>
      <c r="E258" s="158"/>
      <c r="F258" s="158"/>
      <c r="G258" s="158"/>
      <c r="H258" s="158"/>
      <c r="I258" s="158"/>
      <c r="J258" s="158"/>
      <c r="K258" s="158"/>
      <c r="L258" s="158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  <c r="X258" s="158"/>
      <c r="Y258" s="158"/>
      <c r="Z258" s="158"/>
      <c r="AA258" s="158"/>
      <c r="AB258" s="158"/>
      <c r="AC258" s="158"/>
      <c r="AD258" s="158"/>
      <c r="AE258" s="158"/>
      <c r="AF258" s="158"/>
      <c r="AG258" s="158"/>
      <c r="AH258" s="159"/>
    </row>
    <row r="259" spans="1:34" s="3" customFormat="1" ht="22.5">
      <c r="A259" s="95" t="str">
        <f t="shared" ref="A259:A321" si="11">$C$258</f>
        <v>多月连续集中交易</v>
      </c>
      <c r="C259" s="154" t="str">
        <f>C258&amp;"电量(MWh)"</f>
        <v>多月连续集中交易电量(MWh)</v>
      </c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  <c r="AA259" s="155"/>
      <c r="AB259" s="155"/>
      <c r="AC259" s="155"/>
      <c r="AD259" s="155"/>
      <c r="AE259" s="155"/>
      <c r="AF259" s="155"/>
      <c r="AG259" s="155"/>
      <c r="AH259" s="156"/>
    </row>
    <row r="260" spans="1:34" s="3" customFormat="1" ht="15">
      <c r="A260" s="95" t="str">
        <f t="shared" si="11"/>
        <v>多月连续集中交易</v>
      </c>
      <c r="C260" s="74" t="s">
        <v>31</v>
      </c>
      <c r="D260" s="5" t="s">
        <v>32</v>
      </c>
      <c r="E260" s="6" t="s">
        <v>33</v>
      </c>
      <c r="F260" s="6" t="s">
        <v>34</v>
      </c>
      <c r="G260" s="6" t="s">
        <v>35</v>
      </c>
      <c r="H260" s="6" t="s">
        <v>36</v>
      </c>
      <c r="I260" s="6" t="s">
        <v>37</v>
      </c>
      <c r="J260" s="6" t="s">
        <v>38</v>
      </c>
      <c r="K260" s="6" t="s">
        <v>39</v>
      </c>
      <c r="L260" s="6" t="s">
        <v>40</v>
      </c>
      <c r="M260" s="6" t="s">
        <v>41</v>
      </c>
      <c r="N260" s="6" t="s">
        <v>42</v>
      </c>
      <c r="O260" s="6" t="s">
        <v>43</v>
      </c>
      <c r="P260" s="6" t="s">
        <v>44</v>
      </c>
      <c r="Q260" s="6" t="s">
        <v>45</v>
      </c>
      <c r="R260" s="6" t="s">
        <v>46</v>
      </c>
      <c r="S260" s="6" t="s">
        <v>47</v>
      </c>
      <c r="T260" s="6" t="s">
        <v>48</v>
      </c>
      <c r="U260" s="6" t="s">
        <v>49</v>
      </c>
      <c r="V260" s="6" t="s">
        <v>50</v>
      </c>
      <c r="W260" s="6" t="s">
        <v>51</v>
      </c>
      <c r="X260" s="6" t="s">
        <v>52</v>
      </c>
      <c r="Y260" s="6" t="s">
        <v>53</v>
      </c>
      <c r="Z260" s="6" t="s">
        <v>54</v>
      </c>
      <c r="AA260" s="6" t="s">
        <v>55</v>
      </c>
      <c r="AB260" s="6" t="s">
        <v>56</v>
      </c>
      <c r="AC260" s="6" t="s">
        <v>57</v>
      </c>
      <c r="AD260" s="6" t="s">
        <v>58</v>
      </c>
      <c r="AE260" s="6" t="s">
        <v>59</v>
      </c>
      <c r="AF260" s="6" t="s">
        <v>60</v>
      </c>
      <c r="AG260" s="6" t="s">
        <v>61</v>
      </c>
      <c r="AH260" s="75" t="s">
        <v>62</v>
      </c>
    </row>
    <row r="261" spans="1:34" s="3" customFormat="1" ht="15">
      <c r="A261" s="95" t="str">
        <f t="shared" si="11"/>
        <v>多月连续集中交易</v>
      </c>
      <c r="C261" s="76" t="s">
        <v>6</v>
      </c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91"/>
    </row>
    <row r="262" spans="1:34" s="3" customFormat="1" ht="15">
      <c r="A262" s="95" t="str">
        <f t="shared" si="11"/>
        <v>多月连续集中交易</v>
      </c>
      <c r="C262" s="76" t="s">
        <v>7</v>
      </c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91"/>
    </row>
    <row r="263" spans="1:34" s="3" customFormat="1" ht="15">
      <c r="A263" s="95" t="str">
        <f t="shared" si="11"/>
        <v>多月连续集中交易</v>
      </c>
      <c r="C263" s="76" t="s">
        <v>8</v>
      </c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91"/>
    </row>
    <row r="264" spans="1:34" s="3" customFormat="1" ht="15">
      <c r="A264" s="95" t="str">
        <f t="shared" si="11"/>
        <v>多月连续集中交易</v>
      </c>
      <c r="C264" s="76" t="s">
        <v>9</v>
      </c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91"/>
    </row>
    <row r="265" spans="1:34" s="3" customFormat="1" ht="15">
      <c r="A265" s="95" t="str">
        <f t="shared" si="11"/>
        <v>多月连续集中交易</v>
      </c>
      <c r="C265" s="76" t="s">
        <v>10</v>
      </c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91"/>
    </row>
    <row r="266" spans="1:34" s="3" customFormat="1" ht="15">
      <c r="A266" s="95" t="str">
        <f t="shared" si="11"/>
        <v>多月连续集中交易</v>
      </c>
      <c r="C266" s="76" t="s">
        <v>11</v>
      </c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91"/>
    </row>
    <row r="267" spans="1:34" s="3" customFormat="1" ht="15">
      <c r="A267" s="95" t="str">
        <f t="shared" si="11"/>
        <v>多月连续集中交易</v>
      </c>
      <c r="C267" s="76" t="s">
        <v>12</v>
      </c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91"/>
    </row>
    <row r="268" spans="1:34" s="3" customFormat="1" ht="15">
      <c r="A268" s="95" t="str">
        <f t="shared" si="11"/>
        <v>多月连续集中交易</v>
      </c>
      <c r="C268" s="76" t="s">
        <v>13</v>
      </c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91"/>
    </row>
    <row r="269" spans="1:34" s="3" customFormat="1" ht="15">
      <c r="A269" s="95" t="str">
        <f t="shared" si="11"/>
        <v>多月连续集中交易</v>
      </c>
      <c r="C269" s="76" t="s">
        <v>14</v>
      </c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91"/>
    </row>
    <row r="270" spans="1:34" s="3" customFormat="1" ht="15">
      <c r="A270" s="95" t="str">
        <f t="shared" si="11"/>
        <v>多月连续集中交易</v>
      </c>
      <c r="C270" s="76" t="s">
        <v>15</v>
      </c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91"/>
    </row>
    <row r="271" spans="1:34" s="3" customFormat="1" ht="15">
      <c r="A271" s="95" t="str">
        <f t="shared" si="11"/>
        <v>多月连续集中交易</v>
      </c>
      <c r="C271" s="76" t="s">
        <v>16</v>
      </c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91"/>
    </row>
    <row r="272" spans="1:34" s="3" customFormat="1" ht="15">
      <c r="A272" s="95" t="str">
        <f t="shared" si="11"/>
        <v>多月连续集中交易</v>
      </c>
      <c r="C272" s="76" t="s">
        <v>17</v>
      </c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91"/>
    </row>
    <row r="273" spans="1:34" s="3" customFormat="1" ht="15">
      <c r="A273" s="95" t="str">
        <f t="shared" si="11"/>
        <v>多月连续集中交易</v>
      </c>
      <c r="C273" s="76" t="s">
        <v>18</v>
      </c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91"/>
    </row>
    <row r="274" spans="1:34" s="3" customFormat="1" ht="15">
      <c r="A274" s="95" t="str">
        <f t="shared" si="11"/>
        <v>多月连续集中交易</v>
      </c>
      <c r="C274" s="76" t="s">
        <v>19</v>
      </c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91"/>
    </row>
    <row r="275" spans="1:34" s="3" customFormat="1" ht="15">
      <c r="A275" s="95" t="str">
        <f t="shared" si="11"/>
        <v>多月连续集中交易</v>
      </c>
      <c r="C275" s="76" t="s">
        <v>20</v>
      </c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91"/>
    </row>
    <row r="276" spans="1:34" s="3" customFormat="1" ht="15">
      <c r="A276" s="95" t="str">
        <f t="shared" si="11"/>
        <v>多月连续集中交易</v>
      </c>
      <c r="C276" s="76" t="s">
        <v>21</v>
      </c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91"/>
    </row>
    <row r="277" spans="1:34" s="3" customFormat="1" ht="15">
      <c r="A277" s="95" t="str">
        <f t="shared" si="11"/>
        <v>多月连续集中交易</v>
      </c>
      <c r="C277" s="76" t="s">
        <v>22</v>
      </c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91"/>
    </row>
    <row r="278" spans="1:34" s="3" customFormat="1" ht="15">
      <c r="A278" s="95" t="str">
        <f t="shared" si="11"/>
        <v>多月连续集中交易</v>
      </c>
      <c r="C278" s="76" t="s">
        <v>23</v>
      </c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91"/>
    </row>
    <row r="279" spans="1:34" s="3" customFormat="1" ht="15">
      <c r="A279" s="95" t="str">
        <f t="shared" si="11"/>
        <v>多月连续集中交易</v>
      </c>
      <c r="C279" s="76" t="s">
        <v>24</v>
      </c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91"/>
    </row>
    <row r="280" spans="1:34" s="3" customFormat="1" ht="15">
      <c r="A280" s="95" t="str">
        <f t="shared" si="11"/>
        <v>多月连续集中交易</v>
      </c>
      <c r="C280" s="76" t="s">
        <v>25</v>
      </c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91"/>
    </row>
    <row r="281" spans="1:34" s="3" customFormat="1" ht="15">
      <c r="A281" s="95" t="str">
        <f t="shared" si="11"/>
        <v>多月连续集中交易</v>
      </c>
      <c r="C281" s="76" t="s">
        <v>26</v>
      </c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91"/>
    </row>
    <row r="282" spans="1:34" s="3" customFormat="1" ht="15">
      <c r="A282" s="95" t="str">
        <f t="shared" si="11"/>
        <v>多月连续集中交易</v>
      </c>
      <c r="C282" s="76" t="s">
        <v>27</v>
      </c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91"/>
    </row>
    <row r="283" spans="1:34" s="3" customFormat="1" ht="15">
      <c r="A283" s="95" t="str">
        <f t="shared" si="11"/>
        <v>多月连续集中交易</v>
      </c>
      <c r="C283" s="76" t="s">
        <v>28</v>
      </c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91"/>
    </row>
    <row r="284" spans="1:34" s="3" customFormat="1" ht="15">
      <c r="A284" s="95" t="str">
        <f t="shared" si="11"/>
        <v>多月连续集中交易</v>
      </c>
      <c r="C284" s="76" t="s">
        <v>29</v>
      </c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91"/>
    </row>
    <row r="285" spans="1:34" s="3" customFormat="1" ht="15.75" thickBot="1">
      <c r="A285" s="95" t="str">
        <f t="shared" si="11"/>
        <v>多月连续集中交易</v>
      </c>
      <c r="C285" s="77"/>
      <c r="AH285" s="81"/>
    </row>
    <row r="286" spans="1:34" s="3" customFormat="1" ht="15.75" thickBot="1">
      <c r="A286" s="95" t="str">
        <f t="shared" si="11"/>
        <v>多月连续集中交易</v>
      </c>
      <c r="C286" s="80" t="s">
        <v>63</v>
      </c>
      <c r="D286" s="9">
        <f>SUM(D261:D284)</f>
        <v>0</v>
      </c>
      <c r="E286" s="10">
        <f t="shared" ref="E286:AH286" si="12">SUM(E261:E284)</f>
        <v>0</v>
      </c>
      <c r="F286" s="10">
        <f t="shared" si="12"/>
        <v>0</v>
      </c>
      <c r="G286" s="10">
        <f t="shared" si="12"/>
        <v>0</v>
      </c>
      <c r="H286" s="10">
        <f t="shared" si="12"/>
        <v>0</v>
      </c>
      <c r="I286" s="10">
        <f t="shared" si="12"/>
        <v>0</v>
      </c>
      <c r="J286" s="10">
        <f t="shared" si="12"/>
        <v>0</v>
      </c>
      <c r="K286" s="10">
        <f t="shared" si="12"/>
        <v>0</v>
      </c>
      <c r="L286" s="10">
        <f t="shared" si="12"/>
        <v>0</v>
      </c>
      <c r="M286" s="10">
        <f t="shared" si="12"/>
        <v>0</v>
      </c>
      <c r="N286" s="10">
        <f t="shared" si="12"/>
        <v>0</v>
      </c>
      <c r="O286" s="10">
        <f t="shared" si="12"/>
        <v>0</v>
      </c>
      <c r="P286" s="10">
        <f t="shared" si="12"/>
        <v>0</v>
      </c>
      <c r="Q286" s="10">
        <f t="shared" si="12"/>
        <v>0</v>
      </c>
      <c r="R286" s="10">
        <f t="shared" si="12"/>
        <v>0</v>
      </c>
      <c r="S286" s="10">
        <f t="shared" si="12"/>
        <v>0</v>
      </c>
      <c r="T286" s="10">
        <f t="shared" si="12"/>
        <v>0</v>
      </c>
      <c r="U286" s="10">
        <f t="shared" si="12"/>
        <v>0</v>
      </c>
      <c r="V286" s="10">
        <f t="shared" si="12"/>
        <v>0</v>
      </c>
      <c r="W286" s="10">
        <f t="shared" si="12"/>
        <v>0</v>
      </c>
      <c r="X286" s="10">
        <f t="shared" si="12"/>
        <v>0</v>
      </c>
      <c r="Y286" s="10">
        <f t="shared" si="12"/>
        <v>0</v>
      </c>
      <c r="Z286" s="10">
        <f t="shared" si="12"/>
        <v>0</v>
      </c>
      <c r="AA286" s="10">
        <f t="shared" si="12"/>
        <v>0</v>
      </c>
      <c r="AB286" s="10">
        <f t="shared" si="12"/>
        <v>0</v>
      </c>
      <c r="AC286" s="10">
        <f t="shared" si="12"/>
        <v>0</v>
      </c>
      <c r="AD286" s="10">
        <f t="shared" si="12"/>
        <v>0</v>
      </c>
      <c r="AE286" s="10">
        <f t="shared" si="12"/>
        <v>0</v>
      </c>
      <c r="AF286" s="10">
        <f t="shared" si="12"/>
        <v>0</v>
      </c>
      <c r="AG286" s="10">
        <f t="shared" si="12"/>
        <v>0</v>
      </c>
      <c r="AH286" s="49">
        <f t="shared" si="12"/>
        <v>0</v>
      </c>
    </row>
    <row r="287" spans="1:34" s="3" customFormat="1" ht="15.75" thickBot="1">
      <c r="A287" s="95" t="str">
        <f t="shared" si="11"/>
        <v>多月连续集中交易</v>
      </c>
      <c r="C287" s="77"/>
      <c r="D287" s="15"/>
      <c r="AH287" s="81"/>
    </row>
    <row r="288" spans="1:34" s="3" customFormat="1" ht="15.75" thickBot="1">
      <c r="A288" s="95" t="str">
        <f t="shared" si="11"/>
        <v>多月连续集中交易</v>
      </c>
      <c r="C288" s="80" t="s">
        <v>64</v>
      </c>
      <c r="D288" s="12">
        <f>SUM(D286:AH286)</f>
        <v>0</v>
      </c>
      <c r="AH288" s="81"/>
    </row>
    <row r="289" spans="1:34" s="3" customFormat="1" ht="15">
      <c r="A289" s="95" t="str">
        <f t="shared" si="11"/>
        <v>多月连续集中交易</v>
      </c>
      <c r="C289" s="77"/>
      <c r="AH289" s="81"/>
    </row>
    <row r="290" spans="1:34" s="3" customFormat="1" ht="22.5">
      <c r="A290" s="95" t="str">
        <f t="shared" si="11"/>
        <v>多月连续集中交易</v>
      </c>
      <c r="C290" s="154" t="str">
        <f>C258&amp;"电价(元/MWh)"</f>
        <v>多月连续集中交易电价(元/MWh)</v>
      </c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  <c r="AA290" s="155"/>
      <c r="AB290" s="155"/>
      <c r="AC290" s="155"/>
      <c r="AD290" s="155"/>
      <c r="AE290" s="155"/>
      <c r="AF290" s="155"/>
      <c r="AG290" s="155"/>
      <c r="AH290" s="156"/>
    </row>
    <row r="291" spans="1:34" s="3" customFormat="1" ht="15">
      <c r="A291" s="95" t="str">
        <f t="shared" si="11"/>
        <v>多月连续集中交易</v>
      </c>
      <c r="C291" s="74" t="s">
        <v>31</v>
      </c>
      <c r="D291" s="5" t="s">
        <v>32</v>
      </c>
      <c r="E291" s="6" t="s">
        <v>33</v>
      </c>
      <c r="F291" s="6" t="s">
        <v>34</v>
      </c>
      <c r="G291" s="6" t="s">
        <v>35</v>
      </c>
      <c r="H291" s="6" t="s">
        <v>36</v>
      </c>
      <c r="I291" s="6" t="s">
        <v>37</v>
      </c>
      <c r="J291" s="6" t="s">
        <v>38</v>
      </c>
      <c r="K291" s="6" t="s">
        <v>39</v>
      </c>
      <c r="L291" s="6" t="s">
        <v>40</v>
      </c>
      <c r="M291" s="6" t="s">
        <v>41</v>
      </c>
      <c r="N291" s="6" t="s">
        <v>42</v>
      </c>
      <c r="O291" s="6" t="s">
        <v>43</v>
      </c>
      <c r="P291" s="6" t="s">
        <v>44</v>
      </c>
      <c r="Q291" s="6" t="s">
        <v>45</v>
      </c>
      <c r="R291" s="6" t="s">
        <v>46</v>
      </c>
      <c r="S291" s="6" t="s">
        <v>47</v>
      </c>
      <c r="T291" s="6" t="s">
        <v>48</v>
      </c>
      <c r="U291" s="6" t="s">
        <v>49</v>
      </c>
      <c r="V291" s="6" t="s">
        <v>50</v>
      </c>
      <c r="W291" s="6" t="s">
        <v>51</v>
      </c>
      <c r="X291" s="6" t="s">
        <v>52</v>
      </c>
      <c r="Y291" s="6" t="s">
        <v>53</v>
      </c>
      <c r="Z291" s="6" t="s">
        <v>54</v>
      </c>
      <c r="AA291" s="6" t="s">
        <v>55</v>
      </c>
      <c r="AB291" s="6" t="s">
        <v>56</v>
      </c>
      <c r="AC291" s="6" t="s">
        <v>57</v>
      </c>
      <c r="AD291" s="6" t="s">
        <v>58</v>
      </c>
      <c r="AE291" s="6" t="s">
        <v>59</v>
      </c>
      <c r="AF291" s="6" t="s">
        <v>60</v>
      </c>
      <c r="AG291" s="6" t="s">
        <v>61</v>
      </c>
      <c r="AH291" s="75" t="s">
        <v>62</v>
      </c>
    </row>
    <row r="292" spans="1:34" s="3" customFormat="1" ht="15">
      <c r="A292" s="95" t="str">
        <f t="shared" si="11"/>
        <v>多月连续集中交易</v>
      </c>
      <c r="C292" s="76" t="s">
        <v>6</v>
      </c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92"/>
    </row>
    <row r="293" spans="1:34" s="3" customFormat="1" ht="15">
      <c r="A293" s="95" t="str">
        <f t="shared" si="11"/>
        <v>多月连续集中交易</v>
      </c>
      <c r="C293" s="76" t="s">
        <v>7</v>
      </c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92"/>
    </row>
    <row r="294" spans="1:34" s="3" customFormat="1" ht="15">
      <c r="A294" s="95" t="str">
        <f t="shared" si="11"/>
        <v>多月连续集中交易</v>
      </c>
      <c r="C294" s="76" t="s">
        <v>8</v>
      </c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92"/>
    </row>
    <row r="295" spans="1:34" s="3" customFormat="1" ht="15">
      <c r="A295" s="95" t="str">
        <f t="shared" si="11"/>
        <v>多月连续集中交易</v>
      </c>
      <c r="C295" s="76" t="s">
        <v>9</v>
      </c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92"/>
    </row>
    <row r="296" spans="1:34" s="3" customFormat="1" ht="15">
      <c r="A296" s="95" t="str">
        <f t="shared" si="11"/>
        <v>多月连续集中交易</v>
      </c>
      <c r="C296" s="76" t="s">
        <v>10</v>
      </c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92"/>
    </row>
    <row r="297" spans="1:34" s="3" customFormat="1" ht="15">
      <c r="A297" s="95" t="str">
        <f t="shared" si="11"/>
        <v>多月连续集中交易</v>
      </c>
      <c r="C297" s="76" t="s">
        <v>11</v>
      </c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92"/>
    </row>
    <row r="298" spans="1:34" s="3" customFormat="1" ht="15">
      <c r="A298" s="95" t="str">
        <f t="shared" si="11"/>
        <v>多月连续集中交易</v>
      </c>
      <c r="C298" s="76" t="s">
        <v>12</v>
      </c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92"/>
    </row>
    <row r="299" spans="1:34" s="3" customFormat="1" ht="15">
      <c r="A299" s="95" t="str">
        <f t="shared" si="11"/>
        <v>多月连续集中交易</v>
      </c>
      <c r="C299" s="76" t="s">
        <v>13</v>
      </c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92"/>
    </row>
    <row r="300" spans="1:34" s="3" customFormat="1" ht="15">
      <c r="A300" s="95" t="str">
        <f t="shared" si="11"/>
        <v>多月连续集中交易</v>
      </c>
      <c r="C300" s="76" t="s">
        <v>14</v>
      </c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92"/>
    </row>
    <row r="301" spans="1:34" s="3" customFormat="1" ht="15">
      <c r="A301" s="95" t="str">
        <f t="shared" si="11"/>
        <v>多月连续集中交易</v>
      </c>
      <c r="C301" s="76" t="s">
        <v>15</v>
      </c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92"/>
    </row>
    <row r="302" spans="1:34" s="3" customFormat="1" ht="15">
      <c r="A302" s="95" t="str">
        <f t="shared" si="11"/>
        <v>多月连续集中交易</v>
      </c>
      <c r="C302" s="76" t="s">
        <v>16</v>
      </c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92"/>
    </row>
    <row r="303" spans="1:34" s="3" customFormat="1" ht="15">
      <c r="A303" s="95" t="str">
        <f t="shared" si="11"/>
        <v>多月连续集中交易</v>
      </c>
      <c r="C303" s="76" t="s">
        <v>17</v>
      </c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92"/>
    </row>
    <row r="304" spans="1:34" s="3" customFormat="1" ht="15">
      <c r="A304" s="95" t="str">
        <f t="shared" si="11"/>
        <v>多月连续集中交易</v>
      </c>
      <c r="C304" s="76" t="s">
        <v>18</v>
      </c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92"/>
    </row>
    <row r="305" spans="1:34" s="3" customFormat="1" ht="15">
      <c r="A305" s="95" t="str">
        <f t="shared" si="11"/>
        <v>多月连续集中交易</v>
      </c>
      <c r="C305" s="76" t="s">
        <v>19</v>
      </c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92"/>
    </row>
    <row r="306" spans="1:34" s="3" customFormat="1" ht="15">
      <c r="A306" s="95" t="str">
        <f t="shared" si="11"/>
        <v>多月连续集中交易</v>
      </c>
      <c r="C306" s="76" t="s">
        <v>20</v>
      </c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92"/>
    </row>
    <row r="307" spans="1:34" s="3" customFormat="1" ht="15">
      <c r="A307" s="95" t="str">
        <f t="shared" si="11"/>
        <v>多月连续集中交易</v>
      </c>
      <c r="C307" s="76" t="s">
        <v>21</v>
      </c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92"/>
    </row>
    <row r="308" spans="1:34" s="3" customFormat="1" ht="15">
      <c r="A308" s="95" t="str">
        <f t="shared" si="11"/>
        <v>多月连续集中交易</v>
      </c>
      <c r="C308" s="76" t="s">
        <v>22</v>
      </c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92"/>
    </row>
    <row r="309" spans="1:34" s="3" customFormat="1" ht="15">
      <c r="A309" s="95" t="str">
        <f t="shared" si="11"/>
        <v>多月连续集中交易</v>
      </c>
      <c r="C309" s="76" t="s">
        <v>23</v>
      </c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92"/>
    </row>
    <row r="310" spans="1:34" s="3" customFormat="1" ht="15">
      <c r="A310" s="95" t="str">
        <f t="shared" si="11"/>
        <v>多月连续集中交易</v>
      </c>
      <c r="C310" s="76" t="s">
        <v>24</v>
      </c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92"/>
    </row>
    <row r="311" spans="1:34" s="3" customFormat="1" ht="15">
      <c r="A311" s="95" t="str">
        <f t="shared" si="11"/>
        <v>多月连续集中交易</v>
      </c>
      <c r="C311" s="76" t="s">
        <v>25</v>
      </c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92"/>
    </row>
    <row r="312" spans="1:34" s="3" customFormat="1" ht="15">
      <c r="A312" s="95" t="str">
        <f t="shared" si="11"/>
        <v>多月连续集中交易</v>
      </c>
      <c r="C312" s="76" t="s">
        <v>26</v>
      </c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92"/>
    </row>
    <row r="313" spans="1:34" s="3" customFormat="1" ht="15">
      <c r="A313" s="95" t="str">
        <f t="shared" si="11"/>
        <v>多月连续集中交易</v>
      </c>
      <c r="C313" s="76" t="s">
        <v>27</v>
      </c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92"/>
    </row>
    <row r="314" spans="1:34" s="3" customFormat="1" ht="15">
      <c r="A314" s="95" t="str">
        <f t="shared" si="11"/>
        <v>多月连续集中交易</v>
      </c>
      <c r="C314" s="76" t="s">
        <v>28</v>
      </c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92"/>
    </row>
    <row r="315" spans="1:34" s="3" customFormat="1" ht="15">
      <c r="A315" s="95" t="str">
        <f t="shared" si="11"/>
        <v>多月连续集中交易</v>
      </c>
      <c r="C315" s="76" t="s">
        <v>29</v>
      </c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92"/>
    </row>
    <row r="316" spans="1:34" s="3" customFormat="1" ht="15.75" thickBot="1">
      <c r="A316" s="95" t="str">
        <f t="shared" si="11"/>
        <v>多月连续集中交易</v>
      </c>
      <c r="C316" s="77"/>
      <c r="AH316" s="81"/>
    </row>
    <row r="317" spans="1:34" s="3" customFormat="1" ht="15.75" thickBot="1">
      <c r="A317" s="95" t="str">
        <f t="shared" si="11"/>
        <v>多月连续集中交易</v>
      </c>
      <c r="C317" s="80" t="s">
        <v>63</v>
      </c>
      <c r="D317" s="9">
        <f t="shared" ref="D317:AH317" si="13">IFERROR(SUMPRODUCT(D292:D315,D261:D284)/D286,0)</f>
        <v>0</v>
      </c>
      <c r="E317" s="10">
        <f t="shared" si="13"/>
        <v>0</v>
      </c>
      <c r="F317" s="10">
        <f t="shared" si="13"/>
        <v>0</v>
      </c>
      <c r="G317" s="10">
        <f t="shared" si="13"/>
        <v>0</v>
      </c>
      <c r="H317" s="10">
        <f t="shared" si="13"/>
        <v>0</v>
      </c>
      <c r="I317" s="10">
        <f t="shared" si="13"/>
        <v>0</v>
      </c>
      <c r="J317" s="10">
        <f t="shared" si="13"/>
        <v>0</v>
      </c>
      <c r="K317" s="10">
        <f t="shared" si="13"/>
        <v>0</v>
      </c>
      <c r="L317" s="10">
        <f t="shared" si="13"/>
        <v>0</v>
      </c>
      <c r="M317" s="10">
        <f t="shared" si="13"/>
        <v>0</v>
      </c>
      <c r="N317" s="10">
        <f t="shared" si="13"/>
        <v>0</v>
      </c>
      <c r="O317" s="10">
        <f t="shared" si="13"/>
        <v>0</v>
      </c>
      <c r="P317" s="10">
        <f t="shared" si="13"/>
        <v>0</v>
      </c>
      <c r="Q317" s="10">
        <f t="shared" si="13"/>
        <v>0</v>
      </c>
      <c r="R317" s="10">
        <f t="shared" si="13"/>
        <v>0</v>
      </c>
      <c r="S317" s="10">
        <f t="shared" si="13"/>
        <v>0</v>
      </c>
      <c r="T317" s="10">
        <f t="shared" si="13"/>
        <v>0</v>
      </c>
      <c r="U317" s="10">
        <f t="shared" si="13"/>
        <v>0</v>
      </c>
      <c r="V317" s="10">
        <f t="shared" si="13"/>
        <v>0</v>
      </c>
      <c r="W317" s="10">
        <f t="shared" si="13"/>
        <v>0</v>
      </c>
      <c r="X317" s="10">
        <f t="shared" si="13"/>
        <v>0</v>
      </c>
      <c r="Y317" s="10">
        <f t="shared" si="13"/>
        <v>0</v>
      </c>
      <c r="Z317" s="10">
        <f t="shared" si="13"/>
        <v>0</v>
      </c>
      <c r="AA317" s="10">
        <f t="shared" si="13"/>
        <v>0</v>
      </c>
      <c r="AB317" s="10">
        <f t="shared" si="13"/>
        <v>0</v>
      </c>
      <c r="AC317" s="10">
        <f t="shared" si="13"/>
        <v>0</v>
      </c>
      <c r="AD317" s="10">
        <f t="shared" si="13"/>
        <v>0</v>
      </c>
      <c r="AE317" s="10">
        <f t="shared" si="13"/>
        <v>0</v>
      </c>
      <c r="AF317" s="10">
        <f t="shared" si="13"/>
        <v>0</v>
      </c>
      <c r="AG317" s="10">
        <f t="shared" si="13"/>
        <v>0</v>
      </c>
      <c r="AH317" s="49">
        <f t="shared" si="13"/>
        <v>0</v>
      </c>
    </row>
    <row r="318" spans="1:34" s="3" customFormat="1" ht="15.75" thickBot="1">
      <c r="A318" s="95" t="str">
        <f t="shared" si="11"/>
        <v>多月连续集中交易</v>
      </c>
      <c r="C318" s="77"/>
      <c r="D318" s="15"/>
      <c r="AH318" s="81"/>
    </row>
    <row r="319" spans="1:34" s="3" customFormat="1" ht="15.75" thickBot="1">
      <c r="A319" s="95" t="str">
        <f t="shared" si="11"/>
        <v>多月连续集中交易</v>
      </c>
      <c r="C319" s="80" t="s">
        <v>64</v>
      </c>
      <c r="D319" s="12">
        <f>IFERROR(SUMPRODUCT(D286:AH286,D317:AH317)/D288,0)</f>
        <v>0</v>
      </c>
      <c r="AH319" s="81"/>
    </row>
    <row r="320" spans="1:34" s="3" customFormat="1" ht="15.75" thickBot="1">
      <c r="A320" s="95" t="str">
        <f t="shared" si="11"/>
        <v>多月连续集中交易</v>
      </c>
      <c r="C320" s="83"/>
      <c r="D320" s="87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5"/>
    </row>
    <row r="321" spans="1:34" s="3" customFormat="1" ht="15.75" thickBot="1">
      <c r="A321" s="95" t="str">
        <f t="shared" si="11"/>
        <v>多月连续集中交易</v>
      </c>
      <c r="C321" s="8"/>
      <c r="D321" s="86"/>
    </row>
    <row r="322" spans="1:34" s="3" customFormat="1" ht="23.25">
      <c r="A322" s="95" t="str">
        <f>$C$322</f>
        <v>月度跨省外送交易</v>
      </c>
      <c r="C322" s="157" t="s">
        <v>149</v>
      </c>
      <c r="D322" s="158"/>
      <c r="E322" s="158"/>
      <c r="F322" s="158"/>
      <c r="G322" s="158"/>
      <c r="H322" s="158"/>
      <c r="I322" s="158"/>
      <c r="J322" s="158"/>
      <c r="K322" s="158"/>
      <c r="L322" s="15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  <c r="X322" s="158"/>
      <c r="Y322" s="158"/>
      <c r="Z322" s="158"/>
      <c r="AA322" s="158"/>
      <c r="AB322" s="158"/>
      <c r="AC322" s="158"/>
      <c r="AD322" s="158"/>
      <c r="AE322" s="158"/>
      <c r="AF322" s="158"/>
      <c r="AG322" s="158"/>
      <c r="AH322" s="159"/>
    </row>
    <row r="323" spans="1:34" s="3" customFormat="1" ht="22.5">
      <c r="A323" s="95" t="str">
        <f t="shared" ref="A323:A385" si="14">$C$322</f>
        <v>月度跨省外送交易</v>
      </c>
      <c r="C323" s="154" t="str">
        <f>C322&amp;"电量(MWh)"</f>
        <v>月度跨省外送交易电量(MWh)</v>
      </c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  <c r="AA323" s="155"/>
      <c r="AB323" s="155"/>
      <c r="AC323" s="155"/>
      <c r="AD323" s="155"/>
      <c r="AE323" s="155"/>
      <c r="AF323" s="155"/>
      <c r="AG323" s="155"/>
      <c r="AH323" s="156"/>
    </row>
    <row r="324" spans="1:34" s="3" customFormat="1" ht="15">
      <c r="A324" s="95" t="str">
        <f t="shared" si="14"/>
        <v>月度跨省外送交易</v>
      </c>
      <c r="C324" s="74" t="s">
        <v>31</v>
      </c>
      <c r="D324" s="5" t="s">
        <v>32</v>
      </c>
      <c r="E324" s="6" t="s">
        <v>33</v>
      </c>
      <c r="F324" s="6" t="s">
        <v>34</v>
      </c>
      <c r="G324" s="6" t="s">
        <v>35</v>
      </c>
      <c r="H324" s="6" t="s">
        <v>36</v>
      </c>
      <c r="I324" s="6" t="s">
        <v>37</v>
      </c>
      <c r="J324" s="6" t="s">
        <v>38</v>
      </c>
      <c r="K324" s="6" t="s">
        <v>39</v>
      </c>
      <c r="L324" s="6" t="s">
        <v>40</v>
      </c>
      <c r="M324" s="6" t="s">
        <v>41</v>
      </c>
      <c r="N324" s="6" t="s">
        <v>42</v>
      </c>
      <c r="O324" s="6" t="s">
        <v>43</v>
      </c>
      <c r="P324" s="6" t="s">
        <v>44</v>
      </c>
      <c r="Q324" s="6" t="s">
        <v>45</v>
      </c>
      <c r="R324" s="6" t="s">
        <v>46</v>
      </c>
      <c r="S324" s="6" t="s">
        <v>47</v>
      </c>
      <c r="T324" s="6" t="s">
        <v>48</v>
      </c>
      <c r="U324" s="6" t="s">
        <v>49</v>
      </c>
      <c r="V324" s="6" t="s">
        <v>50</v>
      </c>
      <c r="W324" s="6" t="s">
        <v>51</v>
      </c>
      <c r="X324" s="6" t="s">
        <v>52</v>
      </c>
      <c r="Y324" s="6" t="s">
        <v>53</v>
      </c>
      <c r="Z324" s="6" t="s">
        <v>54</v>
      </c>
      <c r="AA324" s="6" t="s">
        <v>55</v>
      </c>
      <c r="AB324" s="6" t="s">
        <v>56</v>
      </c>
      <c r="AC324" s="6" t="s">
        <v>57</v>
      </c>
      <c r="AD324" s="6" t="s">
        <v>58</v>
      </c>
      <c r="AE324" s="6" t="s">
        <v>59</v>
      </c>
      <c r="AF324" s="6" t="s">
        <v>60</v>
      </c>
      <c r="AG324" s="6" t="s">
        <v>61</v>
      </c>
      <c r="AH324" s="75" t="s">
        <v>62</v>
      </c>
    </row>
    <row r="325" spans="1:34" s="3" customFormat="1" ht="15">
      <c r="A325" s="95" t="str">
        <f t="shared" si="14"/>
        <v>月度跨省外送交易</v>
      </c>
      <c r="C325" s="76" t="s">
        <v>6</v>
      </c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  <c r="W325" s="47"/>
      <c r="X325" s="47"/>
      <c r="Y325" s="47"/>
      <c r="Z325" s="47"/>
      <c r="AA325" s="47"/>
      <c r="AB325" s="47"/>
      <c r="AC325" s="47"/>
      <c r="AD325" s="47"/>
      <c r="AE325" s="47"/>
      <c r="AF325" s="47"/>
      <c r="AG325" s="47"/>
      <c r="AH325" s="91"/>
    </row>
    <row r="326" spans="1:34" s="3" customFormat="1" ht="15">
      <c r="A326" s="95" t="str">
        <f t="shared" si="14"/>
        <v>月度跨省外送交易</v>
      </c>
      <c r="C326" s="76" t="s">
        <v>7</v>
      </c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91"/>
    </row>
    <row r="327" spans="1:34" s="3" customFormat="1" ht="15">
      <c r="A327" s="95" t="str">
        <f t="shared" si="14"/>
        <v>月度跨省外送交易</v>
      </c>
      <c r="C327" s="76" t="s">
        <v>8</v>
      </c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  <c r="AB327" s="47"/>
      <c r="AC327" s="47"/>
      <c r="AD327" s="47"/>
      <c r="AE327" s="47"/>
      <c r="AF327" s="47"/>
      <c r="AG327" s="47"/>
      <c r="AH327" s="91"/>
    </row>
    <row r="328" spans="1:34" s="3" customFormat="1" ht="15">
      <c r="A328" s="95" t="str">
        <f t="shared" si="14"/>
        <v>月度跨省外送交易</v>
      </c>
      <c r="C328" s="76" t="s">
        <v>9</v>
      </c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91"/>
    </row>
    <row r="329" spans="1:34" s="3" customFormat="1" ht="15">
      <c r="A329" s="95" t="str">
        <f t="shared" si="14"/>
        <v>月度跨省外送交易</v>
      </c>
      <c r="C329" s="76" t="s">
        <v>10</v>
      </c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  <c r="W329" s="47"/>
      <c r="X329" s="47"/>
      <c r="Y329" s="47"/>
      <c r="Z329" s="47"/>
      <c r="AA329" s="47"/>
      <c r="AB329" s="47"/>
      <c r="AC329" s="47"/>
      <c r="AD329" s="47"/>
      <c r="AE329" s="47"/>
      <c r="AF329" s="47"/>
      <c r="AG329" s="47"/>
      <c r="AH329" s="91"/>
    </row>
    <row r="330" spans="1:34" s="3" customFormat="1" ht="15">
      <c r="A330" s="95" t="str">
        <f t="shared" si="14"/>
        <v>月度跨省外送交易</v>
      </c>
      <c r="C330" s="76" t="s">
        <v>11</v>
      </c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91"/>
    </row>
    <row r="331" spans="1:34" s="3" customFormat="1" ht="15">
      <c r="A331" s="95" t="str">
        <f t="shared" si="14"/>
        <v>月度跨省外送交易</v>
      </c>
      <c r="C331" s="76" t="s">
        <v>12</v>
      </c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  <c r="W331" s="47"/>
      <c r="X331" s="47"/>
      <c r="Y331" s="47"/>
      <c r="Z331" s="47"/>
      <c r="AA331" s="47"/>
      <c r="AB331" s="47"/>
      <c r="AC331" s="47"/>
      <c r="AD331" s="47"/>
      <c r="AE331" s="47"/>
      <c r="AF331" s="47"/>
      <c r="AG331" s="47"/>
      <c r="AH331" s="91"/>
    </row>
    <row r="332" spans="1:34" s="3" customFormat="1" ht="15">
      <c r="A332" s="95" t="str">
        <f t="shared" si="14"/>
        <v>月度跨省外送交易</v>
      </c>
      <c r="C332" s="76" t="s">
        <v>13</v>
      </c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91"/>
    </row>
    <row r="333" spans="1:34" s="3" customFormat="1" ht="15">
      <c r="A333" s="95" t="str">
        <f t="shared" si="14"/>
        <v>月度跨省外送交易</v>
      </c>
      <c r="C333" s="76" t="s">
        <v>14</v>
      </c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  <c r="W333" s="47"/>
      <c r="X333" s="47"/>
      <c r="Y333" s="47"/>
      <c r="Z333" s="47"/>
      <c r="AA333" s="47"/>
      <c r="AB333" s="47"/>
      <c r="AC333" s="47"/>
      <c r="AD333" s="47"/>
      <c r="AE333" s="47"/>
      <c r="AF333" s="47"/>
      <c r="AG333" s="47"/>
      <c r="AH333" s="91"/>
    </row>
    <row r="334" spans="1:34" s="3" customFormat="1" ht="15">
      <c r="A334" s="95" t="str">
        <f t="shared" si="14"/>
        <v>月度跨省外送交易</v>
      </c>
      <c r="C334" s="76" t="s">
        <v>15</v>
      </c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91"/>
    </row>
    <row r="335" spans="1:34" s="3" customFormat="1" ht="15">
      <c r="A335" s="95" t="str">
        <f t="shared" si="14"/>
        <v>月度跨省外送交易</v>
      </c>
      <c r="C335" s="76" t="s">
        <v>16</v>
      </c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  <c r="W335" s="47"/>
      <c r="X335" s="47"/>
      <c r="Y335" s="47"/>
      <c r="Z335" s="47"/>
      <c r="AA335" s="47"/>
      <c r="AB335" s="47"/>
      <c r="AC335" s="47"/>
      <c r="AD335" s="47"/>
      <c r="AE335" s="47"/>
      <c r="AF335" s="47"/>
      <c r="AG335" s="47"/>
      <c r="AH335" s="91"/>
    </row>
    <row r="336" spans="1:34" s="3" customFormat="1" ht="15">
      <c r="A336" s="95" t="str">
        <f t="shared" si="14"/>
        <v>月度跨省外送交易</v>
      </c>
      <c r="C336" s="76" t="s">
        <v>17</v>
      </c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91"/>
    </row>
    <row r="337" spans="1:34" s="3" customFormat="1" ht="15">
      <c r="A337" s="95" t="str">
        <f t="shared" si="14"/>
        <v>月度跨省外送交易</v>
      </c>
      <c r="C337" s="76" t="s">
        <v>18</v>
      </c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  <c r="W337" s="47"/>
      <c r="X337" s="47"/>
      <c r="Y337" s="47"/>
      <c r="Z337" s="47"/>
      <c r="AA337" s="47"/>
      <c r="AB337" s="47"/>
      <c r="AC337" s="47"/>
      <c r="AD337" s="47"/>
      <c r="AE337" s="47"/>
      <c r="AF337" s="47"/>
      <c r="AG337" s="47"/>
      <c r="AH337" s="91"/>
    </row>
    <row r="338" spans="1:34" s="3" customFormat="1" ht="15">
      <c r="A338" s="95" t="str">
        <f t="shared" si="14"/>
        <v>月度跨省外送交易</v>
      </c>
      <c r="C338" s="76" t="s">
        <v>19</v>
      </c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91"/>
    </row>
    <row r="339" spans="1:34" s="3" customFormat="1" ht="15">
      <c r="A339" s="95" t="str">
        <f t="shared" si="14"/>
        <v>月度跨省外送交易</v>
      </c>
      <c r="C339" s="76" t="s">
        <v>20</v>
      </c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  <c r="W339" s="47"/>
      <c r="X339" s="47"/>
      <c r="Y339" s="47"/>
      <c r="Z339" s="47"/>
      <c r="AA339" s="47"/>
      <c r="AB339" s="47"/>
      <c r="AC339" s="47"/>
      <c r="AD339" s="47"/>
      <c r="AE339" s="47"/>
      <c r="AF339" s="47"/>
      <c r="AG339" s="47"/>
      <c r="AH339" s="91"/>
    </row>
    <row r="340" spans="1:34" s="3" customFormat="1" ht="15">
      <c r="A340" s="95" t="str">
        <f t="shared" si="14"/>
        <v>月度跨省外送交易</v>
      </c>
      <c r="C340" s="76" t="s">
        <v>21</v>
      </c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91"/>
    </row>
    <row r="341" spans="1:34" s="3" customFormat="1" ht="15">
      <c r="A341" s="95" t="str">
        <f t="shared" si="14"/>
        <v>月度跨省外送交易</v>
      </c>
      <c r="C341" s="76" t="s">
        <v>22</v>
      </c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  <c r="W341" s="47"/>
      <c r="X341" s="47"/>
      <c r="Y341" s="47"/>
      <c r="Z341" s="47"/>
      <c r="AA341" s="47"/>
      <c r="AB341" s="47"/>
      <c r="AC341" s="47"/>
      <c r="AD341" s="47"/>
      <c r="AE341" s="47"/>
      <c r="AF341" s="47"/>
      <c r="AG341" s="47"/>
      <c r="AH341" s="91"/>
    </row>
    <row r="342" spans="1:34" s="3" customFormat="1" ht="15">
      <c r="A342" s="95" t="str">
        <f t="shared" si="14"/>
        <v>月度跨省外送交易</v>
      </c>
      <c r="C342" s="76" t="s">
        <v>23</v>
      </c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91"/>
    </row>
    <row r="343" spans="1:34" s="3" customFormat="1" ht="15">
      <c r="A343" s="95" t="str">
        <f t="shared" si="14"/>
        <v>月度跨省外送交易</v>
      </c>
      <c r="C343" s="76" t="s">
        <v>24</v>
      </c>
      <c r="D343" s="47"/>
      <c r="E343" s="47"/>
      <c r="F343" s="47"/>
      <c r="G343" s="47"/>
      <c r="H343" s="47"/>
      <c r="I343" s="47"/>
      <c r="J343" s="47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  <c r="W343" s="47"/>
      <c r="X343" s="47"/>
      <c r="Y343" s="47"/>
      <c r="Z343" s="47"/>
      <c r="AA343" s="47"/>
      <c r="AB343" s="47"/>
      <c r="AC343" s="47"/>
      <c r="AD343" s="47"/>
      <c r="AE343" s="47"/>
      <c r="AF343" s="47"/>
      <c r="AG343" s="47"/>
      <c r="AH343" s="91"/>
    </row>
    <row r="344" spans="1:34" s="3" customFormat="1" ht="15">
      <c r="A344" s="95" t="str">
        <f t="shared" si="14"/>
        <v>月度跨省外送交易</v>
      </c>
      <c r="C344" s="76" t="s">
        <v>25</v>
      </c>
      <c r="D344" s="47"/>
      <c r="E344" s="47"/>
      <c r="F344" s="47"/>
      <c r="G344" s="47"/>
      <c r="H344" s="47"/>
      <c r="I344" s="47"/>
      <c r="J344" s="47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91"/>
    </row>
    <row r="345" spans="1:34" s="3" customFormat="1" ht="15">
      <c r="A345" s="95" t="str">
        <f t="shared" si="14"/>
        <v>月度跨省外送交易</v>
      </c>
      <c r="C345" s="76" t="s">
        <v>26</v>
      </c>
      <c r="D345" s="47"/>
      <c r="E345" s="47"/>
      <c r="F345" s="47"/>
      <c r="G345" s="47"/>
      <c r="H345" s="47"/>
      <c r="I345" s="47"/>
      <c r="J345" s="47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  <c r="W345" s="47"/>
      <c r="X345" s="47"/>
      <c r="Y345" s="47"/>
      <c r="Z345" s="47"/>
      <c r="AA345" s="47"/>
      <c r="AB345" s="47"/>
      <c r="AC345" s="47"/>
      <c r="AD345" s="47"/>
      <c r="AE345" s="47"/>
      <c r="AF345" s="47"/>
      <c r="AG345" s="47"/>
      <c r="AH345" s="91"/>
    </row>
    <row r="346" spans="1:34" s="3" customFormat="1" ht="15">
      <c r="A346" s="95" t="str">
        <f t="shared" si="14"/>
        <v>月度跨省外送交易</v>
      </c>
      <c r="C346" s="76" t="s">
        <v>27</v>
      </c>
      <c r="D346" s="47"/>
      <c r="E346" s="47"/>
      <c r="F346" s="47"/>
      <c r="G346" s="47"/>
      <c r="H346" s="47"/>
      <c r="I346" s="47"/>
      <c r="J346" s="47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91"/>
    </row>
    <row r="347" spans="1:34" s="3" customFormat="1" ht="15">
      <c r="A347" s="95" t="str">
        <f t="shared" si="14"/>
        <v>月度跨省外送交易</v>
      </c>
      <c r="C347" s="76" t="s">
        <v>28</v>
      </c>
      <c r="D347" s="47"/>
      <c r="E347" s="47"/>
      <c r="F347" s="47"/>
      <c r="G347" s="47"/>
      <c r="H347" s="47"/>
      <c r="I347" s="47"/>
      <c r="J347" s="47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  <c r="W347" s="47"/>
      <c r="X347" s="47"/>
      <c r="Y347" s="47"/>
      <c r="Z347" s="47"/>
      <c r="AA347" s="47"/>
      <c r="AB347" s="47"/>
      <c r="AC347" s="47"/>
      <c r="AD347" s="47"/>
      <c r="AE347" s="47"/>
      <c r="AF347" s="47"/>
      <c r="AG347" s="47"/>
      <c r="AH347" s="91"/>
    </row>
    <row r="348" spans="1:34" s="3" customFormat="1" ht="15">
      <c r="A348" s="95" t="str">
        <f t="shared" si="14"/>
        <v>月度跨省外送交易</v>
      </c>
      <c r="C348" s="76" t="s">
        <v>29</v>
      </c>
      <c r="D348" s="47"/>
      <c r="E348" s="47"/>
      <c r="F348" s="47"/>
      <c r="G348" s="47"/>
      <c r="H348" s="47"/>
      <c r="I348" s="47"/>
      <c r="J348" s="47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91"/>
    </row>
    <row r="349" spans="1:34" s="3" customFormat="1" ht="15.75" thickBot="1">
      <c r="A349" s="95" t="str">
        <f t="shared" si="14"/>
        <v>月度跨省外送交易</v>
      </c>
      <c r="C349" s="77"/>
      <c r="AH349" s="81"/>
    </row>
    <row r="350" spans="1:34" s="3" customFormat="1" ht="15.75" thickBot="1">
      <c r="A350" s="95" t="str">
        <f t="shared" si="14"/>
        <v>月度跨省外送交易</v>
      </c>
      <c r="C350" s="80" t="s">
        <v>63</v>
      </c>
      <c r="D350" s="9">
        <f>SUM(D325:D348)</f>
        <v>0</v>
      </c>
      <c r="E350" s="10">
        <f t="shared" ref="E350:AH350" si="15">SUM(E325:E348)</f>
        <v>0</v>
      </c>
      <c r="F350" s="10">
        <f t="shared" si="15"/>
        <v>0</v>
      </c>
      <c r="G350" s="10">
        <f t="shared" si="15"/>
        <v>0</v>
      </c>
      <c r="H350" s="10">
        <f t="shared" si="15"/>
        <v>0</v>
      </c>
      <c r="I350" s="10">
        <f t="shared" si="15"/>
        <v>0</v>
      </c>
      <c r="J350" s="10">
        <f t="shared" si="15"/>
        <v>0</v>
      </c>
      <c r="K350" s="10">
        <f t="shared" si="15"/>
        <v>0</v>
      </c>
      <c r="L350" s="10">
        <f t="shared" si="15"/>
        <v>0</v>
      </c>
      <c r="M350" s="10">
        <f t="shared" si="15"/>
        <v>0</v>
      </c>
      <c r="N350" s="10">
        <f t="shared" si="15"/>
        <v>0</v>
      </c>
      <c r="O350" s="10">
        <f t="shared" si="15"/>
        <v>0</v>
      </c>
      <c r="P350" s="10">
        <f t="shared" si="15"/>
        <v>0</v>
      </c>
      <c r="Q350" s="10">
        <f t="shared" si="15"/>
        <v>0</v>
      </c>
      <c r="R350" s="10">
        <f t="shared" si="15"/>
        <v>0</v>
      </c>
      <c r="S350" s="10">
        <f t="shared" si="15"/>
        <v>0</v>
      </c>
      <c r="T350" s="10">
        <f t="shared" si="15"/>
        <v>0</v>
      </c>
      <c r="U350" s="10">
        <f t="shared" si="15"/>
        <v>0</v>
      </c>
      <c r="V350" s="10">
        <f t="shared" si="15"/>
        <v>0</v>
      </c>
      <c r="W350" s="10">
        <f t="shared" si="15"/>
        <v>0</v>
      </c>
      <c r="X350" s="10">
        <f t="shared" si="15"/>
        <v>0</v>
      </c>
      <c r="Y350" s="10">
        <f t="shared" si="15"/>
        <v>0</v>
      </c>
      <c r="Z350" s="10">
        <f t="shared" si="15"/>
        <v>0</v>
      </c>
      <c r="AA350" s="10">
        <f t="shared" si="15"/>
        <v>0</v>
      </c>
      <c r="AB350" s="10">
        <f t="shared" si="15"/>
        <v>0</v>
      </c>
      <c r="AC350" s="10">
        <f t="shared" si="15"/>
        <v>0</v>
      </c>
      <c r="AD350" s="10">
        <f t="shared" si="15"/>
        <v>0</v>
      </c>
      <c r="AE350" s="10">
        <f t="shared" si="15"/>
        <v>0</v>
      </c>
      <c r="AF350" s="10">
        <f t="shared" si="15"/>
        <v>0</v>
      </c>
      <c r="AG350" s="10">
        <f t="shared" si="15"/>
        <v>0</v>
      </c>
      <c r="AH350" s="49">
        <f t="shared" si="15"/>
        <v>0</v>
      </c>
    </row>
    <row r="351" spans="1:34" s="3" customFormat="1" ht="15.75" thickBot="1">
      <c r="A351" s="95" t="str">
        <f t="shared" si="14"/>
        <v>月度跨省外送交易</v>
      </c>
      <c r="C351" s="77"/>
      <c r="D351" s="15"/>
      <c r="AH351" s="81"/>
    </row>
    <row r="352" spans="1:34" s="3" customFormat="1" ht="15.75" thickBot="1">
      <c r="A352" s="95" t="str">
        <f t="shared" si="14"/>
        <v>月度跨省外送交易</v>
      </c>
      <c r="C352" s="80" t="s">
        <v>64</v>
      </c>
      <c r="D352" s="12">
        <f>SUM(D350:AH350)</f>
        <v>0</v>
      </c>
      <c r="AH352" s="81"/>
    </row>
    <row r="353" spans="1:34" s="3" customFormat="1" ht="15">
      <c r="A353" s="95" t="str">
        <f t="shared" si="14"/>
        <v>月度跨省外送交易</v>
      </c>
      <c r="C353" s="77"/>
      <c r="AH353" s="81"/>
    </row>
    <row r="354" spans="1:34" s="3" customFormat="1" ht="22.5">
      <c r="A354" s="95" t="str">
        <f t="shared" si="14"/>
        <v>月度跨省外送交易</v>
      </c>
      <c r="C354" s="154" t="str">
        <f>C322&amp;"电价(元/MWh)"</f>
        <v>月度跨省外送交易电价(元/MWh)</v>
      </c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  <c r="AA354" s="155"/>
      <c r="AB354" s="155"/>
      <c r="AC354" s="155"/>
      <c r="AD354" s="155"/>
      <c r="AE354" s="155"/>
      <c r="AF354" s="155"/>
      <c r="AG354" s="155"/>
      <c r="AH354" s="156"/>
    </row>
    <row r="355" spans="1:34" s="3" customFormat="1" ht="15">
      <c r="A355" s="95" t="str">
        <f t="shared" si="14"/>
        <v>月度跨省外送交易</v>
      </c>
      <c r="C355" s="74" t="s">
        <v>31</v>
      </c>
      <c r="D355" s="5" t="s">
        <v>32</v>
      </c>
      <c r="E355" s="6" t="s">
        <v>33</v>
      </c>
      <c r="F355" s="6" t="s">
        <v>34</v>
      </c>
      <c r="G355" s="6" t="s">
        <v>35</v>
      </c>
      <c r="H355" s="6" t="s">
        <v>36</v>
      </c>
      <c r="I355" s="6" t="s">
        <v>37</v>
      </c>
      <c r="J355" s="6" t="s">
        <v>38</v>
      </c>
      <c r="K355" s="6" t="s">
        <v>39</v>
      </c>
      <c r="L355" s="6" t="s">
        <v>40</v>
      </c>
      <c r="M355" s="6" t="s">
        <v>41</v>
      </c>
      <c r="N355" s="6" t="s">
        <v>42</v>
      </c>
      <c r="O355" s="6" t="s">
        <v>43</v>
      </c>
      <c r="P355" s="6" t="s">
        <v>44</v>
      </c>
      <c r="Q355" s="6" t="s">
        <v>45</v>
      </c>
      <c r="R355" s="6" t="s">
        <v>46</v>
      </c>
      <c r="S355" s="6" t="s">
        <v>47</v>
      </c>
      <c r="T355" s="6" t="s">
        <v>48</v>
      </c>
      <c r="U355" s="6" t="s">
        <v>49</v>
      </c>
      <c r="V355" s="6" t="s">
        <v>50</v>
      </c>
      <c r="W355" s="6" t="s">
        <v>51</v>
      </c>
      <c r="X355" s="6" t="s">
        <v>52</v>
      </c>
      <c r="Y355" s="6" t="s">
        <v>53</v>
      </c>
      <c r="Z355" s="6" t="s">
        <v>54</v>
      </c>
      <c r="AA355" s="6" t="s">
        <v>55</v>
      </c>
      <c r="AB355" s="6" t="s">
        <v>56</v>
      </c>
      <c r="AC355" s="6" t="s">
        <v>57</v>
      </c>
      <c r="AD355" s="6" t="s">
        <v>58</v>
      </c>
      <c r="AE355" s="6" t="s">
        <v>59</v>
      </c>
      <c r="AF355" s="6" t="s">
        <v>60</v>
      </c>
      <c r="AG355" s="6" t="s">
        <v>61</v>
      </c>
      <c r="AH355" s="75" t="s">
        <v>62</v>
      </c>
    </row>
    <row r="356" spans="1:34" s="3" customFormat="1" ht="15">
      <c r="A356" s="95" t="str">
        <f t="shared" si="14"/>
        <v>月度跨省外送交易</v>
      </c>
      <c r="C356" s="76" t="s">
        <v>6</v>
      </c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92"/>
    </row>
    <row r="357" spans="1:34" s="3" customFormat="1" ht="15">
      <c r="A357" s="95" t="str">
        <f t="shared" si="14"/>
        <v>月度跨省外送交易</v>
      </c>
      <c r="C357" s="76" t="s">
        <v>7</v>
      </c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92"/>
    </row>
    <row r="358" spans="1:34" s="3" customFormat="1" ht="15">
      <c r="A358" s="95" t="str">
        <f t="shared" si="14"/>
        <v>月度跨省外送交易</v>
      </c>
      <c r="C358" s="76" t="s">
        <v>8</v>
      </c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92"/>
    </row>
    <row r="359" spans="1:34" s="3" customFormat="1" ht="15">
      <c r="A359" s="95" t="str">
        <f t="shared" si="14"/>
        <v>月度跨省外送交易</v>
      </c>
      <c r="C359" s="76" t="s">
        <v>9</v>
      </c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92"/>
    </row>
    <row r="360" spans="1:34" s="3" customFormat="1" ht="15">
      <c r="A360" s="95" t="str">
        <f t="shared" si="14"/>
        <v>月度跨省外送交易</v>
      </c>
      <c r="C360" s="76" t="s">
        <v>10</v>
      </c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92"/>
    </row>
    <row r="361" spans="1:34" s="3" customFormat="1" ht="15">
      <c r="A361" s="95" t="str">
        <f t="shared" si="14"/>
        <v>月度跨省外送交易</v>
      </c>
      <c r="C361" s="76" t="s">
        <v>11</v>
      </c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92"/>
    </row>
    <row r="362" spans="1:34" s="3" customFormat="1" ht="15">
      <c r="A362" s="95" t="str">
        <f t="shared" si="14"/>
        <v>月度跨省外送交易</v>
      </c>
      <c r="C362" s="76" t="s">
        <v>12</v>
      </c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92"/>
    </row>
    <row r="363" spans="1:34" s="3" customFormat="1" ht="15">
      <c r="A363" s="95" t="str">
        <f t="shared" si="14"/>
        <v>月度跨省外送交易</v>
      </c>
      <c r="C363" s="76" t="s">
        <v>13</v>
      </c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92"/>
    </row>
    <row r="364" spans="1:34" s="3" customFormat="1" ht="15">
      <c r="A364" s="95" t="str">
        <f t="shared" si="14"/>
        <v>月度跨省外送交易</v>
      </c>
      <c r="C364" s="76" t="s">
        <v>14</v>
      </c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92"/>
    </row>
    <row r="365" spans="1:34" s="3" customFormat="1" ht="15">
      <c r="A365" s="95" t="str">
        <f t="shared" si="14"/>
        <v>月度跨省外送交易</v>
      </c>
      <c r="C365" s="76" t="s">
        <v>15</v>
      </c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92"/>
    </row>
    <row r="366" spans="1:34" s="3" customFormat="1" ht="15">
      <c r="A366" s="95" t="str">
        <f t="shared" si="14"/>
        <v>月度跨省外送交易</v>
      </c>
      <c r="C366" s="76" t="s">
        <v>16</v>
      </c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92"/>
    </row>
    <row r="367" spans="1:34" s="3" customFormat="1" ht="15">
      <c r="A367" s="95" t="str">
        <f t="shared" si="14"/>
        <v>月度跨省外送交易</v>
      </c>
      <c r="C367" s="76" t="s">
        <v>17</v>
      </c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92"/>
    </row>
    <row r="368" spans="1:34" s="3" customFormat="1" ht="15">
      <c r="A368" s="95" t="str">
        <f t="shared" si="14"/>
        <v>月度跨省外送交易</v>
      </c>
      <c r="C368" s="76" t="s">
        <v>18</v>
      </c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92"/>
    </row>
    <row r="369" spans="1:34" s="3" customFormat="1" ht="15">
      <c r="A369" s="95" t="str">
        <f t="shared" si="14"/>
        <v>月度跨省外送交易</v>
      </c>
      <c r="C369" s="76" t="s">
        <v>19</v>
      </c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92"/>
    </row>
    <row r="370" spans="1:34" s="3" customFormat="1" ht="15">
      <c r="A370" s="95" t="str">
        <f t="shared" si="14"/>
        <v>月度跨省外送交易</v>
      </c>
      <c r="C370" s="76" t="s">
        <v>20</v>
      </c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92"/>
    </row>
    <row r="371" spans="1:34" s="3" customFormat="1" ht="15">
      <c r="A371" s="95" t="str">
        <f t="shared" si="14"/>
        <v>月度跨省外送交易</v>
      </c>
      <c r="C371" s="76" t="s">
        <v>21</v>
      </c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92"/>
    </row>
    <row r="372" spans="1:34" s="3" customFormat="1" ht="15">
      <c r="A372" s="95" t="str">
        <f t="shared" si="14"/>
        <v>月度跨省外送交易</v>
      </c>
      <c r="C372" s="76" t="s">
        <v>22</v>
      </c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92"/>
    </row>
    <row r="373" spans="1:34" s="3" customFormat="1" ht="15">
      <c r="A373" s="95" t="str">
        <f t="shared" si="14"/>
        <v>月度跨省外送交易</v>
      </c>
      <c r="C373" s="76" t="s">
        <v>23</v>
      </c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92"/>
    </row>
    <row r="374" spans="1:34" s="3" customFormat="1" ht="15">
      <c r="A374" s="95" t="str">
        <f t="shared" si="14"/>
        <v>月度跨省外送交易</v>
      </c>
      <c r="C374" s="76" t="s">
        <v>24</v>
      </c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92"/>
    </row>
    <row r="375" spans="1:34" s="3" customFormat="1" ht="15">
      <c r="A375" s="95" t="str">
        <f t="shared" si="14"/>
        <v>月度跨省外送交易</v>
      </c>
      <c r="C375" s="76" t="s">
        <v>25</v>
      </c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92"/>
    </row>
    <row r="376" spans="1:34" s="3" customFormat="1" ht="15">
      <c r="A376" s="95" t="str">
        <f t="shared" si="14"/>
        <v>月度跨省外送交易</v>
      </c>
      <c r="C376" s="76" t="s">
        <v>26</v>
      </c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92"/>
    </row>
    <row r="377" spans="1:34" s="3" customFormat="1" ht="15">
      <c r="A377" s="95" t="str">
        <f t="shared" si="14"/>
        <v>月度跨省外送交易</v>
      </c>
      <c r="C377" s="76" t="s">
        <v>27</v>
      </c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92"/>
    </row>
    <row r="378" spans="1:34" s="3" customFormat="1" ht="15">
      <c r="A378" s="95" t="str">
        <f t="shared" si="14"/>
        <v>月度跨省外送交易</v>
      </c>
      <c r="C378" s="76" t="s">
        <v>28</v>
      </c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92"/>
    </row>
    <row r="379" spans="1:34" s="3" customFormat="1" ht="15">
      <c r="A379" s="95" t="str">
        <f t="shared" si="14"/>
        <v>月度跨省外送交易</v>
      </c>
      <c r="C379" s="76" t="s">
        <v>29</v>
      </c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92"/>
    </row>
    <row r="380" spans="1:34" s="3" customFormat="1" ht="15.75" thickBot="1">
      <c r="A380" s="95" t="str">
        <f t="shared" si="14"/>
        <v>月度跨省外送交易</v>
      </c>
      <c r="C380" s="77"/>
      <c r="AH380" s="81"/>
    </row>
    <row r="381" spans="1:34" s="3" customFormat="1" ht="15.75" thickBot="1">
      <c r="A381" s="95" t="str">
        <f t="shared" si="14"/>
        <v>月度跨省外送交易</v>
      </c>
      <c r="C381" s="80" t="s">
        <v>63</v>
      </c>
      <c r="D381" s="9">
        <f t="shared" ref="D381:AH381" si="16">IFERROR(SUMPRODUCT(D356:D379,D326:D349)/D351,0)</f>
        <v>0</v>
      </c>
      <c r="E381" s="10">
        <f t="shared" si="16"/>
        <v>0</v>
      </c>
      <c r="F381" s="10">
        <f t="shared" si="16"/>
        <v>0</v>
      </c>
      <c r="G381" s="10">
        <f t="shared" si="16"/>
        <v>0</v>
      </c>
      <c r="H381" s="10">
        <f t="shared" si="16"/>
        <v>0</v>
      </c>
      <c r="I381" s="10">
        <f t="shared" si="16"/>
        <v>0</v>
      </c>
      <c r="J381" s="10">
        <f t="shared" si="16"/>
        <v>0</v>
      </c>
      <c r="K381" s="10">
        <f t="shared" si="16"/>
        <v>0</v>
      </c>
      <c r="L381" s="10">
        <f t="shared" si="16"/>
        <v>0</v>
      </c>
      <c r="M381" s="10">
        <f t="shared" si="16"/>
        <v>0</v>
      </c>
      <c r="N381" s="10">
        <f t="shared" si="16"/>
        <v>0</v>
      </c>
      <c r="O381" s="10">
        <f t="shared" si="16"/>
        <v>0</v>
      </c>
      <c r="P381" s="10">
        <f t="shared" si="16"/>
        <v>0</v>
      </c>
      <c r="Q381" s="10">
        <f t="shared" si="16"/>
        <v>0</v>
      </c>
      <c r="R381" s="10">
        <f t="shared" si="16"/>
        <v>0</v>
      </c>
      <c r="S381" s="10">
        <f t="shared" si="16"/>
        <v>0</v>
      </c>
      <c r="T381" s="10">
        <f t="shared" si="16"/>
        <v>0</v>
      </c>
      <c r="U381" s="10">
        <f t="shared" si="16"/>
        <v>0</v>
      </c>
      <c r="V381" s="10">
        <f t="shared" si="16"/>
        <v>0</v>
      </c>
      <c r="W381" s="10">
        <f t="shared" si="16"/>
        <v>0</v>
      </c>
      <c r="X381" s="10">
        <f t="shared" si="16"/>
        <v>0</v>
      </c>
      <c r="Y381" s="10">
        <f t="shared" si="16"/>
        <v>0</v>
      </c>
      <c r="Z381" s="10">
        <f t="shared" si="16"/>
        <v>0</v>
      </c>
      <c r="AA381" s="10">
        <f t="shared" si="16"/>
        <v>0</v>
      </c>
      <c r="AB381" s="10">
        <f t="shared" si="16"/>
        <v>0</v>
      </c>
      <c r="AC381" s="10">
        <f t="shared" si="16"/>
        <v>0</v>
      </c>
      <c r="AD381" s="10">
        <f t="shared" si="16"/>
        <v>0</v>
      </c>
      <c r="AE381" s="10">
        <f t="shared" si="16"/>
        <v>0</v>
      </c>
      <c r="AF381" s="10">
        <f t="shared" si="16"/>
        <v>0</v>
      </c>
      <c r="AG381" s="10">
        <f t="shared" si="16"/>
        <v>0</v>
      </c>
      <c r="AH381" s="49">
        <f t="shared" si="16"/>
        <v>0</v>
      </c>
    </row>
    <row r="382" spans="1:34" s="3" customFormat="1" ht="15.75" thickBot="1">
      <c r="A382" s="95" t="str">
        <f t="shared" si="14"/>
        <v>月度跨省外送交易</v>
      </c>
      <c r="C382" s="77"/>
      <c r="D382" s="15"/>
      <c r="AH382" s="81"/>
    </row>
    <row r="383" spans="1:34" s="3" customFormat="1" ht="15.75" thickBot="1">
      <c r="A383" s="95" t="str">
        <f t="shared" si="14"/>
        <v>月度跨省外送交易</v>
      </c>
      <c r="C383" s="80" t="s">
        <v>64</v>
      </c>
      <c r="D383" s="12">
        <f>IFERROR(SUMPRODUCT(D351:AH351,D381:AH381)/#REF!,0)</f>
        <v>0</v>
      </c>
      <c r="AH383" s="81"/>
    </row>
    <row r="384" spans="1:34" s="3" customFormat="1" ht="15.75" thickBot="1">
      <c r="A384" s="95" t="str">
        <f t="shared" si="14"/>
        <v>月度跨省外送交易</v>
      </c>
      <c r="C384" s="83"/>
      <c r="D384" s="87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5"/>
    </row>
    <row r="385" spans="1:34" s="3" customFormat="1" ht="15.75" thickBot="1">
      <c r="A385" s="95" t="str">
        <f t="shared" si="14"/>
        <v>月度跨省外送交易</v>
      </c>
      <c r="C385" s="8"/>
      <c r="D385" s="86"/>
    </row>
    <row r="386" spans="1:34" ht="23.25">
      <c r="A386" s="95" t="str">
        <f>$C$386</f>
        <v>月度双边交易</v>
      </c>
      <c r="C386" s="160" t="s">
        <v>93</v>
      </c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52"/>
      <c r="S386" s="152"/>
      <c r="T386" s="152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152"/>
      <c r="AE386" s="152"/>
      <c r="AF386" s="152"/>
      <c r="AG386" s="152"/>
      <c r="AH386" s="153"/>
    </row>
    <row r="387" spans="1:34" s="3" customFormat="1" ht="22.5">
      <c r="A387" s="95" t="str">
        <f t="shared" ref="A387:A449" si="17">$C$386</f>
        <v>月度双边交易</v>
      </c>
      <c r="C387" s="154" t="str">
        <f>C386&amp;"电量(MWh)"</f>
        <v>月度双边交易电量(MWh)</v>
      </c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  <c r="AA387" s="155"/>
      <c r="AB387" s="155"/>
      <c r="AC387" s="155"/>
      <c r="AD387" s="155"/>
      <c r="AE387" s="155"/>
      <c r="AF387" s="155"/>
      <c r="AG387" s="155"/>
      <c r="AH387" s="156"/>
    </row>
    <row r="388" spans="1:34" s="3" customFormat="1" ht="15">
      <c r="A388" s="95" t="str">
        <f t="shared" si="17"/>
        <v>月度双边交易</v>
      </c>
      <c r="C388" s="74" t="s">
        <v>31</v>
      </c>
      <c r="D388" s="5" t="s">
        <v>32</v>
      </c>
      <c r="E388" s="6" t="s">
        <v>33</v>
      </c>
      <c r="F388" s="6" t="s">
        <v>34</v>
      </c>
      <c r="G388" s="6" t="s">
        <v>35</v>
      </c>
      <c r="H388" s="6" t="s">
        <v>36</v>
      </c>
      <c r="I388" s="6" t="s">
        <v>37</v>
      </c>
      <c r="J388" s="6" t="s">
        <v>38</v>
      </c>
      <c r="K388" s="6" t="s">
        <v>39</v>
      </c>
      <c r="L388" s="6" t="s">
        <v>40</v>
      </c>
      <c r="M388" s="6" t="s">
        <v>41</v>
      </c>
      <c r="N388" s="6" t="s">
        <v>42</v>
      </c>
      <c r="O388" s="6" t="s">
        <v>43</v>
      </c>
      <c r="P388" s="6" t="s">
        <v>44</v>
      </c>
      <c r="Q388" s="6" t="s">
        <v>45</v>
      </c>
      <c r="R388" s="6" t="s">
        <v>46</v>
      </c>
      <c r="S388" s="6" t="s">
        <v>47</v>
      </c>
      <c r="T388" s="6" t="s">
        <v>48</v>
      </c>
      <c r="U388" s="6" t="s">
        <v>49</v>
      </c>
      <c r="V388" s="6" t="s">
        <v>50</v>
      </c>
      <c r="W388" s="6" t="s">
        <v>51</v>
      </c>
      <c r="X388" s="6" t="s">
        <v>52</v>
      </c>
      <c r="Y388" s="6" t="s">
        <v>53</v>
      </c>
      <c r="Z388" s="6" t="s">
        <v>54</v>
      </c>
      <c r="AA388" s="6" t="s">
        <v>55</v>
      </c>
      <c r="AB388" s="6" t="s">
        <v>56</v>
      </c>
      <c r="AC388" s="6" t="s">
        <v>57</v>
      </c>
      <c r="AD388" s="6" t="s">
        <v>58</v>
      </c>
      <c r="AE388" s="6" t="s">
        <v>59</v>
      </c>
      <c r="AF388" s="6" t="s">
        <v>60</v>
      </c>
      <c r="AG388" s="6" t="s">
        <v>61</v>
      </c>
      <c r="AH388" s="75" t="s">
        <v>62</v>
      </c>
    </row>
    <row r="389" spans="1:34" s="3" customFormat="1" ht="15">
      <c r="A389" s="95" t="str">
        <f t="shared" si="17"/>
        <v>月度双边交易</v>
      </c>
      <c r="C389" s="76" t="s">
        <v>6</v>
      </c>
      <c r="D389" s="47"/>
      <c r="E389" s="47"/>
      <c r="F389" s="47"/>
      <c r="G389" s="47"/>
      <c r="H389" s="47"/>
      <c r="I389" s="47"/>
      <c r="J389" s="47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  <c r="W389" s="47"/>
      <c r="X389" s="47"/>
      <c r="Y389" s="47"/>
      <c r="Z389" s="47"/>
      <c r="AA389" s="47"/>
      <c r="AB389" s="47"/>
      <c r="AC389" s="47"/>
      <c r="AD389" s="47"/>
      <c r="AE389" s="47"/>
      <c r="AF389" s="47"/>
      <c r="AG389" s="47"/>
      <c r="AH389" s="47"/>
    </row>
    <row r="390" spans="1:34" s="3" customFormat="1" ht="15">
      <c r="A390" s="95" t="str">
        <f t="shared" si="17"/>
        <v>月度双边交易</v>
      </c>
      <c r="C390" s="76" t="s">
        <v>7</v>
      </c>
      <c r="D390" s="47"/>
      <c r="E390" s="47"/>
      <c r="F390" s="47"/>
      <c r="G390" s="47"/>
      <c r="H390" s="47"/>
      <c r="I390" s="47"/>
      <c r="J390" s="47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</row>
    <row r="391" spans="1:34" s="3" customFormat="1" ht="15">
      <c r="A391" s="95" t="str">
        <f t="shared" si="17"/>
        <v>月度双边交易</v>
      </c>
      <c r="C391" s="76" t="s">
        <v>8</v>
      </c>
      <c r="D391" s="47"/>
      <c r="E391" s="47"/>
      <c r="F391" s="47"/>
      <c r="G391" s="47"/>
      <c r="H391" s="47"/>
      <c r="I391" s="47"/>
      <c r="J391" s="47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  <c r="W391" s="47"/>
      <c r="X391" s="47"/>
      <c r="Y391" s="47"/>
      <c r="Z391" s="47"/>
      <c r="AA391" s="47"/>
      <c r="AB391" s="47"/>
      <c r="AC391" s="47"/>
      <c r="AD391" s="47"/>
      <c r="AE391" s="47"/>
      <c r="AF391" s="47"/>
      <c r="AG391" s="47"/>
      <c r="AH391" s="47"/>
    </row>
    <row r="392" spans="1:34" s="3" customFormat="1" ht="15">
      <c r="A392" s="95" t="str">
        <f t="shared" si="17"/>
        <v>月度双边交易</v>
      </c>
      <c r="C392" s="76" t="s">
        <v>9</v>
      </c>
      <c r="D392" s="47"/>
      <c r="E392" s="47"/>
      <c r="F392" s="47"/>
      <c r="G392" s="47"/>
      <c r="H392" s="47"/>
      <c r="I392" s="47"/>
      <c r="J392" s="47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</row>
    <row r="393" spans="1:34" s="3" customFormat="1" ht="15">
      <c r="A393" s="95" t="str">
        <f t="shared" si="17"/>
        <v>月度双边交易</v>
      </c>
      <c r="C393" s="76" t="s">
        <v>10</v>
      </c>
      <c r="D393" s="47"/>
      <c r="E393" s="47"/>
      <c r="F393" s="47"/>
      <c r="G393" s="47"/>
      <c r="H393" s="47"/>
      <c r="I393" s="47"/>
      <c r="J393" s="47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  <c r="W393" s="47"/>
      <c r="X393" s="47"/>
      <c r="Y393" s="47"/>
      <c r="Z393" s="47"/>
      <c r="AA393" s="47"/>
      <c r="AB393" s="47"/>
      <c r="AC393" s="47"/>
      <c r="AD393" s="47"/>
      <c r="AE393" s="47"/>
      <c r="AF393" s="47"/>
      <c r="AG393" s="47"/>
      <c r="AH393" s="47"/>
    </row>
    <row r="394" spans="1:34" s="3" customFormat="1" ht="15">
      <c r="A394" s="95" t="str">
        <f t="shared" si="17"/>
        <v>月度双边交易</v>
      </c>
      <c r="C394" s="76" t="s">
        <v>11</v>
      </c>
      <c r="D394" s="47"/>
      <c r="E394" s="47"/>
      <c r="F394" s="47"/>
      <c r="G394" s="47"/>
      <c r="H394" s="47"/>
      <c r="I394" s="47"/>
      <c r="J394" s="47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</row>
    <row r="395" spans="1:34" s="3" customFormat="1" ht="15">
      <c r="A395" s="95" t="str">
        <f t="shared" si="17"/>
        <v>月度双边交易</v>
      </c>
      <c r="C395" s="76" t="s">
        <v>12</v>
      </c>
      <c r="D395" s="47"/>
      <c r="E395" s="47"/>
      <c r="F395" s="47"/>
      <c r="G395" s="47"/>
      <c r="H395" s="47"/>
      <c r="I395" s="47"/>
      <c r="J395" s="47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  <c r="W395" s="47"/>
      <c r="X395" s="47"/>
      <c r="Y395" s="47"/>
      <c r="Z395" s="47"/>
      <c r="AA395" s="47"/>
      <c r="AB395" s="47"/>
      <c r="AC395" s="47"/>
      <c r="AD395" s="47"/>
      <c r="AE395" s="47"/>
      <c r="AF395" s="47"/>
      <c r="AG395" s="47"/>
      <c r="AH395" s="47"/>
    </row>
    <row r="396" spans="1:34" s="3" customFormat="1" ht="15">
      <c r="A396" s="95" t="str">
        <f t="shared" si="17"/>
        <v>月度双边交易</v>
      </c>
      <c r="C396" s="76" t="s">
        <v>13</v>
      </c>
      <c r="D396" s="47"/>
      <c r="E396" s="47"/>
      <c r="F396" s="47"/>
      <c r="G396" s="47"/>
      <c r="H396" s="47"/>
      <c r="I396" s="47"/>
      <c r="J396" s="47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</row>
    <row r="397" spans="1:34" s="3" customFormat="1" ht="15">
      <c r="A397" s="95" t="str">
        <f t="shared" si="17"/>
        <v>月度双边交易</v>
      </c>
      <c r="C397" s="76" t="s">
        <v>14</v>
      </c>
      <c r="D397" s="47"/>
      <c r="E397" s="47"/>
      <c r="F397" s="47"/>
      <c r="G397" s="47"/>
      <c r="H397" s="47"/>
      <c r="I397" s="47"/>
      <c r="J397" s="47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  <c r="W397" s="47"/>
      <c r="X397" s="47"/>
      <c r="Y397" s="47"/>
      <c r="Z397" s="47"/>
      <c r="AA397" s="47"/>
      <c r="AB397" s="47"/>
      <c r="AC397" s="47"/>
      <c r="AD397" s="47"/>
      <c r="AE397" s="47"/>
      <c r="AF397" s="47"/>
      <c r="AG397" s="47"/>
      <c r="AH397" s="47"/>
    </row>
    <row r="398" spans="1:34" s="3" customFormat="1" ht="15">
      <c r="A398" s="95" t="str">
        <f t="shared" si="17"/>
        <v>月度双边交易</v>
      </c>
      <c r="C398" s="76" t="s">
        <v>15</v>
      </c>
      <c r="D398" s="47"/>
      <c r="E398" s="47"/>
      <c r="F398" s="47"/>
      <c r="G398" s="47"/>
      <c r="H398" s="47"/>
      <c r="I398" s="47"/>
      <c r="J398" s="47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</row>
    <row r="399" spans="1:34" s="3" customFormat="1" ht="15">
      <c r="A399" s="95" t="str">
        <f t="shared" si="17"/>
        <v>月度双边交易</v>
      </c>
      <c r="C399" s="76" t="s">
        <v>16</v>
      </c>
      <c r="D399" s="47"/>
      <c r="E399" s="47"/>
      <c r="F399" s="47"/>
      <c r="G399" s="47"/>
      <c r="H399" s="47"/>
      <c r="I399" s="47"/>
      <c r="J399" s="47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  <c r="W399" s="47"/>
      <c r="X399" s="47"/>
      <c r="Y399" s="47"/>
      <c r="Z399" s="47"/>
      <c r="AA399" s="47"/>
      <c r="AB399" s="47"/>
      <c r="AC399" s="47"/>
      <c r="AD399" s="47"/>
      <c r="AE399" s="47"/>
      <c r="AF399" s="47"/>
      <c r="AG399" s="47"/>
      <c r="AH399" s="47"/>
    </row>
    <row r="400" spans="1:34" s="3" customFormat="1" ht="15">
      <c r="A400" s="95" t="str">
        <f t="shared" si="17"/>
        <v>月度双边交易</v>
      </c>
      <c r="C400" s="76" t="s">
        <v>17</v>
      </c>
      <c r="D400" s="47"/>
      <c r="E400" s="47"/>
      <c r="F400" s="47"/>
      <c r="G400" s="47"/>
      <c r="H400" s="47"/>
      <c r="I400" s="47"/>
      <c r="J400" s="47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</row>
    <row r="401" spans="1:34" s="3" customFormat="1" ht="15">
      <c r="A401" s="95" t="str">
        <f t="shared" si="17"/>
        <v>月度双边交易</v>
      </c>
      <c r="C401" s="76" t="s">
        <v>18</v>
      </c>
      <c r="D401" s="47"/>
      <c r="E401" s="47"/>
      <c r="F401" s="47"/>
      <c r="G401" s="47"/>
      <c r="H401" s="47"/>
      <c r="I401" s="47"/>
      <c r="J401" s="47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  <c r="W401" s="47"/>
      <c r="X401" s="47"/>
      <c r="Y401" s="47"/>
      <c r="Z401" s="47"/>
      <c r="AA401" s="47"/>
      <c r="AB401" s="47"/>
      <c r="AC401" s="47"/>
      <c r="AD401" s="47"/>
      <c r="AE401" s="47"/>
      <c r="AF401" s="47"/>
      <c r="AG401" s="47"/>
      <c r="AH401" s="47"/>
    </row>
    <row r="402" spans="1:34" s="3" customFormat="1" ht="15">
      <c r="A402" s="95" t="str">
        <f t="shared" si="17"/>
        <v>月度双边交易</v>
      </c>
      <c r="C402" s="76" t="s">
        <v>19</v>
      </c>
      <c r="D402" s="47"/>
      <c r="E402" s="47"/>
      <c r="F402" s="47"/>
      <c r="G402" s="47"/>
      <c r="H402" s="47"/>
      <c r="I402" s="47"/>
      <c r="J402" s="47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</row>
    <row r="403" spans="1:34" s="3" customFormat="1" ht="15">
      <c r="A403" s="95" t="str">
        <f t="shared" si="17"/>
        <v>月度双边交易</v>
      </c>
      <c r="C403" s="76" t="s">
        <v>20</v>
      </c>
      <c r="D403" s="47"/>
      <c r="E403" s="47"/>
      <c r="F403" s="47"/>
      <c r="G403" s="47"/>
      <c r="H403" s="47"/>
      <c r="I403" s="47"/>
      <c r="J403" s="47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  <c r="W403" s="47"/>
      <c r="X403" s="47"/>
      <c r="Y403" s="47"/>
      <c r="Z403" s="47"/>
      <c r="AA403" s="47"/>
      <c r="AB403" s="47"/>
      <c r="AC403" s="47"/>
      <c r="AD403" s="47"/>
      <c r="AE403" s="47"/>
      <c r="AF403" s="47"/>
      <c r="AG403" s="47"/>
      <c r="AH403" s="47"/>
    </row>
    <row r="404" spans="1:34" s="3" customFormat="1" ht="15">
      <c r="A404" s="95" t="str">
        <f t="shared" si="17"/>
        <v>月度双边交易</v>
      </c>
      <c r="C404" s="76" t="s">
        <v>21</v>
      </c>
      <c r="D404" s="47"/>
      <c r="E404" s="47"/>
      <c r="F404" s="47"/>
      <c r="G404" s="47"/>
      <c r="H404" s="47"/>
      <c r="I404" s="47"/>
      <c r="J404" s="47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</row>
    <row r="405" spans="1:34" s="3" customFormat="1" ht="15">
      <c r="A405" s="95" t="str">
        <f t="shared" si="17"/>
        <v>月度双边交易</v>
      </c>
      <c r="C405" s="76" t="s">
        <v>22</v>
      </c>
      <c r="D405" s="47"/>
      <c r="E405" s="47"/>
      <c r="F405" s="47"/>
      <c r="G405" s="47"/>
      <c r="H405" s="47"/>
      <c r="I405" s="47"/>
      <c r="J405" s="47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  <c r="W405" s="47"/>
      <c r="X405" s="47"/>
      <c r="Y405" s="47"/>
      <c r="Z405" s="47"/>
      <c r="AA405" s="47"/>
      <c r="AB405" s="47"/>
      <c r="AC405" s="47"/>
      <c r="AD405" s="47"/>
      <c r="AE405" s="47"/>
      <c r="AF405" s="47"/>
      <c r="AG405" s="47"/>
      <c r="AH405" s="47"/>
    </row>
    <row r="406" spans="1:34" s="3" customFormat="1" ht="15">
      <c r="A406" s="95" t="str">
        <f t="shared" si="17"/>
        <v>月度双边交易</v>
      </c>
      <c r="C406" s="76" t="s">
        <v>23</v>
      </c>
      <c r="D406" s="47"/>
      <c r="E406" s="47"/>
      <c r="F406" s="47"/>
      <c r="G406" s="47"/>
      <c r="H406" s="47"/>
      <c r="I406" s="47"/>
      <c r="J406" s="47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</row>
    <row r="407" spans="1:34" s="3" customFormat="1" ht="15">
      <c r="A407" s="95" t="str">
        <f t="shared" si="17"/>
        <v>月度双边交易</v>
      </c>
      <c r="C407" s="76" t="s">
        <v>24</v>
      </c>
      <c r="D407" s="47"/>
      <c r="E407" s="47"/>
      <c r="F407" s="47"/>
      <c r="G407" s="47"/>
      <c r="H407" s="47"/>
      <c r="I407" s="47"/>
      <c r="J407" s="47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  <c r="W407" s="47"/>
      <c r="X407" s="47"/>
      <c r="Y407" s="47"/>
      <c r="Z407" s="47"/>
      <c r="AA407" s="47"/>
      <c r="AB407" s="47"/>
      <c r="AC407" s="47"/>
      <c r="AD407" s="47"/>
      <c r="AE407" s="47"/>
      <c r="AF407" s="47"/>
      <c r="AG407" s="47"/>
      <c r="AH407" s="47"/>
    </row>
    <row r="408" spans="1:34" s="3" customFormat="1" ht="15">
      <c r="A408" s="95" t="str">
        <f t="shared" si="17"/>
        <v>月度双边交易</v>
      </c>
      <c r="C408" s="76" t="s">
        <v>25</v>
      </c>
      <c r="D408" s="47"/>
      <c r="E408" s="47"/>
      <c r="F408" s="47"/>
      <c r="G408" s="47"/>
      <c r="H408" s="47"/>
      <c r="I408" s="47"/>
      <c r="J408" s="47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</row>
    <row r="409" spans="1:34" s="3" customFormat="1" ht="15">
      <c r="A409" s="95" t="str">
        <f t="shared" si="17"/>
        <v>月度双边交易</v>
      </c>
      <c r="C409" s="76" t="s">
        <v>26</v>
      </c>
      <c r="D409" s="47"/>
      <c r="E409" s="47"/>
      <c r="F409" s="47"/>
      <c r="G409" s="47"/>
      <c r="H409" s="47"/>
      <c r="I409" s="47"/>
      <c r="J409" s="47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  <c r="W409" s="47"/>
      <c r="X409" s="47"/>
      <c r="Y409" s="47"/>
      <c r="Z409" s="47"/>
      <c r="AA409" s="47"/>
      <c r="AB409" s="47"/>
      <c r="AC409" s="47"/>
      <c r="AD409" s="47"/>
      <c r="AE409" s="47"/>
      <c r="AF409" s="47"/>
      <c r="AG409" s="47"/>
      <c r="AH409" s="47"/>
    </row>
    <row r="410" spans="1:34" s="3" customFormat="1" ht="15">
      <c r="A410" s="95" t="str">
        <f t="shared" si="17"/>
        <v>月度双边交易</v>
      </c>
      <c r="C410" s="76" t="s">
        <v>27</v>
      </c>
      <c r="D410" s="47"/>
      <c r="E410" s="47"/>
      <c r="F410" s="47"/>
      <c r="G410" s="47"/>
      <c r="H410" s="47"/>
      <c r="I410" s="47"/>
      <c r="J410" s="47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</row>
    <row r="411" spans="1:34" s="3" customFormat="1" ht="15">
      <c r="A411" s="95" t="str">
        <f t="shared" si="17"/>
        <v>月度双边交易</v>
      </c>
      <c r="C411" s="76" t="s">
        <v>28</v>
      </c>
      <c r="D411" s="47"/>
      <c r="E411" s="47"/>
      <c r="F411" s="47"/>
      <c r="G411" s="47"/>
      <c r="H411" s="47"/>
      <c r="I411" s="47"/>
      <c r="J411" s="47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  <c r="W411" s="47"/>
      <c r="X411" s="47"/>
      <c r="Y411" s="47"/>
      <c r="Z411" s="47"/>
      <c r="AA411" s="47"/>
      <c r="AB411" s="47"/>
      <c r="AC411" s="47"/>
      <c r="AD411" s="47"/>
      <c r="AE411" s="47"/>
      <c r="AF411" s="47"/>
      <c r="AG411" s="47"/>
      <c r="AH411" s="47"/>
    </row>
    <row r="412" spans="1:34" s="3" customFormat="1" ht="15">
      <c r="A412" s="95" t="str">
        <f t="shared" si="17"/>
        <v>月度双边交易</v>
      </c>
      <c r="C412" s="76" t="s">
        <v>29</v>
      </c>
      <c r="D412" s="47"/>
      <c r="E412" s="47"/>
      <c r="F412" s="47"/>
      <c r="G412" s="47"/>
      <c r="H412" s="47"/>
      <c r="I412" s="47"/>
      <c r="J412" s="47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</row>
    <row r="413" spans="1:34" s="3" customFormat="1" ht="15.75" thickBot="1">
      <c r="A413" s="95" t="str">
        <f t="shared" si="17"/>
        <v>月度双边交易</v>
      </c>
      <c r="C413" s="77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9"/>
    </row>
    <row r="414" spans="1:34" s="3" customFormat="1" ht="15.75" thickBot="1">
      <c r="A414" s="95" t="str">
        <f t="shared" si="17"/>
        <v>月度双边交易</v>
      </c>
      <c r="C414" s="80" t="s">
        <v>63</v>
      </c>
      <c r="D414" s="9">
        <f>SUM(D389:D412)</f>
        <v>0</v>
      </c>
      <c r="E414" s="10">
        <f t="shared" ref="E414:AH414" si="18">SUM(E389:E412)</f>
        <v>0</v>
      </c>
      <c r="F414" s="10">
        <f t="shared" si="18"/>
        <v>0</v>
      </c>
      <c r="G414" s="10">
        <f t="shared" si="18"/>
        <v>0</v>
      </c>
      <c r="H414" s="10">
        <f t="shared" si="18"/>
        <v>0</v>
      </c>
      <c r="I414" s="10">
        <f t="shared" si="18"/>
        <v>0</v>
      </c>
      <c r="J414" s="10">
        <f t="shared" si="18"/>
        <v>0</v>
      </c>
      <c r="K414" s="10">
        <f t="shared" si="18"/>
        <v>0</v>
      </c>
      <c r="L414" s="10">
        <f t="shared" si="18"/>
        <v>0</v>
      </c>
      <c r="M414" s="10">
        <f t="shared" si="18"/>
        <v>0</v>
      </c>
      <c r="N414" s="10">
        <f t="shared" si="18"/>
        <v>0</v>
      </c>
      <c r="O414" s="10">
        <f t="shared" si="18"/>
        <v>0</v>
      </c>
      <c r="P414" s="10">
        <f t="shared" si="18"/>
        <v>0</v>
      </c>
      <c r="Q414" s="10">
        <f t="shared" si="18"/>
        <v>0</v>
      </c>
      <c r="R414" s="10">
        <f t="shared" si="18"/>
        <v>0</v>
      </c>
      <c r="S414" s="10">
        <f t="shared" si="18"/>
        <v>0</v>
      </c>
      <c r="T414" s="10">
        <f t="shared" si="18"/>
        <v>0</v>
      </c>
      <c r="U414" s="10">
        <f t="shared" si="18"/>
        <v>0</v>
      </c>
      <c r="V414" s="10">
        <f t="shared" si="18"/>
        <v>0</v>
      </c>
      <c r="W414" s="10">
        <f t="shared" si="18"/>
        <v>0</v>
      </c>
      <c r="X414" s="10">
        <f t="shared" si="18"/>
        <v>0</v>
      </c>
      <c r="Y414" s="10">
        <f t="shared" si="18"/>
        <v>0</v>
      </c>
      <c r="Z414" s="10">
        <f t="shared" si="18"/>
        <v>0</v>
      </c>
      <c r="AA414" s="10">
        <f t="shared" si="18"/>
        <v>0</v>
      </c>
      <c r="AB414" s="10">
        <f t="shared" si="18"/>
        <v>0</v>
      </c>
      <c r="AC414" s="10">
        <f t="shared" si="18"/>
        <v>0</v>
      </c>
      <c r="AD414" s="10">
        <f t="shared" si="18"/>
        <v>0</v>
      </c>
      <c r="AE414" s="10">
        <f t="shared" si="18"/>
        <v>0</v>
      </c>
      <c r="AF414" s="10">
        <f t="shared" si="18"/>
        <v>0</v>
      </c>
      <c r="AG414" s="10">
        <f t="shared" si="18"/>
        <v>0</v>
      </c>
      <c r="AH414" s="49">
        <f t="shared" si="18"/>
        <v>0</v>
      </c>
    </row>
    <row r="415" spans="1:34" s="3" customFormat="1" ht="15.75" thickBot="1">
      <c r="A415" s="95" t="str">
        <f t="shared" si="17"/>
        <v>月度双边交易</v>
      </c>
      <c r="C415" s="77"/>
      <c r="D415" s="15"/>
      <c r="AH415" s="81"/>
    </row>
    <row r="416" spans="1:34" s="3" customFormat="1" ht="15.75" thickBot="1">
      <c r="A416" s="95" t="str">
        <f t="shared" si="17"/>
        <v>月度双边交易</v>
      </c>
      <c r="C416" s="80" t="s">
        <v>64</v>
      </c>
      <c r="D416" s="12">
        <f>SUM(D414:AH414)</f>
        <v>0</v>
      </c>
      <c r="AH416" s="81"/>
    </row>
    <row r="417" spans="1:34" s="3" customFormat="1" ht="15">
      <c r="A417" s="95" t="str">
        <f t="shared" si="17"/>
        <v>月度双边交易</v>
      </c>
      <c r="C417" s="77"/>
      <c r="AH417" s="81"/>
    </row>
    <row r="418" spans="1:34" s="3" customFormat="1" ht="22.5">
      <c r="A418" s="95" t="str">
        <f t="shared" si="17"/>
        <v>月度双边交易</v>
      </c>
      <c r="C418" s="154" t="str">
        <f>C386&amp;"电价(元/MWh)"</f>
        <v>月度双边交易电价(元/MWh)</v>
      </c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  <c r="AA418" s="155"/>
      <c r="AB418" s="155"/>
      <c r="AC418" s="155"/>
      <c r="AD418" s="155"/>
      <c r="AE418" s="155"/>
      <c r="AF418" s="155"/>
      <c r="AG418" s="155"/>
      <c r="AH418" s="156"/>
    </row>
    <row r="419" spans="1:34" s="3" customFormat="1" ht="15">
      <c r="A419" s="95" t="str">
        <f t="shared" si="17"/>
        <v>月度双边交易</v>
      </c>
      <c r="C419" s="74" t="s">
        <v>31</v>
      </c>
      <c r="D419" s="5" t="s">
        <v>32</v>
      </c>
      <c r="E419" s="6" t="s">
        <v>33</v>
      </c>
      <c r="F419" s="6" t="s">
        <v>34</v>
      </c>
      <c r="G419" s="6" t="s">
        <v>35</v>
      </c>
      <c r="H419" s="6" t="s">
        <v>36</v>
      </c>
      <c r="I419" s="6" t="s">
        <v>37</v>
      </c>
      <c r="J419" s="6" t="s">
        <v>38</v>
      </c>
      <c r="K419" s="6" t="s">
        <v>39</v>
      </c>
      <c r="L419" s="6" t="s">
        <v>40</v>
      </c>
      <c r="M419" s="6" t="s">
        <v>41</v>
      </c>
      <c r="N419" s="6" t="s">
        <v>42</v>
      </c>
      <c r="O419" s="6" t="s">
        <v>43</v>
      </c>
      <c r="P419" s="6" t="s">
        <v>44</v>
      </c>
      <c r="Q419" s="6" t="s">
        <v>45</v>
      </c>
      <c r="R419" s="6" t="s">
        <v>46</v>
      </c>
      <c r="S419" s="6" t="s">
        <v>47</v>
      </c>
      <c r="T419" s="6" t="s">
        <v>48</v>
      </c>
      <c r="U419" s="6" t="s">
        <v>49</v>
      </c>
      <c r="V419" s="6" t="s">
        <v>50</v>
      </c>
      <c r="W419" s="6" t="s">
        <v>51</v>
      </c>
      <c r="X419" s="6" t="s">
        <v>52</v>
      </c>
      <c r="Y419" s="6" t="s">
        <v>53</v>
      </c>
      <c r="Z419" s="6" t="s">
        <v>54</v>
      </c>
      <c r="AA419" s="6" t="s">
        <v>55</v>
      </c>
      <c r="AB419" s="6" t="s">
        <v>56</v>
      </c>
      <c r="AC419" s="6" t="s">
        <v>57</v>
      </c>
      <c r="AD419" s="6" t="s">
        <v>58</v>
      </c>
      <c r="AE419" s="6" t="s">
        <v>59</v>
      </c>
      <c r="AF419" s="6" t="s">
        <v>60</v>
      </c>
      <c r="AG419" s="6" t="s">
        <v>61</v>
      </c>
      <c r="AH419" s="75" t="s">
        <v>62</v>
      </c>
    </row>
    <row r="420" spans="1:34" s="3" customFormat="1" ht="15">
      <c r="A420" s="95" t="str">
        <f t="shared" si="17"/>
        <v>月度双边交易</v>
      </c>
      <c r="C420" s="76" t="s">
        <v>6</v>
      </c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92"/>
    </row>
    <row r="421" spans="1:34" s="3" customFormat="1" ht="15">
      <c r="A421" s="95" t="str">
        <f t="shared" si="17"/>
        <v>月度双边交易</v>
      </c>
      <c r="C421" s="76" t="s">
        <v>7</v>
      </c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92"/>
    </row>
    <row r="422" spans="1:34" s="3" customFormat="1" ht="15">
      <c r="A422" s="95" t="str">
        <f t="shared" si="17"/>
        <v>月度双边交易</v>
      </c>
      <c r="C422" s="76" t="s">
        <v>8</v>
      </c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92"/>
    </row>
    <row r="423" spans="1:34" s="3" customFormat="1" ht="15">
      <c r="A423" s="95" t="str">
        <f t="shared" si="17"/>
        <v>月度双边交易</v>
      </c>
      <c r="C423" s="76" t="s">
        <v>9</v>
      </c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92"/>
    </row>
    <row r="424" spans="1:34" s="3" customFormat="1" ht="15">
      <c r="A424" s="95" t="str">
        <f t="shared" si="17"/>
        <v>月度双边交易</v>
      </c>
      <c r="C424" s="76" t="s">
        <v>10</v>
      </c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92"/>
    </row>
    <row r="425" spans="1:34" s="3" customFormat="1" ht="15">
      <c r="A425" s="95" t="str">
        <f t="shared" si="17"/>
        <v>月度双边交易</v>
      </c>
      <c r="C425" s="76" t="s">
        <v>11</v>
      </c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92"/>
    </row>
    <row r="426" spans="1:34" s="3" customFormat="1" ht="15">
      <c r="A426" s="95" t="str">
        <f t="shared" si="17"/>
        <v>月度双边交易</v>
      </c>
      <c r="C426" s="76" t="s">
        <v>12</v>
      </c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92"/>
    </row>
    <row r="427" spans="1:34" s="3" customFormat="1" ht="15">
      <c r="A427" s="95" t="str">
        <f t="shared" si="17"/>
        <v>月度双边交易</v>
      </c>
      <c r="C427" s="76" t="s">
        <v>13</v>
      </c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92"/>
    </row>
    <row r="428" spans="1:34" s="3" customFormat="1" ht="15">
      <c r="A428" s="95" t="str">
        <f t="shared" si="17"/>
        <v>月度双边交易</v>
      </c>
      <c r="C428" s="76" t="s">
        <v>14</v>
      </c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92"/>
    </row>
    <row r="429" spans="1:34" s="3" customFormat="1" ht="15">
      <c r="A429" s="95" t="str">
        <f t="shared" si="17"/>
        <v>月度双边交易</v>
      </c>
      <c r="C429" s="76" t="s">
        <v>15</v>
      </c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92"/>
    </row>
    <row r="430" spans="1:34" s="3" customFormat="1" ht="15">
      <c r="A430" s="95" t="str">
        <f t="shared" si="17"/>
        <v>月度双边交易</v>
      </c>
      <c r="C430" s="76" t="s">
        <v>16</v>
      </c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92"/>
    </row>
    <row r="431" spans="1:34" s="3" customFormat="1" ht="15">
      <c r="A431" s="95" t="str">
        <f t="shared" si="17"/>
        <v>月度双边交易</v>
      </c>
      <c r="C431" s="76" t="s">
        <v>17</v>
      </c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92"/>
    </row>
    <row r="432" spans="1:34" s="3" customFormat="1" ht="15">
      <c r="A432" s="95" t="str">
        <f t="shared" si="17"/>
        <v>月度双边交易</v>
      </c>
      <c r="C432" s="76" t="s">
        <v>18</v>
      </c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92"/>
    </row>
    <row r="433" spans="1:34" s="3" customFormat="1" ht="15">
      <c r="A433" s="95" t="str">
        <f t="shared" si="17"/>
        <v>月度双边交易</v>
      </c>
      <c r="C433" s="76" t="s">
        <v>19</v>
      </c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92"/>
    </row>
    <row r="434" spans="1:34" s="3" customFormat="1" ht="15">
      <c r="A434" s="95" t="str">
        <f t="shared" si="17"/>
        <v>月度双边交易</v>
      </c>
      <c r="C434" s="76" t="s">
        <v>20</v>
      </c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92"/>
    </row>
    <row r="435" spans="1:34" s="3" customFormat="1" ht="15">
      <c r="A435" s="95" t="str">
        <f t="shared" si="17"/>
        <v>月度双边交易</v>
      </c>
      <c r="C435" s="76" t="s">
        <v>21</v>
      </c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92"/>
    </row>
    <row r="436" spans="1:34" s="3" customFormat="1" ht="15">
      <c r="A436" s="95" t="str">
        <f t="shared" si="17"/>
        <v>月度双边交易</v>
      </c>
      <c r="C436" s="76" t="s">
        <v>22</v>
      </c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92"/>
    </row>
    <row r="437" spans="1:34" s="3" customFormat="1" ht="15">
      <c r="A437" s="95" t="str">
        <f t="shared" si="17"/>
        <v>月度双边交易</v>
      </c>
      <c r="C437" s="76" t="s">
        <v>23</v>
      </c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92"/>
    </row>
    <row r="438" spans="1:34" s="3" customFormat="1" ht="15">
      <c r="A438" s="95" t="str">
        <f t="shared" si="17"/>
        <v>月度双边交易</v>
      </c>
      <c r="C438" s="76" t="s">
        <v>24</v>
      </c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92"/>
    </row>
    <row r="439" spans="1:34" s="3" customFormat="1" ht="15">
      <c r="A439" s="95" t="str">
        <f t="shared" si="17"/>
        <v>月度双边交易</v>
      </c>
      <c r="C439" s="76" t="s">
        <v>25</v>
      </c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92"/>
    </row>
    <row r="440" spans="1:34" s="3" customFormat="1" ht="15">
      <c r="A440" s="95" t="str">
        <f t="shared" si="17"/>
        <v>月度双边交易</v>
      </c>
      <c r="C440" s="76" t="s">
        <v>26</v>
      </c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92"/>
    </row>
    <row r="441" spans="1:34" s="3" customFormat="1" ht="15">
      <c r="A441" s="95" t="str">
        <f t="shared" si="17"/>
        <v>月度双边交易</v>
      </c>
      <c r="C441" s="76" t="s">
        <v>27</v>
      </c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92"/>
    </row>
    <row r="442" spans="1:34" s="3" customFormat="1" ht="15">
      <c r="A442" s="95" t="str">
        <f t="shared" si="17"/>
        <v>月度双边交易</v>
      </c>
      <c r="C442" s="76" t="s">
        <v>28</v>
      </c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92"/>
    </row>
    <row r="443" spans="1:34" s="3" customFormat="1" ht="15">
      <c r="A443" s="95" t="str">
        <f t="shared" si="17"/>
        <v>月度双边交易</v>
      </c>
      <c r="C443" s="76" t="s">
        <v>29</v>
      </c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92"/>
    </row>
    <row r="444" spans="1:34" s="3" customFormat="1" ht="15.75" thickBot="1">
      <c r="A444" s="95" t="str">
        <f t="shared" si="17"/>
        <v>月度双边交易</v>
      </c>
      <c r="C444" s="77"/>
      <c r="AH444" s="81"/>
    </row>
    <row r="445" spans="1:34" s="3" customFormat="1" ht="15.75" thickBot="1">
      <c r="A445" s="95" t="str">
        <f t="shared" si="17"/>
        <v>月度双边交易</v>
      </c>
      <c r="C445" s="80" t="s">
        <v>63</v>
      </c>
      <c r="D445" s="9">
        <f t="shared" ref="D445:AH445" si="19">IFERROR(SUMPRODUCT(D420:D443,D389:D412)/D414,0)</f>
        <v>0</v>
      </c>
      <c r="E445" s="10">
        <f t="shared" si="19"/>
        <v>0</v>
      </c>
      <c r="F445" s="10">
        <f t="shared" si="19"/>
        <v>0</v>
      </c>
      <c r="G445" s="10">
        <f t="shared" si="19"/>
        <v>0</v>
      </c>
      <c r="H445" s="10">
        <f t="shared" si="19"/>
        <v>0</v>
      </c>
      <c r="I445" s="10">
        <f t="shared" si="19"/>
        <v>0</v>
      </c>
      <c r="J445" s="10">
        <f t="shared" si="19"/>
        <v>0</v>
      </c>
      <c r="K445" s="10">
        <f t="shared" si="19"/>
        <v>0</v>
      </c>
      <c r="L445" s="10">
        <f t="shared" si="19"/>
        <v>0</v>
      </c>
      <c r="M445" s="10">
        <f t="shared" si="19"/>
        <v>0</v>
      </c>
      <c r="N445" s="10">
        <f t="shared" si="19"/>
        <v>0</v>
      </c>
      <c r="O445" s="10">
        <f t="shared" si="19"/>
        <v>0</v>
      </c>
      <c r="P445" s="10">
        <f t="shared" si="19"/>
        <v>0</v>
      </c>
      <c r="Q445" s="10">
        <f t="shared" si="19"/>
        <v>0</v>
      </c>
      <c r="R445" s="10">
        <f t="shared" si="19"/>
        <v>0</v>
      </c>
      <c r="S445" s="10">
        <f t="shared" si="19"/>
        <v>0</v>
      </c>
      <c r="T445" s="10">
        <f t="shared" si="19"/>
        <v>0</v>
      </c>
      <c r="U445" s="10">
        <f t="shared" si="19"/>
        <v>0</v>
      </c>
      <c r="V445" s="10">
        <f t="shared" si="19"/>
        <v>0</v>
      </c>
      <c r="W445" s="10">
        <f t="shared" si="19"/>
        <v>0</v>
      </c>
      <c r="X445" s="10">
        <f t="shared" si="19"/>
        <v>0</v>
      </c>
      <c r="Y445" s="10">
        <f t="shared" si="19"/>
        <v>0</v>
      </c>
      <c r="Z445" s="10">
        <f t="shared" si="19"/>
        <v>0</v>
      </c>
      <c r="AA445" s="10">
        <f t="shared" si="19"/>
        <v>0</v>
      </c>
      <c r="AB445" s="10">
        <f t="shared" si="19"/>
        <v>0</v>
      </c>
      <c r="AC445" s="10">
        <f t="shared" si="19"/>
        <v>0</v>
      </c>
      <c r="AD445" s="10">
        <f t="shared" si="19"/>
        <v>0</v>
      </c>
      <c r="AE445" s="10">
        <f t="shared" si="19"/>
        <v>0</v>
      </c>
      <c r="AF445" s="10">
        <f t="shared" si="19"/>
        <v>0</v>
      </c>
      <c r="AG445" s="10">
        <f t="shared" si="19"/>
        <v>0</v>
      </c>
      <c r="AH445" s="49">
        <f t="shared" si="19"/>
        <v>0</v>
      </c>
    </row>
    <row r="446" spans="1:34" s="3" customFormat="1" ht="15.75" thickBot="1">
      <c r="A446" s="95" t="str">
        <f t="shared" si="17"/>
        <v>月度双边交易</v>
      </c>
      <c r="C446" s="77"/>
      <c r="D446" s="15"/>
      <c r="AH446" s="81"/>
    </row>
    <row r="447" spans="1:34" s="3" customFormat="1" ht="15.75" thickBot="1">
      <c r="A447" s="95" t="str">
        <f t="shared" si="17"/>
        <v>月度双边交易</v>
      </c>
      <c r="C447" s="80" t="s">
        <v>64</v>
      </c>
      <c r="D447" s="12">
        <f>IFERROR(SUMPRODUCT(D414:AH414,D445:AH445)/D416,0)</f>
        <v>0</v>
      </c>
      <c r="AH447" s="81"/>
    </row>
    <row r="448" spans="1:34" s="3" customFormat="1" ht="15.75" thickBot="1">
      <c r="A448" s="95" t="str">
        <f t="shared" si="17"/>
        <v>月度双边交易</v>
      </c>
      <c r="C448" s="93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5"/>
    </row>
    <row r="449" spans="1:34" ht="15" thickBot="1">
      <c r="A449" s="95" t="str">
        <f t="shared" si="17"/>
        <v>月度双边交易</v>
      </c>
    </row>
    <row r="450" spans="1:34" ht="23.25">
      <c r="A450" s="95" t="str">
        <f>C450</f>
        <v>月度绿电挂牌交易</v>
      </c>
      <c r="C450" s="160" t="s">
        <v>105</v>
      </c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52"/>
      <c r="S450" s="152"/>
      <c r="T450" s="152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152"/>
      <c r="AE450" s="152"/>
      <c r="AF450" s="152"/>
      <c r="AG450" s="152"/>
      <c r="AH450" s="153"/>
    </row>
    <row r="451" spans="1:34" ht="22.5">
      <c r="A451" s="95" t="str">
        <f>A450</f>
        <v>月度绿电挂牌交易</v>
      </c>
      <c r="B451" s="3"/>
      <c r="C451" s="154" t="str">
        <f>C450&amp;"电量(MWh)"</f>
        <v>月度绿电挂牌交易电量(MWh)</v>
      </c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  <c r="AA451" s="155"/>
      <c r="AB451" s="155"/>
      <c r="AC451" s="155"/>
      <c r="AD451" s="155"/>
      <c r="AE451" s="155"/>
      <c r="AF451" s="155"/>
      <c r="AG451" s="155"/>
      <c r="AH451" s="156"/>
    </row>
    <row r="452" spans="1:34" ht="15">
      <c r="A452" s="95" t="str">
        <f t="shared" ref="A452:A515" si="20">A451</f>
        <v>月度绿电挂牌交易</v>
      </c>
      <c r="B452" s="3"/>
      <c r="C452" s="74" t="s">
        <v>31</v>
      </c>
      <c r="D452" s="5" t="s">
        <v>32</v>
      </c>
      <c r="E452" s="6" t="s">
        <v>33</v>
      </c>
      <c r="F452" s="6" t="s">
        <v>34</v>
      </c>
      <c r="G452" s="6" t="s">
        <v>35</v>
      </c>
      <c r="H452" s="6" t="s">
        <v>36</v>
      </c>
      <c r="I452" s="6" t="s">
        <v>37</v>
      </c>
      <c r="J452" s="6" t="s">
        <v>38</v>
      </c>
      <c r="K452" s="6" t="s">
        <v>39</v>
      </c>
      <c r="L452" s="6" t="s">
        <v>40</v>
      </c>
      <c r="M452" s="6" t="s">
        <v>41</v>
      </c>
      <c r="N452" s="6" t="s">
        <v>42</v>
      </c>
      <c r="O452" s="6" t="s">
        <v>43</v>
      </c>
      <c r="P452" s="6" t="s">
        <v>44</v>
      </c>
      <c r="Q452" s="6" t="s">
        <v>45</v>
      </c>
      <c r="R452" s="6" t="s">
        <v>46</v>
      </c>
      <c r="S452" s="6" t="s">
        <v>47</v>
      </c>
      <c r="T452" s="6" t="s">
        <v>48</v>
      </c>
      <c r="U452" s="6" t="s">
        <v>49</v>
      </c>
      <c r="V452" s="6" t="s">
        <v>50</v>
      </c>
      <c r="W452" s="6" t="s">
        <v>51</v>
      </c>
      <c r="X452" s="6" t="s">
        <v>52</v>
      </c>
      <c r="Y452" s="6" t="s">
        <v>53</v>
      </c>
      <c r="Z452" s="6" t="s">
        <v>54</v>
      </c>
      <c r="AA452" s="6" t="s">
        <v>55</v>
      </c>
      <c r="AB452" s="6" t="s">
        <v>56</v>
      </c>
      <c r="AC452" s="6" t="s">
        <v>57</v>
      </c>
      <c r="AD452" s="6" t="s">
        <v>58</v>
      </c>
      <c r="AE452" s="6" t="s">
        <v>59</v>
      </c>
      <c r="AF452" s="6" t="s">
        <v>60</v>
      </c>
      <c r="AG452" s="6" t="s">
        <v>61</v>
      </c>
      <c r="AH452" s="75" t="s">
        <v>62</v>
      </c>
    </row>
    <row r="453" spans="1:34" ht="15">
      <c r="A453" s="95" t="str">
        <f t="shared" si="20"/>
        <v>月度绿电挂牌交易</v>
      </c>
      <c r="B453" s="3"/>
      <c r="C453" s="76" t="s">
        <v>6</v>
      </c>
      <c r="D453" s="47"/>
      <c r="E453" s="47"/>
      <c r="F453" s="47"/>
      <c r="G453" s="47"/>
      <c r="H453" s="47"/>
      <c r="I453" s="47"/>
      <c r="J453" s="47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  <c r="W453" s="47"/>
      <c r="X453" s="47"/>
      <c r="Y453" s="47"/>
      <c r="Z453" s="47"/>
      <c r="AA453" s="47"/>
      <c r="AB453" s="47"/>
      <c r="AC453" s="47"/>
      <c r="AD453" s="47"/>
      <c r="AE453" s="47"/>
      <c r="AF453" s="47"/>
      <c r="AG453" s="47"/>
      <c r="AH453" s="91"/>
    </row>
    <row r="454" spans="1:34" ht="15">
      <c r="A454" s="95" t="str">
        <f t="shared" si="20"/>
        <v>月度绿电挂牌交易</v>
      </c>
      <c r="B454" s="3"/>
      <c r="C454" s="76" t="s">
        <v>7</v>
      </c>
      <c r="D454" s="47"/>
      <c r="E454" s="47"/>
      <c r="F454" s="47"/>
      <c r="G454" s="47"/>
      <c r="H454" s="47"/>
      <c r="I454" s="47"/>
      <c r="J454" s="47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91"/>
    </row>
    <row r="455" spans="1:34" ht="15">
      <c r="A455" s="95" t="str">
        <f t="shared" si="20"/>
        <v>月度绿电挂牌交易</v>
      </c>
      <c r="B455" s="3"/>
      <c r="C455" s="76" t="s">
        <v>8</v>
      </c>
      <c r="D455" s="47"/>
      <c r="E455" s="47"/>
      <c r="F455" s="47"/>
      <c r="G455" s="47"/>
      <c r="H455" s="47"/>
      <c r="I455" s="47"/>
      <c r="J455" s="47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  <c r="W455" s="47"/>
      <c r="X455" s="47"/>
      <c r="Y455" s="47"/>
      <c r="Z455" s="47"/>
      <c r="AA455" s="47"/>
      <c r="AB455" s="47"/>
      <c r="AC455" s="47"/>
      <c r="AD455" s="47"/>
      <c r="AE455" s="47"/>
      <c r="AF455" s="47"/>
      <c r="AG455" s="47"/>
      <c r="AH455" s="91"/>
    </row>
    <row r="456" spans="1:34" ht="15">
      <c r="A456" s="95" t="str">
        <f t="shared" si="20"/>
        <v>月度绿电挂牌交易</v>
      </c>
      <c r="B456" s="3"/>
      <c r="C456" s="76" t="s">
        <v>9</v>
      </c>
      <c r="D456" s="47"/>
      <c r="E456" s="47"/>
      <c r="F456" s="47"/>
      <c r="G456" s="47"/>
      <c r="H456" s="47"/>
      <c r="I456" s="47"/>
      <c r="J456" s="47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91"/>
    </row>
    <row r="457" spans="1:34" ht="15">
      <c r="A457" s="95" t="str">
        <f t="shared" si="20"/>
        <v>月度绿电挂牌交易</v>
      </c>
      <c r="B457" s="3"/>
      <c r="C457" s="76" t="s">
        <v>10</v>
      </c>
      <c r="D457" s="47"/>
      <c r="E457" s="47"/>
      <c r="F457" s="47"/>
      <c r="G457" s="47"/>
      <c r="H457" s="47"/>
      <c r="I457" s="47"/>
      <c r="J457" s="47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  <c r="W457" s="47"/>
      <c r="X457" s="47"/>
      <c r="Y457" s="47"/>
      <c r="Z457" s="47"/>
      <c r="AA457" s="47"/>
      <c r="AB457" s="47"/>
      <c r="AC457" s="47"/>
      <c r="AD457" s="47"/>
      <c r="AE457" s="47"/>
      <c r="AF457" s="47"/>
      <c r="AG457" s="47"/>
      <c r="AH457" s="91"/>
    </row>
    <row r="458" spans="1:34" ht="15">
      <c r="A458" s="95" t="str">
        <f t="shared" si="20"/>
        <v>月度绿电挂牌交易</v>
      </c>
      <c r="B458" s="3"/>
      <c r="C458" s="76" t="s">
        <v>11</v>
      </c>
      <c r="D458" s="47"/>
      <c r="E458" s="47"/>
      <c r="F458" s="47"/>
      <c r="G458" s="47"/>
      <c r="H458" s="47"/>
      <c r="I458" s="47"/>
      <c r="J458" s="47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91"/>
    </row>
    <row r="459" spans="1:34" ht="15">
      <c r="A459" s="95" t="str">
        <f t="shared" si="20"/>
        <v>月度绿电挂牌交易</v>
      </c>
      <c r="B459" s="3"/>
      <c r="C459" s="76" t="s">
        <v>12</v>
      </c>
      <c r="D459" s="47"/>
      <c r="E459" s="47"/>
      <c r="F459" s="47"/>
      <c r="G459" s="47"/>
      <c r="H459" s="47"/>
      <c r="I459" s="47"/>
      <c r="J459" s="47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  <c r="W459" s="47"/>
      <c r="X459" s="47"/>
      <c r="Y459" s="47"/>
      <c r="Z459" s="47"/>
      <c r="AA459" s="47"/>
      <c r="AB459" s="47"/>
      <c r="AC459" s="47"/>
      <c r="AD459" s="47"/>
      <c r="AE459" s="47"/>
      <c r="AF459" s="47"/>
      <c r="AG459" s="47"/>
      <c r="AH459" s="91"/>
    </row>
    <row r="460" spans="1:34" ht="15">
      <c r="A460" s="95" t="str">
        <f t="shared" si="20"/>
        <v>月度绿电挂牌交易</v>
      </c>
      <c r="B460" s="3"/>
      <c r="C460" s="76" t="s">
        <v>13</v>
      </c>
      <c r="D460" s="47"/>
      <c r="E460" s="47"/>
      <c r="F460" s="47"/>
      <c r="G460" s="47"/>
      <c r="H460" s="47"/>
      <c r="I460" s="47"/>
      <c r="J460" s="47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91"/>
    </row>
    <row r="461" spans="1:34" ht="15">
      <c r="A461" s="95" t="str">
        <f t="shared" si="20"/>
        <v>月度绿电挂牌交易</v>
      </c>
      <c r="B461" s="3"/>
      <c r="C461" s="76" t="s">
        <v>14</v>
      </c>
      <c r="D461" s="47"/>
      <c r="E461" s="47"/>
      <c r="F461" s="47"/>
      <c r="G461" s="47"/>
      <c r="H461" s="47"/>
      <c r="I461" s="47"/>
      <c r="J461" s="47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  <c r="W461" s="47"/>
      <c r="X461" s="47"/>
      <c r="Y461" s="47"/>
      <c r="Z461" s="47"/>
      <c r="AA461" s="47"/>
      <c r="AB461" s="47"/>
      <c r="AC461" s="47"/>
      <c r="AD461" s="47"/>
      <c r="AE461" s="47"/>
      <c r="AF461" s="47"/>
      <c r="AG461" s="47"/>
      <c r="AH461" s="91"/>
    </row>
    <row r="462" spans="1:34" ht="15">
      <c r="A462" s="95" t="str">
        <f t="shared" si="20"/>
        <v>月度绿电挂牌交易</v>
      </c>
      <c r="B462" s="3"/>
      <c r="C462" s="76" t="s">
        <v>15</v>
      </c>
      <c r="D462" s="47"/>
      <c r="E462" s="47"/>
      <c r="F462" s="47"/>
      <c r="G462" s="47"/>
      <c r="H462" s="47"/>
      <c r="I462" s="47"/>
      <c r="J462" s="47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91"/>
    </row>
    <row r="463" spans="1:34" ht="15">
      <c r="A463" s="95" t="str">
        <f t="shared" si="20"/>
        <v>月度绿电挂牌交易</v>
      </c>
      <c r="B463" s="3"/>
      <c r="C463" s="76" t="s">
        <v>16</v>
      </c>
      <c r="D463" s="47"/>
      <c r="E463" s="47"/>
      <c r="F463" s="47"/>
      <c r="G463" s="47"/>
      <c r="H463" s="47"/>
      <c r="I463" s="47"/>
      <c r="J463" s="47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  <c r="W463" s="47"/>
      <c r="X463" s="47"/>
      <c r="Y463" s="47"/>
      <c r="Z463" s="47"/>
      <c r="AA463" s="47"/>
      <c r="AB463" s="47"/>
      <c r="AC463" s="47"/>
      <c r="AD463" s="47"/>
      <c r="AE463" s="47"/>
      <c r="AF463" s="47"/>
      <c r="AG463" s="47"/>
      <c r="AH463" s="91"/>
    </row>
    <row r="464" spans="1:34" ht="15">
      <c r="A464" s="95" t="str">
        <f t="shared" si="20"/>
        <v>月度绿电挂牌交易</v>
      </c>
      <c r="B464" s="3"/>
      <c r="C464" s="76" t="s">
        <v>17</v>
      </c>
      <c r="D464" s="47"/>
      <c r="E464" s="47"/>
      <c r="F464" s="47"/>
      <c r="G464" s="47"/>
      <c r="H464" s="47"/>
      <c r="I464" s="47"/>
      <c r="J464" s="47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91"/>
    </row>
    <row r="465" spans="1:34" ht="15">
      <c r="A465" s="95" t="str">
        <f t="shared" si="20"/>
        <v>月度绿电挂牌交易</v>
      </c>
      <c r="B465" s="3"/>
      <c r="C465" s="76" t="s">
        <v>18</v>
      </c>
      <c r="D465" s="47"/>
      <c r="E465" s="47"/>
      <c r="F465" s="47"/>
      <c r="G465" s="47"/>
      <c r="H465" s="47"/>
      <c r="I465" s="47"/>
      <c r="J465" s="47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  <c r="W465" s="47"/>
      <c r="X465" s="47"/>
      <c r="Y465" s="47"/>
      <c r="Z465" s="47"/>
      <c r="AA465" s="47"/>
      <c r="AB465" s="47"/>
      <c r="AC465" s="47"/>
      <c r="AD465" s="47"/>
      <c r="AE465" s="47"/>
      <c r="AF465" s="47"/>
      <c r="AG465" s="47"/>
      <c r="AH465" s="91"/>
    </row>
    <row r="466" spans="1:34" ht="15">
      <c r="A466" s="95" t="str">
        <f t="shared" si="20"/>
        <v>月度绿电挂牌交易</v>
      </c>
      <c r="B466" s="3"/>
      <c r="C466" s="76" t="s">
        <v>19</v>
      </c>
      <c r="D466" s="47"/>
      <c r="E466" s="47"/>
      <c r="F466" s="47"/>
      <c r="G466" s="47"/>
      <c r="H466" s="47"/>
      <c r="I466" s="47"/>
      <c r="J466" s="47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91"/>
    </row>
    <row r="467" spans="1:34" ht="15">
      <c r="A467" s="95" t="str">
        <f t="shared" si="20"/>
        <v>月度绿电挂牌交易</v>
      </c>
      <c r="B467" s="3"/>
      <c r="C467" s="76" t="s">
        <v>20</v>
      </c>
      <c r="D467" s="47"/>
      <c r="E467" s="47"/>
      <c r="F467" s="47"/>
      <c r="G467" s="47"/>
      <c r="H467" s="47"/>
      <c r="I467" s="47"/>
      <c r="J467" s="47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  <c r="W467" s="47"/>
      <c r="X467" s="47"/>
      <c r="Y467" s="47"/>
      <c r="Z467" s="47"/>
      <c r="AA467" s="47"/>
      <c r="AB467" s="47"/>
      <c r="AC467" s="47"/>
      <c r="AD467" s="47"/>
      <c r="AE467" s="47"/>
      <c r="AF467" s="47"/>
      <c r="AG467" s="47"/>
      <c r="AH467" s="91"/>
    </row>
    <row r="468" spans="1:34" ht="15">
      <c r="A468" s="95" t="str">
        <f t="shared" si="20"/>
        <v>月度绿电挂牌交易</v>
      </c>
      <c r="B468" s="3"/>
      <c r="C468" s="76" t="s">
        <v>21</v>
      </c>
      <c r="D468" s="47"/>
      <c r="E468" s="47"/>
      <c r="F468" s="47"/>
      <c r="G468" s="47"/>
      <c r="H468" s="47"/>
      <c r="I468" s="47"/>
      <c r="J468" s="47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91"/>
    </row>
    <row r="469" spans="1:34" ht="15">
      <c r="A469" s="95" t="str">
        <f t="shared" si="20"/>
        <v>月度绿电挂牌交易</v>
      </c>
      <c r="B469" s="3"/>
      <c r="C469" s="76" t="s">
        <v>22</v>
      </c>
      <c r="D469" s="47"/>
      <c r="E469" s="47"/>
      <c r="F469" s="47"/>
      <c r="G469" s="47"/>
      <c r="H469" s="47"/>
      <c r="I469" s="47"/>
      <c r="J469" s="47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  <c r="W469" s="47"/>
      <c r="X469" s="47"/>
      <c r="Y469" s="47"/>
      <c r="Z469" s="47"/>
      <c r="AA469" s="47"/>
      <c r="AB469" s="47"/>
      <c r="AC469" s="47"/>
      <c r="AD469" s="47"/>
      <c r="AE469" s="47"/>
      <c r="AF469" s="47"/>
      <c r="AG469" s="47"/>
      <c r="AH469" s="91"/>
    </row>
    <row r="470" spans="1:34" ht="15">
      <c r="A470" s="95" t="str">
        <f t="shared" si="20"/>
        <v>月度绿电挂牌交易</v>
      </c>
      <c r="B470" s="3"/>
      <c r="C470" s="76" t="s">
        <v>23</v>
      </c>
      <c r="D470" s="47"/>
      <c r="E470" s="47"/>
      <c r="F470" s="47"/>
      <c r="G470" s="47"/>
      <c r="H470" s="47"/>
      <c r="I470" s="47"/>
      <c r="J470" s="47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91"/>
    </row>
    <row r="471" spans="1:34" ht="15">
      <c r="A471" s="95" t="str">
        <f t="shared" si="20"/>
        <v>月度绿电挂牌交易</v>
      </c>
      <c r="B471" s="3"/>
      <c r="C471" s="76" t="s">
        <v>24</v>
      </c>
      <c r="D471" s="47"/>
      <c r="E471" s="47"/>
      <c r="F471" s="47"/>
      <c r="G471" s="47"/>
      <c r="H471" s="47"/>
      <c r="I471" s="47"/>
      <c r="J471" s="47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  <c r="W471" s="47"/>
      <c r="X471" s="47"/>
      <c r="Y471" s="47"/>
      <c r="Z471" s="47"/>
      <c r="AA471" s="47"/>
      <c r="AB471" s="47"/>
      <c r="AC471" s="47"/>
      <c r="AD471" s="47"/>
      <c r="AE471" s="47"/>
      <c r="AF471" s="47"/>
      <c r="AG471" s="47"/>
      <c r="AH471" s="91"/>
    </row>
    <row r="472" spans="1:34" ht="15">
      <c r="A472" s="95" t="str">
        <f t="shared" si="20"/>
        <v>月度绿电挂牌交易</v>
      </c>
      <c r="B472" s="3"/>
      <c r="C472" s="76" t="s">
        <v>25</v>
      </c>
      <c r="D472" s="47"/>
      <c r="E472" s="47"/>
      <c r="F472" s="47"/>
      <c r="G472" s="47"/>
      <c r="H472" s="47"/>
      <c r="I472" s="47"/>
      <c r="J472" s="47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91"/>
    </row>
    <row r="473" spans="1:34" ht="15">
      <c r="A473" s="95" t="str">
        <f t="shared" si="20"/>
        <v>月度绿电挂牌交易</v>
      </c>
      <c r="B473" s="3"/>
      <c r="C473" s="76" t="s">
        <v>26</v>
      </c>
      <c r="D473" s="47"/>
      <c r="E473" s="47"/>
      <c r="F473" s="47"/>
      <c r="G473" s="47"/>
      <c r="H473" s="47"/>
      <c r="I473" s="47"/>
      <c r="J473" s="47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  <c r="W473" s="47"/>
      <c r="X473" s="47"/>
      <c r="Y473" s="47"/>
      <c r="Z473" s="47"/>
      <c r="AA473" s="47"/>
      <c r="AB473" s="47"/>
      <c r="AC473" s="47"/>
      <c r="AD473" s="47"/>
      <c r="AE473" s="47"/>
      <c r="AF473" s="47"/>
      <c r="AG473" s="47"/>
      <c r="AH473" s="91"/>
    </row>
    <row r="474" spans="1:34" ht="15">
      <c r="A474" s="95" t="str">
        <f t="shared" si="20"/>
        <v>月度绿电挂牌交易</v>
      </c>
      <c r="B474" s="3"/>
      <c r="C474" s="76" t="s">
        <v>27</v>
      </c>
      <c r="D474" s="47"/>
      <c r="E474" s="47"/>
      <c r="F474" s="47"/>
      <c r="G474" s="47"/>
      <c r="H474" s="47"/>
      <c r="I474" s="47"/>
      <c r="J474" s="47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91"/>
    </row>
    <row r="475" spans="1:34" ht="15">
      <c r="A475" s="95" t="str">
        <f t="shared" si="20"/>
        <v>月度绿电挂牌交易</v>
      </c>
      <c r="B475" s="3"/>
      <c r="C475" s="76" t="s">
        <v>28</v>
      </c>
      <c r="D475" s="47"/>
      <c r="E475" s="47"/>
      <c r="F475" s="47"/>
      <c r="G475" s="47"/>
      <c r="H475" s="47"/>
      <c r="I475" s="47"/>
      <c r="J475" s="47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  <c r="W475" s="47"/>
      <c r="X475" s="47"/>
      <c r="Y475" s="47"/>
      <c r="Z475" s="47"/>
      <c r="AA475" s="47"/>
      <c r="AB475" s="47"/>
      <c r="AC475" s="47"/>
      <c r="AD475" s="47"/>
      <c r="AE475" s="47"/>
      <c r="AF475" s="47"/>
      <c r="AG475" s="47"/>
      <c r="AH475" s="91"/>
    </row>
    <row r="476" spans="1:34" ht="15">
      <c r="A476" s="95" t="str">
        <f t="shared" si="20"/>
        <v>月度绿电挂牌交易</v>
      </c>
      <c r="B476" s="3"/>
      <c r="C476" s="76" t="s">
        <v>29</v>
      </c>
      <c r="D476" s="47"/>
      <c r="E476" s="47"/>
      <c r="F476" s="47"/>
      <c r="G476" s="47"/>
      <c r="H476" s="47"/>
      <c r="I476" s="47"/>
      <c r="J476" s="47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91"/>
    </row>
    <row r="477" spans="1:34" ht="15.75" thickBot="1">
      <c r="A477" s="95" t="str">
        <f t="shared" si="20"/>
        <v>月度绿电挂牌交易</v>
      </c>
      <c r="B477" s="3"/>
      <c r="C477" s="77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9"/>
    </row>
    <row r="478" spans="1:34" ht="15.75" thickBot="1">
      <c r="A478" s="95" t="str">
        <f t="shared" si="20"/>
        <v>月度绿电挂牌交易</v>
      </c>
      <c r="B478" s="3"/>
      <c r="C478" s="80" t="s">
        <v>63</v>
      </c>
      <c r="D478" s="9">
        <f>SUM(D453:D476)</f>
        <v>0</v>
      </c>
      <c r="E478" s="10">
        <f t="shared" ref="E478:AH478" si="21">SUM(E453:E476)</f>
        <v>0</v>
      </c>
      <c r="F478" s="10">
        <f t="shared" si="21"/>
        <v>0</v>
      </c>
      <c r="G478" s="10">
        <f t="shared" si="21"/>
        <v>0</v>
      </c>
      <c r="H478" s="10">
        <f t="shared" si="21"/>
        <v>0</v>
      </c>
      <c r="I478" s="10">
        <f t="shared" si="21"/>
        <v>0</v>
      </c>
      <c r="J478" s="10">
        <f t="shared" si="21"/>
        <v>0</v>
      </c>
      <c r="K478" s="10">
        <f t="shared" si="21"/>
        <v>0</v>
      </c>
      <c r="L478" s="10">
        <f t="shared" si="21"/>
        <v>0</v>
      </c>
      <c r="M478" s="10">
        <f t="shared" si="21"/>
        <v>0</v>
      </c>
      <c r="N478" s="10">
        <f t="shared" si="21"/>
        <v>0</v>
      </c>
      <c r="O478" s="10">
        <f t="shared" si="21"/>
        <v>0</v>
      </c>
      <c r="P478" s="10">
        <f t="shared" si="21"/>
        <v>0</v>
      </c>
      <c r="Q478" s="10">
        <f t="shared" si="21"/>
        <v>0</v>
      </c>
      <c r="R478" s="10">
        <f t="shared" si="21"/>
        <v>0</v>
      </c>
      <c r="S478" s="10">
        <f t="shared" si="21"/>
        <v>0</v>
      </c>
      <c r="T478" s="10">
        <f t="shared" si="21"/>
        <v>0</v>
      </c>
      <c r="U478" s="10">
        <f t="shared" si="21"/>
        <v>0</v>
      </c>
      <c r="V478" s="10">
        <f t="shared" si="21"/>
        <v>0</v>
      </c>
      <c r="W478" s="10">
        <f t="shared" si="21"/>
        <v>0</v>
      </c>
      <c r="X478" s="10">
        <f t="shared" si="21"/>
        <v>0</v>
      </c>
      <c r="Y478" s="10">
        <f t="shared" si="21"/>
        <v>0</v>
      </c>
      <c r="Z478" s="10">
        <f t="shared" si="21"/>
        <v>0</v>
      </c>
      <c r="AA478" s="10">
        <f t="shared" si="21"/>
        <v>0</v>
      </c>
      <c r="AB478" s="10">
        <f t="shared" si="21"/>
        <v>0</v>
      </c>
      <c r="AC478" s="10">
        <f t="shared" si="21"/>
        <v>0</v>
      </c>
      <c r="AD478" s="10">
        <f t="shared" si="21"/>
        <v>0</v>
      </c>
      <c r="AE478" s="10">
        <f t="shared" si="21"/>
        <v>0</v>
      </c>
      <c r="AF478" s="10">
        <f t="shared" si="21"/>
        <v>0</v>
      </c>
      <c r="AG478" s="10">
        <f t="shared" si="21"/>
        <v>0</v>
      </c>
      <c r="AH478" s="49">
        <f t="shared" si="21"/>
        <v>0</v>
      </c>
    </row>
    <row r="479" spans="1:34" ht="15.75" thickBot="1">
      <c r="A479" s="95" t="str">
        <f t="shared" si="20"/>
        <v>月度绿电挂牌交易</v>
      </c>
      <c r="B479" s="3"/>
      <c r="C479" s="77"/>
      <c r="D479" s="15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81"/>
    </row>
    <row r="480" spans="1:34" ht="15.75" thickBot="1">
      <c r="A480" s="95" t="str">
        <f t="shared" si="20"/>
        <v>月度绿电挂牌交易</v>
      </c>
      <c r="B480" s="3"/>
      <c r="C480" s="80" t="s">
        <v>64</v>
      </c>
      <c r="D480" s="12">
        <f>SUM(D478:AH478)</f>
        <v>0</v>
      </c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81"/>
    </row>
    <row r="481" spans="1:34" ht="15">
      <c r="A481" s="95" t="str">
        <f t="shared" si="20"/>
        <v>月度绿电挂牌交易</v>
      </c>
      <c r="B481" s="3"/>
      <c r="C481" s="77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81"/>
    </row>
    <row r="482" spans="1:34" ht="22.5">
      <c r="A482" s="95" t="str">
        <f t="shared" si="20"/>
        <v>月度绿电挂牌交易</v>
      </c>
      <c r="B482" s="3"/>
      <c r="C482" s="154" t="str">
        <f>C450&amp;"电价(元/MWh)"</f>
        <v>月度绿电挂牌交易电价(元/MWh)</v>
      </c>
      <c r="D482" s="155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  <c r="AA482" s="155"/>
      <c r="AB482" s="155"/>
      <c r="AC482" s="155"/>
      <c r="AD482" s="155"/>
      <c r="AE482" s="155"/>
      <c r="AF482" s="155"/>
      <c r="AG482" s="155"/>
      <c r="AH482" s="156"/>
    </row>
    <row r="483" spans="1:34" ht="15">
      <c r="A483" s="95" t="str">
        <f t="shared" si="20"/>
        <v>月度绿电挂牌交易</v>
      </c>
      <c r="B483" s="3"/>
      <c r="C483" s="74" t="s">
        <v>31</v>
      </c>
      <c r="D483" s="5" t="s">
        <v>32</v>
      </c>
      <c r="E483" s="6" t="s">
        <v>33</v>
      </c>
      <c r="F483" s="6" t="s">
        <v>34</v>
      </c>
      <c r="G483" s="6" t="s">
        <v>35</v>
      </c>
      <c r="H483" s="6" t="s">
        <v>36</v>
      </c>
      <c r="I483" s="6" t="s">
        <v>37</v>
      </c>
      <c r="J483" s="6" t="s">
        <v>38</v>
      </c>
      <c r="K483" s="6" t="s">
        <v>39</v>
      </c>
      <c r="L483" s="6" t="s">
        <v>40</v>
      </c>
      <c r="M483" s="6" t="s">
        <v>41</v>
      </c>
      <c r="N483" s="6" t="s">
        <v>42</v>
      </c>
      <c r="O483" s="6" t="s">
        <v>43</v>
      </c>
      <c r="P483" s="6" t="s">
        <v>44</v>
      </c>
      <c r="Q483" s="6" t="s">
        <v>45</v>
      </c>
      <c r="R483" s="6" t="s">
        <v>46</v>
      </c>
      <c r="S483" s="6" t="s">
        <v>47</v>
      </c>
      <c r="T483" s="6" t="s">
        <v>48</v>
      </c>
      <c r="U483" s="6" t="s">
        <v>49</v>
      </c>
      <c r="V483" s="6" t="s">
        <v>50</v>
      </c>
      <c r="W483" s="6" t="s">
        <v>51</v>
      </c>
      <c r="X483" s="6" t="s">
        <v>52</v>
      </c>
      <c r="Y483" s="6" t="s">
        <v>53</v>
      </c>
      <c r="Z483" s="6" t="s">
        <v>54</v>
      </c>
      <c r="AA483" s="6" t="s">
        <v>55</v>
      </c>
      <c r="AB483" s="6" t="s">
        <v>56</v>
      </c>
      <c r="AC483" s="6" t="s">
        <v>57</v>
      </c>
      <c r="AD483" s="6" t="s">
        <v>58</v>
      </c>
      <c r="AE483" s="6" t="s">
        <v>59</v>
      </c>
      <c r="AF483" s="6" t="s">
        <v>60</v>
      </c>
      <c r="AG483" s="6" t="s">
        <v>61</v>
      </c>
      <c r="AH483" s="75" t="s">
        <v>62</v>
      </c>
    </row>
    <row r="484" spans="1:34" ht="15">
      <c r="A484" s="95" t="str">
        <f t="shared" si="20"/>
        <v>月度绿电挂牌交易</v>
      </c>
      <c r="B484" s="3"/>
      <c r="C484" s="76" t="s">
        <v>6</v>
      </c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92"/>
    </row>
    <row r="485" spans="1:34" ht="15">
      <c r="A485" s="95" t="str">
        <f t="shared" si="20"/>
        <v>月度绿电挂牌交易</v>
      </c>
      <c r="B485" s="3"/>
      <c r="C485" s="76" t="s">
        <v>7</v>
      </c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92"/>
    </row>
    <row r="486" spans="1:34" ht="15">
      <c r="A486" s="95" t="str">
        <f t="shared" si="20"/>
        <v>月度绿电挂牌交易</v>
      </c>
      <c r="B486" s="3"/>
      <c r="C486" s="76" t="s">
        <v>8</v>
      </c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92"/>
    </row>
    <row r="487" spans="1:34" ht="15">
      <c r="A487" s="95" t="str">
        <f t="shared" si="20"/>
        <v>月度绿电挂牌交易</v>
      </c>
      <c r="B487" s="3"/>
      <c r="C487" s="76" t="s">
        <v>9</v>
      </c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92"/>
    </row>
    <row r="488" spans="1:34" ht="15">
      <c r="A488" s="95" t="str">
        <f t="shared" si="20"/>
        <v>月度绿电挂牌交易</v>
      </c>
      <c r="B488" s="3"/>
      <c r="C488" s="76" t="s">
        <v>10</v>
      </c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92"/>
    </row>
    <row r="489" spans="1:34" ht="15">
      <c r="A489" s="95" t="str">
        <f t="shared" si="20"/>
        <v>月度绿电挂牌交易</v>
      </c>
      <c r="B489" s="3"/>
      <c r="C489" s="76" t="s">
        <v>11</v>
      </c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92"/>
    </row>
    <row r="490" spans="1:34" ht="15">
      <c r="A490" s="95" t="str">
        <f t="shared" si="20"/>
        <v>月度绿电挂牌交易</v>
      </c>
      <c r="B490" s="3"/>
      <c r="C490" s="76" t="s">
        <v>12</v>
      </c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92"/>
    </row>
    <row r="491" spans="1:34" ht="15">
      <c r="A491" s="95" t="str">
        <f t="shared" si="20"/>
        <v>月度绿电挂牌交易</v>
      </c>
      <c r="B491" s="3"/>
      <c r="C491" s="76" t="s">
        <v>13</v>
      </c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92"/>
    </row>
    <row r="492" spans="1:34" ht="15">
      <c r="A492" s="95" t="str">
        <f t="shared" si="20"/>
        <v>月度绿电挂牌交易</v>
      </c>
      <c r="B492" s="3"/>
      <c r="C492" s="76" t="s">
        <v>14</v>
      </c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92"/>
    </row>
    <row r="493" spans="1:34" ht="15">
      <c r="A493" s="95" t="str">
        <f t="shared" si="20"/>
        <v>月度绿电挂牌交易</v>
      </c>
      <c r="B493" s="3"/>
      <c r="C493" s="76" t="s">
        <v>15</v>
      </c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92"/>
    </row>
    <row r="494" spans="1:34" ht="15">
      <c r="A494" s="95" t="str">
        <f t="shared" si="20"/>
        <v>月度绿电挂牌交易</v>
      </c>
      <c r="B494" s="3"/>
      <c r="C494" s="76" t="s">
        <v>16</v>
      </c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92"/>
    </row>
    <row r="495" spans="1:34" ht="15">
      <c r="A495" s="95" t="str">
        <f t="shared" si="20"/>
        <v>月度绿电挂牌交易</v>
      </c>
      <c r="B495" s="3"/>
      <c r="C495" s="76" t="s">
        <v>17</v>
      </c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92"/>
    </row>
    <row r="496" spans="1:34" ht="15">
      <c r="A496" s="95" t="str">
        <f t="shared" si="20"/>
        <v>月度绿电挂牌交易</v>
      </c>
      <c r="B496" s="3"/>
      <c r="C496" s="76" t="s">
        <v>18</v>
      </c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92"/>
    </row>
    <row r="497" spans="1:34" ht="15">
      <c r="A497" s="95" t="str">
        <f t="shared" si="20"/>
        <v>月度绿电挂牌交易</v>
      </c>
      <c r="B497" s="3"/>
      <c r="C497" s="76" t="s">
        <v>19</v>
      </c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92"/>
    </row>
    <row r="498" spans="1:34" ht="15">
      <c r="A498" s="95" t="str">
        <f t="shared" si="20"/>
        <v>月度绿电挂牌交易</v>
      </c>
      <c r="B498" s="3"/>
      <c r="C498" s="76" t="s">
        <v>20</v>
      </c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92"/>
    </row>
    <row r="499" spans="1:34" ht="15">
      <c r="A499" s="95" t="str">
        <f t="shared" si="20"/>
        <v>月度绿电挂牌交易</v>
      </c>
      <c r="B499" s="3"/>
      <c r="C499" s="76" t="s">
        <v>21</v>
      </c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92"/>
    </row>
    <row r="500" spans="1:34" ht="15">
      <c r="A500" s="95" t="str">
        <f t="shared" si="20"/>
        <v>月度绿电挂牌交易</v>
      </c>
      <c r="B500" s="3"/>
      <c r="C500" s="76" t="s">
        <v>22</v>
      </c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92"/>
    </row>
    <row r="501" spans="1:34" ht="15">
      <c r="A501" s="95" t="str">
        <f t="shared" si="20"/>
        <v>月度绿电挂牌交易</v>
      </c>
      <c r="B501" s="3"/>
      <c r="C501" s="76" t="s">
        <v>23</v>
      </c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92"/>
    </row>
    <row r="502" spans="1:34" ht="15">
      <c r="A502" s="95" t="str">
        <f t="shared" si="20"/>
        <v>月度绿电挂牌交易</v>
      </c>
      <c r="B502" s="3"/>
      <c r="C502" s="76" t="s">
        <v>24</v>
      </c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92"/>
    </row>
    <row r="503" spans="1:34" ht="15">
      <c r="A503" s="95" t="str">
        <f t="shared" si="20"/>
        <v>月度绿电挂牌交易</v>
      </c>
      <c r="B503" s="3"/>
      <c r="C503" s="76" t="s">
        <v>25</v>
      </c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92"/>
    </row>
    <row r="504" spans="1:34" ht="15">
      <c r="A504" s="95" t="str">
        <f t="shared" si="20"/>
        <v>月度绿电挂牌交易</v>
      </c>
      <c r="B504" s="3"/>
      <c r="C504" s="76" t="s">
        <v>26</v>
      </c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92"/>
    </row>
    <row r="505" spans="1:34" ht="15">
      <c r="A505" s="95" t="str">
        <f t="shared" si="20"/>
        <v>月度绿电挂牌交易</v>
      </c>
      <c r="B505" s="3"/>
      <c r="C505" s="76" t="s">
        <v>27</v>
      </c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92"/>
    </row>
    <row r="506" spans="1:34" ht="15">
      <c r="A506" s="95" t="str">
        <f t="shared" si="20"/>
        <v>月度绿电挂牌交易</v>
      </c>
      <c r="B506" s="3"/>
      <c r="C506" s="76" t="s">
        <v>28</v>
      </c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92"/>
    </row>
    <row r="507" spans="1:34" ht="15">
      <c r="A507" s="95" t="str">
        <f t="shared" si="20"/>
        <v>月度绿电挂牌交易</v>
      </c>
      <c r="B507" s="3"/>
      <c r="C507" s="76" t="s">
        <v>29</v>
      </c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92"/>
    </row>
    <row r="508" spans="1:34" ht="15.75" thickBot="1">
      <c r="A508" s="95" t="str">
        <f t="shared" si="20"/>
        <v>月度绿电挂牌交易</v>
      </c>
      <c r="B508" s="3"/>
      <c r="C508" s="77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81"/>
    </row>
    <row r="509" spans="1:34" ht="15.75" thickBot="1">
      <c r="A509" s="95" t="str">
        <f t="shared" si="20"/>
        <v>月度绿电挂牌交易</v>
      </c>
      <c r="B509" s="3"/>
      <c r="C509" s="80" t="s">
        <v>63</v>
      </c>
      <c r="D509" s="9">
        <f t="shared" ref="D509:AH509" si="22">IFERROR(SUMPRODUCT(D484:D507,D453:D476)/D478,0)</f>
        <v>0</v>
      </c>
      <c r="E509" s="10">
        <f t="shared" si="22"/>
        <v>0</v>
      </c>
      <c r="F509" s="10">
        <f t="shared" si="22"/>
        <v>0</v>
      </c>
      <c r="G509" s="10">
        <f t="shared" si="22"/>
        <v>0</v>
      </c>
      <c r="H509" s="10">
        <f t="shared" si="22"/>
        <v>0</v>
      </c>
      <c r="I509" s="10">
        <f t="shared" si="22"/>
        <v>0</v>
      </c>
      <c r="J509" s="10">
        <f t="shared" si="22"/>
        <v>0</v>
      </c>
      <c r="K509" s="10">
        <f t="shared" si="22"/>
        <v>0</v>
      </c>
      <c r="L509" s="10">
        <f t="shared" si="22"/>
        <v>0</v>
      </c>
      <c r="M509" s="10">
        <f t="shared" si="22"/>
        <v>0</v>
      </c>
      <c r="N509" s="10">
        <f t="shared" si="22"/>
        <v>0</v>
      </c>
      <c r="O509" s="10">
        <f t="shared" si="22"/>
        <v>0</v>
      </c>
      <c r="P509" s="10">
        <f t="shared" si="22"/>
        <v>0</v>
      </c>
      <c r="Q509" s="10">
        <f t="shared" si="22"/>
        <v>0</v>
      </c>
      <c r="R509" s="10">
        <f t="shared" si="22"/>
        <v>0</v>
      </c>
      <c r="S509" s="10">
        <f t="shared" si="22"/>
        <v>0</v>
      </c>
      <c r="T509" s="10">
        <f t="shared" si="22"/>
        <v>0</v>
      </c>
      <c r="U509" s="10">
        <f t="shared" si="22"/>
        <v>0</v>
      </c>
      <c r="V509" s="10">
        <f t="shared" si="22"/>
        <v>0</v>
      </c>
      <c r="W509" s="10">
        <f t="shared" si="22"/>
        <v>0</v>
      </c>
      <c r="X509" s="10">
        <f t="shared" si="22"/>
        <v>0</v>
      </c>
      <c r="Y509" s="10">
        <f t="shared" si="22"/>
        <v>0</v>
      </c>
      <c r="Z509" s="10">
        <f t="shared" si="22"/>
        <v>0</v>
      </c>
      <c r="AA509" s="10">
        <f t="shared" si="22"/>
        <v>0</v>
      </c>
      <c r="AB509" s="10">
        <f t="shared" si="22"/>
        <v>0</v>
      </c>
      <c r="AC509" s="10">
        <f t="shared" si="22"/>
        <v>0</v>
      </c>
      <c r="AD509" s="10">
        <f t="shared" si="22"/>
        <v>0</v>
      </c>
      <c r="AE509" s="10">
        <f t="shared" si="22"/>
        <v>0</v>
      </c>
      <c r="AF509" s="10">
        <f t="shared" si="22"/>
        <v>0</v>
      </c>
      <c r="AG509" s="10">
        <f t="shared" si="22"/>
        <v>0</v>
      </c>
      <c r="AH509" s="49">
        <f t="shared" si="22"/>
        <v>0</v>
      </c>
    </row>
    <row r="510" spans="1:34" ht="15.75" thickBot="1">
      <c r="A510" s="95" t="str">
        <f t="shared" si="20"/>
        <v>月度绿电挂牌交易</v>
      </c>
      <c r="B510" s="3"/>
      <c r="C510" s="77"/>
      <c r="D510" s="15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81"/>
    </row>
    <row r="511" spans="1:34" ht="15.75" thickBot="1">
      <c r="A511" s="95" t="str">
        <f t="shared" si="20"/>
        <v>月度绿电挂牌交易</v>
      </c>
      <c r="B511" s="3"/>
      <c r="C511" s="80" t="s">
        <v>64</v>
      </c>
      <c r="D511" s="12">
        <f>IFERROR(SUMPRODUCT(D478:AH478,D509:AH509)/D480,0)</f>
        <v>0</v>
      </c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81"/>
    </row>
    <row r="512" spans="1:34" ht="15.75" thickBot="1">
      <c r="A512" s="95" t="str">
        <f t="shared" si="20"/>
        <v>月度绿电挂牌交易</v>
      </c>
      <c r="B512" s="3"/>
      <c r="C512" s="93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5"/>
    </row>
    <row r="513" spans="1:34" ht="15" thickBot="1">
      <c r="A513" s="95" t="str">
        <f t="shared" si="20"/>
        <v>月度绿电挂牌交易</v>
      </c>
    </row>
    <row r="514" spans="1:34" ht="23.25">
      <c r="A514" s="95" t="str">
        <f>C514</f>
        <v>月度绿电集中交易</v>
      </c>
      <c r="C514" s="160" t="s">
        <v>94</v>
      </c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52"/>
      <c r="S514" s="152"/>
      <c r="T514" s="152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152"/>
      <c r="AE514" s="152"/>
      <c r="AF514" s="152"/>
      <c r="AG514" s="152"/>
      <c r="AH514" s="153"/>
    </row>
    <row r="515" spans="1:34" ht="22.5">
      <c r="A515" s="95" t="str">
        <f t="shared" si="20"/>
        <v>月度绿电集中交易</v>
      </c>
      <c r="B515" s="3"/>
      <c r="C515" s="154" t="str">
        <f>C514&amp;"电量(MWh)"</f>
        <v>月度绿电集中交易电量(MWh)</v>
      </c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  <c r="AA515" s="155"/>
      <c r="AB515" s="155"/>
      <c r="AC515" s="155"/>
      <c r="AD515" s="155"/>
      <c r="AE515" s="155"/>
      <c r="AF515" s="155"/>
      <c r="AG515" s="155"/>
      <c r="AH515" s="156"/>
    </row>
    <row r="516" spans="1:34" ht="15">
      <c r="A516" s="95" t="str">
        <f t="shared" ref="A516:A579" si="23">A515</f>
        <v>月度绿电集中交易</v>
      </c>
      <c r="B516" s="3"/>
      <c r="C516" s="74" t="s">
        <v>31</v>
      </c>
      <c r="D516" s="5" t="s">
        <v>32</v>
      </c>
      <c r="E516" s="6" t="s">
        <v>33</v>
      </c>
      <c r="F516" s="6" t="s">
        <v>34</v>
      </c>
      <c r="G516" s="6" t="s">
        <v>35</v>
      </c>
      <c r="H516" s="6" t="s">
        <v>36</v>
      </c>
      <c r="I516" s="6" t="s">
        <v>37</v>
      </c>
      <c r="J516" s="6" t="s">
        <v>38</v>
      </c>
      <c r="K516" s="6" t="s">
        <v>39</v>
      </c>
      <c r="L516" s="6" t="s">
        <v>40</v>
      </c>
      <c r="M516" s="6" t="s">
        <v>41</v>
      </c>
      <c r="N516" s="6" t="s">
        <v>42</v>
      </c>
      <c r="O516" s="6" t="s">
        <v>43</v>
      </c>
      <c r="P516" s="6" t="s">
        <v>44</v>
      </c>
      <c r="Q516" s="6" t="s">
        <v>45</v>
      </c>
      <c r="R516" s="6" t="s">
        <v>46</v>
      </c>
      <c r="S516" s="6" t="s">
        <v>47</v>
      </c>
      <c r="T516" s="6" t="s">
        <v>48</v>
      </c>
      <c r="U516" s="6" t="s">
        <v>49</v>
      </c>
      <c r="V516" s="6" t="s">
        <v>50</v>
      </c>
      <c r="W516" s="6" t="s">
        <v>51</v>
      </c>
      <c r="X516" s="6" t="s">
        <v>52</v>
      </c>
      <c r="Y516" s="6" t="s">
        <v>53</v>
      </c>
      <c r="Z516" s="6" t="s">
        <v>54</v>
      </c>
      <c r="AA516" s="6" t="s">
        <v>55</v>
      </c>
      <c r="AB516" s="6" t="s">
        <v>56</v>
      </c>
      <c r="AC516" s="6" t="s">
        <v>57</v>
      </c>
      <c r="AD516" s="6" t="s">
        <v>58</v>
      </c>
      <c r="AE516" s="6" t="s">
        <v>59</v>
      </c>
      <c r="AF516" s="6" t="s">
        <v>60</v>
      </c>
      <c r="AG516" s="6" t="s">
        <v>61</v>
      </c>
      <c r="AH516" s="75" t="s">
        <v>62</v>
      </c>
    </row>
    <row r="517" spans="1:34" ht="15">
      <c r="A517" s="95" t="str">
        <f t="shared" si="23"/>
        <v>月度绿电集中交易</v>
      </c>
      <c r="B517" s="3"/>
      <c r="C517" s="76" t="s">
        <v>6</v>
      </c>
      <c r="D517" s="47"/>
      <c r="E517" s="47"/>
      <c r="F517" s="47"/>
      <c r="G517" s="47"/>
      <c r="H517" s="47"/>
      <c r="I517" s="47"/>
      <c r="J517" s="47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  <c r="W517" s="47"/>
      <c r="X517" s="47"/>
      <c r="Y517" s="47"/>
      <c r="Z517" s="47"/>
      <c r="AA517" s="47"/>
      <c r="AB517" s="47"/>
      <c r="AC517" s="47"/>
      <c r="AD517" s="47"/>
      <c r="AE517" s="47"/>
      <c r="AF517" s="47"/>
      <c r="AG517" s="47"/>
      <c r="AH517" s="91"/>
    </row>
    <row r="518" spans="1:34" ht="15">
      <c r="A518" s="95" t="str">
        <f t="shared" si="23"/>
        <v>月度绿电集中交易</v>
      </c>
      <c r="B518" s="3"/>
      <c r="C518" s="76" t="s">
        <v>7</v>
      </c>
      <c r="D518" s="47"/>
      <c r="E518" s="47"/>
      <c r="F518" s="47"/>
      <c r="G518" s="47"/>
      <c r="H518" s="47"/>
      <c r="I518" s="47"/>
      <c r="J518" s="47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91"/>
    </row>
    <row r="519" spans="1:34" ht="15">
      <c r="A519" s="95" t="str">
        <f t="shared" si="23"/>
        <v>月度绿电集中交易</v>
      </c>
      <c r="B519" s="3"/>
      <c r="C519" s="76" t="s">
        <v>8</v>
      </c>
      <c r="D519" s="47"/>
      <c r="E519" s="47"/>
      <c r="F519" s="47"/>
      <c r="G519" s="47"/>
      <c r="H519" s="47"/>
      <c r="I519" s="47"/>
      <c r="J519" s="47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  <c r="W519" s="47"/>
      <c r="X519" s="47"/>
      <c r="Y519" s="47"/>
      <c r="Z519" s="47"/>
      <c r="AA519" s="47"/>
      <c r="AB519" s="47"/>
      <c r="AC519" s="47"/>
      <c r="AD519" s="47"/>
      <c r="AE519" s="47"/>
      <c r="AF519" s="47"/>
      <c r="AG519" s="47"/>
      <c r="AH519" s="91"/>
    </row>
    <row r="520" spans="1:34" ht="15">
      <c r="A520" s="95" t="str">
        <f t="shared" si="23"/>
        <v>月度绿电集中交易</v>
      </c>
      <c r="B520" s="3"/>
      <c r="C520" s="76" t="s">
        <v>9</v>
      </c>
      <c r="D520" s="47"/>
      <c r="E520" s="47"/>
      <c r="F520" s="47"/>
      <c r="G520" s="47"/>
      <c r="H520" s="47"/>
      <c r="I520" s="47"/>
      <c r="J520" s="47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91"/>
    </row>
    <row r="521" spans="1:34" ht="15">
      <c r="A521" s="95" t="str">
        <f t="shared" si="23"/>
        <v>月度绿电集中交易</v>
      </c>
      <c r="B521" s="3"/>
      <c r="C521" s="76" t="s">
        <v>10</v>
      </c>
      <c r="D521" s="47"/>
      <c r="E521" s="47"/>
      <c r="F521" s="47"/>
      <c r="G521" s="47"/>
      <c r="H521" s="47"/>
      <c r="I521" s="47"/>
      <c r="J521" s="47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  <c r="W521" s="47"/>
      <c r="X521" s="47"/>
      <c r="Y521" s="47"/>
      <c r="Z521" s="47"/>
      <c r="AA521" s="47"/>
      <c r="AB521" s="47"/>
      <c r="AC521" s="47"/>
      <c r="AD521" s="47"/>
      <c r="AE521" s="47"/>
      <c r="AF521" s="47"/>
      <c r="AG521" s="47"/>
      <c r="AH521" s="91"/>
    </row>
    <row r="522" spans="1:34" ht="15">
      <c r="A522" s="95" t="str">
        <f t="shared" si="23"/>
        <v>月度绿电集中交易</v>
      </c>
      <c r="B522" s="3"/>
      <c r="C522" s="76" t="s">
        <v>11</v>
      </c>
      <c r="D522" s="47"/>
      <c r="E522" s="47"/>
      <c r="F522" s="47"/>
      <c r="G522" s="47"/>
      <c r="H522" s="47"/>
      <c r="I522" s="47"/>
      <c r="J522" s="47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  <c r="W522" s="47"/>
      <c r="X522" s="47"/>
      <c r="Y522" s="47"/>
      <c r="Z522" s="47"/>
      <c r="AA522" s="47"/>
      <c r="AB522" s="47"/>
      <c r="AC522" s="47"/>
      <c r="AD522" s="47"/>
      <c r="AE522" s="47"/>
      <c r="AF522" s="47"/>
      <c r="AG522" s="47"/>
      <c r="AH522" s="91"/>
    </row>
    <row r="523" spans="1:34" ht="15">
      <c r="A523" s="95" t="str">
        <f t="shared" si="23"/>
        <v>月度绿电集中交易</v>
      </c>
      <c r="B523" s="3"/>
      <c r="C523" s="76" t="s">
        <v>12</v>
      </c>
      <c r="D523" s="47"/>
      <c r="E523" s="47"/>
      <c r="F523" s="47"/>
      <c r="G523" s="47"/>
      <c r="H523" s="47"/>
      <c r="I523" s="47"/>
      <c r="J523" s="47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  <c r="W523" s="47"/>
      <c r="X523" s="47"/>
      <c r="Y523" s="47"/>
      <c r="Z523" s="47"/>
      <c r="AA523" s="47"/>
      <c r="AB523" s="47"/>
      <c r="AC523" s="47"/>
      <c r="AD523" s="47"/>
      <c r="AE523" s="47"/>
      <c r="AF523" s="47"/>
      <c r="AG523" s="47"/>
      <c r="AH523" s="91"/>
    </row>
    <row r="524" spans="1:34" ht="15">
      <c r="A524" s="95" t="str">
        <f t="shared" si="23"/>
        <v>月度绿电集中交易</v>
      </c>
      <c r="B524" s="3"/>
      <c r="C524" s="76" t="s">
        <v>13</v>
      </c>
      <c r="D524" s="47"/>
      <c r="E524" s="47"/>
      <c r="F524" s="47"/>
      <c r="G524" s="47"/>
      <c r="H524" s="47"/>
      <c r="I524" s="47"/>
      <c r="J524" s="47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91"/>
    </row>
    <row r="525" spans="1:34" ht="15">
      <c r="A525" s="95" t="str">
        <f t="shared" si="23"/>
        <v>月度绿电集中交易</v>
      </c>
      <c r="B525" s="3"/>
      <c r="C525" s="76" t="s">
        <v>14</v>
      </c>
      <c r="D525" s="47"/>
      <c r="E525" s="47"/>
      <c r="F525" s="47"/>
      <c r="G525" s="47"/>
      <c r="H525" s="47"/>
      <c r="I525" s="47"/>
      <c r="J525" s="47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  <c r="W525" s="47"/>
      <c r="X525" s="47"/>
      <c r="Y525" s="47"/>
      <c r="Z525" s="47"/>
      <c r="AA525" s="47"/>
      <c r="AB525" s="47"/>
      <c r="AC525" s="47"/>
      <c r="AD525" s="47"/>
      <c r="AE525" s="47"/>
      <c r="AF525" s="47"/>
      <c r="AG525" s="47"/>
      <c r="AH525" s="91"/>
    </row>
    <row r="526" spans="1:34" ht="15">
      <c r="A526" s="95" t="str">
        <f t="shared" si="23"/>
        <v>月度绿电集中交易</v>
      </c>
      <c r="B526" s="3"/>
      <c r="C526" s="76" t="s">
        <v>15</v>
      </c>
      <c r="D526" s="47"/>
      <c r="E526" s="47"/>
      <c r="F526" s="47"/>
      <c r="G526" s="47"/>
      <c r="H526" s="47"/>
      <c r="I526" s="47"/>
      <c r="J526" s="47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91"/>
    </row>
    <row r="527" spans="1:34" ht="15">
      <c r="A527" s="95" t="str">
        <f t="shared" si="23"/>
        <v>月度绿电集中交易</v>
      </c>
      <c r="B527" s="3"/>
      <c r="C527" s="76" t="s">
        <v>16</v>
      </c>
      <c r="D527" s="47"/>
      <c r="E527" s="47"/>
      <c r="F527" s="47"/>
      <c r="G527" s="47"/>
      <c r="H527" s="47"/>
      <c r="I527" s="47"/>
      <c r="J527" s="47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  <c r="W527" s="47"/>
      <c r="X527" s="47"/>
      <c r="Y527" s="47"/>
      <c r="Z527" s="47"/>
      <c r="AA527" s="47"/>
      <c r="AB527" s="47"/>
      <c r="AC527" s="47"/>
      <c r="AD527" s="47"/>
      <c r="AE527" s="47"/>
      <c r="AF527" s="47"/>
      <c r="AG527" s="47"/>
      <c r="AH527" s="91"/>
    </row>
    <row r="528" spans="1:34" ht="15">
      <c r="A528" s="95" t="str">
        <f t="shared" si="23"/>
        <v>月度绿电集中交易</v>
      </c>
      <c r="B528" s="3"/>
      <c r="C528" s="76" t="s">
        <v>17</v>
      </c>
      <c r="D528" s="47"/>
      <c r="E528" s="47"/>
      <c r="F528" s="47"/>
      <c r="G528" s="47"/>
      <c r="H528" s="47"/>
      <c r="I528" s="47"/>
      <c r="J528" s="47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91"/>
    </row>
    <row r="529" spans="1:34" ht="15">
      <c r="A529" s="95" t="str">
        <f t="shared" si="23"/>
        <v>月度绿电集中交易</v>
      </c>
      <c r="B529" s="3"/>
      <c r="C529" s="76" t="s">
        <v>18</v>
      </c>
      <c r="D529" s="47"/>
      <c r="E529" s="47"/>
      <c r="F529" s="47"/>
      <c r="G529" s="47"/>
      <c r="H529" s="47"/>
      <c r="I529" s="47"/>
      <c r="J529" s="47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  <c r="W529" s="47"/>
      <c r="X529" s="47"/>
      <c r="Y529" s="47"/>
      <c r="Z529" s="47"/>
      <c r="AA529" s="47"/>
      <c r="AB529" s="47"/>
      <c r="AC529" s="47"/>
      <c r="AD529" s="47"/>
      <c r="AE529" s="47"/>
      <c r="AF529" s="47"/>
      <c r="AG529" s="47"/>
      <c r="AH529" s="91"/>
    </row>
    <row r="530" spans="1:34" ht="15">
      <c r="A530" s="95" t="str">
        <f t="shared" si="23"/>
        <v>月度绿电集中交易</v>
      </c>
      <c r="B530" s="3"/>
      <c r="C530" s="76" t="s">
        <v>19</v>
      </c>
      <c r="D530" s="47"/>
      <c r="E530" s="47"/>
      <c r="F530" s="47"/>
      <c r="G530" s="47"/>
      <c r="H530" s="47"/>
      <c r="I530" s="47"/>
      <c r="J530" s="47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91"/>
    </row>
    <row r="531" spans="1:34" ht="15">
      <c r="A531" s="95" t="str">
        <f t="shared" si="23"/>
        <v>月度绿电集中交易</v>
      </c>
      <c r="B531" s="3"/>
      <c r="C531" s="76" t="s">
        <v>20</v>
      </c>
      <c r="D531" s="47"/>
      <c r="E531" s="47"/>
      <c r="F531" s="47"/>
      <c r="G531" s="47"/>
      <c r="H531" s="47"/>
      <c r="I531" s="47"/>
      <c r="J531" s="47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  <c r="W531" s="47"/>
      <c r="X531" s="47"/>
      <c r="Y531" s="47"/>
      <c r="Z531" s="47"/>
      <c r="AA531" s="47"/>
      <c r="AB531" s="47"/>
      <c r="AC531" s="47"/>
      <c r="AD531" s="47"/>
      <c r="AE531" s="47"/>
      <c r="AF531" s="47"/>
      <c r="AG531" s="47"/>
      <c r="AH531" s="91"/>
    </row>
    <row r="532" spans="1:34" ht="15">
      <c r="A532" s="95" t="str">
        <f t="shared" si="23"/>
        <v>月度绿电集中交易</v>
      </c>
      <c r="B532" s="3"/>
      <c r="C532" s="76" t="s">
        <v>21</v>
      </c>
      <c r="D532" s="47"/>
      <c r="E532" s="47"/>
      <c r="F532" s="47"/>
      <c r="G532" s="47"/>
      <c r="H532" s="47"/>
      <c r="I532" s="47"/>
      <c r="J532" s="47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91"/>
    </row>
    <row r="533" spans="1:34" ht="15">
      <c r="A533" s="95" t="str">
        <f t="shared" si="23"/>
        <v>月度绿电集中交易</v>
      </c>
      <c r="B533" s="3"/>
      <c r="C533" s="76" t="s">
        <v>22</v>
      </c>
      <c r="D533" s="47"/>
      <c r="E533" s="47"/>
      <c r="F533" s="47"/>
      <c r="G533" s="47"/>
      <c r="H533" s="47"/>
      <c r="I533" s="47"/>
      <c r="J533" s="47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  <c r="W533" s="47"/>
      <c r="X533" s="47"/>
      <c r="Y533" s="47"/>
      <c r="Z533" s="47"/>
      <c r="AA533" s="47"/>
      <c r="AB533" s="47"/>
      <c r="AC533" s="47"/>
      <c r="AD533" s="47"/>
      <c r="AE533" s="47"/>
      <c r="AF533" s="47"/>
      <c r="AG533" s="47"/>
      <c r="AH533" s="91"/>
    </row>
    <row r="534" spans="1:34" ht="15">
      <c r="A534" s="95" t="str">
        <f t="shared" si="23"/>
        <v>月度绿电集中交易</v>
      </c>
      <c r="B534" s="3"/>
      <c r="C534" s="76" t="s">
        <v>23</v>
      </c>
      <c r="D534" s="47"/>
      <c r="E534" s="47"/>
      <c r="F534" s="47"/>
      <c r="G534" s="47"/>
      <c r="H534" s="47"/>
      <c r="I534" s="47"/>
      <c r="J534" s="47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91"/>
    </row>
    <row r="535" spans="1:34" ht="15">
      <c r="A535" s="95" t="str">
        <f t="shared" si="23"/>
        <v>月度绿电集中交易</v>
      </c>
      <c r="B535" s="3"/>
      <c r="C535" s="76" t="s">
        <v>24</v>
      </c>
      <c r="D535" s="47"/>
      <c r="E535" s="47"/>
      <c r="F535" s="47"/>
      <c r="G535" s="47"/>
      <c r="H535" s="47"/>
      <c r="I535" s="47"/>
      <c r="J535" s="47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  <c r="W535" s="47"/>
      <c r="X535" s="47"/>
      <c r="Y535" s="47"/>
      <c r="Z535" s="47"/>
      <c r="AA535" s="47"/>
      <c r="AB535" s="47"/>
      <c r="AC535" s="47"/>
      <c r="AD535" s="47"/>
      <c r="AE535" s="47"/>
      <c r="AF535" s="47"/>
      <c r="AG535" s="47"/>
      <c r="AH535" s="91"/>
    </row>
    <row r="536" spans="1:34" ht="15">
      <c r="A536" s="95" t="str">
        <f t="shared" si="23"/>
        <v>月度绿电集中交易</v>
      </c>
      <c r="B536" s="3"/>
      <c r="C536" s="76" t="s">
        <v>25</v>
      </c>
      <c r="D536" s="47"/>
      <c r="E536" s="47"/>
      <c r="F536" s="47"/>
      <c r="G536" s="47"/>
      <c r="H536" s="47"/>
      <c r="I536" s="47"/>
      <c r="J536" s="47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91"/>
    </row>
    <row r="537" spans="1:34" ht="15">
      <c r="A537" s="95" t="str">
        <f t="shared" si="23"/>
        <v>月度绿电集中交易</v>
      </c>
      <c r="B537" s="3"/>
      <c r="C537" s="76" t="s">
        <v>26</v>
      </c>
      <c r="D537" s="47"/>
      <c r="E537" s="47"/>
      <c r="F537" s="47"/>
      <c r="G537" s="47"/>
      <c r="H537" s="47"/>
      <c r="I537" s="47"/>
      <c r="J537" s="47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  <c r="W537" s="47"/>
      <c r="X537" s="47"/>
      <c r="Y537" s="47"/>
      <c r="Z537" s="47"/>
      <c r="AA537" s="47"/>
      <c r="AB537" s="47"/>
      <c r="AC537" s="47"/>
      <c r="AD537" s="47"/>
      <c r="AE537" s="47"/>
      <c r="AF537" s="47"/>
      <c r="AG537" s="47"/>
      <c r="AH537" s="91"/>
    </row>
    <row r="538" spans="1:34" ht="15">
      <c r="A538" s="95" t="str">
        <f t="shared" si="23"/>
        <v>月度绿电集中交易</v>
      </c>
      <c r="B538" s="3"/>
      <c r="C538" s="76" t="s">
        <v>27</v>
      </c>
      <c r="D538" s="47"/>
      <c r="E538" s="47"/>
      <c r="F538" s="47"/>
      <c r="G538" s="47"/>
      <c r="H538" s="47"/>
      <c r="I538" s="47"/>
      <c r="J538" s="47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91"/>
    </row>
    <row r="539" spans="1:34" ht="15">
      <c r="A539" s="95" t="str">
        <f t="shared" si="23"/>
        <v>月度绿电集中交易</v>
      </c>
      <c r="B539" s="3"/>
      <c r="C539" s="76" t="s">
        <v>28</v>
      </c>
      <c r="D539" s="47"/>
      <c r="E539" s="47"/>
      <c r="F539" s="47"/>
      <c r="G539" s="47"/>
      <c r="H539" s="47"/>
      <c r="I539" s="47"/>
      <c r="J539" s="47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  <c r="W539" s="47"/>
      <c r="X539" s="47"/>
      <c r="Y539" s="47"/>
      <c r="Z539" s="47"/>
      <c r="AA539" s="47"/>
      <c r="AB539" s="47"/>
      <c r="AC539" s="47"/>
      <c r="AD539" s="47"/>
      <c r="AE539" s="47"/>
      <c r="AF539" s="47"/>
      <c r="AG539" s="47"/>
      <c r="AH539" s="91"/>
    </row>
    <row r="540" spans="1:34" ht="15">
      <c r="A540" s="95" t="str">
        <f t="shared" si="23"/>
        <v>月度绿电集中交易</v>
      </c>
      <c r="B540" s="3"/>
      <c r="C540" s="76" t="s">
        <v>29</v>
      </c>
      <c r="D540" s="47"/>
      <c r="E540" s="47"/>
      <c r="F540" s="47"/>
      <c r="G540" s="47"/>
      <c r="H540" s="47"/>
      <c r="I540" s="47"/>
      <c r="J540" s="47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91"/>
    </row>
    <row r="541" spans="1:34" ht="15.75" thickBot="1">
      <c r="A541" s="95" t="str">
        <f t="shared" si="23"/>
        <v>月度绿电集中交易</v>
      </c>
      <c r="B541" s="3"/>
      <c r="C541" s="77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9"/>
    </row>
    <row r="542" spans="1:34" ht="15.75" thickBot="1">
      <c r="A542" s="95" t="str">
        <f t="shared" si="23"/>
        <v>月度绿电集中交易</v>
      </c>
      <c r="B542" s="3"/>
      <c r="C542" s="80" t="s">
        <v>63</v>
      </c>
      <c r="D542" s="9">
        <f>SUM(D517:D540)</f>
        <v>0</v>
      </c>
      <c r="E542" s="10">
        <f t="shared" ref="E542:AH542" si="24">SUM(E517:E540)</f>
        <v>0</v>
      </c>
      <c r="F542" s="10">
        <f t="shared" si="24"/>
        <v>0</v>
      </c>
      <c r="G542" s="10">
        <f t="shared" si="24"/>
        <v>0</v>
      </c>
      <c r="H542" s="10">
        <f t="shared" si="24"/>
        <v>0</v>
      </c>
      <c r="I542" s="10">
        <f t="shared" si="24"/>
        <v>0</v>
      </c>
      <c r="J542" s="10">
        <f t="shared" si="24"/>
        <v>0</v>
      </c>
      <c r="K542" s="10">
        <f t="shared" si="24"/>
        <v>0</v>
      </c>
      <c r="L542" s="10">
        <f t="shared" si="24"/>
        <v>0</v>
      </c>
      <c r="M542" s="10">
        <f t="shared" si="24"/>
        <v>0</v>
      </c>
      <c r="N542" s="10">
        <f t="shared" si="24"/>
        <v>0</v>
      </c>
      <c r="O542" s="10">
        <f t="shared" si="24"/>
        <v>0</v>
      </c>
      <c r="P542" s="10">
        <f t="shared" si="24"/>
        <v>0</v>
      </c>
      <c r="Q542" s="10">
        <f t="shared" si="24"/>
        <v>0</v>
      </c>
      <c r="R542" s="10">
        <f t="shared" si="24"/>
        <v>0</v>
      </c>
      <c r="S542" s="10">
        <f t="shared" si="24"/>
        <v>0</v>
      </c>
      <c r="T542" s="10">
        <f t="shared" si="24"/>
        <v>0</v>
      </c>
      <c r="U542" s="10">
        <f t="shared" si="24"/>
        <v>0</v>
      </c>
      <c r="V542" s="10">
        <f t="shared" si="24"/>
        <v>0</v>
      </c>
      <c r="W542" s="10">
        <f t="shared" si="24"/>
        <v>0</v>
      </c>
      <c r="X542" s="10">
        <f t="shared" si="24"/>
        <v>0</v>
      </c>
      <c r="Y542" s="10">
        <f t="shared" si="24"/>
        <v>0</v>
      </c>
      <c r="Z542" s="10">
        <f t="shared" si="24"/>
        <v>0</v>
      </c>
      <c r="AA542" s="10">
        <f t="shared" si="24"/>
        <v>0</v>
      </c>
      <c r="AB542" s="10">
        <f t="shared" si="24"/>
        <v>0</v>
      </c>
      <c r="AC542" s="10">
        <f t="shared" si="24"/>
        <v>0</v>
      </c>
      <c r="AD542" s="10">
        <f t="shared" si="24"/>
        <v>0</v>
      </c>
      <c r="AE542" s="10">
        <f t="shared" si="24"/>
        <v>0</v>
      </c>
      <c r="AF542" s="10">
        <f t="shared" si="24"/>
        <v>0</v>
      </c>
      <c r="AG542" s="10">
        <f t="shared" si="24"/>
        <v>0</v>
      </c>
      <c r="AH542" s="49">
        <f t="shared" si="24"/>
        <v>0</v>
      </c>
    </row>
    <row r="543" spans="1:34" ht="15.75" thickBot="1">
      <c r="A543" s="95" t="str">
        <f t="shared" si="23"/>
        <v>月度绿电集中交易</v>
      </c>
      <c r="B543" s="3"/>
      <c r="C543" s="77"/>
      <c r="D543" s="15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81"/>
    </row>
    <row r="544" spans="1:34" ht="15.75" thickBot="1">
      <c r="A544" s="95" t="str">
        <f t="shared" si="23"/>
        <v>月度绿电集中交易</v>
      </c>
      <c r="B544" s="3"/>
      <c r="C544" s="80" t="s">
        <v>64</v>
      </c>
      <c r="D544" s="12">
        <f>SUM(D542:AH542)</f>
        <v>0</v>
      </c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81"/>
    </row>
    <row r="545" spans="1:34" ht="15">
      <c r="A545" s="95" t="str">
        <f t="shared" si="23"/>
        <v>月度绿电集中交易</v>
      </c>
      <c r="B545" s="3"/>
      <c r="C545" s="77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81"/>
    </row>
    <row r="546" spans="1:34" ht="22.5">
      <c r="A546" s="95" t="str">
        <f t="shared" si="23"/>
        <v>月度绿电集中交易</v>
      </c>
      <c r="B546" s="3"/>
      <c r="C546" s="154" t="str">
        <f>C514&amp;"电价(元/MWh)"</f>
        <v>月度绿电集中交易电价(元/MWh)</v>
      </c>
      <c r="D546" s="155"/>
      <c r="E546" s="155"/>
      <c r="F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  <c r="AA546" s="155"/>
      <c r="AB546" s="155"/>
      <c r="AC546" s="155"/>
      <c r="AD546" s="155"/>
      <c r="AE546" s="155"/>
      <c r="AF546" s="155"/>
      <c r="AG546" s="155"/>
      <c r="AH546" s="156"/>
    </row>
    <row r="547" spans="1:34" ht="15">
      <c r="A547" s="95" t="str">
        <f t="shared" si="23"/>
        <v>月度绿电集中交易</v>
      </c>
      <c r="B547" s="3"/>
      <c r="C547" s="74" t="s">
        <v>31</v>
      </c>
      <c r="D547" s="5" t="s">
        <v>32</v>
      </c>
      <c r="E547" s="6" t="s">
        <v>33</v>
      </c>
      <c r="F547" s="6" t="s">
        <v>34</v>
      </c>
      <c r="G547" s="6" t="s">
        <v>35</v>
      </c>
      <c r="H547" s="6" t="s">
        <v>36</v>
      </c>
      <c r="I547" s="6" t="s">
        <v>37</v>
      </c>
      <c r="J547" s="6" t="s">
        <v>38</v>
      </c>
      <c r="K547" s="6" t="s">
        <v>39</v>
      </c>
      <c r="L547" s="6" t="s">
        <v>40</v>
      </c>
      <c r="M547" s="6" t="s">
        <v>41</v>
      </c>
      <c r="N547" s="6" t="s">
        <v>42</v>
      </c>
      <c r="O547" s="6" t="s">
        <v>43</v>
      </c>
      <c r="P547" s="6" t="s">
        <v>44</v>
      </c>
      <c r="Q547" s="6" t="s">
        <v>45</v>
      </c>
      <c r="R547" s="6" t="s">
        <v>46</v>
      </c>
      <c r="S547" s="6" t="s">
        <v>47</v>
      </c>
      <c r="T547" s="6" t="s">
        <v>48</v>
      </c>
      <c r="U547" s="6" t="s">
        <v>49</v>
      </c>
      <c r="V547" s="6" t="s">
        <v>50</v>
      </c>
      <c r="W547" s="6" t="s">
        <v>51</v>
      </c>
      <c r="X547" s="6" t="s">
        <v>52</v>
      </c>
      <c r="Y547" s="6" t="s">
        <v>53</v>
      </c>
      <c r="Z547" s="6" t="s">
        <v>54</v>
      </c>
      <c r="AA547" s="6" t="s">
        <v>55</v>
      </c>
      <c r="AB547" s="6" t="s">
        <v>56</v>
      </c>
      <c r="AC547" s="6" t="s">
        <v>57</v>
      </c>
      <c r="AD547" s="6" t="s">
        <v>58</v>
      </c>
      <c r="AE547" s="6" t="s">
        <v>59</v>
      </c>
      <c r="AF547" s="6" t="s">
        <v>60</v>
      </c>
      <c r="AG547" s="6" t="s">
        <v>61</v>
      </c>
      <c r="AH547" s="75" t="s">
        <v>62</v>
      </c>
    </row>
    <row r="548" spans="1:34" ht="15">
      <c r="A548" s="95" t="str">
        <f t="shared" si="23"/>
        <v>月度绿电集中交易</v>
      </c>
      <c r="B548" s="3"/>
      <c r="C548" s="76" t="s">
        <v>6</v>
      </c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92"/>
    </row>
    <row r="549" spans="1:34" ht="15">
      <c r="A549" s="95" t="str">
        <f t="shared" si="23"/>
        <v>月度绿电集中交易</v>
      </c>
      <c r="B549" s="3"/>
      <c r="C549" s="76" t="s">
        <v>7</v>
      </c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92"/>
    </row>
    <row r="550" spans="1:34" ht="15">
      <c r="A550" s="95" t="str">
        <f t="shared" si="23"/>
        <v>月度绿电集中交易</v>
      </c>
      <c r="B550" s="3"/>
      <c r="C550" s="76" t="s">
        <v>8</v>
      </c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92"/>
    </row>
    <row r="551" spans="1:34" ht="15">
      <c r="A551" s="95" t="str">
        <f t="shared" si="23"/>
        <v>月度绿电集中交易</v>
      </c>
      <c r="B551" s="3"/>
      <c r="C551" s="76" t="s">
        <v>9</v>
      </c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92"/>
    </row>
    <row r="552" spans="1:34" ht="15">
      <c r="A552" s="95" t="str">
        <f t="shared" si="23"/>
        <v>月度绿电集中交易</v>
      </c>
      <c r="B552" s="3"/>
      <c r="C552" s="76" t="s">
        <v>10</v>
      </c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92"/>
    </row>
    <row r="553" spans="1:34" ht="15">
      <c r="A553" s="95" t="str">
        <f t="shared" si="23"/>
        <v>月度绿电集中交易</v>
      </c>
      <c r="B553" s="3"/>
      <c r="C553" s="76" t="s">
        <v>11</v>
      </c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92"/>
    </row>
    <row r="554" spans="1:34" ht="15">
      <c r="A554" s="95" t="str">
        <f t="shared" si="23"/>
        <v>月度绿电集中交易</v>
      </c>
      <c r="B554" s="3"/>
      <c r="C554" s="76" t="s">
        <v>12</v>
      </c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92"/>
    </row>
    <row r="555" spans="1:34" ht="15">
      <c r="A555" s="95" t="str">
        <f t="shared" si="23"/>
        <v>月度绿电集中交易</v>
      </c>
      <c r="B555" s="3"/>
      <c r="C555" s="76" t="s">
        <v>13</v>
      </c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92"/>
    </row>
    <row r="556" spans="1:34" ht="15">
      <c r="A556" s="95" t="str">
        <f t="shared" si="23"/>
        <v>月度绿电集中交易</v>
      </c>
      <c r="B556" s="3"/>
      <c r="C556" s="76" t="s">
        <v>14</v>
      </c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92"/>
    </row>
    <row r="557" spans="1:34" ht="15">
      <c r="A557" s="95" t="str">
        <f t="shared" si="23"/>
        <v>月度绿电集中交易</v>
      </c>
      <c r="B557" s="3"/>
      <c r="C557" s="76" t="s">
        <v>15</v>
      </c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92"/>
    </row>
    <row r="558" spans="1:34" ht="15">
      <c r="A558" s="95" t="str">
        <f t="shared" si="23"/>
        <v>月度绿电集中交易</v>
      </c>
      <c r="B558" s="3"/>
      <c r="C558" s="76" t="s">
        <v>16</v>
      </c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92"/>
    </row>
    <row r="559" spans="1:34" ht="15">
      <c r="A559" s="95" t="str">
        <f t="shared" si="23"/>
        <v>月度绿电集中交易</v>
      </c>
      <c r="B559" s="3"/>
      <c r="C559" s="76" t="s">
        <v>17</v>
      </c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92"/>
    </row>
    <row r="560" spans="1:34" ht="15">
      <c r="A560" s="95" t="str">
        <f t="shared" si="23"/>
        <v>月度绿电集中交易</v>
      </c>
      <c r="B560" s="3"/>
      <c r="C560" s="76" t="s">
        <v>18</v>
      </c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92"/>
    </row>
    <row r="561" spans="1:34" ht="15">
      <c r="A561" s="95" t="str">
        <f t="shared" si="23"/>
        <v>月度绿电集中交易</v>
      </c>
      <c r="B561" s="3"/>
      <c r="C561" s="76" t="s">
        <v>19</v>
      </c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92"/>
    </row>
    <row r="562" spans="1:34" ht="15">
      <c r="A562" s="95" t="str">
        <f t="shared" si="23"/>
        <v>月度绿电集中交易</v>
      </c>
      <c r="B562" s="3"/>
      <c r="C562" s="76" t="s">
        <v>20</v>
      </c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92"/>
    </row>
    <row r="563" spans="1:34" ht="15">
      <c r="A563" s="95" t="str">
        <f t="shared" si="23"/>
        <v>月度绿电集中交易</v>
      </c>
      <c r="B563" s="3"/>
      <c r="C563" s="76" t="s">
        <v>21</v>
      </c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92"/>
    </row>
    <row r="564" spans="1:34" ht="15">
      <c r="A564" s="95" t="str">
        <f t="shared" si="23"/>
        <v>月度绿电集中交易</v>
      </c>
      <c r="B564" s="3"/>
      <c r="C564" s="76" t="s">
        <v>22</v>
      </c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92"/>
    </row>
    <row r="565" spans="1:34" ht="15">
      <c r="A565" s="95" t="str">
        <f t="shared" si="23"/>
        <v>月度绿电集中交易</v>
      </c>
      <c r="B565" s="3"/>
      <c r="C565" s="76" t="s">
        <v>23</v>
      </c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92"/>
    </row>
    <row r="566" spans="1:34" ht="15">
      <c r="A566" s="95" t="str">
        <f t="shared" si="23"/>
        <v>月度绿电集中交易</v>
      </c>
      <c r="B566" s="3"/>
      <c r="C566" s="76" t="s">
        <v>24</v>
      </c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92"/>
    </row>
    <row r="567" spans="1:34" ht="15">
      <c r="A567" s="95" t="str">
        <f t="shared" si="23"/>
        <v>月度绿电集中交易</v>
      </c>
      <c r="B567" s="3"/>
      <c r="C567" s="76" t="s">
        <v>25</v>
      </c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92"/>
    </row>
    <row r="568" spans="1:34" ht="15">
      <c r="A568" s="95" t="str">
        <f t="shared" si="23"/>
        <v>月度绿电集中交易</v>
      </c>
      <c r="B568" s="3"/>
      <c r="C568" s="76" t="s">
        <v>26</v>
      </c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92"/>
    </row>
    <row r="569" spans="1:34" ht="15">
      <c r="A569" s="95" t="str">
        <f t="shared" si="23"/>
        <v>月度绿电集中交易</v>
      </c>
      <c r="B569" s="3"/>
      <c r="C569" s="76" t="s">
        <v>27</v>
      </c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92"/>
    </row>
    <row r="570" spans="1:34" ht="15">
      <c r="A570" s="95" t="str">
        <f t="shared" si="23"/>
        <v>月度绿电集中交易</v>
      </c>
      <c r="B570" s="3"/>
      <c r="C570" s="76" t="s">
        <v>28</v>
      </c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92"/>
    </row>
    <row r="571" spans="1:34" ht="15">
      <c r="A571" s="95" t="str">
        <f t="shared" si="23"/>
        <v>月度绿电集中交易</v>
      </c>
      <c r="B571" s="3"/>
      <c r="C571" s="76" t="s">
        <v>29</v>
      </c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92"/>
    </row>
    <row r="572" spans="1:34" ht="15.75" thickBot="1">
      <c r="A572" s="95" t="str">
        <f t="shared" si="23"/>
        <v>月度绿电集中交易</v>
      </c>
      <c r="B572" s="3"/>
      <c r="C572" s="77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81"/>
    </row>
    <row r="573" spans="1:34" ht="15.75" thickBot="1">
      <c r="A573" s="95" t="str">
        <f t="shared" si="23"/>
        <v>月度绿电集中交易</v>
      </c>
      <c r="B573" s="3"/>
      <c r="C573" s="80" t="s">
        <v>63</v>
      </c>
      <c r="D573" s="9">
        <f t="shared" ref="D573:AH573" si="25">IFERROR(SUMPRODUCT(D548:D571,D517:D540)/D542,0)</f>
        <v>0</v>
      </c>
      <c r="E573" s="10">
        <f t="shared" si="25"/>
        <v>0</v>
      </c>
      <c r="F573" s="10">
        <f t="shared" si="25"/>
        <v>0</v>
      </c>
      <c r="G573" s="10">
        <f t="shared" si="25"/>
        <v>0</v>
      </c>
      <c r="H573" s="10">
        <f t="shared" si="25"/>
        <v>0</v>
      </c>
      <c r="I573" s="10">
        <f t="shared" si="25"/>
        <v>0</v>
      </c>
      <c r="J573" s="10">
        <f t="shared" si="25"/>
        <v>0</v>
      </c>
      <c r="K573" s="10">
        <f t="shared" si="25"/>
        <v>0</v>
      </c>
      <c r="L573" s="10">
        <f t="shared" si="25"/>
        <v>0</v>
      </c>
      <c r="M573" s="10">
        <f t="shared" si="25"/>
        <v>0</v>
      </c>
      <c r="N573" s="10">
        <f t="shared" si="25"/>
        <v>0</v>
      </c>
      <c r="O573" s="10">
        <f t="shared" si="25"/>
        <v>0</v>
      </c>
      <c r="P573" s="10">
        <f t="shared" si="25"/>
        <v>0</v>
      </c>
      <c r="Q573" s="10">
        <f t="shared" si="25"/>
        <v>0</v>
      </c>
      <c r="R573" s="10">
        <f t="shared" si="25"/>
        <v>0</v>
      </c>
      <c r="S573" s="10">
        <f t="shared" si="25"/>
        <v>0</v>
      </c>
      <c r="T573" s="10">
        <f t="shared" si="25"/>
        <v>0</v>
      </c>
      <c r="U573" s="10">
        <f t="shared" si="25"/>
        <v>0</v>
      </c>
      <c r="V573" s="10">
        <f t="shared" si="25"/>
        <v>0</v>
      </c>
      <c r="W573" s="10">
        <f t="shared" si="25"/>
        <v>0</v>
      </c>
      <c r="X573" s="10">
        <f t="shared" si="25"/>
        <v>0</v>
      </c>
      <c r="Y573" s="10">
        <f t="shared" si="25"/>
        <v>0</v>
      </c>
      <c r="Z573" s="10">
        <f t="shared" si="25"/>
        <v>0</v>
      </c>
      <c r="AA573" s="10">
        <f t="shared" si="25"/>
        <v>0</v>
      </c>
      <c r="AB573" s="10">
        <f t="shared" si="25"/>
        <v>0</v>
      </c>
      <c r="AC573" s="10">
        <f t="shared" si="25"/>
        <v>0</v>
      </c>
      <c r="AD573" s="10">
        <f t="shared" si="25"/>
        <v>0</v>
      </c>
      <c r="AE573" s="10">
        <f t="shared" si="25"/>
        <v>0</v>
      </c>
      <c r="AF573" s="10">
        <f t="shared" si="25"/>
        <v>0</v>
      </c>
      <c r="AG573" s="10">
        <f t="shared" si="25"/>
        <v>0</v>
      </c>
      <c r="AH573" s="49">
        <f t="shared" si="25"/>
        <v>0</v>
      </c>
    </row>
    <row r="574" spans="1:34" ht="15.75" thickBot="1">
      <c r="A574" s="95" t="str">
        <f t="shared" si="23"/>
        <v>月度绿电集中交易</v>
      </c>
      <c r="B574" s="3"/>
      <c r="C574" s="77"/>
      <c r="D574" s="15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81"/>
    </row>
    <row r="575" spans="1:34" ht="15.75" thickBot="1">
      <c r="A575" s="95" t="str">
        <f t="shared" si="23"/>
        <v>月度绿电集中交易</v>
      </c>
      <c r="B575" s="3"/>
      <c r="C575" s="80" t="s">
        <v>64</v>
      </c>
      <c r="D575" s="12">
        <f>IFERROR(SUMPRODUCT(D542:AH542,D573:AH573)/D544,0)</f>
        <v>0</v>
      </c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81"/>
    </row>
    <row r="576" spans="1:34" ht="15.75" thickBot="1">
      <c r="A576" s="95" t="str">
        <f t="shared" si="23"/>
        <v>月度绿电集中交易</v>
      </c>
      <c r="B576" s="3"/>
      <c r="C576" s="93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5"/>
    </row>
    <row r="577" spans="1:34" ht="15" thickBot="1">
      <c r="A577" s="95" t="str">
        <f t="shared" si="23"/>
        <v>月度绿电集中交易</v>
      </c>
    </row>
    <row r="578" spans="1:34" ht="23.25">
      <c r="A578" s="95" t="str">
        <f>C578</f>
        <v>月度集中（市场用户负荷曲线）交易</v>
      </c>
      <c r="C578" s="160" t="s">
        <v>150</v>
      </c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52"/>
      <c r="S578" s="152"/>
      <c r="T578" s="152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152"/>
      <c r="AE578" s="152"/>
      <c r="AF578" s="152"/>
      <c r="AG578" s="152"/>
      <c r="AH578" s="153"/>
    </row>
    <row r="579" spans="1:34" ht="22.5">
      <c r="A579" s="95" t="str">
        <f t="shared" si="23"/>
        <v>月度集中（市场用户负荷曲线）交易</v>
      </c>
      <c r="B579" s="3"/>
      <c r="C579" s="154" t="str">
        <f>C578&amp;"电量(MWh)"</f>
        <v>月度集中（市场用户负荷曲线）交易电量(MWh)</v>
      </c>
      <c r="D579" s="155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  <c r="AA579" s="155"/>
      <c r="AB579" s="155"/>
      <c r="AC579" s="155"/>
      <c r="AD579" s="155"/>
      <c r="AE579" s="155"/>
      <c r="AF579" s="155"/>
      <c r="AG579" s="155"/>
      <c r="AH579" s="156"/>
    </row>
    <row r="580" spans="1:34" ht="15">
      <c r="A580" s="95" t="str">
        <f t="shared" ref="A580:A643" si="26">A579</f>
        <v>月度集中（市场用户负荷曲线）交易</v>
      </c>
      <c r="B580" s="3"/>
      <c r="C580" s="74" t="s">
        <v>31</v>
      </c>
      <c r="D580" s="5" t="s">
        <v>32</v>
      </c>
      <c r="E580" s="6" t="s">
        <v>33</v>
      </c>
      <c r="F580" s="6" t="s">
        <v>34</v>
      </c>
      <c r="G580" s="6" t="s">
        <v>35</v>
      </c>
      <c r="H580" s="6" t="s">
        <v>36</v>
      </c>
      <c r="I580" s="6" t="s">
        <v>37</v>
      </c>
      <c r="J580" s="6" t="s">
        <v>38</v>
      </c>
      <c r="K580" s="6" t="s">
        <v>39</v>
      </c>
      <c r="L580" s="6" t="s">
        <v>40</v>
      </c>
      <c r="M580" s="6" t="s">
        <v>41</v>
      </c>
      <c r="N580" s="6" t="s">
        <v>42</v>
      </c>
      <c r="O580" s="6" t="s">
        <v>43</v>
      </c>
      <c r="P580" s="6" t="s">
        <v>44</v>
      </c>
      <c r="Q580" s="6" t="s">
        <v>45</v>
      </c>
      <c r="R580" s="6" t="s">
        <v>46</v>
      </c>
      <c r="S580" s="6" t="s">
        <v>47</v>
      </c>
      <c r="T580" s="6" t="s">
        <v>48</v>
      </c>
      <c r="U580" s="6" t="s">
        <v>49</v>
      </c>
      <c r="V580" s="6" t="s">
        <v>50</v>
      </c>
      <c r="W580" s="6" t="s">
        <v>51</v>
      </c>
      <c r="X580" s="6" t="s">
        <v>52</v>
      </c>
      <c r="Y580" s="6" t="s">
        <v>53</v>
      </c>
      <c r="Z580" s="6" t="s">
        <v>54</v>
      </c>
      <c r="AA580" s="6" t="s">
        <v>55</v>
      </c>
      <c r="AB580" s="6" t="s">
        <v>56</v>
      </c>
      <c r="AC580" s="6" t="s">
        <v>57</v>
      </c>
      <c r="AD580" s="6" t="s">
        <v>58</v>
      </c>
      <c r="AE580" s="6" t="s">
        <v>59</v>
      </c>
      <c r="AF580" s="6" t="s">
        <v>60</v>
      </c>
      <c r="AG580" s="6" t="s">
        <v>61</v>
      </c>
      <c r="AH580" s="75" t="s">
        <v>62</v>
      </c>
    </row>
    <row r="581" spans="1:34" ht="15">
      <c r="A581" s="95" t="str">
        <f t="shared" si="26"/>
        <v>月度集中（市场用户负荷曲线）交易</v>
      </c>
      <c r="B581" s="3"/>
      <c r="C581" s="76" t="s">
        <v>6</v>
      </c>
      <c r="D581" s="47"/>
      <c r="E581" s="47"/>
      <c r="F581" s="47"/>
      <c r="G581" s="47"/>
      <c r="H581" s="47"/>
      <c r="I581" s="47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  <c r="AD581" s="47"/>
      <c r="AE581" s="47"/>
      <c r="AF581" s="47"/>
      <c r="AG581" s="47"/>
      <c r="AH581" s="91"/>
    </row>
    <row r="582" spans="1:34" ht="15">
      <c r="A582" s="95" t="str">
        <f t="shared" si="26"/>
        <v>月度集中（市场用户负荷曲线）交易</v>
      </c>
      <c r="B582" s="3"/>
      <c r="C582" s="76" t="s">
        <v>7</v>
      </c>
      <c r="D582" s="47"/>
      <c r="E582" s="47"/>
      <c r="F582" s="47"/>
      <c r="G582" s="47"/>
      <c r="H582" s="47"/>
      <c r="I582" s="47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  <c r="AH582" s="91"/>
    </row>
    <row r="583" spans="1:34" ht="15">
      <c r="A583" s="95" t="str">
        <f t="shared" si="26"/>
        <v>月度集中（市场用户负荷曲线）交易</v>
      </c>
      <c r="B583" s="3"/>
      <c r="C583" s="76" t="s">
        <v>8</v>
      </c>
      <c r="D583" s="47"/>
      <c r="E583" s="47"/>
      <c r="F583" s="47"/>
      <c r="G583" s="47"/>
      <c r="H583" s="47"/>
      <c r="I583" s="47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  <c r="AD583" s="47"/>
      <c r="AE583" s="47"/>
      <c r="AF583" s="47"/>
      <c r="AG583" s="47"/>
      <c r="AH583" s="91"/>
    </row>
    <row r="584" spans="1:34" ht="15">
      <c r="A584" s="95" t="str">
        <f t="shared" si="26"/>
        <v>月度集中（市场用户负荷曲线）交易</v>
      </c>
      <c r="B584" s="3"/>
      <c r="C584" s="76" t="s">
        <v>9</v>
      </c>
      <c r="D584" s="47"/>
      <c r="E584" s="47"/>
      <c r="F584" s="47"/>
      <c r="G584" s="47"/>
      <c r="H584" s="47"/>
      <c r="I584" s="47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91"/>
    </row>
    <row r="585" spans="1:34" ht="15">
      <c r="A585" s="95" t="str">
        <f t="shared" si="26"/>
        <v>月度集中（市场用户负荷曲线）交易</v>
      </c>
      <c r="B585" s="3"/>
      <c r="C585" s="76" t="s">
        <v>10</v>
      </c>
      <c r="D585" s="47"/>
      <c r="E585" s="47"/>
      <c r="F585" s="47"/>
      <c r="G585" s="47"/>
      <c r="H585" s="47"/>
      <c r="I585" s="47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  <c r="AD585" s="47"/>
      <c r="AE585" s="47"/>
      <c r="AF585" s="47"/>
      <c r="AG585" s="47"/>
      <c r="AH585" s="91"/>
    </row>
    <row r="586" spans="1:34" ht="15">
      <c r="A586" s="95" t="str">
        <f t="shared" si="26"/>
        <v>月度集中（市场用户负荷曲线）交易</v>
      </c>
      <c r="B586" s="3"/>
      <c r="C586" s="76" t="s">
        <v>11</v>
      </c>
      <c r="D586" s="47"/>
      <c r="E586" s="47"/>
      <c r="F586" s="47"/>
      <c r="G586" s="47"/>
      <c r="H586" s="47"/>
      <c r="I586" s="47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91"/>
    </row>
    <row r="587" spans="1:34" ht="15">
      <c r="A587" s="95" t="str">
        <f t="shared" si="26"/>
        <v>月度集中（市场用户负荷曲线）交易</v>
      </c>
      <c r="B587" s="3"/>
      <c r="C587" s="76" t="s">
        <v>12</v>
      </c>
      <c r="D587" s="47"/>
      <c r="E587" s="47"/>
      <c r="F587" s="47"/>
      <c r="G587" s="47"/>
      <c r="H587" s="47"/>
      <c r="I587" s="47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  <c r="AD587" s="47"/>
      <c r="AE587" s="47"/>
      <c r="AF587" s="47"/>
      <c r="AG587" s="47"/>
      <c r="AH587" s="91"/>
    </row>
    <row r="588" spans="1:34" ht="15">
      <c r="A588" s="95" t="str">
        <f t="shared" si="26"/>
        <v>月度集中（市场用户负荷曲线）交易</v>
      </c>
      <c r="B588" s="3"/>
      <c r="C588" s="76" t="s">
        <v>13</v>
      </c>
      <c r="D588" s="47"/>
      <c r="E588" s="47"/>
      <c r="F588" s="47"/>
      <c r="G588" s="47"/>
      <c r="H588" s="47"/>
      <c r="I588" s="47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  <c r="AH588" s="91"/>
    </row>
    <row r="589" spans="1:34" ht="15">
      <c r="A589" s="95" t="str">
        <f t="shared" si="26"/>
        <v>月度集中（市场用户负荷曲线）交易</v>
      </c>
      <c r="B589" s="3"/>
      <c r="C589" s="76" t="s">
        <v>14</v>
      </c>
      <c r="D589" s="47"/>
      <c r="E589" s="47"/>
      <c r="F589" s="47"/>
      <c r="G589" s="47"/>
      <c r="H589" s="47"/>
      <c r="I589" s="47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  <c r="AD589" s="47"/>
      <c r="AE589" s="47"/>
      <c r="AF589" s="47"/>
      <c r="AG589" s="47"/>
      <c r="AH589" s="91"/>
    </row>
    <row r="590" spans="1:34" ht="15">
      <c r="A590" s="95" t="str">
        <f t="shared" si="26"/>
        <v>月度集中（市场用户负荷曲线）交易</v>
      </c>
      <c r="B590" s="3"/>
      <c r="C590" s="76" t="s">
        <v>15</v>
      </c>
      <c r="D590" s="47"/>
      <c r="E590" s="47"/>
      <c r="F590" s="47"/>
      <c r="G590" s="47"/>
      <c r="H590" s="47"/>
      <c r="I590" s="47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  <c r="AH590" s="91"/>
    </row>
    <row r="591" spans="1:34" ht="15">
      <c r="A591" s="95" t="str">
        <f t="shared" si="26"/>
        <v>月度集中（市场用户负荷曲线）交易</v>
      </c>
      <c r="B591" s="3"/>
      <c r="C591" s="76" t="s">
        <v>16</v>
      </c>
      <c r="D591" s="47"/>
      <c r="E591" s="47"/>
      <c r="F591" s="47"/>
      <c r="G591" s="47"/>
      <c r="H591" s="47"/>
      <c r="I591" s="47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  <c r="AD591" s="47"/>
      <c r="AE591" s="47"/>
      <c r="AF591" s="47"/>
      <c r="AG591" s="47"/>
      <c r="AH591" s="91"/>
    </row>
    <row r="592" spans="1:34" ht="15">
      <c r="A592" s="95" t="str">
        <f t="shared" si="26"/>
        <v>月度集中（市场用户负荷曲线）交易</v>
      </c>
      <c r="B592" s="3"/>
      <c r="C592" s="76" t="s">
        <v>17</v>
      </c>
      <c r="D592" s="47"/>
      <c r="E592" s="47"/>
      <c r="F592" s="47"/>
      <c r="G592" s="47"/>
      <c r="H592" s="47"/>
      <c r="I592" s="47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  <c r="AH592" s="91"/>
    </row>
    <row r="593" spans="1:34" ht="15">
      <c r="A593" s="95" t="str">
        <f t="shared" si="26"/>
        <v>月度集中（市场用户负荷曲线）交易</v>
      </c>
      <c r="B593" s="3"/>
      <c r="C593" s="76" t="s">
        <v>18</v>
      </c>
      <c r="D593" s="47"/>
      <c r="E593" s="47"/>
      <c r="F593" s="47"/>
      <c r="G593" s="47"/>
      <c r="H593" s="47"/>
      <c r="I593" s="47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  <c r="AD593" s="47"/>
      <c r="AE593" s="47"/>
      <c r="AF593" s="47"/>
      <c r="AG593" s="47"/>
      <c r="AH593" s="91"/>
    </row>
    <row r="594" spans="1:34" ht="15">
      <c r="A594" s="95" t="str">
        <f t="shared" si="26"/>
        <v>月度集中（市场用户负荷曲线）交易</v>
      </c>
      <c r="B594" s="3"/>
      <c r="C594" s="76" t="s">
        <v>19</v>
      </c>
      <c r="D594" s="47"/>
      <c r="E594" s="47"/>
      <c r="F594" s="47"/>
      <c r="G594" s="47"/>
      <c r="H594" s="47"/>
      <c r="I594" s="47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  <c r="AH594" s="91"/>
    </row>
    <row r="595" spans="1:34" ht="15">
      <c r="A595" s="95" t="str">
        <f t="shared" si="26"/>
        <v>月度集中（市场用户负荷曲线）交易</v>
      </c>
      <c r="B595" s="3"/>
      <c r="C595" s="76" t="s">
        <v>20</v>
      </c>
      <c r="D595" s="47"/>
      <c r="E595" s="47"/>
      <c r="F595" s="47"/>
      <c r="G595" s="47"/>
      <c r="H595" s="47"/>
      <c r="I595" s="47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  <c r="AD595" s="47"/>
      <c r="AE595" s="47"/>
      <c r="AF595" s="47"/>
      <c r="AG595" s="47"/>
      <c r="AH595" s="91"/>
    </row>
    <row r="596" spans="1:34" ht="15">
      <c r="A596" s="95" t="str">
        <f t="shared" si="26"/>
        <v>月度集中（市场用户负荷曲线）交易</v>
      </c>
      <c r="B596" s="3"/>
      <c r="C596" s="76" t="s">
        <v>21</v>
      </c>
      <c r="D596" s="47"/>
      <c r="E596" s="47"/>
      <c r="F596" s="47"/>
      <c r="G596" s="47"/>
      <c r="H596" s="47"/>
      <c r="I596" s="47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91"/>
    </row>
    <row r="597" spans="1:34" ht="15">
      <c r="A597" s="95" t="str">
        <f t="shared" si="26"/>
        <v>月度集中（市场用户负荷曲线）交易</v>
      </c>
      <c r="B597" s="3"/>
      <c r="C597" s="76" t="s">
        <v>22</v>
      </c>
      <c r="D597" s="47"/>
      <c r="E597" s="47"/>
      <c r="F597" s="47"/>
      <c r="G597" s="47"/>
      <c r="H597" s="47"/>
      <c r="I597" s="47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  <c r="AD597" s="47"/>
      <c r="AE597" s="47"/>
      <c r="AF597" s="47"/>
      <c r="AG597" s="47"/>
      <c r="AH597" s="91"/>
    </row>
    <row r="598" spans="1:34" ht="15">
      <c r="A598" s="95" t="str">
        <f t="shared" si="26"/>
        <v>月度集中（市场用户负荷曲线）交易</v>
      </c>
      <c r="B598" s="3"/>
      <c r="C598" s="76" t="s">
        <v>23</v>
      </c>
      <c r="D598" s="47"/>
      <c r="E598" s="47"/>
      <c r="F598" s="47"/>
      <c r="G598" s="47"/>
      <c r="H598" s="47"/>
      <c r="I598" s="47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  <c r="AH598" s="91"/>
    </row>
    <row r="599" spans="1:34" ht="15">
      <c r="A599" s="95" t="str">
        <f t="shared" si="26"/>
        <v>月度集中（市场用户负荷曲线）交易</v>
      </c>
      <c r="B599" s="3"/>
      <c r="C599" s="76" t="s">
        <v>24</v>
      </c>
      <c r="D599" s="47"/>
      <c r="E599" s="47"/>
      <c r="F599" s="47"/>
      <c r="G599" s="47"/>
      <c r="H599" s="47"/>
      <c r="I599" s="47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  <c r="AD599" s="47"/>
      <c r="AE599" s="47"/>
      <c r="AF599" s="47"/>
      <c r="AG599" s="47"/>
      <c r="AH599" s="91"/>
    </row>
    <row r="600" spans="1:34" ht="15">
      <c r="A600" s="95" t="str">
        <f t="shared" si="26"/>
        <v>月度集中（市场用户负荷曲线）交易</v>
      </c>
      <c r="B600" s="3"/>
      <c r="C600" s="76" t="s">
        <v>25</v>
      </c>
      <c r="D600" s="47"/>
      <c r="E600" s="47"/>
      <c r="F600" s="47"/>
      <c r="G600" s="47"/>
      <c r="H600" s="47"/>
      <c r="I600" s="47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  <c r="AH600" s="91"/>
    </row>
    <row r="601" spans="1:34" ht="15">
      <c r="A601" s="95" t="str">
        <f t="shared" si="26"/>
        <v>月度集中（市场用户负荷曲线）交易</v>
      </c>
      <c r="B601" s="3"/>
      <c r="C601" s="76" t="s">
        <v>26</v>
      </c>
      <c r="D601" s="47"/>
      <c r="E601" s="47"/>
      <c r="F601" s="47"/>
      <c r="G601" s="47"/>
      <c r="H601" s="47"/>
      <c r="I601" s="47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  <c r="AD601" s="47"/>
      <c r="AE601" s="47"/>
      <c r="AF601" s="47"/>
      <c r="AG601" s="47"/>
      <c r="AH601" s="91"/>
    </row>
    <row r="602" spans="1:34" ht="15">
      <c r="A602" s="95" t="str">
        <f t="shared" si="26"/>
        <v>月度集中（市场用户负荷曲线）交易</v>
      </c>
      <c r="B602" s="3"/>
      <c r="C602" s="76" t="s">
        <v>27</v>
      </c>
      <c r="D602" s="47"/>
      <c r="E602" s="47"/>
      <c r="F602" s="47"/>
      <c r="G602" s="47"/>
      <c r="H602" s="47"/>
      <c r="I602" s="47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  <c r="AH602" s="91"/>
    </row>
    <row r="603" spans="1:34" ht="15">
      <c r="A603" s="95" t="str">
        <f t="shared" si="26"/>
        <v>月度集中（市场用户负荷曲线）交易</v>
      </c>
      <c r="B603" s="3"/>
      <c r="C603" s="76" t="s">
        <v>28</v>
      </c>
      <c r="D603" s="47"/>
      <c r="E603" s="47"/>
      <c r="F603" s="47"/>
      <c r="G603" s="47"/>
      <c r="H603" s="47"/>
      <c r="I603" s="47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  <c r="AD603" s="47"/>
      <c r="AE603" s="47"/>
      <c r="AF603" s="47"/>
      <c r="AG603" s="47"/>
      <c r="AH603" s="91"/>
    </row>
    <row r="604" spans="1:34" ht="15">
      <c r="A604" s="95" t="str">
        <f t="shared" si="26"/>
        <v>月度集中（市场用户负荷曲线）交易</v>
      </c>
      <c r="B604" s="3"/>
      <c r="C604" s="76" t="s">
        <v>29</v>
      </c>
      <c r="D604" s="47"/>
      <c r="E604" s="47"/>
      <c r="F604" s="47"/>
      <c r="G604" s="47"/>
      <c r="H604" s="47"/>
      <c r="I604" s="47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  <c r="AH604" s="91"/>
    </row>
    <row r="605" spans="1:34" ht="15.75" thickBot="1">
      <c r="A605" s="95" t="str">
        <f t="shared" si="26"/>
        <v>月度集中（市场用户负荷曲线）交易</v>
      </c>
      <c r="B605" s="3"/>
      <c r="C605" s="77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9"/>
    </row>
    <row r="606" spans="1:34" ht="15.75" thickBot="1">
      <c r="A606" s="95" t="str">
        <f t="shared" si="26"/>
        <v>月度集中（市场用户负荷曲线）交易</v>
      </c>
      <c r="B606" s="3"/>
      <c r="C606" s="80" t="s">
        <v>63</v>
      </c>
      <c r="D606" s="9">
        <f>SUM(D581:D604)</f>
        <v>0</v>
      </c>
      <c r="E606" s="10">
        <f t="shared" ref="E606:AH606" si="27">SUM(E581:E604)</f>
        <v>0</v>
      </c>
      <c r="F606" s="10">
        <f t="shared" si="27"/>
        <v>0</v>
      </c>
      <c r="G606" s="10">
        <f t="shared" si="27"/>
        <v>0</v>
      </c>
      <c r="H606" s="10">
        <f t="shared" si="27"/>
        <v>0</v>
      </c>
      <c r="I606" s="10">
        <f t="shared" si="27"/>
        <v>0</v>
      </c>
      <c r="J606" s="10">
        <f t="shared" si="27"/>
        <v>0</v>
      </c>
      <c r="K606" s="10">
        <f t="shared" si="27"/>
        <v>0</v>
      </c>
      <c r="L606" s="10">
        <f t="shared" si="27"/>
        <v>0</v>
      </c>
      <c r="M606" s="10">
        <f t="shared" si="27"/>
        <v>0</v>
      </c>
      <c r="N606" s="10">
        <f t="shared" si="27"/>
        <v>0</v>
      </c>
      <c r="O606" s="10">
        <f t="shared" si="27"/>
        <v>0</v>
      </c>
      <c r="P606" s="10">
        <f t="shared" si="27"/>
        <v>0</v>
      </c>
      <c r="Q606" s="10">
        <f t="shared" si="27"/>
        <v>0</v>
      </c>
      <c r="R606" s="10">
        <f t="shared" si="27"/>
        <v>0</v>
      </c>
      <c r="S606" s="10">
        <f t="shared" si="27"/>
        <v>0</v>
      </c>
      <c r="T606" s="10">
        <f t="shared" si="27"/>
        <v>0</v>
      </c>
      <c r="U606" s="10">
        <f t="shared" si="27"/>
        <v>0</v>
      </c>
      <c r="V606" s="10">
        <f t="shared" si="27"/>
        <v>0</v>
      </c>
      <c r="W606" s="10">
        <f t="shared" si="27"/>
        <v>0</v>
      </c>
      <c r="X606" s="10">
        <f t="shared" si="27"/>
        <v>0</v>
      </c>
      <c r="Y606" s="10">
        <f t="shared" si="27"/>
        <v>0</v>
      </c>
      <c r="Z606" s="10">
        <f t="shared" si="27"/>
        <v>0</v>
      </c>
      <c r="AA606" s="10">
        <f t="shared" si="27"/>
        <v>0</v>
      </c>
      <c r="AB606" s="10">
        <f t="shared" si="27"/>
        <v>0</v>
      </c>
      <c r="AC606" s="10">
        <f t="shared" si="27"/>
        <v>0</v>
      </c>
      <c r="AD606" s="10">
        <f t="shared" si="27"/>
        <v>0</v>
      </c>
      <c r="AE606" s="10">
        <f t="shared" si="27"/>
        <v>0</v>
      </c>
      <c r="AF606" s="10">
        <f t="shared" si="27"/>
        <v>0</v>
      </c>
      <c r="AG606" s="10">
        <f t="shared" si="27"/>
        <v>0</v>
      </c>
      <c r="AH606" s="49">
        <f t="shared" si="27"/>
        <v>0</v>
      </c>
    </row>
    <row r="607" spans="1:34" ht="15.75" thickBot="1">
      <c r="A607" s="95" t="str">
        <f t="shared" si="26"/>
        <v>月度集中（市场用户负荷曲线）交易</v>
      </c>
      <c r="B607" s="3"/>
      <c r="C607" s="77"/>
      <c r="D607" s="15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81"/>
    </row>
    <row r="608" spans="1:34" ht="15.75" thickBot="1">
      <c r="A608" s="95" t="str">
        <f t="shared" si="26"/>
        <v>月度集中（市场用户负荷曲线）交易</v>
      </c>
      <c r="B608" s="3"/>
      <c r="C608" s="80" t="s">
        <v>64</v>
      </c>
      <c r="D608" s="12">
        <f>SUM(D606:AH606)</f>
        <v>0</v>
      </c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81"/>
    </row>
    <row r="609" spans="1:34" ht="15">
      <c r="A609" s="95" t="str">
        <f t="shared" si="26"/>
        <v>月度集中（市场用户负荷曲线）交易</v>
      </c>
      <c r="B609" s="3"/>
      <c r="C609" s="77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81"/>
    </row>
    <row r="610" spans="1:34" ht="22.5">
      <c r="A610" s="95" t="str">
        <f t="shared" si="26"/>
        <v>月度集中（市场用户负荷曲线）交易</v>
      </c>
      <c r="B610" s="3"/>
      <c r="C610" s="154" t="str">
        <f>C578&amp;"电价(元/MWh)"</f>
        <v>月度集中（市场用户负荷曲线）交易电价(元/MWh)</v>
      </c>
      <c r="D610" s="155"/>
      <c r="E610" s="155"/>
      <c r="F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  <c r="AA610" s="155"/>
      <c r="AB610" s="155"/>
      <c r="AC610" s="155"/>
      <c r="AD610" s="155"/>
      <c r="AE610" s="155"/>
      <c r="AF610" s="155"/>
      <c r="AG610" s="155"/>
      <c r="AH610" s="156"/>
    </row>
    <row r="611" spans="1:34" ht="15">
      <c r="A611" s="95" t="str">
        <f t="shared" si="26"/>
        <v>月度集中（市场用户负荷曲线）交易</v>
      </c>
      <c r="B611" s="3"/>
      <c r="C611" s="74" t="s">
        <v>31</v>
      </c>
      <c r="D611" s="5" t="s">
        <v>32</v>
      </c>
      <c r="E611" s="6" t="s">
        <v>33</v>
      </c>
      <c r="F611" s="6" t="s">
        <v>34</v>
      </c>
      <c r="G611" s="6" t="s">
        <v>35</v>
      </c>
      <c r="H611" s="6" t="s">
        <v>36</v>
      </c>
      <c r="I611" s="6" t="s">
        <v>37</v>
      </c>
      <c r="J611" s="6" t="s">
        <v>38</v>
      </c>
      <c r="K611" s="6" t="s">
        <v>39</v>
      </c>
      <c r="L611" s="6" t="s">
        <v>40</v>
      </c>
      <c r="M611" s="6" t="s">
        <v>41</v>
      </c>
      <c r="N611" s="6" t="s">
        <v>42</v>
      </c>
      <c r="O611" s="6" t="s">
        <v>43</v>
      </c>
      <c r="P611" s="6" t="s">
        <v>44</v>
      </c>
      <c r="Q611" s="6" t="s">
        <v>45</v>
      </c>
      <c r="R611" s="6" t="s">
        <v>46</v>
      </c>
      <c r="S611" s="6" t="s">
        <v>47</v>
      </c>
      <c r="T611" s="6" t="s">
        <v>48</v>
      </c>
      <c r="U611" s="6" t="s">
        <v>49</v>
      </c>
      <c r="V611" s="6" t="s">
        <v>50</v>
      </c>
      <c r="W611" s="6" t="s">
        <v>51</v>
      </c>
      <c r="X611" s="6" t="s">
        <v>52</v>
      </c>
      <c r="Y611" s="6" t="s">
        <v>53</v>
      </c>
      <c r="Z611" s="6" t="s">
        <v>54</v>
      </c>
      <c r="AA611" s="6" t="s">
        <v>55</v>
      </c>
      <c r="AB611" s="6" t="s">
        <v>56</v>
      </c>
      <c r="AC611" s="6" t="s">
        <v>57</v>
      </c>
      <c r="AD611" s="6" t="s">
        <v>58</v>
      </c>
      <c r="AE611" s="6" t="s">
        <v>59</v>
      </c>
      <c r="AF611" s="6" t="s">
        <v>60</v>
      </c>
      <c r="AG611" s="6" t="s">
        <v>61</v>
      </c>
      <c r="AH611" s="75" t="s">
        <v>62</v>
      </c>
    </row>
    <row r="612" spans="1:34" ht="15">
      <c r="A612" s="95" t="str">
        <f t="shared" si="26"/>
        <v>月度集中（市场用户负荷曲线）交易</v>
      </c>
      <c r="B612" s="3"/>
      <c r="C612" s="76" t="s">
        <v>6</v>
      </c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92"/>
    </row>
    <row r="613" spans="1:34" ht="15">
      <c r="A613" s="95" t="str">
        <f t="shared" si="26"/>
        <v>月度集中（市场用户负荷曲线）交易</v>
      </c>
      <c r="B613" s="3"/>
      <c r="C613" s="76" t="s">
        <v>7</v>
      </c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92"/>
    </row>
    <row r="614" spans="1:34" ht="15">
      <c r="A614" s="95" t="str">
        <f t="shared" si="26"/>
        <v>月度集中（市场用户负荷曲线）交易</v>
      </c>
      <c r="B614" s="3"/>
      <c r="C614" s="76" t="s">
        <v>8</v>
      </c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92"/>
    </row>
    <row r="615" spans="1:34" ht="15">
      <c r="A615" s="95" t="str">
        <f t="shared" si="26"/>
        <v>月度集中（市场用户负荷曲线）交易</v>
      </c>
      <c r="B615" s="3"/>
      <c r="C615" s="76" t="s">
        <v>9</v>
      </c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92"/>
    </row>
    <row r="616" spans="1:34" ht="15">
      <c r="A616" s="95" t="str">
        <f t="shared" si="26"/>
        <v>月度集中（市场用户负荷曲线）交易</v>
      </c>
      <c r="B616" s="3"/>
      <c r="C616" s="76" t="s">
        <v>10</v>
      </c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92"/>
    </row>
    <row r="617" spans="1:34" ht="15">
      <c r="A617" s="95" t="str">
        <f t="shared" si="26"/>
        <v>月度集中（市场用户负荷曲线）交易</v>
      </c>
      <c r="B617" s="3"/>
      <c r="C617" s="76" t="s">
        <v>11</v>
      </c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92"/>
    </row>
    <row r="618" spans="1:34" ht="15">
      <c r="A618" s="95" t="str">
        <f t="shared" si="26"/>
        <v>月度集中（市场用户负荷曲线）交易</v>
      </c>
      <c r="B618" s="3"/>
      <c r="C618" s="76" t="s">
        <v>12</v>
      </c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92"/>
    </row>
    <row r="619" spans="1:34" ht="15">
      <c r="A619" s="95" t="str">
        <f t="shared" si="26"/>
        <v>月度集中（市场用户负荷曲线）交易</v>
      </c>
      <c r="B619" s="3"/>
      <c r="C619" s="76" t="s">
        <v>13</v>
      </c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92"/>
    </row>
    <row r="620" spans="1:34" ht="15">
      <c r="A620" s="95" t="str">
        <f t="shared" si="26"/>
        <v>月度集中（市场用户负荷曲线）交易</v>
      </c>
      <c r="B620" s="3"/>
      <c r="C620" s="76" t="s">
        <v>14</v>
      </c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92"/>
    </row>
    <row r="621" spans="1:34" ht="15">
      <c r="A621" s="95" t="str">
        <f t="shared" si="26"/>
        <v>月度集中（市场用户负荷曲线）交易</v>
      </c>
      <c r="B621" s="3"/>
      <c r="C621" s="76" t="s">
        <v>15</v>
      </c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92"/>
    </row>
    <row r="622" spans="1:34" ht="15">
      <c r="A622" s="95" t="str">
        <f t="shared" si="26"/>
        <v>月度集中（市场用户负荷曲线）交易</v>
      </c>
      <c r="B622" s="3"/>
      <c r="C622" s="76" t="s">
        <v>16</v>
      </c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92"/>
    </row>
    <row r="623" spans="1:34" ht="15">
      <c r="A623" s="95" t="str">
        <f t="shared" si="26"/>
        <v>月度集中（市场用户负荷曲线）交易</v>
      </c>
      <c r="B623" s="3"/>
      <c r="C623" s="76" t="s">
        <v>17</v>
      </c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92"/>
    </row>
    <row r="624" spans="1:34" ht="15">
      <c r="A624" s="95" t="str">
        <f t="shared" si="26"/>
        <v>月度集中（市场用户负荷曲线）交易</v>
      </c>
      <c r="B624" s="3"/>
      <c r="C624" s="76" t="s">
        <v>18</v>
      </c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92"/>
    </row>
    <row r="625" spans="1:34" ht="15">
      <c r="A625" s="95" t="str">
        <f t="shared" si="26"/>
        <v>月度集中（市场用户负荷曲线）交易</v>
      </c>
      <c r="B625" s="3"/>
      <c r="C625" s="76" t="s">
        <v>19</v>
      </c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92"/>
    </row>
    <row r="626" spans="1:34" ht="15">
      <c r="A626" s="95" t="str">
        <f t="shared" si="26"/>
        <v>月度集中（市场用户负荷曲线）交易</v>
      </c>
      <c r="B626" s="3"/>
      <c r="C626" s="76" t="s">
        <v>20</v>
      </c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92"/>
    </row>
    <row r="627" spans="1:34" ht="15">
      <c r="A627" s="95" t="str">
        <f t="shared" si="26"/>
        <v>月度集中（市场用户负荷曲线）交易</v>
      </c>
      <c r="B627" s="3"/>
      <c r="C627" s="76" t="s">
        <v>21</v>
      </c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92"/>
    </row>
    <row r="628" spans="1:34" ht="15">
      <c r="A628" s="95" t="str">
        <f t="shared" si="26"/>
        <v>月度集中（市场用户负荷曲线）交易</v>
      </c>
      <c r="B628" s="3"/>
      <c r="C628" s="76" t="s">
        <v>22</v>
      </c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92"/>
    </row>
    <row r="629" spans="1:34" ht="15">
      <c r="A629" s="95" t="str">
        <f t="shared" si="26"/>
        <v>月度集中（市场用户负荷曲线）交易</v>
      </c>
      <c r="B629" s="3"/>
      <c r="C629" s="76" t="s">
        <v>23</v>
      </c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92"/>
    </row>
    <row r="630" spans="1:34" ht="15">
      <c r="A630" s="95" t="str">
        <f t="shared" si="26"/>
        <v>月度集中（市场用户负荷曲线）交易</v>
      </c>
      <c r="B630" s="3"/>
      <c r="C630" s="76" t="s">
        <v>24</v>
      </c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92"/>
    </row>
    <row r="631" spans="1:34" ht="15">
      <c r="A631" s="95" t="str">
        <f t="shared" si="26"/>
        <v>月度集中（市场用户负荷曲线）交易</v>
      </c>
      <c r="B631" s="3"/>
      <c r="C631" s="76" t="s">
        <v>25</v>
      </c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92"/>
    </row>
    <row r="632" spans="1:34" ht="15">
      <c r="A632" s="95" t="str">
        <f t="shared" si="26"/>
        <v>月度集中（市场用户负荷曲线）交易</v>
      </c>
      <c r="B632" s="3"/>
      <c r="C632" s="76" t="s">
        <v>26</v>
      </c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92"/>
    </row>
    <row r="633" spans="1:34" ht="15">
      <c r="A633" s="95" t="str">
        <f t="shared" si="26"/>
        <v>月度集中（市场用户负荷曲线）交易</v>
      </c>
      <c r="B633" s="3"/>
      <c r="C633" s="76" t="s">
        <v>27</v>
      </c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92"/>
    </row>
    <row r="634" spans="1:34" ht="15">
      <c r="A634" s="95" t="str">
        <f t="shared" si="26"/>
        <v>月度集中（市场用户负荷曲线）交易</v>
      </c>
      <c r="B634" s="3"/>
      <c r="C634" s="76" t="s">
        <v>28</v>
      </c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92"/>
    </row>
    <row r="635" spans="1:34" ht="15">
      <c r="A635" s="95" t="str">
        <f t="shared" si="26"/>
        <v>月度集中（市场用户负荷曲线）交易</v>
      </c>
      <c r="B635" s="3"/>
      <c r="C635" s="76" t="s">
        <v>29</v>
      </c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92"/>
    </row>
    <row r="636" spans="1:34" ht="15.75" thickBot="1">
      <c r="A636" s="95" t="str">
        <f t="shared" si="26"/>
        <v>月度集中（市场用户负荷曲线）交易</v>
      </c>
      <c r="B636" s="3"/>
      <c r="C636" s="77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81"/>
    </row>
    <row r="637" spans="1:34" ht="15.75" thickBot="1">
      <c r="A637" s="95" t="str">
        <f t="shared" si="26"/>
        <v>月度集中（市场用户负荷曲线）交易</v>
      </c>
      <c r="B637" s="3"/>
      <c r="C637" s="80" t="s">
        <v>63</v>
      </c>
      <c r="D637" s="9">
        <f t="shared" ref="D637:AH637" si="28">IFERROR(SUMPRODUCT(D612:D635,D581:D604)/D606,0)</f>
        <v>0</v>
      </c>
      <c r="E637" s="10">
        <f t="shared" si="28"/>
        <v>0</v>
      </c>
      <c r="F637" s="10">
        <f t="shared" si="28"/>
        <v>0</v>
      </c>
      <c r="G637" s="10">
        <f t="shared" si="28"/>
        <v>0</v>
      </c>
      <c r="H637" s="10">
        <f t="shared" si="28"/>
        <v>0</v>
      </c>
      <c r="I637" s="10">
        <f t="shared" si="28"/>
        <v>0</v>
      </c>
      <c r="J637" s="10">
        <f t="shared" si="28"/>
        <v>0</v>
      </c>
      <c r="K637" s="10">
        <f t="shared" si="28"/>
        <v>0</v>
      </c>
      <c r="L637" s="10">
        <f t="shared" si="28"/>
        <v>0</v>
      </c>
      <c r="M637" s="10">
        <f t="shared" si="28"/>
        <v>0</v>
      </c>
      <c r="N637" s="10">
        <f t="shared" si="28"/>
        <v>0</v>
      </c>
      <c r="O637" s="10">
        <f t="shared" si="28"/>
        <v>0</v>
      </c>
      <c r="P637" s="10">
        <f t="shared" si="28"/>
        <v>0</v>
      </c>
      <c r="Q637" s="10">
        <f t="shared" si="28"/>
        <v>0</v>
      </c>
      <c r="R637" s="10">
        <f t="shared" si="28"/>
        <v>0</v>
      </c>
      <c r="S637" s="10">
        <f t="shared" si="28"/>
        <v>0</v>
      </c>
      <c r="T637" s="10">
        <f t="shared" si="28"/>
        <v>0</v>
      </c>
      <c r="U637" s="10">
        <f t="shared" si="28"/>
        <v>0</v>
      </c>
      <c r="V637" s="10">
        <f t="shared" si="28"/>
        <v>0</v>
      </c>
      <c r="W637" s="10">
        <f t="shared" si="28"/>
        <v>0</v>
      </c>
      <c r="X637" s="10">
        <f t="shared" si="28"/>
        <v>0</v>
      </c>
      <c r="Y637" s="10">
        <f t="shared" si="28"/>
        <v>0</v>
      </c>
      <c r="Z637" s="10">
        <f t="shared" si="28"/>
        <v>0</v>
      </c>
      <c r="AA637" s="10">
        <f t="shared" si="28"/>
        <v>0</v>
      </c>
      <c r="AB637" s="10">
        <f t="shared" si="28"/>
        <v>0</v>
      </c>
      <c r="AC637" s="10">
        <f t="shared" si="28"/>
        <v>0</v>
      </c>
      <c r="AD637" s="10">
        <f t="shared" si="28"/>
        <v>0</v>
      </c>
      <c r="AE637" s="10">
        <f t="shared" si="28"/>
        <v>0</v>
      </c>
      <c r="AF637" s="10">
        <f t="shared" si="28"/>
        <v>0</v>
      </c>
      <c r="AG637" s="10">
        <f t="shared" si="28"/>
        <v>0</v>
      </c>
      <c r="AH637" s="49">
        <f t="shared" si="28"/>
        <v>0</v>
      </c>
    </row>
    <row r="638" spans="1:34" ht="15.75" thickBot="1">
      <c r="A638" s="95" t="str">
        <f t="shared" si="26"/>
        <v>月度集中（市场用户负荷曲线）交易</v>
      </c>
      <c r="B638" s="3"/>
      <c r="C638" s="77"/>
      <c r="D638" s="15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81"/>
    </row>
    <row r="639" spans="1:34" ht="15.75" thickBot="1">
      <c r="A639" s="95" t="str">
        <f t="shared" si="26"/>
        <v>月度集中（市场用户负荷曲线）交易</v>
      </c>
      <c r="B639" s="3"/>
      <c r="C639" s="80" t="s">
        <v>64</v>
      </c>
      <c r="D639" s="12">
        <f>IFERROR(SUMPRODUCT(D606:AH606,D637:AH637)/D608,0)</f>
        <v>0</v>
      </c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81"/>
    </row>
    <row r="640" spans="1:34" ht="15.75" thickBot="1">
      <c r="A640" s="95" t="str">
        <f t="shared" si="26"/>
        <v>月度集中（市场用户负荷曲线）交易</v>
      </c>
      <c r="B640" s="3"/>
      <c r="C640" s="93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5"/>
    </row>
    <row r="641" spans="1:34" ht="15" thickBot="1">
      <c r="A641" s="95" t="str">
        <f t="shared" si="26"/>
        <v>月度集中（市场用户负荷曲线）交易</v>
      </c>
    </row>
    <row r="642" spans="1:34" ht="23.25">
      <c r="A642" s="95" t="str">
        <f>C642</f>
        <v>月度分时集中交易</v>
      </c>
      <c r="C642" s="170" t="s">
        <v>106</v>
      </c>
      <c r="D642" s="171"/>
      <c r="E642" s="171"/>
      <c r="F642" s="171"/>
      <c r="G642" s="171"/>
      <c r="H642" s="171"/>
      <c r="I642" s="171"/>
      <c r="J642" s="171"/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  <c r="AA642" s="171"/>
      <c r="AB642" s="171"/>
      <c r="AC642" s="171"/>
      <c r="AD642" s="171"/>
      <c r="AE642" s="171"/>
      <c r="AF642" s="171"/>
      <c r="AG642" s="171"/>
      <c r="AH642" s="172"/>
    </row>
    <row r="643" spans="1:34" ht="22.5">
      <c r="A643" s="95" t="str">
        <f t="shared" si="26"/>
        <v>月度分时集中交易</v>
      </c>
      <c r="B643" s="3"/>
      <c r="C643" s="154" t="str">
        <f>C642&amp;"电量(MWh)"</f>
        <v>月度分时集中交易电量(MWh)</v>
      </c>
      <c r="D643" s="155"/>
      <c r="E643" s="155"/>
      <c r="F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  <c r="AA643" s="155"/>
      <c r="AB643" s="155"/>
      <c r="AC643" s="155"/>
      <c r="AD643" s="155"/>
      <c r="AE643" s="155"/>
      <c r="AF643" s="155"/>
      <c r="AG643" s="155"/>
      <c r="AH643" s="156"/>
    </row>
    <row r="644" spans="1:34" ht="15">
      <c r="A644" s="95" t="str">
        <f t="shared" ref="A644:A707" si="29">A643</f>
        <v>月度分时集中交易</v>
      </c>
      <c r="B644" s="3"/>
      <c r="C644" s="74" t="s">
        <v>31</v>
      </c>
      <c r="D644" s="5" t="s">
        <v>32</v>
      </c>
      <c r="E644" s="6" t="s">
        <v>33</v>
      </c>
      <c r="F644" s="6" t="s">
        <v>34</v>
      </c>
      <c r="G644" s="6" t="s">
        <v>35</v>
      </c>
      <c r="H644" s="6" t="s">
        <v>36</v>
      </c>
      <c r="I644" s="6" t="s">
        <v>37</v>
      </c>
      <c r="J644" s="6" t="s">
        <v>38</v>
      </c>
      <c r="K644" s="6" t="s">
        <v>39</v>
      </c>
      <c r="L644" s="6" t="s">
        <v>40</v>
      </c>
      <c r="M644" s="6" t="s">
        <v>41</v>
      </c>
      <c r="N644" s="6" t="s">
        <v>42</v>
      </c>
      <c r="O644" s="6" t="s">
        <v>43</v>
      </c>
      <c r="P644" s="6" t="s">
        <v>44</v>
      </c>
      <c r="Q644" s="6" t="s">
        <v>45</v>
      </c>
      <c r="R644" s="6" t="s">
        <v>46</v>
      </c>
      <c r="S644" s="6" t="s">
        <v>47</v>
      </c>
      <c r="T644" s="6" t="s">
        <v>48</v>
      </c>
      <c r="U644" s="6" t="s">
        <v>49</v>
      </c>
      <c r="V644" s="6" t="s">
        <v>50</v>
      </c>
      <c r="W644" s="6" t="s">
        <v>51</v>
      </c>
      <c r="X644" s="6" t="s">
        <v>52</v>
      </c>
      <c r="Y644" s="6" t="s">
        <v>53</v>
      </c>
      <c r="Z644" s="6" t="s">
        <v>54</v>
      </c>
      <c r="AA644" s="6" t="s">
        <v>55</v>
      </c>
      <c r="AB644" s="6" t="s">
        <v>56</v>
      </c>
      <c r="AC644" s="6" t="s">
        <v>57</v>
      </c>
      <c r="AD644" s="6" t="s">
        <v>58</v>
      </c>
      <c r="AE644" s="6" t="s">
        <v>59</v>
      </c>
      <c r="AF644" s="6" t="s">
        <v>60</v>
      </c>
      <c r="AG644" s="6" t="s">
        <v>61</v>
      </c>
      <c r="AH644" s="75" t="s">
        <v>62</v>
      </c>
    </row>
    <row r="645" spans="1:34" ht="15">
      <c r="A645" s="95" t="str">
        <f t="shared" si="29"/>
        <v>月度分时集中交易</v>
      </c>
      <c r="B645" s="3"/>
      <c r="C645" s="76" t="s">
        <v>6</v>
      </c>
      <c r="D645" s="47"/>
      <c r="E645" s="47"/>
      <c r="F645" s="47"/>
      <c r="G645" s="47"/>
      <c r="H645" s="47"/>
      <c r="I645" s="47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  <c r="AD645" s="47"/>
      <c r="AE645" s="47"/>
      <c r="AF645" s="47"/>
      <c r="AG645" s="47"/>
      <c r="AH645" s="91"/>
    </row>
    <row r="646" spans="1:34" ht="15">
      <c r="A646" s="95" t="str">
        <f t="shared" si="29"/>
        <v>月度分时集中交易</v>
      </c>
      <c r="B646" s="3"/>
      <c r="C646" s="76" t="s">
        <v>7</v>
      </c>
      <c r="D646" s="47"/>
      <c r="E646" s="47"/>
      <c r="F646" s="47"/>
      <c r="G646" s="47"/>
      <c r="H646" s="47"/>
      <c r="I646" s="47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91"/>
    </row>
    <row r="647" spans="1:34" ht="15">
      <c r="A647" s="95" t="str">
        <f t="shared" si="29"/>
        <v>月度分时集中交易</v>
      </c>
      <c r="B647" s="3"/>
      <c r="C647" s="76" t="s">
        <v>8</v>
      </c>
      <c r="D647" s="47"/>
      <c r="E647" s="47"/>
      <c r="F647" s="47"/>
      <c r="G647" s="47"/>
      <c r="H647" s="47"/>
      <c r="I647" s="47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  <c r="AD647" s="47"/>
      <c r="AE647" s="47"/>
      <c r="AF647" s="47"/>
      <c r="AG647" s="47"/>
      <c r="AH647" s="91"/>
    </row>
    <row r="648" spans="1:34" ht="15">
      <c r="A648" s="95" t="str">
        <f t="shared" si="29"/>
        <v>月度分时集中交易</v>
      </c>
      <c r="B648" s="3"/>
      <c r="C648" s="76" t="s">
        <v>9</v>
      </c>
      <c r="D648" s="47"/>
      <c r="E648" s="47"/>
      <c r="F648" s="47"/>
      <c r="G648" s="47"/>
      <c r="H648" s="47"/>
      <c r="I648" s="47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91"/>
    </row>
    <row r="649" spans="1:34" ht="15">
      <c r="A649" s="95" t="str">
        <f t="shared" si="29"/>
        <v>月度分时集中交易</v>
      </c>
      <c r="B649" s="3"/>
      <c r="C649" s="76" t="s">
        <v>10</v>
      </c>
      <c r="D649" s="47"/>
      <c r="E649" s="47"/>
      <c r="F649" s="47"/>
      <c r="G649" s="47"/>
      <c r="H649" s="47"/>
      <c r="I649" s="47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  <c r="AD649" s="47"/>
      <c r="AE649" s="47"/>
      <c r="AF649" s="47"/>
      <c r="AG649" s="47"/>
      <c r="AH649" s="91"/>
    </row>
    <row r="650" spans="1:34" ht="15">
      <c r="A650" s="95" t="str">
        <f t="shared" si="29"/>
        <v>月度分时集中交易</v>
      </c>
      <c r="B650" s="3"/>
      <c r="C650" s="76" t="s">
        <v>11</v>
      </c>
      <c r="D650" s="47"/>
      <c r="E650" s="47"/>
      <c r="F650" s="47"/>
      <c r="G650" s="47"/>
      <c r="H650" s="47"/>
      <c r="I650" s="47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91"/>
    </row>
    <row r="651" spans="1:34" ht="15">
      <c r="A651" s="95" t="str">
        <f t="shared" si="29"/>
        <v>月度分时集中交易</v>
      </c>
      <c r="B651" s="3"/>
      <c r="C651" s="76" t="s">
        <v>12</v>
      </c>
      <c r="D651" s="47"/>
      <c r="E651" s="47"/>
      <c r="F651" s="47"/>
      <c r="G651" s="47"/>
      <c r="H651" s="47"/>
      <c r="I651" s="47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  <c r="AD651" s="47"/>
      <c r="AE651" s="47"/>
      <c r="AF651" s="47"/>
      <c r="AG651" s="47"/>
      <c r="AH651" s="91"/>
    </row>
    <row r="652" spans="1:34" ht="15">
      <c r="A652" s="95" t="str">
        <f t="shared" si="29"/>
        <v>月度分时集中交易</v>
      </c>
      <c r="B652" s="3"/>
      <c r="C652" s="76" t="s">
        <v>13</v>
      </c>
      <c r="D652" s="47"/>
      <c r="E652" s="47"/>
      <c r="F652" s="47"/>
      <c r="G652" s="47"/>
      <c r="H652" s="47"/>
      <c r="I652" s="47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91"/>
    </row>
    <row r="653" spans="1:34" ht="15">
      <c r="A653" s="95" t="str">
        <f t="shared" si="29"/>
        <v>月度分时集中交易</v>
      </c>
      <c r="B653" s="3"/>
      <c r="C653" s="76" t="s">
        <v>14</v>
      </c>
      <c r="D653" s="47"/>
      <c r="E653" s="47"/>
      <c r="F653" s="47"/>
      <c r="G653" s="47"/>
      <c r="H653" s="47"/>
      <c r="I653" s="47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  <c r="AD653" s="47"/>
      <c r="AE653" s="47"/>
      <c r="AF653" s="47"/>
      <c r="AG653" s="47"/>
      <c r="AH653" s="91"/>
    </row>
    <row r="654" spans="1:34" ht="15">
      <c r="A654" s="95" t="str">
        <f t="shared" si="29"/>
        <v>月度分时集中交易</v>
      </c>
      <c r="B654" s="3"/>
      <c r="C654" s="76" t="s">
        <v>15</v>
      </c>
      <c r="D654" s="47"/>
      <c r="E654" s="47"/>
      <c r="F654" s="47"/>
      <c r="G654" s="47"/>
      <c r="H654" s="47"/>
      <c r="I654" s="47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91"/>
    </row>
    <row r="655" spans="1:34" ht="15">
      <c r="A655" s="95" t="str">
        <f t="shared" si="29"/>
        <v>月度分时集中交易</v>
      </c>
      <c r="B655" s="3"/>
      <c r="C655" s="76" t="s">
        <v>16</v>
      </c>
      <c r="D655" s="47"/>
      <c r="E655" s="47"/>
      <c r="F655" s="47"/>
      <c r="G655" s="47"/>
      <c r="H655" s="47"/>
      <c r="I655" s="47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  <c r="AD655" s="47"/>
      <c r="AE655" s="47"/>
      <c r="AF655" s="47"/>
      <c r="AG655" s="47"/>
      <c r="AH655" s="91"/>
    </row>
    <row r="656" spans="1:34" ht="15">
      <c r="A656" s="95" t="str">
        <f t="shared" si="29"/>
        <v>月度分时集中交易</v>
      </c>
      <c r="B656" s="3"/>
      <c r="C656" s="76" t="s">
        <v>17</v>
      </c>
      <c r="D656" s="47"/>
      <c r="E656" s="47"/>
      <c r="F656" s="47"/>
      <c r="G656" s="47"/>
      <c r="H656" s="47"/>
      <c r="I656" s="47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91"/>
    </row>
    <row r="657" spans="1:34" ht="15">
      <c r="A657" s="95" t="str">
        <f t="shared" si="29"/>
        <v>月度分时集中交易</v>
      </c>
      <c r="B657" s="3"/>
      <c r="C657" s="76" t="s">
        <v>18</v>
      </c>
      <c r="D657" s="47"/>
      <c r="E657" s="47"/>
      <c r="F657" s="47"/>
      <c r="G657" s="47"/>
      <c r="H657" s="47"/>
      <c r="I657" s="47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  <c r="AD657" s="47"/>
      <c r="AE657" s="47"/>
      <c r="AF657" s="47"/>
      <c r="AG657" s="47"/>
      <c r="AH657" s="91"/>
    </row>
    <row r="658" spans="1:34" ht="15">
      <c r="A658" s="95" t="str">
        <f t="shared" si="29"/>
        <v>月度分时集中交易</v>
      </c>
      <c r="B658" s="3"/>
      <c r="C658" s="76" t="s">
        <v>19</v>
      </c>
      <c r="D658" s="47"/>
      <c r="E658" s="47"/>
      <c r="F658" s="47"/>
      <c r="G658" s="47"/>
      <c r="H658" s="47"/>
      <c r="I658" s="47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91"/>
    </row>
    <row r="659" spans="1:34" ht="15">
      <c r="A659" s="95" t="str">
        <f t="shared" si="29"/>
        <v>月度分时集中交易</v>
      </c>
      <c r="B659" s="3"/>
      <c r="C659" s="76" t="s">
        <v>20</v>
      </c>
      <c r="D659" s="47"/>
      <c r="E659" s="47"/>
      <c r="F659" s="47"/>
      <c r="G659" s="47"/>
      <c r="H659" s="47"/>
      <c r="I659" s="47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  <c r="AD659" s="47"/>
      <c r="AE659" s="47"/>
      <c r="AF659" s="47"/>
      <c r="AG659" s="47"/>
      <c r="AH659" s="91"/>
    </row>
    <row r="660" spans="1:34" ht="15">
      <c r="A660" s="95" t="str">
        <f t="shared" si="29"/>
        <v>月度分时集中交易</v>
      </c>
      <c r="B660" s="3"/>
      <c r="C660" s="76" t="s">
        <v>21</v>
      </c>
      <c r="D660" s="47"/>
      <c r="E660" s="47"/>
      <c r="F660" s="47"/>
      <c r="G660" s="47"/>
      <c r="H660" s="47"/>
      <c r="I660" s="47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91"/>
    </row>
    <row r="661" spans="1:34" ht="15">
      <c r="A661" s="95" t="str">
        <f t="shared" si="29"/>
        <v>月度分时集中交易</v>
      </c>
      <c r="B661" s="3"/>
      <c r="C661" s="76" t="s">
        <v>22</v>
      </c>
      <c r="D661" s="47"/>
      <c r="E661" s="47"/>
      <c r="F661" s="47"/>
      <c r="G661" s="47"/>
      <c r="H661" s="47"/>
      <c r="I661" s="47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  <c r="AD661" s="47"/>
      <c r="AE661" s="47"/>
      <c r="AF661" s="47"/>
      <c r="AG661" s="47"/>
      <c r="AH661" s="91"/>
    </row>
    <row r="662" spans="1:34" ht="15">
      <c r="A662" s="95" t="str">
        <f t="shared" si="29"/>
        <v>月度分时集中交易</v>
      </c>
      <c r="B662" s="3"/>
      <c r="C662" s="76" t="s">
        <v>23</v>
      </c>
      <c r="D662" s="47"/>
      <c r="E662" s="47"/>
      <c r="F662" s="47"/>
      <c r="G662" s="47"/>
      <c r="H662" s="47"/>
      <c r="I662" s="47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91"/>
    </row>
    <row r="663" spans="1:34" ht="15">
      <c r="A663" s="95" t="str">
        <f t="shared" si="29"/>
        <v>月度分时集中交易</v>
      </c>
      <c r="B663" s="3"/>
      <c r="C663" s="76" t="s">
        <v>24</v>
      </c>
      <c r="D663" s="47"/>
      <c r="E663" s="47"/>
      <c r="F663" s="47"/>
      <c r="G663" s="47"/>
      <c r="H663" s="47"/>
      <c r="I663" s="47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  <c r="AD663" s="47"/>
      <c r="AE663" s="47"/>
      <c r="AF663" s="47"/>
      <c r="AG663" s="47"/>
      <c r="AH663" s="91"/>
    </row>
    <row r="664" spans="1:34" ht="15">
      <c r="A664" s="95" t="str">
        <f t="shared" si="29"/>
        <v>月度分时集中交易</v>
      </c>
      <c r="B664" s="3"/>
      <c r="C664" s="76" t="s">
        <v>25</v>
      </c>
      <c r="D664" s="47"/>
      <c r="E664" s="47"/>
      <c r="F664" s="47"/>
      <c r="G664" s="47"/>
      <c r="H664" s="47"/>
      <c r="I664" s="47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91"/>
    </row>
    <row r="665" spans="1:34" ht="15">
      <c r="A665" s="95" t="str">
        <f t="shared" si="29"/>
        <v>月度分时集中交易</v>
      </c>
      <c r="B665" s="3"/>
      <c r="C665" s="76" t="s">
        <v>26</v>
      </c>
      <c r="D665" s="47"/>
      <c r="E665" s="47"/>
      <c r="F665" s="47"/>
      <c r="G665" s="47"/>
      <c r="H665" s="47"/>
      <c r="I665" s="47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  <c r="AD665" s="47"/>
      <c r="AE665" s="47"/>
      <c r="AF665" s="47"/>
      <c r="AG665" s="47"/>
      <c r="AH665" s="91"/>
    </row>
    <row r="666" spans="1:34" ht="15">
      <c r="A666" s="95" t="str">
        <f t="shared" si="29"/>
        <v>月度分时集中交易</v>
      </c>
      <c r="B666" s="3"/>
      <c r="C666" s="76" t="s">
        <v>27</v>
      </c>
      <c r="D666" s="47"/>
      <c r="E666" s="47"/>
      <c r="F666" s="47"/>
      <c r="G666" s="47"/>
      <c r="H666" s="47"/>
      <c r="I666" s="47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91"/>
    </row>
    <row r="667" spans="1:34" ht="15">
      <c r="A667" s="95" t="str">
        <f t="shared" si="29"/>
        <v>月度分时集中交易</v>
      </c>
      <c r="B667" s="3"/>
      <c r="C667" s="76" t="s">
        <v>28</v>
      </c>
      <c r="D667" s="47"/>
      <c r="E667" s="47"/>
      <c r="F667" s="47"/>
      <c r="G667" s="47"/>
      <c r="H667" s="47"/>
      <c r="I667" s="47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  <c r="AD667" s="47"/>
      <c r="AE667" s="47"/>
      <c r="AF667" s="47"/>
      <c r="AG667" s="47"/>
      <c r="AH667" s="91"/>
    </row>
    <row r="668" spans="1:34" ht="15">
      <c r="A668" s="95" t="str">
        <f t="shared" si="29"/>
        <v>月度分时集中交易</v>
      </c>
      <c r="B668" s="3"/>
      <c r="C668" s="76" t="s">
        <v>29</v>
      </c>
      <c r="D668" s="47"/>
      <c r="E668" s="47"/>
      <c r="F668" s="47"/>
      <c r="G668" s="47"/>
      <c r="H668" s="47"/>
      <c r="I668" s="47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91"/>
    </row>
    <row r="669" spans="1:34" ht="15.75" thickBot="1">
      <c r="A669" s="95" t="str">
        <f t="shared" si="29"/>
        <v>月度分时集中交易</v>
      </c>
      <c r="B669" s="3"/>
      <c r="C669" s="77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9"/>
    </row>
    <row r="670" spans="1:34" ht="15.75" thickBot="1">
      <c r="A670" s="95" t="str">
        <f t="shared" si="29"/>
        <v>月度分时集中交易</v>
      </c>
      <c r="B670" s="3"/>
      <c r="C670" s="80" t="s">
        <v>63</v>
      </c>
      <c r="D670" s="9">
        <f>SUM(D645:D668)</f>
        <v>0</v>
      </c>
      <c r="E670" s="10">
        <f t="shared" ref="E670:AH670" si="30">SUM(E645:E668)</f>
        <v>0</v>
      </c>
      <c r="F670" s="10">
        <f t="shared" si="30"/>
        <v>0</v>
      </c>
      <c r="G670" s="10">
        <f t="shared" si="30"/>
        <v>0</v>
      </c>
      <c r="H670" s="10">
        <f t="shared" si="30"/>
        <v>0</v>
      </c>
      <c r="I670" s="10">
        <f t="shared" si="30"/>
        <v>0</v>
      </c>
      <c r="J670" s="10">
        <f t="shared" si="30"/>
        <v>0</v>
      </c>
      <c r="K670" s="10">
        <f t="shared" si="30"/>
        <v>0</v>
      </c>
      <c r="L670" s="10">
        <f t="shared" si="30"/>
        <v>0</v>
      </c>
      <c r="M670" s="10">
        <f t="shared" si="30"/>
        <v>0</v>
      </c>
      <c r="N670" s="10">
        <f t="shared" si="30"/>
        <v>0</v>
      </c>
      <c r="O670" s="10">
        <f t="shared" si="30"/>
        <v>0</v>
      </c>
      <c r="P670" s="10">
        <f t="shared" si="30"/>
        <v>0</v>
      </c>
      <c r="Q670" s="10">
        <f t="shared" si="30"/>
        <v>0</v>
      </c>
      <c r="R670" s="10">
        <f t="shared" si="30"/>
        <v>0</v>
      </c>
      <c r="S670" s="10">
        <f t="shared" si="30"/>
        <v>0</v>
      </c>
      <c r="T670" s="10">
        <f t="shared" si="30"/>
        <v>0</v>
      </c>
      <c r="U670" s="10">
        <f t="shared" si="30"/>
        <v>0</v>
      </c>
      <c r="V670" s="10">
        <f t="shared" si="30"/>
        <v>0</v>
      </c>
      <c r="W670" s="10">
        <f t="shared" si="30"/>
        <v>0</v>
      </c>
      <c r="X670" s="10">
        <f t="shared" si="30"/>
        <v>0</v>
      </c>
      <c r="Y670" s="10">
        <f t="shared" si="30"/>
        <v>0</v>
      </c>
      <c r="Z670" s="10">
        <f t="shared" si="30"/>
        <v>0</v>
      </c>
      <c r="AA670" s="10">
        <f t="shared" si="30"/>
        <v>0</v>
      </c>
      <c r="AB670" s="10">
        <f t="shared" si="30"/>
        <v>0</v>
      </c>
      <c r="AC670" s="10">
        <f t="shared" si="30"/>
        <v>0</v>
      </c>
      <c r="AD670" s="10">
        <f t="shared" si="30"/>
        <v>0</v>
      </c>
      <c r="AE670" s="10">
        <f t="shared" si="30"/>
        <v>0</v>
      </c>
      <c r="AF670" s="10">
        <f t="shared" si="30"/>
        <v>0</v>
      </c>
      <c r="AG670" s="10">
        <f t="shared" si="30"/>
        <v>0</v>
      </c>
      <c r="AH670" s="49">
        <f t="shared" si="30"/>
        <v>0</v>
      </c>
    </row>
    <row r="671" spans="1:34" ht="15.75" thickBot="1">
      <c r="A671" s="95" t="str">
        <f t="shared" si="29"/>
        <v>月度分时集中交易</v>
      </c>
      <c r="B671" s="3"/>
      <c r="C671" s="77"/>
      <c r="D671" s="15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81"/>
    </row>
    <row r="672" spans="1:34" ht="15.75" thickBot="1">
      <c r="A672" s="95" t="str">
        <f t="shared" si="29"/>
        <v>月度分时集中交易</v>
      </c>
      <c r="B672" s="3"/>
      <c r="C672" s="80" t="s">
        <v>64</v>
      </c>
      <c r="D672" s="12">
        <f>SUM(D670:AH670)</f>
        <v>0</v>
      </c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81"/>
    </row>
    <row r="673" spans="1:34" ht="15">
      <c r="A673" s="95" t="str">
        <f t="shared" si="29"/>
        <v>月度分时集中交易</v>
      </c>
      <c r="B673" s="3"/>
      <c r="C673" s="77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81"/>
    </row>
    <row r="674" spans="1:34" ht="22.5">
      <c r="A674" s="95" t="str">
        <f t="shared" si="29"/>
        <v>月度分时集中交易</v>
      </c>
      <c r="B674" s="3"/>
      <c r="C674" s="154" t="str">
        <f>C642&amp;"电价(元/MWh)"</f>
        <v>月度分时集中交易电价(元/MWh)</v>
      </c>
      <c r="D674" s="155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  <c r="AA674" s="155"/>
      <c r="AB674" s="155"/>
      <c r="AC674" s="155"/>
      <c r="AD674" s="155"/>
      <c r="AE674" s="155"/>
      <c r="AF674" s="155"/>
      <c r="AG674" s="155"/>
      <c r="AH674" s="156"/>
    </row>
    <row r="675" spans="1:34" ht="15">
      <c r="A675" s="95" t="str">
        <f t="shared" si="29"/>
        <v>月度分时集中交易</v>
      </c>
      <c r="B675" s="3"/>
      <c r="C675" s="74" t="s">
        <v>31</v>
      </c>
      <c r="D675" s="5" t="s">
        <v>32</v>
      </c>
      <c r="E675" s="6" t="s">
        <v>33</v>
      </c>
      <c r="F675" s="6" t="s">
        <v>34</v>
      </c>
      <c r="G675" s="6" t="s">
        <v>35</v>
      </c>
      <c r="H675" s="6" t="s">
        <v>36</v>
      </c>
      <c r="I675" s="6" t="s">
        <v>37</v>
      </c>
      <c r="J675" s="6" t="s">
        <v>38</v>
      </c>
      <c r="K675" s="6" t="s">
        <v>39</v>
      </c>
      <c r="L675" s="6" t="s">
        <v>40</v>
      </c>
      <c r="M675" s="6" t="s">
        <v>41</v>
      </c>
      <c r="N675" s="6" t="s">
        <v>42</v>
      </c>
      <c r="O675" s="6" t="s">
        <v>43</v>
      </c>
      <c r="P675" s="6" t="s">
        <v>44</v>
      </c>
      <c r="Q675" s="6" t="s">
        <v>45</v>
      </c>
      <c r="R675" s="6" t="s">
        <v>46</v>
      </c>
      <c r="S675" s="6" t="s">
        <v>47</v>
      </c>
      <c r="T675" s="6" t="s">
        <v>48</v>
      </c>
      <c r="U675" s="6" t="s">
        <v>49</v>
      </c>
      <c r="V675" s="6" t="s">
        <v>50</v>
      </c>
      <c r="W675" s="6" t="s">
        <v>51</v>
      </c>
      <c r="X675" s="6" t="s">
        <v>52</v>
      </c>
      <c r="Y675" s="6" t="s">
        <v>53</v>
      </c>
      <c r="Z675" s="6" t="s">
        <v>54</v>
      </c>
      <c r="AA675" s="6" t="s">
        <v>55</v>
      </c>
      <c r="AB675" s="6" t="s">
        <v>56</v>
      </c>
      <c r="AC675" s="6" t="s">
        <v>57</v>
      </c>
      <c r="AD675" s="6" t="s">
        <v>58</v>
      </c>
      <c r="AE675" s="6" t="s">
        <v>59</v>
      </c>
      <c r="AF675" s="6" t="s">
        <v>60</v>
      </c>
      <c r="AG675" s="6" t="s">
        <v>61</v>
      </c>
      <c r="AH675" s="75" t="s">
        <v>62</v>
      </c>
    </row>
    <row r="676" spans="1:34" ht="15">
      <c r="A676" s="95" t="str">
        <f t="shared" si="29"/>
        <v>月度分时集中交易</v>
      </c>
      <c r="B676" s="3"/>
      <c r="C676" s="76" t="s">
        <v>6</v>
      </c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92"/>
    </row>
    <row r="677" spans="1:34" ht="15">
      <c r="A677" s="95" t="str">
        <f t="shared" si="29"/>
        <v>月度分时集中交易</v>
      </c>
      <c r="B677" s="3"/>
      <c r="C677" s="76" t="s">
        <v>7</v>
      </c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92"/>
    </row>
    <row r="678" spans="1:34" ht="15">
      <c r="A678" s="95" t="str">
        <f t="shared" si="29"/>
        <v>月度分时集中交易</v>
      </c>
      <c r="B678" s="3"/>
      <c r="C678" s="76" t="s">
        <v>8</v>
      </c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92"/>
    </row>
    <row r="679" spans="1:34" ht="15">
      <c r="A679" s="95" t="str">
        <f t="shared" si="29"/>
        <v>月度分时集中交易</v>
      </c>
      <c r="B679" s="3"/>
      <c r="C679" s="76" t="s">
        <v>9</v>
      </c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92"/>
    </row>
    <row r="680" spans="1:34" ht="15">
      <c r="A680" s="95" t="str">
        <f t="shared" si="29"/>
        <v>月度分时集中交易</v>
      </c>
      <c r="B680" s="3"/>
      <c r="C680" s="76" t="s">
        <v>10</v>
      </c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92"/>
    </row>
    <row r="681" spans="1:34" ht="15">
      <c r="A681" s="95" t="str">
        <f t="shared" si="29"/>
        <v>月度分时集中交易</v>
      </c>
      <c r="B681" s="3"/>
      <c r="C681" s="76" t="s">
        <v>11</v>
      </c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92"/>
    </row>
    <row r="682" spans="1:34" ht="15">
      <c r="A682" s="95" t="str">
        <f t="shared" si="29"/>
        <v>月度分时集中交易</v>
      </c>
      <c r="B682" s="3"/>
      <c r="C682" s="76" t="s">
        <v>12</v>
      </c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92"/>
    </row>
    <row r="683" spans="1:34" ht="15">
      <c r="A683" s="95" t="str">
        <f t="shared" si="29"/>
        <v>月度分时集中交易</v>
      </c>
      <c r="B683" s="3"/>
      <c r="C683" s="76" t="s">
        <v>13</v>
      </c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92"/>
    </row>
    <row r="684" spans="1:34" ht="15">
      <c r="A684" s="95" t="str">
        <f t="shared" si="29"/>
        <v>月度分时集中交易</v>
      </c>
      <c r="B684" s="3"/>
      <c r="C684" s="76" t="s">
        <v>14</v>
      </c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92"/>
    </row>
    <row r="685" spans="1:34" ht="15">
      <c r="A685" s="95" t="str">
        <f t="shared" si="29"/>
        <v>月度分时集中交易</v>
      </c>
      <c r="B685" s="3"/>
      <c r="C685" s="76" t="s">
        <v>15</v>
      </c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92"/>
    </row>
    <row r="686" spans="1:34" ht="15">
      <c r="A686" s="95" t="str">
        <f t="shared" si="29"/>
        <v>月度分时集中交易</v>
      </c>
      <c r="B686" s="3"/>
      <c r="C686" s="76" t="s">
        <v>16</v>
      </c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92"/>
    </row>
    <row r="687" spans="1:34" ht="15">
      <c r="A687" s="95" t="str">
        <f t="shared" si="29"/>
        <v>月度分时集中交易</v>
      </c>
      <c r="B687" s="3"/>
      <c r="C687" s="76" t="s">
        <v>17</v>
      </c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92"/>
    </row>
    <row r="688" spans="1:34" ht="15">
      <c r="A688" s="95" t="str">
        <f t="shared" si="29"/>
        <v>月度分时集中交易</v>
      </c>
      <c r="B688" s="3"/>
      <c r="C688" s="76" t="s">
        <v>18</v>
      </c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92"/>
    </row>
    <row r="689" spans="1:34" ht="15">
      <c r="A689" s="95" t="str">
        <f t="shared" si="29"/>
        <v>月度分时集中交易</v>
      </c>
      <c r="B689" s="3"/>
      <c r="C689" s="76" t="s">
        <v>19</v>
      </c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92"/>
    </row>
    <row r="690" spans="1:34" ht="15">
      <c r="A690" s="95" t="str">
        <f t="shared" si="29"/>
        <v>月度分时集中交易</v>
      </c>
      <c r="B690" s="3"/>
      <c r="C690" s="76" t="s">
        <v>20</v>
      </c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92"/>
    </row>
    <row r="691" spans="1:34" ht="15">
      <c r="A691" s="95" t="str">
        <f t="shared" si="29"/>
        <v>月度分时集中交易</v>
      </c>
      <c r="B691" s="3"/>
      <c r="C691" s="76" t="s">
        <v>21</v>
      </c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92"/>
    </row>
    <row r="692" spans="1:34" ht="15">
      <c r="A692" s="95" t="str">
        <f t="shared" si="29"/>
        <v>月度分时集中交易</v>
      </c>
      <c r="B692" s="3"/>
      <c r="C692" s="76" t="s">
        <v>22</v>
      </c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92"/>
    </row>
    <row r="693" spans="1:34" ht="15">
      <c r="A693" s="95" t="str">
        <f t="shared" si="29"/>
        <v>月度分时集中交易</v>
      </c>
      <c r="B693" s="3"/>
      <c r="C693" s="76" t="s">
        <v>23</v>
      </c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92"/>
    </row>
    <row r="694" spans="1:34" ht="15">
      <c r="A694" s="95" t="str">
        <f t="shared" si="29"/>
        <v>月度分时集中交易</v>
      </c>
      <c r="B694" s="3"/>
      <c r="C694" s="76" t="s">
        <v>24</v>
      </c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92"/>
    </row>
    <row r="695" spans="1:34" ht="15">
      <c r="A695" s="95" t="str">
        <f t="shared" si="29"/>
        <v>月度分时集中交易</v>
      </c>
      <c r="B695" s="3"/>
      <c r="C695" s="76" t="s">
        <v>25</v>
      </c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92"/>
    </row>
    <row r="696" spans="1:34" ht="15">
      <c r="A696" s="95" t="str">
        <f t="shared" si="29"/>
        <v>月度分时集中交易</v>
      </c>
      <c r="B696" s="3"/>
      <c r="C696" s="76" t="s">
        <v>26</v>
      </c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92"/>
    </row>
    <row r="697" spans="1:34" ht="15">
      <c r="A697" s="95" t="str">
        <f t="shared" si="29"/>
        <v>月度分时集中交易</v>
      </c>
      <c r="B697" s="3"/>
      <c r="C697" s="76" t="s">
        <v>27</v>
      </c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92"/>
    </row>
    <row r="698" spans="1:34" ht="15">
      <c r="A698" s="95" t="str">
        <f t="shared" si="29"/>
        <v>月度分时集中交易</v>
      </c>
      <c r="B698" s="3"/>
      <c r="C698" s="76" t="s">
        <v>28</v>
      </c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92"/>
    </row>
    <row r="699" spans="1:34" ht="15">
      <c r="A699" s="95" t="str">
        <f t="shared" si="29"/>
        <v>月度分时集中交易</v>
      </c>
      <c r="B699" s="3"/>
      <c r="C699" s="76" t="s">
        <v>29</v>
      </c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92"/>
    </row>
    <row r="700" spans="1:34" ht="15.75" thickBot="1">
      <c r="A700" s="95" t="str">
        <f t="shared" si="29"/>
        <v>月度分时集中交易</v>
      </c>
      <c r="B700" s="3"/>
      <c r="C700" s="77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81"/>
    </row>
    <row r="701" spans="1:34" ht="15.75" thickBot="1">
      <c r="A701" s="95" t="str">
        <f t="shared" si="29"/>
        <v>月度分时集中交易</v>
      </c>
      <c r="B701" s="3"/>
      <c r="C701" s="80" t="s">
        <v>63</v>
      </c>
      <c r="D701" s="9">
        <f t="shared" ref="D701:AH701" si="31">IFERROR(SUMPRODUCT(D676:D699,D645:D668)/D670,0)</f>
        <v>0</v>
      </c>
      <c r="E701" s="10">
        <f t="shared" si="31"/>
        <v>0</v>
      </c>
      <c r="F701" s="10">
        <f t="shared" si="31"/>
        <v>0</v>
      </c>
      <c r="G701" s="10">
        <f t="shared" si="31"/>
        <v>0</v>
      </c>
      <c r="H701" s="10">
        <f t="shared" si="31"/>
        <v>0</v>
      </c>
      <c r="I701" s="10">
        <f t="shared" si="31"/>
        <v>0</v>
      </c>
      <c r="J701" s="10">
        <f t="shared" si="31"/>
        <v>0</v>
      </c>
      <c r="K701" s="10">
        <f t="shared" si="31"/>
        <v>0</v>
      </c>
      <c r="L701" s="10">
        <f t="shared" si="31"/>
        <v>0</v>
      </c>
      <c r="M701" s="10">
        <f t="shared" si="31"/>
        <v>0</v>
      </c>
      <c r="N701" s="10">
        <f t="shared" si="31"/>
        <v>0</v>
      </c>
      <c r="O701" s="10">
        <f t="shared" si="31"/>
        <v>0</v>
      </c>
      <c r="P701" s="10">
        <f t="shared" si="31"/>
        <v>0</v>
      </c>
      <c r="Q701" s="10">
        <f t="shared" si="31"/>
        <v>0</v>
      </c>
      <c r="R701" s="10">
        <f t="shared" si="31"/>
        <v>0</v>
      </c>
      <c r="S701" s="10">
        <f t="shared" si="31"/>
        <v>0</v>
      </c>
      <c r="T701" s="10">
        <f t="shared" si="31"/>
        <v>0</v>
      </c>
      <c r="U701" s="10">
        <f t="shared" si="31"/>
        <v>0</v>
      </c>
      <c r="V701" s="10">
        <f t="shared" si="31"/>
        <v>0</v>
      </c>
      <c r="W701" s="10">
        <f t="shared" si="31"/>
        <v>0</v>
      </c>
      <c r="X701" s="10">
        <f t="shared" si="31"/>
        <v>0</v>
      </c>
      <c r="Y701" s="10">
        <f t="shared" si="31"/>
        <v>0</v>
      </c>
      <c r="Z701" s="10">
        <f t="shared" si="31"/>
        <v>0</v>
      </c>
      <c r="AA701" s="10">
        <f t="shared" si="31"/>
        <v>0</v>
      </c>
      <c r="AB701" s="10">
        <f t="shared" si="31"/>
        <v>0</v>
      </c>
      <c r="AC701" s="10">
        <f t="shared" si="31"/>
        <v>0</v>
      </c>
      <c r="AD701" s="10">
        <f t="shared" si="31"/>
        <v>0</v>
      </c>
      <c r="AE701" s="10">
        <f t="shared" si="31"/>
        <v>0</v>
      </c>
      <c r="AF701" s="10">
        <f t="shared" si="31"/>
        <v>0</v>
      </c>
      <c r="AG701" s="10">
        <f t="shared" si="31"/>
        <v>0</v>
      </c>
      <c r="AH701" s="49">
        <f t="shared" si="31"/>
        <v>0</v>
      </c>
    </row>
    <row r="702" spans="1:34" ht="15.75" thickBot="1">
      <c r="A702" s="95" t="str">
        <f t="shared" si="29"/>
        <v>月度分时集中交易</v>
      </c>
      <c r="B702" s="3"/>
      <c r="C702" s="77"/>
      <c r="D702" s="15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81"/>
    </row>
    <row r="703" spans="1:34" ht="15.75" thickBot="1">
      <c r="A703" s="95" t="str">
        <f t="shared" si="29"/>
        <v>月度分时集中交易</v>
      </c>
      <c r="B703" s="3"/>
      <c r="C703" s="80" t="s">
        <v>64</v>
      </c>
      <c r="D703" s="12">
        <f>IFERROR(SUMPRODUCT(D670:AH670,D701:AH701)/D672,0)</f>
        <v>0</v>
      </c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81"/>
    </row>
    <row r="704" spans="1:34" ht="15.75" thickBot="1">
      <c r="A704" s="95" t="str">
        <f t="shared" si="29"/>
        <v>月度分时集中交易</v>
      </c>
      <c r="B704" s="3"/>
      <c r="C704" s="93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5"/>
    </row>
    <row r="705" spans="1:34" ht="15" thickBot="1">
      <c r="A705" s="95" t="str">
        <f t="shared" si="29"/>
        <v>月度分时集中交易</v>
      </c>
    </row>
    <row r="706" spans="1:34" ht="23.25">
      <c r="A706" s="95" t="str">
        <f>C706</f>
        <v>月内第一次多日交易</v>
      </c>
      <c r="C706" s="170" t="s">
        <v>107</v>
      </c>
      <c r="D706" s="171"/>
      <c r="E706" s="171"/>
      <c r="F706" s="171"/>
      <c r="G706" s="171"/>
      <c r="H706" s="171"/>
      <c r="I706" s="171"/>
      <c r="J706" s="171"/>
      <c r="K706" s="171"/>
      <c r="L706" s="171"/>
      <c r="M706" s="171"/>
      <c r="N706" s="171"/>
      <c r="O706" s="171"/>
      <c r="P706" s="171"/>
      <c r="Q706" s="171"/>
      <c r="R706" s="171"/>
      <c r="S706" s="171"/>
      <c r="T706" s="171"/>
      <c r="U706" s="171"/>
      <c r="V706" s="171"/>
      <c r="W706" s="171"/>
      <c r="X706" s="171"/>
      <c r="Y706" s="171"/>
      <c r="Z706" s="171"/>
      <c r="AA706" s="171"/>
      <c r="AB706" s="171"/>
      <c r="AC706" s="171"/>
      <c r="AD706" s="171"/>
      <c r="AE706" s="171"/>
      <c r="AF706" s="171"/>
      <c r="AG706" s="171"/>
      <c r="AH706" s="172"/>
    </row>
    <row r="707" spans="1:34" ht="22.5">
      <c r="A707" s="95" t="str">
        <f t="shared" si="29"/>
        <v>月内第一次多日交易</v>
      </c>
      <c r="B707" s="3"/>
      <c r="C707" s="154" t="str">
        <f>C706&amp;"电量(MWh)"</f>
        <v>月内第一次多日交易电量(MWh)</v>
      </c>
      <c r="D707" s="155"/>
      <c r="E707" s="155"/>
      <c r="F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  <c r="AA707" s="155"/>
      <c r="AB707" s="155"/>
      <c r="AC707" s="155"/>
      <c r="AD707" s="155"/>
      <c r="AE707" s="155"/>
      <c r="AF707" s="155"/>
      <c r="AG707" s="155"/>
      <c r="AH707" s="156"/>
    </row>
    <row r="708" spans="1:34" ht="15">
      <c r="A708" s="95" t="str">
        <f t="shared" ref="A708:A771" si="32">A707</f>
        <v>月内第一次多日交易</v>
      </c>
      <c r="B708" s="3"/>
      <c r="C708" s="74" t="s">
        <v>31</v>
      </c>
      <c r="D708" s="5" t="s">
        <v>32</v>
      </c>
      <c r="E708" s="6" t="s">
        <v>33</v>
      </c>
      <c r="F708" s="6" t="s">
        <v>34</v>
      </c>
      <c r="G708" s="6" t="s">
        <v>35</v>
      </c>
      <c r="H708" s="6" t="s">
        <v>36</v>
      </c>
      <c r="I708" s="6" t="s">
        <v>37</v>
      </c>
      <c r="J708" s="6" t="s">
        <v>38</v>
      </c>
      <c r="K708" s="6" t="s">
        <v>39</v>
      </c>
      <c r="L708" s="6" t="s">
        <v>40</v>
      </c>
      <c r="M708" s="6" t="s">
        <v>41</v>
      </c>
      <c r="N708" s="6" t="s">
        <v>42</v>
      </c>
      <c r="O708" s="6" t="s">
        <v>43</v>
      </c>
      <c r="P708" s="6" t="s">
        <v>44</v>
      </c>
      <c r="Q708" s="6" t="s">
        <v>45</v>
      </c>
      <c r="R708" s="6" t="s">
        <v>46</v>
      </c>
      <c r="S708" s="6" t="s">
        <v>47</v>
      </c>
      <c r="T708" s="6" t="s">
        <v>48</v>
      </c>
      <c r="U708" s="6" t="s">
        <v>49</v>
      </c>
      <c r="V708" s="6" t="s">
        <v>50</v>
      </c>
      <c r="W708" s="6" t="s">
        <v>51</v>
      </c>
      <c r="X708" s="6" t="s">
        <v>52</v>
      </c>
      <c r="Y708" s="6" t="s">
        <v>53</v>
      </c>
      <c r="Z708" s="6" t="s">
        <v>54</v>
      </c>
      <c r="AA708" s="6" t="s">
        <v>55</v>
      </c>
      <c r="AB708" s="6" t="s">
        <v>56</v>
      </c>
      <c r="AC708" s="6" t="s">
        <v>57</v>
      </c>
      <c r="AD708" s="6" t="s">
        <v>58</v>
      </c>
      <c r="AE708" s="6" t="s">
        <v>59</v>
      </c>
      <c r="AF708" s="6" t="s">
        <v>60</v>
      </c>
      <c r="AG708" s="6" t="s">
        <v>61</v>
      </c>
      <c r="AH708" s="75" t="s">
        <v>62</v>
      </c>
    </row>
    <row r="709" spans="1:34" ht="15">
      <c r="A709" s="95" t="str">
        <f t="shared" si="32"/>
        <v>月内第一次多日交易</v>
      </c>
      <c r="B709" s="3"/>
      <c r="C709" s="76" t="s">
        <v>6</v>
      </c>
      <c r="D709" s="47"/>
      <c r="E709" s="47"/>
      <c r="F709" s="47"/>
      <c r="G709" s="47"/>
      <c r="H709" s="47"/>
      <c r="I709" s="47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  <c r="AD709" s="47"/>
      <c r="AE709" s="47"/>
      <c r="AF709" s="47"/>
      <c r="AG709" s="47"/>
      <c r="AH709" s="91"/>
    </row>
    <row r="710" spans="1:34" ht="15">
      <c r="A710" s="95" t="str">
        <f t="shared" si="32"/>
        <v>月内第一次多日交易</v>
      </c>
      <c r="B710" s="3"/>
      <c r="C710" s="76" t="s">
        <v>7</v>
      </c>
      <c r="D710" s="47"/>
      <c r="E710" s="47"/>
      <c r="F710" s="47"/>
      <c r="G710" s="47"/>
      <c r="H710" s="47"/>
      <c r="I710" s="47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91"/>
    </row>
    <row r="711" spans="1:34" ht="15">
      <c r="A711" s="95" t="str">
        <f t="shared" si="32"/>
        <v>月内第一次多日交易</v>
      </c>
      <c r="B711" s="3"/>
      <c r="C711" s="76" t="s">
        <v>8</v>
      </c>
      <c r="D711" s="47"/>
      <c r="E711" s="47"/>
      <c r="F711" s="47"/>
      <c r="G711" s="47"/>
      <c r="H711" s="47"/>
      <c r="I711" s="47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  <c r="AD711" s="47"/>
      <c r="AE711" s="47"/>
      <c r="AF711" s="47"/>
      <c r="AG711" s="47"/>
      <c r="AH711" s="91"/>
    </row>
    <row r="712" spans="1:34" ht="15">
      <c r="A712" s="95" t="str">
        <f t="shared" si="32"/>
        <v>月内第一次多日交易</v>
      </c>
      <c r="B712" s="3"/>
      <c r="C712" s="76" t="s">
        <v>9</v>
      </c>
      <c r="D712" s="47"/>
      <c r="E712" s="47"/>
      <c r="F712" s="47"/>
      <c r="G712" s="47"/>
      <c r="H712" s="47"/>
      <c r="I712" s="47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91"/>
    </row>
    <row r="713" spans="1:34" ht="15">
      <c r="A713" s="95" t="str">
        <f t="shared" si="32"/>
        <v>月内第一次多日交易</v>
      </c>
      <c r="B713" s="3"/>
      <c r="C713" s="76" t="s">
        <v>10</v>
      </c>
      <c r="D713" s="47"/>
      <c r="E713" s="47"/>
      <c r="F713" s="47"/>
      <c r="G713" s="47"/>
      <c r="H713" s="47"/>
      <c r="I713" s="47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  <c r="AD713" s="47"/>
      <c r="AE713" s="47"/>
      <c r="AF713" s="47"/>
      <c r="AG713" s="47"/>
      <c r="AH713" s="91"/>
    </row>
    <row r="714" spans="1:34" ht="15">
      <c r="A714" s="95" t="str">
        <f t="shared" si="32"/>
        <v>月内第一次多日交易</v>
      </c>
      <c r="B714" s="3"/>
      <c r="C714" s="76" t="s">
        <v>11</v>
      </c>
      <c r="D714" s="47"/>
      <c r="E714" s="47"/>
      <c r="F714" s="47"/>
      <c r="G714" s="47"/>
      <c r="H714" s="47"/>
      <c r="I714" s="47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91"/>
    </row>
    <row r="715" spans="1:34" ht="15">
      <c r="A715" s="95" t="str">
        <f t="shared" si="32"/>
        <v>月内第一次多日交易</v>
      </c>
      <c r="B715" s="3"/>
      <c r="C715" s="76" t="s">
        <v>12</v>
      </c>
      <c r="D715" s="47"/>
      <c r="E715" s="47"/>
      <c r="F715" s="47"/>
      <c r="G715" s="47"/>
      <c r="H715" s="47"/>
      <c r="I715" s="47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  <c r="AD715" s="47"/>
      <c r="AE715" s="47"/>
      <c r="AF715" s="47"/>
      <c r="AG715" s="47"/>
      <c r="AH715" s="91"/>
    </row>
    <row r="716" spans="1:34" ht="15">
      <c r="A716" s="95" t="str">
        <f t="shared" si="32"/>
        <v>月内第一次多日交易</v>
      </c>
      <c r="B716" s="3"/>
      <c r="C716" s="76" t="s">
        <v>13</v>
      </c>
      <c r="D716" s="47"/>
      <c r="E716" s="47"/>
      <c r="F716" s="47"/>
      <c r="G716" s="47"/>
      <c r="H716" s="47"/>
      <c r="I716" s="47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91"/>
    </row>
    <row r="717" spans="1:34" ht="15">
      <c r="A717" s="95" t="str">
        <f t="shared" si="32"/>
        <v>月内第一次多日交易</v>
      </c>
      <c r="B717" s="3"/>
      <c r="C717" s="76" t="s">
        <v>14</v>
      </c>
      <c r="D717" s="47"/>
      <c r="E717" s="47"/>
      <c r="F717" s="47"/>
      <c r="G717" s="47"/>
      <c r="H717" s="47"/>
      <c r="I717" s="47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  <c r="AD717" s="47"/>
      <c r="AE717" s="47"/>
      <c r="AF717" s="47"/>
      <c r="AG717" s="47"/>
      <c r="AH717" s="91"/>
    </row>
    <row r="718" spans="1:34" ht="15">
      <c r="A718" s="95" t="str">
        <f t="shared" si="32"/>
        <v>月内第一次多日交易</v>
      </c>
      <c r="B718" s="3"/>
      <c r="C718" s="76" t="s">
        <v>15</v>
      </c>
      <c r="D718" s="47"/>
      <c r="E718" s="47"/>
      <c r="F718" s="47"/>
      <c r="G718" s="47"/>
      <c r="H718" s="47"/>
      <c r="I718" s="47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91"/>
    </row>
    <row r="719" spans="1:34" ht="15">
      <c r="A719" s="95" t="str">
        <f t="shared" si="32"/>
        <v>月内第一次多日交易</v>
      </c>
      <c r="B719" s="3"/>
      <c r="C719" s="76" t="s">
        <v>16</v>
      </c>
      <c r="D719" s="47"/>
      <c r="E719" s="47"/>
      <c r="F719" s="47"/>
      <c r="G719" s="47"/>
      <c r="H719" s="47"/>
      <c r="I719" s="47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  <c r="AD719" s="47"/>
      <c r="AE719" s="47"/>
      <c r="AF719" s="47"/>
      <c r="AG719" s="47"/>
      <c r="AH719" s="91"/>
    </row>
    <row r="720" spans="1:34" ht="15">
      <c r="A720" s="95" t="str">
        <f t="shared" si="32"/>
        <v>月内第一次多日交易</v>
      </c>
      <c r="B720" s="3"/>
      <c r="C720" s="76" t="s">
        <v>17</v>
      </c>
      <c r="D720" s="47"/>
      <c r="E720" s="47"/>
      <c r="F720" s="47"/>
      <c r="G720" s="47"/>
      <c r="H720" s="47"/>
      <c r="I720" s="47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91"/>
    </row>
    <row r="721" spans="1:34" ht="15">
      <c r="A721" s="95" t="str">
        <f t="shared" si="32"/>
        <v>月内第一次多日交易</v>
      </c>
      <c r="B721" s="3"/>
      <c r="C721" s="76" t="s">
        <v>18</v>
      </c>
      <c r="D721" s="47"/>
      <c r="E721" s="47"/>
      <c r="F721" s="47"/>
      <c r="G721" s="47"/>
      <c r="H721" s="47"/>
      <c r="I721" s="47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  <c r="AD721" s="47"/>
      <c r="AE721" s="47"/>
      <c r="AF721" s="47"/>
      <c r="AG721" s="47"/>
      <c r="AH721" s="91"/>
    </row>
    <row r="722" spans="1:34" ht="15">
      <c r="A722" s="95" t="str">
        <f t="shared" si="32"/>
        <v>月内第一次多日交易</v>
      </c>
      <c r="B722" s="3"/>
      <c r="C722" s="76" t="s">
        <v>19</v>
      </c>
      <c r="D722" s="47"/>
      <c r="E722" s="47"/>
      <c r="F722" s="47"/>
      <c r="G722" s="47"/>
      <c r="H722" s="47"/>
      <c r="I722" s="47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91"/>
    </row>
    <row r="723" spans="1:34" ht="15">
      <c r="A723" s="95" t="str">
        <f t="shared" si="32"/>
        <v>月内第一次多日交易</v>
      </c>
      <c r="B723" s="3"/>
      <c r="C723" s="76" t="s">
        <v>20</v>
      </c>
      <c r="D723" s="47"/>
      <c r="E723" s="47"/>
      <c r="F723" s="47"/>
      <c r="G723" s="47"/>
      <c r="H723" s="47"/>
      <c r="I723" s="47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  <c r="AD723" s="47"/>
      <c r="AE723" s="47"/>
      <c r="AF723" s="47"/>
      <c r="AG723" s="47"/>
      <c r="AH723" s="91"/>
    </row>
    <row r="724" spans="1:34" ht="15">
      <c r="A724" s="95" t="str">
        <f t="shared" si="32"/>
        <v>月内第一次多日交易</v>
      </c>
      <c r="B724" s="3"/>
      <c r="C724" s="76" t="s">
        <v>21</v>
      </c>
      <c r="D724" s="47"/>
      <c r="E724" s="47"/>
      <c r="F724" s="47"/>
      <c r="G724" s="47"/>
      <c r="H724" s="47"/>
      <c r="I724" s="47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  <c r="AH724" s="91"/>
    </row>
    <row r="725" spans="1:34" ht="15">
      <c r="A725" s="95" t="str">
        <f t="shared" si="32"/>
        <v>月内第一次多日交易</v>
      </c>
      <c r="B725" s="3"/>
      <c r="C725" s="76" t="s">
        <v>22</v>
      </c>
      <c r="D725" s="47"/>
      <c r="E725" s="47"/>
      <c r="F725" s="47"/>
      <c r="G725" s="47"/>
      <c r="H725" s="47"/>
      <c r="I725" s="47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  <c r="AD725" s="47"/>
      <c r="AE725" s="47"/>
      <c r="AF725" s="47"/>
      <c r="AG725" s="47"/>
      <c r="AH725" s="91"/>
    </row>
    <row r="726" spans="1:34" ht="15">
      <c r="A726" s="95" t="str">
        <f t="shared" si="32"/>
        <v>月内第一次多日交易</v>
      </c>
      <c r="B726" s="3"/>
      <c r="C726" s="76" t="s">
        <v>23</v>
      </c>
      <c r="D726" s="47"/>
      <c r="E726" s="47"/>
      <c r="F726" s="47"/>
      <c r="G726" s="47"/>
      <c r="H726" s="47"/>
      <c r="I726" s="47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  <c r="AH726" s="91"/>
    </row>
    <row r="727" spans="1:34" ht="15">
      <c r="A727" s="95" t="str">
        <f t="shared" si="32"/>
        <v>月内第一次多日交易</v>
      </c>
      <c r="B727" s="3"/>
      <c r="C727" s="76" t="s">
        <v>24</v>
      </c>
      <c r="D727" s="47"/>
      <c r="E727" s="47"/>
      <c r="F727" s="47"/>
      <c r="G727" s="47"/>
      <c r="H727" s="47"/>
      <c r="I727" s="47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  <c r="AD727" s="47"/>
      <c r="AE727" s="47"/>
      <c r="AF727" s="47"/>
      <c r="AG727" s="47"/>
      <c r="AH727" s="91"/>
    </row>
    <row r="728" spans="1:34" ht="15">
      <c r="A728" s="95" t="str">
        <f t="shared" si="32"/>
        <v>月内第一次多日交易</v>
      </c>
      <c r="B728" s="3"/>
      <c r="C728" s="76" t="s">
        <v>25</v>
      </c>
      <c r="D728" s="47"/>
      <c r="E728" s="47"/>
      <c r="F728" s="47"/>
      <c r="G728" s="47"/>
      <c r="H728" s="47"/>
      <c r="I728" s="47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  <c r="AH728" s="91"/>
    </row>
    <row r="729" spans="1:34" ht="15">
      <c r="A729" s="95" t="str">
        <f t="shared" si="32"/>
        <v>月内第一次多日交易</v>
      </c>
      <c r="B729" s="3"/>
      <c r="C729" s="76" t="s">
        <v>26</v>
      </c>
      <c r="D729" s="47"/>
      <c r="E729" s="47"/>
      <c r="F729" s="47"/>
      <c r="G729" s="47"/>
      <c r="H729" s="47"/>
      <c r="I729" s="47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  <c r="AD729" s="47"/>
      <c r="AE729" s="47"/>
      <c r="AF729" s="47"/>
      <c r="AG729" s="47"/>
      <c r="AH729" s="91"/>
    </row>
    <row r="730" spans="1:34" ht="15">
      <c r="A730" s="95" t="str">
        <f t="shared" si="32"/>
        <v>月内第一次多日交易</v>
      </c>
      <c r="B730" s="3"/>
      <c r="C730" s="76" t="s">
        <v>27</v>
      </c>
      <c r="D730" s="47"/>
      <c r="E730" s="47"/>
      <c r="F730" s="47"/>
      <c r="G730" s="47"/>
      <c r="H730" s="47"/>
      <c r="I730" s="47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  <c r="AH730" s="91"/>
    </row>
    <row r="731" spans="1:34" ht="15">
      <c r="A731" s="95" t="str">
        <f t="shared" si="32"/>
        <v>月内第一次多日交易</v>
      </c>
      <c r="B731" s="3"/>
      <c r="C731" s="76" t="s">
        <v>28</v>
      </c>
      <c r="D731" s="47"/>
      <c r="E731" s="47"/>
      <c r="F731" s="47"/>
      <c r="G731" s="47"/>
      <c r="H731" s="47"/>
      <c r="I731" s="47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  <c r="AD731" s="47"/>
      <c r="AE731" s="47"/>
      <c r="AF731" s="47"/>
      <c r="AG731" s="47"/>
      <c r="AH731" s="91"/>
    </row>
    <row r="732" spans="1:34" ht="15">
      <c r="A732" s="95" t="str">
        <f t="shared" si="32"/>
        <v>月内第一次多日交易</v>
      </c>
      <c r="B732" s="3"/>
      <c r="C732" s="76" t="s">
        <v>29</v>
      </c>
      <c r="D732" s="47"/>
      <c r="E732" s="47"/>
      <c r="F732" s="47"/>
      <c r="G732" s="47"/>
      <c r="H732" s="47"/>
      <c r="I732" s="47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  <c r="AH732" s="91"/>
    </row>
    <row r="733" spans="1:34" ht="15.75" thickBot="1">
      <c r="A733" s="95" t="str">
        <f t="shared" si="32"/>
        <v>月内第一次多日交易</v>
      </c>
      <c r="B733" s="3"/>
      <c r="C733" s="77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9"/>
    </row>
    <row r="734" spans="1:34" ht="15.75" thickBot="1">
      <c r="A734" s="95" t="str">
        <f t="shared" si="32"/>
        <v>月内第一次多日交易</v>
      </c>
      <c r="B734" s="3"/>
      <c r="C734" s="80" t="s">
        <v>63</v>
      </c>
      <c r="D734" s="9">
        <f>SUM(D709:D732)</f>
        <v>0</v>
      </c>
      <c r="E734" s="10">
        <f t="shared" ref="E734:AH734" si="33">SUM(E709:E732)</f>
        <v>0</v>
      </c>
      <c r="F734" s="10">
        <f t="shared" si="33"/>
        <v>0</v>
      </c>
      <c r="G734" s="10">
        <f t="shared" si="33"/>
        <v>0</v>
      </c>
      <c r="H734" s="10">
        <f t="shared" si="33"/>
        <v>0</v>
      </c>
      <c r="I734" s="10">
        <f t="shared" si="33"/>
        <v>0</v>
      </c>
      <c r="J734" s="10">
        <f t="shared" si="33"/>
        <v>0</v>
      </c>
      <c r="K734" s="10">
        <f t="shared" si="33"/>
        <v>0</v>
      </c>
      <c r="L734" s="10">
        <f t="shared" si="33"/>
        <v>0</v>
      </c>
      <c r="M734" s="10">
        <f t="shared" si="33"/>
        <v>0</v>
      </c>
      <c r="N734" s="10">
        <f t="shared" si="33"/>
        <v>0</v>
      </c>
      <c r="O734" s="10">
        <f t="shared" si="33"/>
        <v>0</v>
      </c>
      <c r="P734" s="10">
        <f t="shared" si="33"/>
        <v>0</v>
      </c>
      <c r="Q734" s="10">
        <f t="shared" si="33"/>
        <v>0</v>
      </c>
      <c r="R734" s="10">
        <f t="shared" si="33"/>
        <v>0</v>
      </c>
      <c r="S734" s="10">
        <f t="shared" si="33"/>
        <v>0</v>
      </c>
      <c r="T734" s="10">
        <f t="shared" si="33"/>
        <v>0</v>
      </c>
      <c r="U734" s="10">
        <f t="shared" si="33"/>
        <v>0</v>
      </c>
      <c r="V734" s="10">
        <f t="shared" si="33"/>
        <v>0</v>
      </c>
      <c r="W734" s="10">
        <f t="shared" si="33"/>
        <v>0</v>
      </c>
      <c r="X734" s="10">
        <f t="shared" si="33"/>
        <v>0</v>
      </c>
      <c r="Y734" s="10">
        <f t="shared" si="33"/>
        <v>0</v>
      </c>
      <c r="Z734" s="10">
        <f t="shared" si="33"/>
        <v>0</v>
      </c>
      <c r="AA734" s="10">
        <f t="shared" si="33"/>
        <v>0</v>
      </c>
      <c r="AB734" s="10">
        <f t="shared" si="33"/>
        <v>0</v>
      </c>
      <c r="AC734" s="10">
        <f t="shared" si="33"/>
        <v>0</v>
      </c>
      <c r="AD734" s="10">
        <f t="shared" si="33"/>
        <v>0</v>
      </c>
      <c r="AE734" s="10">
        <f t="shared" si="33"/>
        <v>0</v>
      </c>
      <c r="AF734" s="10">
        <f t="shared" si="33"/>
        <v>0</v>
      </c>
      <c r="AG734" s="10">
        <f t="shared" si="33"/>
        <v>0</v>
      </c>
      <c r="AH734" s="49">
        <f t="shared" si="33"/>
        <v>0</v>
      </c>
    </row>
    <row r="735" spans="1:34" ht="15.75" thickBot="1">
      <c r="A735" s="95" t="str">
        <f t="shared" si="32"/>
        <v>月内第一次多日交易</v>
      </c>
      <c r="B735" s="3"/>
      <c r="C735" s="77"/>
      <c r="D735" s="15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81"/>
    </row>
    <row r="736" spans="1:34" ht="15.75" thickBot="1">
      <c r="A736" s="95" t="str">
        <f t="shared" si="32"/>
        <v>月内第一次多日交易</v>
      </c>
      <c r="B736" s="3"/>
      <c r="C736" s="80" t="s">
        <v>64</v>
      </c>
      <c r="D736" s="12">
        <f>SUM(D734:AH734)</f>
        <v>0</v>
      </c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81"/>
    </row>
    <row r="737" spans="1:34" ht="15">
      <c r="A737" s="95" t="str">
        <f t="shared" si="32"/>
        <v>月内第一次多日交易</v>
      </c>
      <c r="B737" s="3"/>
      <c r="C737" s="77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81"/>
    </row>
    <row r="738" spans="1:34" ht="22.5">
      <c r="A738" s="95" t="str">
        <f t="shared" si="32"/>
        <v>月内第一次多日交易</v>
      </c>
      <c r="B738" s="3"/>
      <c r="C738" s="154" t="str">
        <f>C706&amp;"电价(元/MWh)"</f>
        <v>月内第一次多日交易电价(元/MWh)</v>
      </c>
      <c r="D738" s="155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  <c r="AA738" s="155"/>
      <c r="AB738" s="155"/>
      <c r="AC738" s="155"/>
      <c r="AD738" s="155"/>
      <c r="AE738" s="155"/>
      <c r="AF738" s="155"/>
      <c r="AG738" s="155"/>
      <c r="AH738" s="156"/>
    </row>
    <row r="739" spans="1:34" ht="15">
      <c r="A739" s="95" t="str">
        <f t="shared" si="32"/>
        <v>月内第一次多日交易</v>
      </c>
      <c r="B739" s="3"/>
      <c r="C739" s="74" t="s">
        <v>31</v>
      </c>
      <c r="D739" s="5" t="s">
        <v>32</v>
      </c>
      <c r="E739" s="6" t="s">
        <v>33</v>
      </c>
      <c r="F739" s="6" t="s">
        <v>34</v>
      </c>
      <c r="G739" s="6" t="s">
        <v>35</v>
      </c>
      <c r="H739" s="6" t="s">
        <v>36</v>
      </c>
      <c r="I739" s="6" t="s">
        <v>37</v>
      </c>
      <c r="J739" s="6" t="s">
        <v>38</v>
      </c>
      <c r="K739" s="6" t="s">
        <v>39</v>
      </c>
      <c r="L739" s="6" t="s">
        <v>40</v>
      </c>
      <c r="M739" s="6" t="s">
        <v>41</v>
      </c>
      <c r="N739" s="6" t="s">
        <v>42</v>
      </c>
      <c r="O739" s="6" t="s">
        <v>43</v>
      </c>
      <c r="P739" s="6" t="s">
        <v>44</v>
      </c>
      <c r="Q739" s="6" t="s">
        <v>45</v>
      </c>
      <c r="R739" s="6" t="s">
        <v>46</v>
      </c>
      <c r="S739" s="6" t="s">
        <v>47</v>
      </c>
      <c r="T739" s="6" t="s">
        <v>48</v>
      </c>
      <c r="U739" s="6" t="s">
        <v>49</v>
      </c>
      <c r="V739" s="6" t="s">
        <v>50</v>
      </c>
      <c r="W739" s="6" t="s">
        <v>51</v>
      </c>
      <c r="X739" s="6" t="s">
        <v>52</v>
      </c>
      <c r="Y739" s="6" t="s">
        <v>53</v>
      </c>
      <c r="Z739" s="6" t="s">
        <v>54</v>
      </c>
      <c r="AA739" s="6" t="s">
        <v>55</v>
      </c>
      <c r="AB739" s="6" t="s">
        <v>56</v>
      </c>
      <c r="AC739" s="6" t="s">
        <v>57</v>
      </c>
      <c r="AD739" s="6" t="s">
        <v>58</v>
      </c>
      <c r="AE739" s="6" t="s">
        <v>59</v>
      </c>
      <c r="AF739" s="6" t="s">
        <v>60</v>
      </c>
      <c r="AG739" s="6" t="s">
        <v>61</v>
      </c>
      <c r="AH739" s="75" t="s">
        <v>62</v>
      </c>
    </row>
    <row r="740" spans="1:34" ht="15">
      <c r="A740" s="95" t="str">
        <f t="shared" si="32"/>
        <v>月内第一次多日交易</v>
      </c>
      <c r="B740" s="3"/>
      <c r="C740" s="76" t="s">
        <v>6</v>
      </c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92"/>
    </row>
    <row r="741" spans="1:34" ht="15">
      <c r="A741" s="95" t="str">
        <f t="shared" si="32"/>
        <v>月内第一次多日交易</v>
      </c>
      <c r="B741" s="3"/>
      <c r="C741" s="76" t="s">
        <v>7</v>
      </c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92"/>
    </row>
    <row r="742" spans="1:34" ht="15">
      <c r="A742" s="95" t="str">
        <f t="shared" si="32"/>
        <v>月内第一次多日交易</v>
      </c>
      <c r="B742" s="3"/>
      <c r="C742" s="76" t="s">
        <v>8</v>
      </c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92"/>
    </row>
    <row r="743" spans="1:34" ht="15">
      <c r="A743" s="95" t="str">
        <f t="shared" si="32"/>
        <v>月内第一次多日交易</v>
      </c>
      <c r="B743" s="3"/>
      <c r="C743" s="76" t="s">
        <v>9</v>
      </c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92"/>
    </row>
    <row r="744" spans="1:34" ht="15">
      <c r="A744" s="95" t="str">
        <f t="shared" si="32"/>
        <v>月内第一次多日交易</v>
      </c>
      <c r="B744" s="3"/>
      <c r="C744" s="76" t="s">
        <v>10</v>
      </c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92"/>
    </row>
    <row r="745" spans="1:34" ht="15">
      <c r="A745" s="95" t="str">
        <f t="shared" si="32"/>
        <v>月内第一次多日交易</v>
      </c>
      <c r="B745" s="3"/>
      <c r="C745" s="76" t="s">
        <v>11</v>
      </c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92"/>
    </row>
    <row r="746" spans="1:34" ht="15">
      <c r="A746" s="95" t="str">
        <f t="shared" si="32"/>
        <v>月内第一次多日交易</v>
      </c>
      <c r="B746" s="3"/>
      <c r="C746" s="76" t="s">
        <v>12</v>
      </c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92"/>
    </row>
    <row r="747" spans="1:34" ht="15">
      <c r="A747" s="95" t="str">
        <f t="shared" si="32"/>
        <v>月内第一次多日交易</v>
      </c>
      <c r="B747" s="3"/>
      <c r="C747" s="76" t="s">
        <v>13</v>
      </c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92"/>
    </row>
    <row r="748" spans="1:34" ht="15">
      <c r="A748" s="95" t="str">
        <f t="shared" si="32"/>
        <v>月内第一次多日交易</v>
      </c>
      <c r="B748" s="3"/>
      <c r="C748" s="76" t="s">
        <v>14</v>
      </c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92"/>
    </row>
    <row r="749" spans="1:34" ht="15">
      <c r="A749" s="95" t="str">
        <f t="shared" si="32"/>
        <v>月内第一次多日交易</v>
      </c>
      <c r="B749" s="3"/>
      <c r="C749" s="76" t="s">
        <v>15</v>
      </c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92"/>
    </row>
    <row r="750" spans="1:34" ht="15">
      <c r="A750" s="95" t="str">
        <f t="shared" si="32"/>
        <v>月内第一次多日交易</v>
      </c>
      <c r="B750" s="3"/>
      <c r="C750" s="76" t="s">
        <v>16</v>
      </c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92"/>
    </row>
    <row r="751" spans="1:34" ht="15">
      <c r="A751" s="95" t="str">
        <f t="shared" si="32"/>
        <v>月内第一次多日交易</v>
      </c>
      <c r="B751" s="3"/>
      <c r="C751" s="76" t="s">
        <v>17</v>
      </c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92"/>
    </row>
    <row r="752" spans="1:34" ht="15">
      <c r="A752" s="95" t="str">
        <f t="shared" si="32"/>
        <v>月内第一次多日交易</v>
      </c>
      <c r="B752" s="3"/>
      <c r="C752" s="76" t="s">
        <v>18</v>
      </c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92"/>
    </row>
    <row r="753" spans="1:34" ht="15">
      <c r="A753" s="95" t="str">
        <f t="shared" si="32"/>
        <v>月内第一次多日交易</v>
      </c>
      <c r="B753" s="3"/>
      <c r="C753" s="76" t="s">
        <v>19</v>
      </c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92"/>
    </row>
    <row r="754" spans="1:34" ht="15">
      <c r="A754" s="95" t="str">
        <f t="shared" si="32"/>
        <v>月内第一次多日交易</v>
      </c>
      <c r="B754" s="3"/>
      <c r="C754" s="76" t="s">
        <v>20</v>
      </c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92"/>
    </row>
    <row r="755" spans="1:34" ht="15">
      <c r="A755" s="95" t="str">
        <f t="shared" si="32"/>
        <v>月内第一次多日交易</v>
      </c>
      <c r="B755" s="3"/>
      <c r="C755" s="76" t="s">
        <v>21</v>
      </c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92"/>
    </row>
    <row r="756" spans="1:34" ht="15">
      <c r="A756" s="95" t="str">
        <f t="shared" si="32"/>
        <v>月内第一次多日交易</v>
      </c>
      <c r="B756" s="3"/>
      <c r="C756" s="76" t="s">
        <v>22</v>
      </c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92"/>
    </row>
    <row r="757" spans="1:34" ht="15">
      <c r="A757" s="95" t="str">
        <f t="shared" si="32"/>
        <v>月内第一次多日交易</v>
      </c>
      <c r="B757" s="3"/>
      <c r="C757" s="76" t="s">
        <v>23</v>
      </c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92"/>
    </row>
    <row r="758" spans="1:34" ht="15">
      <c r="A758" s="95" t="str">
        <f t="shared" si="32"/>
        <v>月内第一次多日交易</v>
      </c>
      <c r="B758" s="3"/>
      <c r="C758" s="76" t="s">
        <v>24</v>
      </c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92"/>
    </row>
    <row r="759" spans="1:34" ht="15">
      <c r="A759" s="95" t="str">
        <f t="shared" si="32"/>
        <v>月内第一次多日交易</v>
      </c>
      <c r="B759" s="3"/>
      <c r="C759" s="76" t="s">
        <v>25</v>
      </c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92"/>
    </row>
    <row r="760" spans="1:34" ht="15">
      <c r="A760" s="95" t="str">
        <f t="shared" si="32"/>
        <v>月内第一次多日交易</v>
      </c>
      <c r="B760" s="3"/>
      <c r="C760" s="76" t="s">
        <v>26</v>
      </c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92"/>
    </row>
    <row r="761" spans="1:34" ht="15">
      <c r="A761" s="95" t="str">
        <f t="shared" si="32"/>
        <v>月内第一次多日交易</v>
      </c>
      <c r="B761" s="3"/>
      <c r="C761" s="76" t="s">
        <v>27</v>
      </c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92"/>
    </row>
    <row r="762" spans="1:34" ht="15">
      <c r="A762" s="95" t="str">
        <f t="shared" si="32"/>
        <v>月内第一次多日交易</v>
      </c>
      <c r="B762" s="3"/>
      <c r="C762" s="76" t="s">
        <v>28</v>
      </c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92"/>
    </row>
    <row r="763" spans="1:34" ht="15">
      <c r="A763" s="95" t="str">
        <f t="shared" si="32"/>
        <v>月内第一次多日交易</v>
      </c>
      <c r="B763" s="3"/>
      <c r="C763" s="76" t="s">
        <v>29</v>
      </c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92"/>
    </row>
    <row r="764" spans="1:34" ht="15.75" thickBot="1">
      <c r="A764" s="95" t="str">
        <f t="shared" si="32"/>
        <v>月内第一次多日交易</v>
      </c>
      <c r="B764" s="3"/>
      <c r="C764" s="77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81"/>
    </row>
    <row r="765" spans="1:34" ht="15.75" thickBot="1">
      <c r="A765" s="95" t="str">
        <f t="shared" si="32"/>
        <v>月内第一次多日交易</v>
      </c>
      <c r="B765" s="3"/>
      <c r="C765" s="80" t="s">
        <v>63</v>
      </c>
      <c r="D765" s="9">
        <f t="shared" ref="D765:AH765" si="34">IFERROR(SUMPRODUCT(D740:D763,D709:D732)/D734,0)</f>
        <v>0</v>
      </c>
      <c r="E765" s="10">
        <f t="shared" si="34"/>
        <v>0</v>
      </c>
      <c r="F765" s="10">
        <f t="shared" si="34"/>
        <v>0</v>
      </c>
      <c r="G765" s="10">
        <f t="shared" si="34"/>
        <v>0</v>
      </c>
      <c r="H765" s="10">
        <f t="shared" si="34"/>
        <v>0</v>
      </c>
      <c r="I765" s="10">
        <f t="shared" si="34"/>
        <v>0</v>
      </c>
      <c r="J765" s="10">
        <f t="shared" si="34"/>
        <v>0</v>
      </c>
      <c r="K765" s="10">
        <f t="shared" si="34"/>
        <v>0</v>
      </c>
      <c r="L765" s="10">
        <f t="shared" si="34"/>
        <v>0</v>
      </c>
      <c r="M765" s="10">
        <f t="shared" si="34"/>
        <v>0</v>
      </c>
      <c r="N765" s="10">
        <f t="shared" si="34"/>
        <v>0</v>
      </c>
      <c r="O765" s="10">
        <f t="shared" si="34"/>
        <v>0</v>
      </c>
      <c r="P765" s="10">
        <f t="shared" si="34"/>
        <v>0</v>
      </c>
      <c r="Q765" s="10">
        <f t="shared" si="34"/>
        <v>0</v>
      </c>
      <c r="R765" s="10">
        <f t="shared" si="34"/>
        <v>0</v>
      </c>
      <c r="S765" s="10">
        <f t="shared" si="34"/>
        <v>0</v>
      </c>
      <c r="T765" s="10">
        <f t="shared" si="34"/>
        <v>0</v>
      </c>
      <c r="U765" s="10">
        <f t="shared" si="34"/>
        <v>0</v>
      </c>
      <c r="V765" s="10">
        <f t="shared" si="34"/>
        <v>0</v>
      </c>
      <c r="W765" s="10">
        <f t="shared" si="34"/>
        <v>0</v>
      </c>
      <c r="X765" s="10">
        <f t="shared" si="34"/>
        <v>0</v>
      </c>
      <c r="Y765" s="10">
        <f t="shared" si="34"/>
        <v>0</v>
      </c>
      <c r="Z765" s="10">
        <f t="shared" si="34"/>
        <v>0</v>
      </c>
      <c r="AA765" s="10">
        <f t="shared" si="34"/>
        <v>0</v>
      </c>
      <c r="AB765" s="10">
        <f t="shared" si="34"/>
        <v>0</v>
      </c>
      <c r="AC765" s="10">
        <f t="shared" si="34"/>
        <v>0</v>
      </c>
      <c r="AD765" s="10">
        <f t="shared" si="34"/>
        <v>0</v>
      </c>
      <c r="AE765" s="10">
        <f t="shared" si="34"/>
        <v>0</v>
      </c>
      <c r="AF765" s="10">
        <f t="shared" si="34"/>
        <v>0</v>
      </c>
      <c r="AG765" s="10">
        <f t="shared" si="34"/>
        <v>0</v>
      </c>
      <c r="AH765" s="49">
        <f t="shared" si="34"/>
        <v>0</v>
      </c>
    </row>
    <row r="766" spans="1:34" ht="15.75" thickBot="1">
      <c r="A766" s="95" t="str">
        <f t="shared" si="32"/>
        <v>月内第一次多日交易</v>
      </c>
      <c r="B766" s="3"/>
      <c r="C766" s="77"/>
      <c r="D766" s="15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81"/>
    </row>
    <row r="767" spans="1:34" ht="15.75" thickBot="1">
      <c r="A767" s="95" t="str">
        <f t="shared" si="32"/>
        <v>月内第一次多日交易</v>
      </c>
      <c r="B767" s="3"/>
      <c r="C767" s="80" t="s">
        <v>64</v>
      </c>
      <c r="D767" s="12">
        <f>IFERROR(SUMPRODUCT(D734:AH734,D765:AH765)/D736,0)</f>
        <v>0</v>
      </c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81"/>
    </row>
    <row r="768" spans="1:34" ht="15.75" thickBot="1">
      <c r="A768" s="95" t="str">
        <f t="shared" si="32"/>
        <v>月内第一次多日交易</v>
      </c>
      <c r="B768" s="3"/>
      <c r="C768" s="93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5"/>
    </row>
    <row r="769" spans="1:34" ht="15" thickBot="1">
      <c r="A769" s="95" t="str">
        <f t="shared" si="32"/>
        <v>月内第一次多日交易</v>
      </c>
    </row>
    <row r="770" spans="1:34" ht="23.25">
      <c r="A770" s="95" t="str">
        <f>C770</f>
        <v>月内第二次多日交易</v>
      </c>
      <c r="C770" s="170" t="s">
        <v>108</v>
      </c>
      <c r="D770" s="171"/>
      <c r="E770" s="171"/>
      <c r="F770" s="171"/>
      <c r="G770" s="171"/>
      <c r="H770" s="171"/>
      <c r="I770" s="171"/>
      <c r="J770" s="171"/>
      <c r="K770" s="171"/>
      <c r="L770" s="171"/>
      <c r="M770" s="171"/>
      <c r="N770" s="171"/>
      <c r="O770" s="171"/>
      <c r="P770" s="171"/>
      <c r="Q770" s="171"/>
      <c r="R770" s="171"/>
      <c r="S770" s="171"/>
      <c r="T770" s="171"/>
      <c r="U770" s="171"/>
      <c r="V770" s="171"/>
      <c r="W770" s="171"/>
      <c r="X770" s="171"/>
      <c r="Y770" s="171"/>
      <c r="Z770" s="171"/>
      <c r="AA770" s="171"/>
      <c r="AB770" s="171"/>
      <c r="AC770" s="171"/>
      <c r="AD770" s="171"/>
      <c r="AE770" s="171"/>
      <c r="AF770" s="171"/>
      <c r="AG770" s="171"/>
      <c r="AH770" s="172"/>
    </row>
    <row r="771" spans="1:34" ht="22.5">
      <c r="A771" s="95" t="str">
        <f t="shared" si="32"/>
        <v>月内第二次多日交易</v>
      </c>
      <c r="B771" s="3"/>
      <c r="C771" s="154" t="str">
        <f>C770&amp;"电量(MWh)"</f>
        <v>月内第二次多日交易电量(MWh)</v>
      </c>
      <c r="D771" s="155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  <c r="AA771" s="155"/>
      <c r="AB771" s="155"/>
      <c r="AC771" s="155"/>
      <c r="AD771" s="155"/>
      <c r="AE771" s="155"/>
      <c r="AF771" s="155"/>
      <c r="AG771" s="155"/>
      <c r="AH771" s="156"/>
    </row>
    <row r="772" spans="1:34" ht="15">
      <c r="A772" s="95" t="str">
        <f t="shared" ref="A772:A835" si="35">A771</f>
        <v>月内第二次多日交易</v>
      </c>
      <c r="B772" s="3"/>
      <c r="C772" s="74" t="s">
        <v>31</v>
      </c>
      <c r="D772" s="5" t="s">
        <v>32</v>
      </c>
      <c r="E772" s="6" t="s">
        <v>33</v>
      </c>
      <c r="F772" s="6" t="s">
        <v>34</v>
      </c>
      <c r="G772" s="6" t="s">
        <v>35</v>
      </c>
      <c r="H772" s="6" t="s">
        <v>36</v>
      </c>
      <c r="I772" s="6" t="s">
        <v>37</v>
      </c>
      <c r="J772" s="6" t="s">
        <v>38</v>
      </c>
      <c r="K772" s="6" t="s">
        <v>39</v>
      </c>
      <c r="L772" s="6" t="s">
        <v>40</v>
      </c>
      <c r="M772" s="6" t="s">
        <v>41</v>
      </c>
      <c r="N772" s="6" t="s">
        <v>42</v>
      </c>
      <c r="O772" s="6" t="s">
        <v>43</v>
      </c>
      <c r="P772" s="6" t="s">
        <v>44</v>
      </c>
      <c r="Q772" s="6" t="s">
        <v>45</v>
      </c>
      <c r="R772" s="6" t="s">
        <v>46</v>
      </c>
      <c r="S772" s="6" t="s">
        <v>47</v>
      </c>
      <c r="T772" s="6" t="s">
        <v>48</v>
      </c>
      <c r="U772" s="6" t="s">
        <v>49</v>
      </c>
      <c r="V772" s="6" t="s">
        <v>50</v>
      </c>
      <c r="W772" s="6" t="s">
        <v>51</v>
      </c>
      <c r="X772" s="6" t="s">
        <v>52</v>
      </c>
      <c r="Y772" s="6" t="s">
        <v>53</v>
      </c>
      <c r="Z772" s="6" t="s">
        <v>54</v>
      </c>
      <c r="AA772" s="6" t="s">
        <v>55</v>
      </c>
      <c r="AB772" s="6" t="s">
        <v>56</v>
      </c>
      <c r="AC772" s="6" t="s">
        <v>57</v>
      </c>
      <c r="AD772" s="6" t="s">
        <v>58</v>
      </c>
      <c r="AE772" s="6" t="s">
        <v>59</v>
      </c>
      <c r="AF772" s="6" t="s">
        <v>60</v>
      </c>
      <c r="AG772" s="6" t="s">
        <v>61</v>
      </c>
      <c r="AH772" s="75" t="s">
        <v>62</v>
      </c>
    </row>
    <row r="773" spans="1:34" ht="15">
      <c r="A773" s="95" t="str">
        <f t="shared" si="35"/>
        <v>月内第二次多日交易</v>
      </c>
      <c r="B773" s="3"/>
      <c r="C773" s="76" t="s">
        <v>6</v>
      </c>
      <c r="D773" s="47"/>
      <c r="E773" s="47"/>
      <c r="F773" s="47"/>
      <c r="G773" s="47"/>
      <c r="H773" s="47"/>
      <c r="I773" s="47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  <c r="AD773" s="47"/>
      <c r="AE773" s="47"/>
      <c r="AF773" s="47"/>
      <c r="AG773" s="47"/>
      <c r="AH773" s="91"/>
    </row>
    <row r="774" spans="1:34" ht="15">
      <c r="A774" s="95" t="str">
        <f t="shared" si="35"/>
        <v>月内第二次多日交易</v>
      </c>
      <c r="B774" s="3"/>
      <c r="C774" s="76" t="s">
        <v>7</v>
      </c>
      <c r="D774" s="47"/>
      <c r="E774" s="47"/>
      <c r="F774" s="47"/>
      <c r="G774" s="47"/>
      <c r="H774" s="47"/>
      <c r="I774" s="47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  <c r="AD774" s="47"/>
      <c r="AE774" s="47"/>
      <c r="AF774" s="47"/>
      <c r="AG774" s="47"/>
      <c r="AH774" s="91"/>
    </row>
    <row r="775" spans="1:34" ht="15">
      <c r="A775" s="95" t="str">
        <f t="shared" si="35"/>
        <v>月内第二次多日交易</v>
      </c>
      <c r="B775" s="3"/>
      <c r="C775" s="76" t="s">
        <v>8</v>
      </c>
      <c r="D775" s="47"/>
      <c r="E775" s="47"/>
      <c r="F775" s="47"/>
      <c r="G775" s="47"/>
      <c r="H775" s="47"/>
      <c r="I775" s="47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  <c r="AD775" s="47"/>
      <c r="AE775" s="47"/>
      <c r="AF775" s="47"/>
      <c r="AG775" s="47"/>
      <c r="AH775" s="91"/>
    </row>
    <row r="776" spans="1:34" ht="15">
      <c r="A776" s="95" t="str">
        <f t="shared" si="35"/>
        <v>月内第二次多日交易</v>
      </c>
      <c r="B776" s="3"/>
      <c r="C776" s="76" t="s">
        <v>9</v>
      </c>
      <c r="D776" s="47"/>
      <c r="E776" s="47"/>
      <c r="F776" s="47"/>
      <c r="G776" s="47"/>
      <c r="H776" s="47"/>
      <c r="I776" s="47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  <c r="AD776" s="47"/>
      <c r="AE776" s="47"/>
      <c r="AF776" s="47"/>
      <c r="AG776" s="47"/>
      <c r="AH776" s="91"/>
    </row>
    <row r="777" spans="1:34" ht="15">
      <c r="A777" s="95" t="str">
        <f t="shared" si="35"/>
        <v>月内第二次多日交易</v>
      </c>
      <c r="B777" s="3"/>
      <c r="C777" s="76" t="s">
        <v>10</v>
      </c>
      <c r="D777" s="47"/>
      <c r="E777" s="47"/>
      <c r="F777" s="47"/>
      <c r="G777" s="47"/>
      <c r="H777" s="47"/>
      <c r="I777" s="47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  <c r="AD777" s="47"/>
      <c r="AE777" s="47"/>
      <c r="AF777" s="47"/>
      <c r="AG777" s="47"/>
      <c r="AH777" s="91"/>
    </row>
    <row r="778" spans="1:34" ht="15">
      <c r="A778" s="95" t="str">
        <f t="shared" si="35"/>
        <v>月内第二次多日交易</v>
      </c>
      <c r="B778" s="3"/>
      <c r="C778" s="76" t="s">
        <v>11</v>
      </c>
      <c r="D778" s="47"/>
      <c r="E778" s="47"/>
      <c r="F778" s="47"/>
      <c r="G778" s="47"/>
      <c r="H778" s="47"/>
      <c r="I778" s="47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  <c r="AD778" s="47"/>
      <c r="AE778" s="47"/>
      <c r="AF778" s="47"/>
      <c r="AG778" s="47"/>
      <c r="AH778" s="91"/>
    </row>
    <row r="779" spans="1:34" ht="15">
      <c r="A779" s="95" t="str">
        <f t="shared" si="35"/>
        <v>月内第二次多日交易</v>
      </c>
      <c r="B779" s="3"/>
      <c r="C779" s="76" t="s">
        <v>12</v>
      </c>
      <c r="D779" s="47"/>
      <c r="E779" s="47"/>
      <c r="F779" s="47"/>
      <c r="G779" s="47"/>
      <c r="H779" s="47"/>
      <c r="I779" s="47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  <c r="AD779" s="47"/>
      <c r="AE779" s="47"/>
      <c r="AF779" s="47"/>
      <c r="AG779" s="47"/>
      <c r="AH779" s="91"/>
    </row>
    <row r="780" spans="1:34" ht="15">
      <c r="A780" s="95" t="str">
        <f t="shared" si="35"/>
        <v>月内第二次多日交易</v>
      </c>
      <c r="B780" s="3"/>
      <c r="C780" s="76" t="s">
        <v>13</v>
      </c>
      <c r="D780" s="47"/>
      <c r="E780" s="47"/>
      <c r="F780" s="47"/>
      <c r="G780" s="47"/>
      <c r="H780" s="47"/>
      <c r="I780" s="47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  <c r="AD780" s="47"/>
      <c r="AE780" s="47"/>
      <c r="AF780" s="47"/>
      <c r="AG780" s="47"/>
      <c r="AH780" s="91"/>
    </row>
    <row r="781" spans="1:34" ht="15">
      <c r="A781" s="95" t="str">
        <f t="shared" si="35"/>
        <v>月内第二次多日交易</v>
      </c>
      <c r="B781" s="3"/>
      <c r="C781" s="76" t="s">
        <v>14</v>
      </c>
      <c r="D781" s="47"/>
      <c r="E781" s="47"/>
      <c r="F781" s="47"/>
      <c r="G781" s="47"/>
      <c r="H781" s="47"/>
      <c r="I781" s="47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  <c r="AD781" s="47"/>
      <c r="AE781" s="47"/>
      <c r="AF781" s="47"/>
      <c r="AG781" s="47"/>
      <c r="AH781" s="91"/>
    </row>
    <row r="782" spans="1:34" ht="15">
      <c r="A782" s="95" t="str">
        <f t="shared" si="35"/>
        <v>月内第二次多日交易</v>
      </c>
      <c r="B782" s="3"/>
      <c r="C782" s="76" t="s">
        <v>15</v>
      </c>
      <c r="D782" s="47"/>
      <c r="E782" s="47"/>
      <c r="F782" s="47"/>
      <c r="G782" s="47"/>
      <c r="H782" s="47"/>
      <c r="I782" s="47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  <c r="AD782" s="47"/>
      <c r="AE782" s="47"/>
      <c r="AF782" s="47"/>
      <c r="AG782" s="47"/>
      <c r="AH782" s="91"/>
    </row>
    <row r="783" spans="1:34" ht="15">
      <c r="A783" s="95" t="str">
        <f t="shared" si="35"/>
        <v>月内第二次多日交易</v>
      </c>
      <c r="B783" s="3"/>
      <c r="C783" s="76" t="s">
        <v>16</v>
      </c>
      <c r="D783" s="47"/>
      <c r="E783" s="47"/>
      <c r="F783" s="47"/>
      <c r="G783" s="47"/>
      <c r="H783" s="47"/>
      <c r="I783" s="47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  <c r="AD783" s="47"/>
      <c r="AE783" s="47"/>
      <c r="AF783" s="47"/>
      <c r="AG783" s="47"/>
      <c r="AH783" s="91"/>
    </row>
    <row r="784" spans="1:34" ht="15">
      <c r="A784" s="95" t="str">
        <f t="shared" si="35"/>
        <v>月内第二次多日交易</v>
      </c>
      <c r="B784" s="3"/>
      <c r="C784" s="76" t="s">
        <v>17</v>
      </c>
      <c r="D784" s="47"/>
      <c r="E784" s="47"/>
      <c r="F784" s="47"/>
      <c r="G784" s="47"/>
      <c r="H784" s="47"/>
      <c r="I784" s="47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  <c r="AD784" s="47"/>
      <c r="AE784" s="47"/>
      <c r="AF784" s="47"/>
      <c r="AG784" s="47"/>
      <c r="AH784" s="91"/>
    </row>
    <row r="785" spans="1:34" ht="15">
      <c r="A785" s="95" t="str">
        <f t="shared" si="35"/>
        <v>月内第二次多日交易</v>
      </c>
      <c r="B785" s="3"/>
      <c r="C785" s="76" t="s">
        <v>18</v>
      </c>
      <c r="D785" s="47"/>
      <c r="E785" s="47"/>
      <c r="F785" s="47"/>
      <c r="G785" s="47"/>
      <c r="H785" s="47"/>
      <c r="I785" s="47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  <c r="AD785" s="47"/>
      <c r="AE785" s="47"/>
      <c r="AF785" s="47"/>
      <c r="AG785" s="47"/>
      <c r="AH785" s="91"/>
    </row>
    <row r="786" spans="1:34" ht="15">
      <c r="A786" s="95" t="str">
        <f t="shared" si="35"/>
        <v>月内第二次多日交易</v>
      </c>
      <c r="B786" s="3"/>
      <c r="C786" s="76" t="s">
        <v>19</v>
      </c>
      <c r="D786" s="47"/>
      <c r="E786" s="47"/>
      <c r="F786" s="47"/>
      <c r="G786" s="47"/>
      <c r="H786" s="47"/>
      <c r="I786" s="47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  <c r="AD786" s="47"/>
      <c r="AE786" s="47"/>
      <c r="AF786" s="47"/>
      <c r="AG786" s="47"/>
      <c r="AH786" s="91"/>
    </row>
    <row r="787" spans="1:34" ht="15">
      <c r="A787" s="95" t="str">
        <f t="shared" si="35"/>
        <v>月内第二次多日交易</v>
      </c>
      <c r="B787" s="3"/>
      <c r="C787" s="76" t="s">
        <v>20</v>
      </c>
      <c r="D787" s="47"/>
      <c r="E787" s="47"/>
      <c r="F787" s="47"/>
      <c r="G787" s="47"/>
      <c r="H787" s="47"/>
      <c r="I787" s="47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  <c r="AD787" s="47"/>
      <c r="AE787" s="47"/>
      <c r="AF787" s="47"/>
      <c r="AG787" s="47"/>
      <c r="AH787" s="91"/>
    </row>
    <row r="788" spans="1:34" ht="15">
      <c r="A788" s="95" t="str">
        <f t="shared" si="35"/>
        <v>月内第二次多日交易</v>
      </c>
      <c r="B788" s="3"/>
      <c r="C788" s="76" t="s">
        <v>21</v>
      </c>
      <c r="D788" s="47"/>
      <c r="E788" s="47"/>
      <c r="F788" s="47"/>
      <c r="G788" s="47"/>
      <c r="H788" s="47"/>
      <c r="I788" s="47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  <c r="AD788" s="47"/>
      <c r="AE788" s="47"/>
      <c r="AF788" s="47"/>
      <c r="AG788" s="47"/>
      <c r="AH788" s="91"/>
    </row>
    <row r="789" spans="1:34" ht="15">
      <c r="A789" s="95" t="str">
        <f t="shared" si="35"/>
        <v>月内第二次多日交易</v>
      </c>
      <c r="B789" s="3"/>
      <c r="C789" s="76" t="s">
        <v>22</v>
      </c>
      <c r="D789" s="47"/>
      <c r="E789" s="47"/>
      <c r="F789" s="47"/>
      <c r="G789" s="47"/>
      <c r="H789" s="47"/>
      <c r="I789" s="47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  <c r="AD789" s="47"/>
      <c r="AE789" s="47"/>
      <c r="AF789" s="47"/>
      <c r="AG789" s="47"/>
      <c r="AH789" s="91"/>
    </row>
    <row r="790" spans="1:34" ht="15">
      <c r="A790" s="95" t="str">
        <f t="shared" si="35"/>
        <v>月内第二次多日交易</v>
      </c>
      <c r="B790" s="3"/>
      <c r="C790" s="76" t="s">
        <v>23</v>
      </c>
      <c r="D790" s="47"/>
      <c r="E790" s="47"/>
      <c r="F790" s="47"/>
      <c r="G790" s="47"/>
      <c r="H790" s="47"/>
      <c r="I790" s="47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  <c r="AD790" s="47"/>
      <c r="AE790" s="47"/>
      <c r="AF790" s="47"/>
      <c r="AG790" s="47"/>
      <c r="AH790" s="91"/>
    </row>
    <row r="791" spans="1:34" ht="15">
      <c r="A791" s="95" t="str">
        <f t="shared" si="35"/>
        <v>月内第二次多日交易</v>
      </c>
      <c r="B791" s="3"/>
      <c r="C791" s="76" t="s">
        <v>24</v>
      </c>
      <c r="D791" s="47"/>
      <c r="E791" s="47"/>
      <c r="F791" s="47"/>
      <c r="G791" s="47"/>
      <c r="H791" s="47"/>
      <c r="I791" s="47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  <c r="AD791" s="47"/>
      <c r="AE791" s="47"/>
      <c r="AF791" s="47"/>
      <c r="AG791" s="47"/>
      <c r="AH791" s="91"/>
    </row>
    <row r="792" spans="1:34" ht="15">
      <c r="A792" s="95" t="str">
        <f t="shared" si="35"/>
        <v>月内第二次多日交易</v>
      </c>
      <c r="B792" s="3"/>
      <c r="C792" s="76" t="s">
        <v>25</v>
      </c>
      <c r="D792" s="47"/>
      <c r="E792" s="47"/>
      <c r="F792" s="47"/>
      <c r="G792" s="47"/>
      <c r="H792" s="47"/>
      <c r="I792" s="47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  <c r="AD792" s="47"/>
      <c r="AE792" s="47"/>
      <c r="AF792" s="47"/>
      <c r="AG792" s="47"/>
      <c r="AH792" s="91"/>
    </row>
    <row r="793" spans="1:34" ht="15">
      <c r="A793" s="95" t="str">
        <f t="shared" si="35"/>
        <v>月内第二次多日交易</v>
      </c>
      <c r="B793" s="3"/>
      <c r="C793" s="76" t="s">
        <v>26</v>
      </c>
      <c r="D793" s="47"/>
      <c r="E793" s="47"/>
      <c r="F793" s="47"/>
      <c r="G793" s="47"/>
      <c r="H793" s="47"/>
      <c r="I793" s="47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  <c r="AD793" s="47"/>
      <c r="AE793" s="47"/>
      <c r="AF793" s="47"/>
      <c r="AG793" s="47"/>
      <c r="AH793" s="91"/>
    </row>
    <row r="794" spans="1:34" ht="15">
      <c r="A794" s="95" t="str">
        <f t="shared" si="35"/>
        <v>月内第二次多日交易</v>
      </c>
      <c r="B794" s="3"/>
      <c r="C794" s="76" t="s">
        <v>27</v>
      </c>
      <c r="D794" s="47"/>
      <c r="E794" s="47"/>
      <c r="F794" s="47"/>
      <c r="G794" s="47"/>
      <c r="H794" s="47"/>
      <c r="I794" s="47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  <c r="AD794" s="47"/>
      <c r="AE794" s="47"/>
      <c r="AF794" s="47"/>
      <c r="AG794" s="47"/>
      <c r="AH794" s="91"/>
    </row>
    <row r="795" spans="1:34" ht="15">
      <c r="A795" s="95" t="str">
        <f t="shared" si="35"/>
        <v>月内第二次多日交易</v>
      </c>
      <c r="B795" s="3"/>
      <c r="C795" s="76" t="s">
        <v>28</v>
      </c>
      <c r="D795" s="47"/>
      <c r="E795" s="47"/>
      <c r="F795" s="47"/>
      <c r="G795" s="47"/>
      <c r="H795" s="47"/>
      <c r="I795" s="47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  <c r="AD795" s="47"/>
      <c r="AE795" s="47"/>
      <c r="AF795" s="47"/>
      <c r="AG795" s="47"/>
      <c r="AH795" s="91"/>
    </row>
    <row r="796" spans="1:34" ht="15">
      <c r="A796" s="95" t="str">
        <f t="shared" si="35"/>
        <v>月内第二次多日交易</v>
      </c>
      <c r="B796" s="3"/>
      <c r="C796" s="76" t="s">
        <v>29</v>
      </c>
      <c r="D796" s="47"/>
      <c r="E796" s="47"/>
      <c r="F796" s="47"/>
      <c r="G796" s="47"/>
      <c r="H796" s="47"/>
      <c r="I796" s="47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  <c r="AD796" s="47"/>
      <c r="AE796" s="47"/>
      <c r="AF796" s="47"/>
      <c r="AG796" s="47"/>
      <c r="AH796" s="91"/>
    </row>
    <row r="797" spans="1:34" ht="15.75" thickBot="1">
      <c r="A797" s="95" t="str">
        <f t="shared" si="35"/>
        <v>月内第二次多日交易</v>
      </c>
      <c r="B797" s="3"/>
      <c r="C797" s="77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9"/>
    </row>
    <row r="798" spans="1:34" ht="15.75" thickBot="1">
      <c r="A798" s="95" t="str">
        <f t="shared" si="35"/>
        <v>月内第二次多日交易</v>
      </c>
      <c r="B798" s="3"/>
      <c r="C798" s="80" t="s">
        <v>63</v>
      </c>
      <c r="D798" s="9">
        <f>SUM(D773:D796)</f>
        <v>0</v>
      </c>
      <c r="E798" s="10">
        <f t="shared" ref="E798:AH798" si="36">SUM(E773:E796)</f>
        <v>0</v>
      </c>
      <c r="F798" s="10">
        <f t="shared" si="36"/>
        <v>0</v>
      </c>
      <c r="G798" s="10">
        <f t="shared" si="36"/>
        <v>0</v>
      </c>
      <c r="H798" s="10">
        <f t="shared" si="36"/>
        <v>0</v>
      </c>
      <c r="I798" s="10">
        <f t="shared" si="36"/>
        <v>0</v>
      </c>
      <c r="J798" s="10">
        <f t="shared" si="36"/>
        <v>0</v>
      </c>
      <c r="K798" s="10">
        <f t="shared" si="36"/>
        <v>0</v>
      </c>
      <c r="L798" s="10">
        <f t="shared" si="36"/>
        <v>0</v>
      </c>
      <c r="M798" s="10">
        <f t="shared" si="36"/>
        <v>0</v>
      </c>
      <c r="N798" s="10">
        <f t="shared" si="36"/>
        <v>0</v>
      </c>
      <c r="O798" s="10">
        <f t="shared" si="36"/>
        <v>0</v>
      </c>
      <c r="P798" s="10">
        <f t="shared" si="36"/>
        <v>0</v>
      </c>
      <c r="Q798" s="10">
        <f t="shared" si="36"/>
        <v>0</v>
      </c>
      <c r="R798" s="10">
        <f t="shared" si="36"/>
        <v>0</v>
      </c>
      <c r="S798" s="10">
        <f t="shared" si="36"/>
        <v>0</v>
      </c>
      <c r="T798" s="10">
        <f t="shared" si="36"/>
        <v>0</v>
      </c>
      <c r="U798" s="10">
        <f t="shared" si="36"/>
        <v>0</v>
      </c>
      <c r="V798" s="10">
        <f t="shared" si="36"/>
        <v>0</v>
      </c>
      <c r="W798" s="10">
        <f t="shared" si="36"/>
        <v>0</v>
      </c>
      <c r="X798" s="10">
        <f t="shared" si="36"/>
        <v>0</v>
      </c>
      <c r="Y798" s="10">
        <f t="shared" si="36"/>
        <v>0</v>
      </c>
      <c r="Z798" s="10">
        <f t="shared" si="36"/>
        <v>0</v>
      </c>
      <c r="AA798" s="10">
        <f t="shared" si="36"/>
        <v>0</v>
      </c>
      <c r="AB798" s="10">
        <f t="shared" si="36"/>
        <v>0</v>
      </c>
      <c r="AC798" s="10">
        <f t="shared" si="36"/>
        <v>0</v>
      </c>
      <c r="AD798" s="10">
        <f t="shared" si="36"/>
        <v>0</v>
      </c>
      <c r="AE798" s="10">
        <f t="shared" si="36"/>
        <v>0</v>
      </c>
      <c r="AF798" s="10">
        <f t="shared" si="36"/>
        <v>0</v>
      </c>
      <c r="AG798" s="10">
        <f t="shared" si="36"/>
        <v>0</v>
      </c>
      <c r="AH798" s="49">
        <f t="shared" si="36"/>
        <v>0</v>
      </c>
    </row>
    <row r="799" spans="1:34" ht="15.75" thickBot="1">
      <c r="A799" s="95" t="str">
        <f t="shared" si="35"/>
        <v>月内第二次多日交易</v>
      </c>
      <c r="B799" s="3"/>
      <c r="C799" s="77"/>
      <c r="D799" s="15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81"/>
    </row>
    <row r="800" spans="1:34" ht="15.75" thickBot="1">
      <c r="A800" s="95" t="str">
        <f t="shared" si="35"/>
        <v>月内第二次多日交易</v>
      </c>
      <c r="B800" s="3"/>
      <c r="C800" s="80" t="s">
        <v>64</v>
      </c>
      <c r="D800" s="12">
        <f>SUM(D798:AH798)</f>
        <v>0</v>
      </c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81"/>
    </row>
    <row r="801" spans="1:34" ht="15">
      <c r="A801" s="95" t="str">
        <f t="shared" si="35"/>
        <v>月内第二次多日交易</v>
      </c>
      <c r="B801" s="3"/>
      <c r="C801" s="77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81"/>
    </row>
    <row r="802" spans="1:34" ht="22.5">
      <c r="A802" s="95" t="str">
        <f t="shared" si="35"/>
        <v>月内第二次多日交易</v>
      </c>
      <c r="B802" s="3"/>
      <c r="C802" s="154" t="str">
        <f>C770&amp;"电价(元/MWh)"</f>
        <v>月内第二次多日交易电价(元/MWh)</v>
      </c>
      <c r="D802" s="155"/>
      <c r="E802" s="155"/>
      <c r="F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  <c r="AA802" s="155"/>
      <c r="AB802" s="155"/>
      <c r="AC802" s="155"/>
      <c r="AD802" s="155"/>
      <c r="AE802" s="155"/>
      <c r="AF802" s="155"/>
      <c r="AG802" s="155"/>
      <c r="AH802" s="156"/>
    </row>
    <row r="803" spans="1:34" ht="15">
      <c r="A803" s="95" t="str">
        <f t="shared" si="35"/>
        <v>月内第二次多日交易</v>
      </c>
      <c r="B803" s="3"/>
      <c r="C803" s="74" t="s">
        <v>31</v>
      </c>
      <c r="D803" s="5" t="s">
        <v>32</v>
      </c>
      <c r="E803" s="6" t="s">
        <v>33</v>
      </c>
      <c r="F803" s="6" t="s">
        <v>34</v>
      </c>
      <c r="G803" s="6" t="s">
        <v>35</v>
      </c>
      <c r="H803" s="6" t="s">
        <v>36</v>
      </c>
      <c r="I803" s="6" t="s">
        <v>37</v>
      </c>
      <c r="J803" s="6" t="s">
        <v>38</v>
      </c>
      <c r="K803" s="6" t="s">
        <v>39</v>
      </c>
      <c r="L803" s="6" t="s">
        <v>40</v>
      </c>
      <c r="M803" s="6" t="s">
        <v>41</v>
      </c>
      <c r="N803" s="6" t="s">
        <v>42</v>
      </c>
      <c r="O803" s="6" t="s">
        <v>43</v>
      </c>
      <c r="P803" s="6" t="s">
        <v>44</v>
      </c>
      <c r="Q803" s="6" t="s">
        <v>45</v>
      </c>
      <c r="R803" s="6" t="s">
        <v>46</v>
      </c>
      <c r="S803" s="6" t="s">
        <v>47</v>
      </c>
      <c r="T803" s="6" t="s">
        <v>48</v>
      </c>
      <c r="U803" s="6" t="s">
        <v>49</v>
      </c>
      <c r="V803" s="6" t="s">
        <v>50</v>
      </c>
      <c r="W803" s="6" t="s">
        <v>51</v>
      </c>
      <c r="X803" s="6" t="s">
        <v>52</v>
      </c>
      <c r="Y803" s="6" t="s">
        <v>53</v>
      </c>
      <c r="Z803" s="6" t="s">
        <v>54</v>
      </c>
      <c r="AA803" s="6" t="s">
        <v>55</v>
      </c>
      <c r="AB803" s="6" t="s">
        <v>56</v>
      </c>
      <c r="AC803" s="6" t="s">
        <v>57</v>
      </c>
      <c r="AD803" s="6" t="s">
        <v>58</v>
      </c>
      <c r="AE803" s="6" t="s">
        <v>59</v>
      </c>
      <c r="AF803" s="6" t="s">
        <v>60</v>
      </c>
      <c r="AG803" s="6" t="s">
        <v>61</v>
      </c>
      <c r="AH803" s="75" t="s">
        <v>62</v>
      </c>
    </row>
    <row r="804" spans="1:34" ht="15">
      <c r="A804" s="95" t="str">
        <f t="shared" si="35"/>
        <v>月内第二次多日交易</v>
      </c>
      <c r="B804" s="3"/>
      <c r="C804" s="76" t="s">
        <v>6</v>
      </c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92"/>
    </row>
    <row r="805" spans="1:34" ht="15">
      <c r="A805" s="95" t="str">
        <f t="shared" si="35"/>
        <v>月内第二次多日交易</v>
      </c>
      <c r="B805" s="3"/>
      <c r="C805" s="76" t="s">
        <v>7</v>
      </c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92"/>
    </row>
    <row r="806" spans="1:34" ht="15">
      <c r="A806" s="95" t="str">
        <f t="shared" si="35"/>
        <v>月内第二次多日交易</v>
      </c>
      <c r="B806" s="3"/>
      <c r="C806" s="76" t="s">
        <v>8</v>
      </c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92"/>
    </row>
    <row r="807" spans="1:34" ht="15">
      <c r="A807" s="95" t="str">
        <f t="shared" si="35"/>
        <v>月内第二次多日交易</v>
      </c>
      <c r="B807" s="3"/>
      <c r="C807" s="76" t="s">
        <v>9</v>
      </c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92"/>
    </row>
    <row r="808" spans="1:34" ht="15">
      <c r="A808" s="95" t="str">
        <f t="shared" si="35"/>
        <v>月内第二次多日交易</v>
      </c>
      <c r="B808" s="3"/>
      <c r="C808" s="76" t="s">
        <v>10</v>
      </c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92"/>
    </row>
    <row r="809" spans="1:34" ht="15">
      <c r="A809" s="95" t="str">
        <f t="shared" si="35"/>
        <v>月内第二次多日交易</v>
      </c>
      <c r="B809" s="3"/>
      <c r="C809" s="76" t="s">
        <v>11</v>
      </c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92"/>
    </row>
    <row r="810" spans="1:34" ht="15">
      <c r="A810" s="95" t="str">
        <f t="shared" si="35"/>
        <v>月内第二次多日交易</v>
      </c>
      <c r="B810" s="3"/>
      <c r="C810" s="76" t="s">
        <v>12</v>
      </c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92"/>
    </row>
    <row r="811" spans="1:34" ht="15">
      <c r="A811" s="95" t="str">
        <f t="shared" si="35"/>
        <v>月内第二次多日交易</v>
      </c>
      <c r="B811" s="3"/>
      <c r="C811" s="76" t="s">
        <v>13</v>
      </c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92"/>
    </row>
    <row r="812" spans="1:34" ht="15">
      <c r="A812" s="95" t="str">
        <f t="shared" si="35"/>
        <v>月内第二次多日交易</v>
      </c>
      <c r="B812" s="3"/>
      <c r="C812" s="76" t="s">
        <v>14</v>
      </c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92"/>
    </row>
    <row r="813" spans="1:34" ht="15">
      <c r="A813" s="95" t="str">
        <f t="shared" si="35"/>
        <v>月内第二次多日交易</v>
      </c>
      <c r="B813" s="3"/>
      <c r="C813" s="76" t="s">
        <v>15</v>
      </c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92"/>
    </row>
    <row r="814" spans="1:34" ht="15">
      <c r="A814" s="95" t="str">
        <f t="shared" si="35"/>
        <v>月内第二次多日交易</v>
      </c>
      <c r="B814" s="3"/>
      <c r="C814" s="76" t="s">
        <v>16</v>
      </c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92"/>
    </row>
    <row r="815" spans="1:34" ht="15">
      <c r="A815" s="95" t="str">
        <f t="shared" si="35"/>
        <v>月内第二次多日交易</v>
      </c>
      <c r="B815" s="3"/>
      <c r="C815" s="76" t="s">
        <v>17</v>
      </c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92"/>
    </row>
    <row r="816" spans="1:34" ht="15">
      <c r="A816" s="95" t="str">
        <f t="shared" si="35"/>
        <v>月内第二次多日交易</v>
      </c>
      <c r="B816" s="3"/>
      <c r="C816" s="76" t="s">
        <v>18</v>
      </c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92"/>
    </row>
    <row r="817" spans="1:34" ht="15">
      <c r="A817" s="95" t="str">
        <f t="shared" si="35"/>
        <v>月内第二次多日交易</v>
      </c>
      <c r="B817" s="3"/>
      <c r="C817" s="76" t="s">
        <v>19</v>
      </c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92"/>
    </row>
    <row r="818" spans="1:34" ht="15">
      <c r="A818" s="95" t="str">
        <f t="shared" si="35"/>
        <v>月内第二次多日交易</v>
      </c>
      <c r="B818" s="3"/>
      <c r="C818" s="76" t="s">
        <v>20</v>
      </c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92"/>
    </row>
    <row r="819" spans="1:34" ht="15">
      <c r="A819" s="95" t="str">
        <f t="shared" si="35"/>
        <v>月内第二次多日交易</v>
      </c>
      <c r="B819" s="3"/>
      <c r="C819" s="76" t="s">
        <v>21</v>
      </c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92"/>
    </row>
    <row r="820" spans="1:34" ht="15">
      <c r="A820" s="95" t="str">
        <f t="shared" si="35"/>
        <v>月内第二次多日交易</v>
      </c>
      <c r="B820" s="3"/>
      <c r="C820" s="76" t="s">
        <v>22</v>
      </c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92"/>
    </row>
    <row r="821" spans="1:34" ht="15">
      <c r="A821" s="95" t="str">
        <f t="shared" si="35"/>
        <v>月内第二次多日交易</v>
      </c>
      <c r="B821" s="3"/>
      <c r="C821" s="76" t="s">
        <v>23</v>
      </c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92"/>
    </row>
    <row r="822" spans="1:34" ht="15">
      <c r="A822" s="95" t="str">
        <f t="shared" si="35"/>
        <v>月内第二次多日交易</v>
      </c>
      <c r="B822" s="3"/>
      <c r="C822" s="76" t="s">
        <v>24</v>
      </c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92"/>
    </row>
    <row r="823" spans="1:34" ht="15">
      <c r="A823" s="95" t="str">
        <f t="shared" si="35"/>
        <v>月内第二次多日交易</v>
      </c>
      <c r="B823" s="3"/>
      <c r="C823" s="76" t="s">
        <v>25</v>
      </c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92"/>
    </row>
    <row r="824" spans="1:34" ht="15">
      <c r="A824" s="95" t="str">
        <f t="shared" si="35"/>
        <v>月内第二次多日交易</v>
      </c>
      <c r="B824" s="3"/>
      <c r="C824" s="76" t="s">
        <v>26</v>
      </c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92"/>
    </row>
    <row r="825" spans="1:34" ht="15">
      <c r="A825" s="95" t="str">
        <f t="shared" si="35"/>
        <v>月内第二次多日交易</v>
      </c>
      <c r="B825" s="3"/>
      <c r="C825" s="76" t="s">
        <v>27</v>
      </c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92"/>
    </row>
    <row r="826" spans="1:34" ht="15">
      <c r="A826" s="95" t="str">
        <f t="shared" si="35"/>
        <v>月内第二次多日交易</v>
      </c>
      <c r="B826" s="3"/>
      <c r="C826" s="76" t="s">
        <v>28</v>
      </c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92"/>
    </row>
    <row r="827" spans="1:34" ht="15">
      <c r="A827" s="95" t="str">
        <f t="shared" si="35"/>
        <v>月内第二次多日交易</v>
      </c>
      <c r="B827" s="3"/>
      <c r="C827" s="76" t="s">
        <v>29</v>
      </c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92"/>
    </row>
    <row r="828" spans="1:34" ht="15.75" thickBot="1">
      <c r="A828" s="95" t="str">
        <f t="shared" si="35"/>
        <v>月内第二次多日交易</v>
      </c>
      <c r="B828" s="3"/>
      <c r="C828" s="77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81"/>
    </row>
    <row r="829" spans="1:34" ht="15.75" thickBot="1">
      <c r="A829" s="95" t="str">
        <f t="shared" si="35"/>
        <v>月内第二次多日交易</v>
      </c>
      <c r="B829" s="3"/>
      <c r="C829" s="80" t="s">
        <v>63</v>
      </c>
      <c r="D829" s="9">
        <f t="shared" ref="D829:AH829" si="37">IFERROR(SUMPRODUCT(D804:D827,D773:D796)/D798,0)</f>
        <v>0</v>
      </c>
      <c r="E829" s="10">
        <f t="shared" si="37"/>
        <v>0</v>
      </c>
      <c r="F829" s="10">
        <f t="shared" si="37"/>
        <v>0</v>
      </c>
      <c r="G829" s="10">
        <f t="shared" si="37"/>
        <v>0</v>
      </c>
      <c r="H829" s="10">
        <f t="shared" si="37"/>
        <v>0</v>
      </c>
      <c r="I829" s="10">
        <f t="shared" si="37"/>
        <v>0</v>
      </c>
      <c r="J829" s="10">
        <f t="shared" si="37"/>
        <v>0</v>
      </c>
      <c r="K829" s="10">
        <f t="shared" si="37"/>
        <v>0</v>
      </c>
      <c r="L829" s="10">
        <f t="shared" si="37"/>
        <v>0</v>
      </c>
      <c r="M829" s="10">
        <f t="shared" si="37"/>
        <v>0</v>
      </c>
      <c r="N829" s="10">
        <f t="shared" si="37"/>
        <v>0</v>
      </c>
      <c r="O829" s="10">
        <f t="shared" si="37"/>
        <v>0</v>
      </c>
      <c r="P829" s="10">
        <f t="shared" si="37"/>
        <v>0</v>
      </c>
      <c r="Q829" s="10">
        <f t="shared" si="37"/>
        <v>0</v>
      </c>
      <c r="R829" s="10">
        <f t="shared" si="37"/>
        <v>0</v>
      </c>
      <c r="S829" s="10">
        <f t="shared" si="37"/>
        <v>0</v>
      </c>
      <c r="T829" s="10">
        <f t="shared" si="37"/>
        <v>0</v>
      </c>
      <c r="U829" s="10">
        <f t="shared" si="37"/>
        <v>0</v>
      </c>
      <c r="V829" s="10">
        <f t="shared" si="37"/>
        <v>0</v>
      </c>
      <c r="W829" s="10">
        <f t="shared" si="37"/>
        <v>0</v>
      </c>
      <c r="X829" s="10">
        <f t="shared" si="37"/>
        <v>0</v>
      </c>
      <c r="Y829" s="10">
        <f t="shared" si="37"/>
        <v>0</v>
      </c>
      <c r="Z829" s="10">
        <f t="shared" si="37"/>
        <v>0</v>
      </c>
      <c r="AA829" s="10">
        <f t="shared" si="37"/>
        <v>0</v>
      </c>
      <c r="AB829" s="10">
        <f t="shared" si="37"/>
        <v>0</v>
      </c>
      <c r="AC829" s="10">
        <f t="shared" si="37"/>
        <v>0</v>
      </c>
      <c r="AD829" s="10">
        <f t="shared" si="37"/>
        <v>0</v>
      </c>
      <c r="AE829" s="10">
        <f t="shared" si="37"/>
        <v>0</v>
      </c>
      <c r="AF829" s="10">
        <f t="shared" si="37"/>
        <v>0</v>
      </c>
      <c r="AG829" s="10">
        <f t="shared" si="37"/>
        <v>0</v>
      </c>
      <c r="AH829" s="49">
        <f t="shared" si="37"/>
        <v>0</v>
      </c>
    </row>
    <row r="830" spans="1:34" ht="15.75" thickBot="1">
      <c r="A830" s="95" t="str">
        <f t="shared" si="35"/>
        <v>月内第二次多日交易</v>
      </c>
      <c r="B830" s="3"/>
      <c r="C830" s="77"/>
      <c r="D830" s="15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81"/>
    </row>
    <row r="831" spans="1:34" ht="15.75" thickBot="1">
      <c r="A831" s="95" t="str">
        <f t="shared" si="35"/>
        <v>月内第二次多日交易</v>
      </c>
      <c r="B831" s="3"/>
      <c r="C831" s="80" t="s">
        <v>64</v>
      </c>
      <c r="D831" s="12">
        <f>IFERROR(SUMPRODUCT(D798:AH798,D829:AH829)/D800,0)</f>
        <v>0</v>
      </c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81"/>
    </row>
    <row r="832" spans="1:34" ht="15.75" thickBot="1">
      <c r="A832" s="95" t="str">
        <f t="shared" si="35"/>
        <v>月内第二次多日交易</v>
      </c>
      <c r="B832" s="3"/>
      <c r="C832" s="93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5"/>
    </row>
    <row r="833" spans="1:34" ht="15" thickBot="1">
      <c r="A833" s="95" t="str">
        <f t="shared" si="35"/>
        <v>月内第二次多日交易</v>
      </c>
    </row>
    <row r="834" spans="1:34" ht="23.25">
      <c r="A834" s="95" t="str">
        <f>C834</f>
        <v>月内合同转让交易</v>
      </c>
      <c r="C834" s="160" t="s">
        <v>148</v>
      </c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52"/>
      <c r="S834" s="152"/>
      <c r="T834" s="152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152"/>
      <c r="AE834" s="152"/>
      <c r="AF834" s="152"/>
      <c r="AG834" s="152"/>
      <c r="AH834" s="153"/>
    </row>
    <row r="835" spans="1:34" ht="22.5">
      <c r="A835" s="95" t="str">
        <f t="shared" si="35"/>
        <v>月内合同转让交易</v>
      </c>
      <c r="B835" s="3"/>
      <c r="C835" s="154" t="str">
        <f>C834&amp;"电量(MWh)"</f>
        <v>月内合同转让交易电量(MWh)</v>
      </c>
      <c r="D835" s="155"/>
      <c r="E835" s="155"/>
      <c r="F835" s="155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  <c r="AA835" s="155"/>
      <c r="AB835" s="155"/>
      <c r="AC835" s="155"/>
      <c r="AD835" s="155"/>
      <c r="AE835" s="155"/>
      <c r="AF835" s="155"/>
      <c r="AG835" s="155"/>
      <c r="AH835" s="156"/>
    </row>
    <row r="836" spans="1:34" ht="15">
      <c r="A836" s="95" t="str">
        <f t="shared" ref="A836:A899" si="38">A835</f>
        <v>月内合同转让交易</v>
      </c>
      <c r="B836" s="3"/>
      <c r="C836" s="74" t="s">
        <v>31</v>
      </c>
      <c r="D836" s="5" t="s">
        <v>32</v>
      </c>
      <c r="E836" s="6" t="s">
        <v>33</v>
      </c>
      <c r="F836" s="6" t="s">
        <v>34</v>
      </c>
      <c r="G836" s="6" t="s">
        <v>35</v>
      </c>
      <c r="H836" s="6" t="s">
        <v>36</v>
      </c>
      <c r="I836" s="6" t="s">
        <v>37</v>
      </c>
      <c r="J836" s="6" t="s">
        <v>38</v>
      </c>
      <c r="K836" s="6" t="s">
        <v>39</v>
      </c>
      <c r="L836" s="6" t="s">
        <v>40</v>
      </c>
      <c r="M836" s="6" t="s">
        <v>41</v>
      </c>
      <c r="N836" s="6" t="s">
        <v>42</v>
      </c>
      <c r="O836" s="6" t="s">
        <v>43</v>
      </c>
      <c r="P836" s="6" t="s">
        <v>44</v>
      </c>
      <c r="Q836" s="6" t="s">
        <v>45</v>
      </c>
      <c r="R836" s="6" t="s">
        <v>46</v>
      </c>
      <c r="S836" s="6" t="s">
        <v>47</v>
      </c>
      <c r="T836" s="6" t="s">
        <v>48</v>
      </c>
      <c r="U836" s="6" t="s">
        <v>49</v>
      </c>
      <c r="V836" s="6" t="s">
        <v>50</v>
      </c>
      <c r="W836" s="6" t="s">
        <v>51</v>
      </c>
      <c r="X836" s="6" t="s">
        <v>52</v>
      </c>
      <c r="Y836" s="6" t="s">
        <v>53</v>
      </c>
      <c r="Z836" s="6" t="s">
        <v>54</v>
      </c>
      <c r="AA836" s="6" t="s">
        <v>55</v>
      </c>
      <c r="AB836" s="6" t="s">
        <v>56</v>
      </c>
      <c r="AC836" s="6" t="s">
        <v>57</v>
      </c>
      <c r="AD836" s="6" t="s">
        <v>58</v>
      </c>
      <c r="AE836" s="6" t="s">
        <v>59</v>
      </c>
      <c r="AF836" s="6" t="s">
        <v>60</v>
      </c>
      <c r="AG836" s="6" t="s">
        <v>61</v>
      </c>
      <c r="AH836" s="75" t="s">
        <v>62</v>
      </c>
    </row>
    <row r="837" spans="1:34" ht="15">
      <c r="A837" s="95" t="str">
        <f t="shared" si="38"/>
        <v>月内合同转让交易</v>
      </c>
      <c r="B837" s="3"/>
      <c r="C837" s="76" t="s">
        <v>6</v>
      </c>
      <c r="D837" s="47"/>
      <c r="E837" s="47"/>
      <c r="F837" s="47"/>
      <c r="G837" s="47"/>
      <c r="H837" s="47"/>
      <c r="I837" s="47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  <c r="AD837" s="47"/>
      <c r="AE837" s="47"/>
      <c r="AF837" s="47"/>
      <c r="AG837" s="47"/>
      <c r="AH837" s="91"/>
    </row>
    <row r="838" spans="1:34" ht="15">
      <c r="A838" s="95" t="str">
        <f t="shared" si="38"/>
        <v>月内合同转让交易</v>
      </c>
      <c r="B838" s="3"/>
      <c r="C838" s="76" t="s">
        <v>7</v>
      </c>
      <c r="D838" s="47"/>
      <c r="E838" s="47"/>
      <c r="F838" s="47"/>
      <c r="G838" s="47"/>
      <c r="H838" s="47"/>
      <c r="I838" s="47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  <c r="AD838" s="47"/>
      <c r="AE838" s="47"/>
      <c r="AF838" s="47"/>
      <c r="AG838" s="47"/>
      <c r="AH838" s="91"/>
    </row>
    <row r="839" spans="1:34" ht="15">
      <c r="A839" s="95" t="str">
        <f t="shared" si="38"/>
        <v>月内合同转让交易</v>
      </c>
      <c r="B839" s="3"/>
      <c r="C839" s="76" t="s">
        <v>8</v>
      </c>
      <c r="D839" s="47"/>
      <c r="E839" s="47"/>
      <c r="F839" s="47"/>
      <c r="G839" s="47"/>
      <c r="H839" s="47"/>
      <c r="I839" s="47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  <c r="AD839" s="47"/>
      <c r="AE839" s="47"/>
      <c r="AF839" s="47"/>
      <c r="AG839" s="47"/>
      <c r="AH839" s="91"/>
    </row>
    <row r="840" spans="1:34" ht="15">
      <c r="A840" s="95" t="str">
        <f t="shared" si="38"/>
        <v>月内合同转让交易</v>
      </c>
      <c r="B840" s="3"/>
      <c r="C840" s="76" t="s">
        <v>9</v>
      </c>
      <c r="D840" s="47"/>
      <c r="E840" s="47"/>
      <c r="F840" s="47"/>
      <c r="G840" s="47"/>
      <c r="H840" s="47"/>
      <c r="I840" s="47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  <c r="AD840" s="47"/>
      <c r="AE840" s="47"/>
      <c r="AF840" s="47"/>
      <c r="AG840" s="47"/>
      <c r="AH840" s="91"/>
    </row>
    <row r="841" spans="1:34" ht="15">
      <c r="A841" s="95" t="str">
        <f t="shared" si="38"/>
        <v>月内合同转让交易</v>
      </c>
      <c r="B841" s="3"/>
      <c r="C841" s="76" t="s">
        <v>10</v>
      </c>
      <c r="D841" s="47"/>
      <c r="E841" s="47"/>
      <c r="F841" s="47"/>
      <c r="G841" s="47"/>
      <c r="H841" s="47"/>
      <c r="I841" s="47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  <c r="AD841" s="47"/>
      <c r="AE841" s="47"/>
      <c r="AF841" s="47"/>
      <c r="AG841" s="47"/>
      <c r="AH841" s="91"/>
    </row>
    <row r="842" spans="1:34" ht="15">
      <c r="A842" s="95" t="str">
        <f t="shared" si="38"/>
        <v>月内合同转让交易</v>
      </c>
      <c r="B842" s="3"/>
      <c r="C842" s="76" t="s">
        <v>11</v>
      </c>
      <c r="D842" s="47"/>
      <c r="E842" s="47"/>
      <c r="F842" s="47"/>
      <c r="G842" s="47"/>
      <c r="H842" s="47"/>
      <c r="I842" s="47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  <c r="AD842" s="47"/>
      <c r="AE842" s="47"/>
      <c r="AF842" s="47"/>
      <c r="AG842" s="47"/>
      <c r="AH842" s="91"/>
    </row>
    <row r="843" spans="1:34" ht="15">
      <c r="A843" s="95" t="str">
        <f t="shared" si="38"/>
        <v>月内合同转让交易</v>
      </c>
      <c r="B843" s="3"/>
      <c r="C843" s="76" t="s">
        <v>12</v>
      </c>
      <c r="D843" s="47"/>
      <c r="E843" s="47"/>
      <c r="F843" s="47"/>
      <c r="G843" s="47"/>
      <c r="H843" s="47"/>
      <c r="I843" s="47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  <c r="AD843" s="47"/>
      <c r="AE843" s="47"/>
      <c r="AF843" s="47"/>
      <c r="AG843" s="47"/>
      <c r="AH843" s="91"/>
    </row>
    <row r="844" spans="1:34" ht="15">
      <c r="A844" s="95" t="str">
        <f t="shared" si="38"/>
        <v>月内合同转让交易</v>
      </c>
      <c r="B844" s="3"/>
      <c r="C844" s="76" t="s">
        <v>13</v>
      </c>
      <c r="D844" s="47"/>
      <c r="E844" s="47"/>
      <c r="F844" s="47"/>
      <c r="G844" s="47"/>
      <c r="H844" s="47"/>
      <c r="I844" s="47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  <c r="AD844" s="47"/>
      <c r="AE844" s="47"/>
      <c r="AF844" s="47"/>
      <c r="AG844" s="47"/>
      <c r="AH844" s="91"/>
    </row>
    <row r="845" spans="1:34" ht="15">
      <c r="A845" s="95" t="str">
        <f t="shared" si="38"/>
        <v>月内合同转让交易</v>
      </c>
      <c r="B845" s="3"/>
      <c r="C845" s="76" t="s">
        <v>14</v>
      </c>
      <c r="D845" s="47"/>
      <c r="E845" s="47"/>
      <c r="F845" s="47"/>
      <c r="G845" s="47"/>
      <c r="H845" s="47"/>
      <c r="I845" s="47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  <c r="AD845" s="47"/>
      <c r="AE845" s="47"/>
      <c r="AF845" s="47"/>
      <c r="AG845" s="47"/>
      <c r="AH845" s="91"/>
    </row>
    <row r="846" spans="1:34" ht="15">
      <c r="A846" s="95" t="str">
        <f t="shared" si="38"/>
        <v>月内合同转让交易</v>
      </c>
      <c r="B846" s="3"/>
      <c r="C846" s="76" t="s">
        <v>15</v>
      </c>
      <c r="D846" s="47"/>
      <c r="E846" s="47"/>
      <c r="F846" s="47"/>
      <c r="G846" s="47"/>
      <c r="H846" s="47"/>
      <c r="I846" s="47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  <c r="AD846" s="47"/>
      <c r="AE846" s="47"/>
      <c r="AF846" s="47"/>
      <c r="AG846" s="47"/>
      <c r="AH846" s="91"/>
    </row>
    <row r="847" spans="1:34" ht="15">
      <c r="A847" s="95" t="str">
        <f t="shared" si="38"/>
        <v>月内合同转让交易</v>
      </c>
      <c r="B847" s="3"/>
      <c r="C847" s="76" t="s">
        <v>16</v>
      </c>
      <c r="D847" s="47"/>
      <c r="E847" s="47"/>
      <c r="F847" s="47"/>
      <c r="G847" s="47"/>
      <c r="H847" s="47"/>
      <c r="I847" s="47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  <c r="AD847" s="47"/>
      <c r="AE847" s="47"/>
      <c r="AF847" s="47"/>
      <c r="AG847" s="47"/>
      <c r="AH847" s="91"/>
    </row>
    <row r="848" spans="1:34" ht="15">
      <c r="A848" s="95" t="str">
        <f t="shared" si="38"/>
        <v>月内合同转让交易</v>
      </c>
      <c r="B848" s="3"/>
      <c r="C848" s="76" t="s">
        <v>17</v>
      </c>
      <c r="D848" s="47"/>
      <c r="E848" s="47"/>
      <c r="F848" s="47"/>
      <c r="G848" s="47"/>
      <c r="H848" s="47"/>
      <c r="I848" s="47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  <c r="AD848" s="47"/>
      <c r="AE848" s="47"/>
      <c r="AF848" s="47"/>
      <c r="AG848" s="47"/>
      <c r="AH848" s="91"/>
    </row>
    <row r="849" spans="1:34" ht="15">
      <c r="A849" s="95" t="str">
        <f t="shared" si="38"/>
        <v>月内合同转让交易</v>
      </c>
      <c r="B849" s="3"/>
      <c r="C849" s="76" t="s">
        <v>18</v>
      </c>
      <c r="D849" s="47"/>
      <c r="E849" s="47"/>
      <c r="F849" s="47"/>
      <c r="G849" s="47"/>
      <c r="H849" s="47"/>
      <c r="I849" s="47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  <c r="AD849" s="47"/>
      <c r="AE849" s="47"/>
      <c r="AF849" s="47"/>
      <c r="AG849" s="47"/>
      <c r="AH849" s="91"/>
    </row>
    <row r="850" spans="1:34" ht="15">
      <c r="A850" s="95" t="str">
        <f t="shared" si="38"/>
        <v>月内合同转让交易</v>
      </c>
      <c r="B850" s="3"/>
      <c r="C850" s="76" t="s">
        <v>19</v>
      </c>
      <c r="D850" s="47"/>
      <c r="E850" s="47"/>
      <c r="F850" s="47"/>
      <c r="G850" s="47"/>
      <c r="H850" s="47"/>
      <c r="I850" s="47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  <c r="AD850" s="47"/>
      <c r="AE850" s="47"/>
      <c r="AF850" s="47"/>
      <c r="AG850" s="47"/>
      <c r="AH850" s="91"/>
    </row>
    <row r="851" spans="1:34" ht="15">
      <c r="A851" s="95" t="str">
        <f t="shared" si="38"/>
        <v>月内合同转让交易</v>
      </c>
      <c r="B851" s="3"/>
      <c r="C851" s="76" t="s">
        <v>20</v>
      </c>
      <c r="D851" s="47"/>
      <c r="E851" s="47"/>
      <c r="F851" s="47"/>
      <c r="G851" s="47"/>
      <c r="H851" s="47"/>
      <c r="I851" s="47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  <c r="AD851" s="47"/>
      <c r="AE851" s="47"/>
      <c r="AF851" s="47"/>
      <c r="AG851" s="47"/>
      <c r="AH851" s="91"/>
    </row>
    <row r="852" spans="1:34" ht="15">
      <c r="A852" s="95" t="str">
        <f t="shared" si="38"/>
        <v>月内合同转让交易</v>
      </c>
      <c r="B852" s="3"/>
      <c r="C852" s="76" t="s">
        <v>21</v>
      </c>
      <c r="D852" s="47"/>
      <c r="E852" s="47"/>
      <c r="F852" s="47"/>
      <c r="G852" s="47"/>
      <c r="H852" s="47"/>
      <c r="I852" s="47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  <c r="AD852" s="47"/>
      <c r="AE852" s="47"/>
      <c r="AF852" s="47"/>
      <c r="AG852" s="47"/>
      <c r="AH852" s="91"/>
    </row>
    <row r="853" spans="1:34" ht="15">
      <c r="A853" s="95" t="str">
        <f t="shared" si="38"/>
        <v>月内合同转让交易</v>
      </c>
      <c r="B853" s="3"/>
      <c r="C853" s="76" t="s">
        <v>22</v>
      </c>
      <c r="D853" s="47"/>
      <c r="E853" s="47"/>
      <c r="F853" s="47"/>
      <c r="G853" s="47"/>
      <c r="H853" s="47"/>
      <c r="I853" s="47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  <c r="AD853" s="47"/>
      <c r="AE853" s="47"/>
      <c r="AF853" s="47"/>
      <c r="AG853" s="47"/>
      <c r="AH853" s="91"/>
    </row>
    <row r="854" spans="1:34" ht="15">
      <c r="A854" s="95" t="str">
        <f t="shared" si="38"/>
        <v>月内合同转让交易</v>
      </c>
      <c r="B854" s="3"/>
      <c r="C854" s="76" t="s">
        <v>23</v>
      </c>
      <c r="D854" s="47"/>
      <c r="E854" s="47"/>
      <c r="F854" s="47"/>
      <c r="G854" s="47"/>
      <c r="H854" s="47"/>
      <c r="I854" s="47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  <c r="AD854" s="47"/>
      <c r="AE854" s="47"/>
      <c r="AF854" s="47"/>
      <c r="AG854" s="47"/>
      <c r="AH854" s="91"/>
    </row>
    <row r="855" spans="1:34" ht="15">
      <c r="A855" s="95" t="str">
        <f t="shared" si="38"/>
        <v>月内合同转让交易</v>
      </c>
      <c r="B855" s="3"/>
      <c r="C855" s="76" t="s">
        <v>24</v>
      </c>
      <c r="D855" s="47"/>
      <c r="E855" s="47"/>
      <c r="F855" s="47"/>
      <c r="G855" s="47"/>
      <c r="H855" s="47"/>
      <c r="I855" s="47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  <c r="AD855" s="47"/>
      <c r="AE855" s="47"/>
      <c r="AF855" s="47"/>
      <c r="AG855" s="47"/>
      <c r="AH855" s="91"/>
    </row>
    <row r="856" spans="1:34" ht="15">
      <c r="A856" s="95" t="str">
        <f t="shared" si="38"/>
        <v>月内合同转让交易</v>
      </c>
      <c r="B856" s="3"/>
      <c r="C856" s="76" t="s">
        <v>25</v>
      </c>
      <c r="D856" s="47"/>
      <c r="E856" s="47"/>
      <c r="F856" s="47"/>
      <c r="G856" s="47"/>
      <c r="H856" s="47"/>
      <c r="I856" s="47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  <c r="AD856" s="47"/>
      <c r="AE856" s="47"/>
      <c r="AF856" s="47"/>
      <c r="AG856" s="47"/>
      <c r="AH856" s="91"/>
    </row>
    <row r="857" spans="1:34" ht="15">
      <c r="A857" s="95" t="str">
        <f t="shared" si="38"/>
        <v>月内合同转让交易</v>
      </c>
      <c r="B857" s="3"/>
      <c r="C857" s="76" t="s">
        <v>26</v>
      </c>
      <c r="D857" s="47"/>
      <c r="E857" s="47"/>
      <c r="F857" s="47"/>
      <c r="G857" s="47"/>
      <c r="H857" s="47"/>
      <c r="I857" s="47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  <c r="AD857" s="47"/>
      <c r="AE857" s="47"/>
      <c r="AF857" s="47"/>
      <c r="AG857" s="47"/>
      <c r="AH857" s="91"/>
    </row>
    <row r="858" spans="1:34" ht="15">
      <c r="A858" s="95" t="str">
        <f t="shared" si="38"/>
        <v>月内合同转让交易</v>
      </c>
      <c r="B858" s="3"/>
      <c r="C858" s="76" t="s">
        <v>27</v>
      </c>
      <c r="D858" s="47"/>
      <c r="E858" s="47"/>
      <c r="F858" s="47"/>
      <c r="G858" s="47"/>
      <c r="H858" s="47"/>
      <c r="I858" s="47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  <c r="AD858" s="47"/>
      <c r="AE858" s="47"/>
      <c r="AF858" s="47"/>
      <c r="AG858" s="47"/>
      <c r="AH858" s="91"/>
    </row>
    <row r="859" spans="1:34" ht="15">
      <c r="A859" s="95" t="str">
        <f t="shared" si="38"/>
        <v>月内合同转让交易</v>
      </c>
      <c r="B859" s="3"/>
      <c r="C859" s="76" t="s">
        <v>28</v>
      </c>
      <c r="D859" s="47"/>
      <c r="E859" s="47"/>
      <c r="F859" s="47"/>
      <c r="G859" s="47"/>
      <c r="H859" s="47"/>
      <c r="I859" s="47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  <c r="AD859" s="47"/>
      <c r="AE859" s="47"/>
      <c r="AF859" s="47"/>
      <c r="AG859" s="47"/>
      <c r="AH859" s="91"/>
    </row>
    <row r="860" spans="1:34" ht="15">
      <c r="A860" s="95" t="str">
        <f t="shared" si="38"/>
        <v>月内合同转让交易</v>
      </c>
      <c r="B860" s="3"/>
      <c r="C860" s="76" t="s">
        <v>29</v>
      </c>
      <c r="D860" s="47"/>
      <c r="E860" s="47"/>
      <c r="F860" s="47"/>
      <c r="G860" s="47"/>
      <c r="H860" s="47"/>
      <c r="I860" s="47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  <c r="AD860" s="47"/>
      <c r="AE860" s="47"/>
      <c r="AF860" s="47"/>
      <c r="AG860" s="47"/>
      <c r="AH860" s="91"/>
    </row>
    <row r="861" spans="1:34" ht="15.75" thickBot="1">
      <c r="A861" s="95" t="str">
        <f t="shared" si="38"/>
        <v>月内合同转让交易</v>
      </c>
      <c r="B861" s="3"/>
      <c r="C861" s="77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9"/>
    </row>
    <row r="862" spans="1:34" ht="15.75" thickBot="1">
      <c r="A862" s="95" t="str">
        <f t="shared" si="38"/>
        <v>月内合同转让交易</v>
      </c>
      <c r="B862" s="3"/>
      <c r="C862" s="80" t="s">
        <v>63</v>
      </c>
      <c r="D862" s="9">
        <f>SUM(D837:D860)</f>
        <v>0</v>
      </c>
      <c r="E862" s="10">
        <f t="shared" ref="E862:AH862" si="39">SUM(E837:E860)</f>
        <v>0</v>
      </c>
      <c r="F862" s="10">
        <f t="shared" si="39"/>
        <v>0</v>
      </c>
      <c r="G862" s="10">
        <f t="shared" si="39"/>
        <v>0</v>
      </c>
      <c r="H862" s="10">
        <f t="shared" si="39"/>
        <v>0</v>
      </c>
      <c r="I862" s="10">
        <f t="shared" si="39"/>
        <v>0</v>
      </c>
      <c r="J862" s="10">
        <f t="shared" si="39"/>
        <v>0</v>
      </c>
      <c r="K862" s="10">
        <f t="shared" si="39"/>
        <v>0</v>
      </c>
      <c r="L862" s="10">
        <f t="shared" si="39"/>
        <v>0</v>
      </c>
      <c r="M862" s="10">
        <f t="shared" si="39"/>
        <v>0</v>
      </c>
      <c r="N862" s="10">
        <f t="shared" si="39"/>
        <v>0</v>
      </c>
      <c r="O862" s="10">
        <f t="shared" si="39"/>
        <v>0</v>
      </c>
      <c r="P862" s="10">
        <f t="shared" si="39"/>
        <v>0</v>
      </c>
      <c r="Q862" s="10">
        <f t="shared" si="39"/>
        <v>0</v>
      </c>
      <c r="R862" s="10">
        <f t="shared" si="39"/>
        <v>0</v>
      </c>
      <c r="S862" s="10">
        <f t="shared" si="39"/>
        <v>0</v>
      </c>
      <c r="T862" s="10">
        <f t="shared" si="39"/>
        <v>0</v>
      </c>
      <c r="U862" s="10">
        <f t="shared" si="39"/>
        <v>0</v>
      </c>
      <c r="V862" s="10">
        <f t="shared" si="39"/>
        <v>0</v>
      </c>
      <c r="W862" s="10">
        <f t="shared" si="39"/>
        <v>0</v>
      </c>
      <c r="X862" s="10">
        <f t="shared" si="39"/>
        <v>0</v>
      </c>
      <c r="Y862" s="10">
        <f t="shared" si="39"/>
        <v>0</v>
      </c>
      <c r="Z862" s="10">
        <f t="shared" si="39"/>
        <v>0</v>
      </c>
      <c r="AA862" s="10">
        <f t="shared" si="39"/>
        <v>0</v>
      </c>
      <c r="AB862" s="10">
        <f t="shared" si="39"/>
        <v>0</v>
      </c>
      <c r="AC862" s="10">
        <f t="shared" si="39"/>
        <v>0</v>
      </c>
      <c r="AD862" s="10">
        <f t="shared" si="39"/>
        <v>0</v>
      </c>
      <c r="AE862" s="10">
        <f t="shared" si="39"/>
        <v>0</v>
      </c>
      <c r="AF862" s="10">
        <f t="shared" si="39"/>
        <v>0</v>
      </c>
      <c r="AG862" s="10">
        <f t="shared" si="39"/>
        <v>0</v>
      </c>
      <c r="AH862" s="49">
        <f t="shared" si="39"/>
        <v>0</v>
      </c>
    </row>
    <row r="863" spans="1:34" ht="15.75" thickBot="1">
      <c r="A863" s="95" t="str">
        <f t="shared" si="38"/>
        <v>月内合同转让交易</v>
      </c>
      <c r="B863" s="3"/>
      <c r="C863" s="77"/>
      <c r="D863" s="15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81"/>
    </row>
    <row r="864" spans="1:34" ht="15.75" thickBot="1">
      <c r="A864" s="95" t="str">
        <f t="shared" si="38"/>
        <v>月内合同转让交易</v>
      </c>
      <c r="B864" s="3"/>
      <c r="C864" s="80" t="s">
        <v>64</v>
      </c>
      <c r="D864" s="12">
        <f>SUM(D862:AH862)</f>
        <v>0</v>
      </c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81"/>
    </row>
    <row r="865" spans="1:34" ht="15">
      <c r="A865" s="95" t="str">
        <f t="shared" si="38"/>
        <v>月内合同转让交易</v>
      </c>
      <c r="B865" s="3"/>
      <c r="C865" s="77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81"/>
    </row>
    <row r="866" spans="1:34" ht="22.5">
      <c r="A866" s="95" t="str">
        <f t="shared" si="38"/>
        <v>月内合同转让交易</v>
      </c>
      <c r="B866" s="3"/>
      <c r="C866" s="154" t="str">
        <f>C834&amp;"电价(元/MWh)"</f>
        <v>月内合同转让交易电价(元/MWh)</v>
      </c>
      <c r="D866" s="155"/>
      <c r="E866" s="155"/>
      <c r="F866" s="155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  <c r="AA866" s="155"/>
      <c r="AB866" s="155"/>
      <c r="AC866" s="155"/>
      <c r="AD866" s="155"/>
      <c r="AE866" s="155"/>
      <c r="AF866" s="155"/>
      <c r="AG866" s="155"/>
      <c r="AH866" s="156"/>
    </row>
    <row r="867" spans="1:34" ht="15">
      <c r="A867" s="95" t="str">
        <f t="shared" si="38"/>
        <v>月内合同转让交易</v>
      </c>
      <c r="B867" s="3"/>
      <c r="C867" s="74" t="s">
        <v>31</v>
      </c>
      <c r="D867" s="5" t="s">
        <v>32</v>
      </c>
      <c r="E867" s="6" t="s">
        <v>33</v>
      </c>
      <c r="F867" s="6" t="s">
        <v>34</v>
      </c>
      <c r="G867" s="6" t="s">
        <v>35</v>
      </c>
      <c r="H867" s="6" t="s">
        <v>36</v>
      </c>
      <c r="I867" s="6" t="s">
        <v>37</v>
      </c>
      <c r="J867" s="6" t="s">
        <v>38</v>
      </c>
      <c r="K867" s="6" t="s">
        <v>39</v>
      </c>
      <c r="L867" s="6" t="s">
        <v>40</v>
      </c>
      <c r="M867" s="6" t="s">
        <v>41</v>
      </c>
      <c r="N867" s="6" t="s">
        <v>42</v>
      </c>
      <c r="O867" s="6" t="s">
        <v>43</v>
      </c>
      <c r="P867" s="6" t="s">
        <v>44</v>
      </c>
      <c r="Q867" s="6" t="s">
        <v>45</v>
      </c>
      <c r="R867" s="6" t="s">
        <v>46</v>
      </c>
      <c r="S867" s="6" t="s">
        <v>47</v>
      </c>
      <c r="T867" s="6" t="s">
        <v>48</v>
      </c>
      <c r="U867" s="6" t="s">
        <v>49</v>
      </c>
      <c r="V867" s="6" t="s">
        <v>50</v>
      </c>
      <c r="W867" s="6" t="s">
        <v>51</v>
      </c>
      <c r="X867" s="6" t="s">
        <v>52</v>
      </c>
      <c r="Y867" s="6" t="s">
        <v>53</v>
      </c>
      <c r="Z867" s="6" t="s">
        <v>54</v>
      </c>
      <c r="AA867" s="6" t="s">
        <v>55</v>
      </c>
      <c r="AB867" s="6" t="s">
        <v>56</v>
      </c>
      <c r="AC867" s="6" t="s">
        <v>57</v>
      </c>
      <c r="AD867" s="6" t="s">
        <v>58</v>
      </c>
      <c r="AE867" s="6" t="s">
        <v>59</v>
      </c>
      <c r="AF867" s="6" t="s">
        <v>60</v>
      </c>
      <c r="AG867" s="6" t="s">
        <v>61</v>
      </c>
      <c r="AH867" s="75" t="s">
        <v>62</v>
      </c>
    </row>
    <row r="868" spans="1:34" ht="15">
      <c r="A868" s="95" t="str">
        <f t="shared" si="38"/>
        <v>月内合同转让交易</v>
      </c>
      <c r="B868" s="3"/>
      <c r="C868" s="76" t="s">
        <v>6</v>
      </c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92"/>
    </row>
    <row r="869" spans="1:34" ht="15">
      <c r="A869" s="95" t="str">
        <f t="shared" si="38"/>
        <v>月内合同转让交易</v>
      </c>
      <c r="B869" s="3"/>
      <c r="C869" s="76" t="s">
        <v>7</v>
      </c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92"/>
    </row>
    <row r="870" spans="1:34" ht="15">
      <c r="A870" s="95" t="str">
        <f t="shared" si="38"/>
        <v>月内合同转让交易</v>
      </c>
      <c r="B870" s="3"/>
      <c r="C870" s="76" t="s">
        <v>8</v>
      </c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92"/>
    </row>
    <row r="871" spans="1:34" ht="15">
      <c r="A871" s="95" t="str">
        <f t="shared" si="38"/>
        <v>月内合同转让交易</v>
      </c>
      <c r="B871" s="3"/>
      <c r="C871" s="76" t="s">
        <v>9</v>
      </c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92"/>
    </row>
    <row r="872" spans="1:34" ht="15">
      <c r="A872" s="95" t="str">
        <f t="shared" si="38"/>
        <v>月内合同转让交易</v>
      </c>
      <c r="B872" s="3"/>
      <c r="C872" s="76" t="s">
        <v>10</v>
      </c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92"/>
    </row>
    <row r="873" spans="1:34" ht="15">
      <c r="A873" s="95" t="str">
        <f t="shared" si="38"/>
        <v>月内合同转让交易</v>
      </c>
      <c r="B873" s="3"/>
      <c r="C873" s="76" t="s">
        <v>11</v>
      </c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92"/>
    </row>
    <row r="874" spans="1:34" ht="15">
      <c r="A874" s="95" t="str">
        <f t="shared" si="38"/>
        <v>月内合同转让交易</v>
      </c>
      <c r="B874" s="3"/>
      <c r="C874" s="76" t="s">
        <v>12</v>
      </c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92"/>
    </row>
    <row r="875" spans="1:34" ht="15">
      <c r="A875" s="95" t="str">
        <f t="shared" si="38"/>
        <v>月内合同转让交易</v>
      </c>
      <c r="B875" s="3"/>
      <c r="C875" s="76" t="s">
        <v>13</v>
      </c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92"/>
    </row>
    <row r="876" spans="1:34" ht="15">
      <c r="A876" s="95" t="str">
        <f t="shared" si="38"/>
        <v>月内合同转让交易</v>
      </c>
      <c r="B876" s="3"/>
      <c r="C876" s="76" t="s">
        <v>14</v>
      </c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92"/>
    </row>
    <row r="877" spans="1:34" ht="15">
      <c r="A877" s="95" t="str">
        <f t="shared" si="38"/>
        <v>月内合同转让交易</v>
      </c>
      <c r="B877" s="3"/>
      <c r="C877" s="76" t="s">
        <v>15</v>
      </c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92"/>
    </row>
    <row r="878" spans="1:34" ht="15">
      <c r="A878" s="95" t="str">
        <f t="shared" si="38"/>
        <v>月内合同转让交易</v>
      </c>
      <c r="B878" s="3"/>
      <c r="C878" s="76" t="s">
        <v>16</v>
      </c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92"/>
    </row>
    <row r="879" spans="1:34" ht="15">
      <c r="A879" s="95" t="str">
        <f t="shared" si="38"/>
        <v>月内合同转让交易</v>
      </c>
      <c r="B879" s="3"/>
      <c r="C879" s="76" t="s">
        <v>17</v>
      </c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92"/>
    </row>
    <row r="880" spans="1:34" ht="15">
      <c r="A880" s="95" t="str">
        <f t="shared" si="38"/>
        <v>月内合同转让交易</v>
      </c>
      <c r="B880" s="3"/>
      <c r="C880" s="76" t="s">
        <v>18</v>
      </c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92"/>
    </row>
    <row r="881" spans="1:34" ht="15">
      <c r="A881" s="95" t="str">
        <f t="shared" si="38"/>
        <v>月内合同转让交易</v>
      </c>
      <c r="B881" s="3"/>
      <c r="C881" s="76" t="s">
        <v>19</v>
      </c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92"/>
    </row>
    <row r="882" spans="1:34" ht="15">
      <c r="A882" s="95" t="str">
        <f t="shared" si="38"/>
        <v>月内合同转让交易</v>
      </c>
      <c r="B882" s="3"/>
      <c r="C882" s="76" t="s">
        <v>20</v>
      </c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92"/>
    </row>
    <row r="883" spans="1:34" ht="15">
      <c r="A883" s="95" t="str">
        <f t="shared" si="38"/>
        <v>月内合同转让交易</v>
      </c>
      <c r="B883" s="3"/>
      <c r="C883" s="76" t="s">
        <v>21</v>
      </c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92"/>
    </row>
    <row r="884" spans="1:34" ht="15">
      <c r="A884" s="95" t="str">
        <f t="shared" si="38"/>
        <v>月内合同转让交易</v>
      </c>
      <c r="B884" s="3"/>
      <c r="C884" s="76" t="s">
        <v>22</v>
      </c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92"/>
    </row>
    <row r="885" spans="1:34" ht="15">
      <c r="A885" s="95" t="str">
        <f t="shared" si="38"/>
        <v>月内合同转让交易</v>
      </c>
      <c r="B885" s="3"/>
      <c r="C885" s="76" t="s">
        <v>23</v>
      </c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92"/>
    </row>
    <row r="886" spans="1:34" ht="15">
      <c r="A886" s="95" t="str">
        <f t="shared" si="38"/>
        <v>月内合同转让交易</v>
      </c>
      <c r="B886" s="3"/>
      <c r="C886" s="76" t="s">
        <v>24</v>
      </c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92"/>
    </row>
    <row r="887" spans="1:34" ht="15">
      <c r="A887" s="95" t="str">
        <f t="shared" si="38"/>
        <v>月内合同转让交易</v>
      </c>
      <c r="B887" s="3"/>
      <c r="C887" s="76" t="s">
        <v>25</v>
      </c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92"/>
    </row>
    <row r="888" spans="1:34" ht="15">
      <c r="A888" s="95" t="str">
        <f t="shared" si="38"/>
        <v>月内合同转让交易</v>
      </c>
      <c r="B888" s="3"/>
      <c r="C888" s="76" t="s">
        <v>26</v>
      </c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92"/>
    </row>
    <row r="889" spans="1:34" ht="15">
      <c r="A889" s="95" t="str">
        <f t="shared" si="38"/>
        <v>月内合同转让交易</v>
      </c>
      <c r="B889" s="3"/>
      <c r="C889" s="76" t="s">
        <v>27</v>
      </c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92"/>
    </row>
    <row r="890" spans="1:34" ht="15">
      <c r="A890" s="95" t="str">
        <f t="shared" si="38"/>
        <v>月内合同转让交易</v>
      </c>
      <c r="B890" s="3"/>
      <c r="C890" s="76" t="s">
        <v>28</v>
      </c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92"/>
    </row>
    <row r="891" spans="1:34" ht="15">
      <c r="A891" s="95" t="str">
        <f t="shared" si="38"/>
        <v>月内合同转让交易</v>
      </c>
      <c r="B891" s="3"/>
      <c r="C891" s="76" t="s">
        <v>29</v>
      </c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92"/>
    </row>
    <row r="892" spans="1:34" ht="15.75" thickBot="1">
      <c r="A892" s="95" t="str">
        <f t="shared" si="38"/>
        <v>月内合同转让交易</v>
      </c>
      <c r="B892" s="3"/>
      <c r="C892" s="77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81"/>
    </row>
    <row r="893" spans="1:34" ht="15.75" thickBot="1">
      <c r="A893" s="95" t="str">
        <f t="shared" si="38"/>
        <v>月内合同转让交易</v>
      </c>
      <c r="B893" s="3"/>
      <c r="C893" s="80" t="s">
        <v>63</v>
      </c>
      <c r="D893" s="9">
        <f t="shared" ref="D893:AH893" si="40">IFERROR(SUMPRODUCT(D868:D891,D837:D860)/D862,0)</f>
        <v>0</v>
      </c>
      <c r="E893" s="10">
        <f t="shared" si="40"/>
        <v>0</v>
      </c>
      <c r="F893" s="10">
        <f t="shared" si="40"/>
        <v>0</v>
      </c>
      <c r="G893" s="10">
        <f t="shared" si="40"/>
        <v>0</v>
      </c>
      <c r="H893" s="10">
        <f t="shared" si="40"/>
        <v>0</v>
      </c>
      <c r="I893" s="10">
        <f t="shared" si="40"/>
        <v>0</v>
      </c>
      <c r="J893" s="10">
        <f t="shared" si="40"/>
        <v>0</v>
      </c>
      <c r="K893" s="10">
        <f t="shared" si="40"/>
        <v>0</v>
      </c>
      <c r="L893" s="10">
        <f t="shared" si="40"/>
        <v>0</v>
      </c>
      <c r="M893" s="10">
        <f t="shared" si="40"/>
        <v>0</v>
      </c>
      <c r="N893" s="10">
        <f t="shared" si="40"/>
        <v>0</v>
      </c>
      <c r="O893" s="10">
        <f t="shared" si="40"/>
        <v>0</v>
      </c>
      <c r="P893" s="10">
        <f t="shared" si="40"/>
        <v>0</v>
      </c>
      <c r="Q893" s="10">
        <f t="shared" si="40"/>
        <v>0</v>
      </c>
      <c r="R893" s="10">
        <f t="shared" si="40"/>
        <v>0</v>
      </c>
      <c r="S893" s="10">
        <f t="shared" si="40"/>
        <v>0</v>
      </c>
      <c r="T893" s="10">
        <f t="shared" si="40"/>
        <v>0</v>
      </c>
      <c r="U893" s="10">
        <f t="shared" si="40"/>
        <v>0</v>
      </c>
      <c r="V893" s="10">
        <f t="shared" si="40"/>
        <v>0</v>
      </c>
      <c r="W893" s="10">
        <f t="shared" si="40"/>
        <v>0</v>
      </c>
      <c r="X893" s="10">
        <f t="shared" si="40"/>
        <v>0</v>
      </c>
      <c r="Y893" s="10">
        <f t="shared" si="40"/>
        <v>0</v>
      </c>
      <c r="Z893" s="10">
        <f t="shared" si="40"/>
        <v>0</v>
      </c>
      <c r="AA893" s="10">
        <f t="shared" si="40"/>
        <v>0</v>
      </c>
      <c r="AB893" s="10">
        <f t="shared" si="40"/>
        <v>0</v>
      </c>
      <c r="AC893" s="10">
        <f t="shared" si="40"/>
        <v>0</v>
      </c>
      <c r="AD893" s="10">
        <f t="shared" si="40"/>
        <v>0</v>
      </c>
      <c r="AE893" s="10">
        <f t="shared" si="40"/>
        <v>0</v>
      </c>
      <c r="AF893" s="10">
        <f t="shared" si="40"/>
        <v>0</v>
      </c>
      <c r="AG893" s="10">
        <f t="shared" si="40"/>
        <v>0</v>
      </c>
      <c r="AH893" s="49">
        <f t="shared" si="40"/>
        <v>0</v>
      </c>
    </row>
    <row r="894" spans="1:34" ht="15.75" thickBot="1">
      <c r="A894" s="95" t="str">
        <f t="shared" si="38"/>
        <v>月内合同转让交易</v>
      </c>
      <c r="B894" s="3"/>
      <c r="C894" s="77"/>
      <c r="D894" s="15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81"/>
    </row>
    <row r="895" spans="1:34" ht="15.75" thickBot="1">
      <c r="A895" s="95" t="str">
        <f t="shared" si="38"/>
        <v>月内合同转让交易</v>
      </c>
      <c r="B895" s="3"/>
      <c r="C895" s="80" t="s">
        <v>64</v>
      </c>
      <c r="D895" s="12">
        <f>IFERROR(SUMPRODUCT(D862:AH862,D893:AH893)/D864,0)</f>
        <v>0</v>
      </c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81"/>
    </row>
    <row r="896" spans="1:34" ht="15.75" thickBot="1">
      <c r="A896" s="95" t="str">
        <f t="shared" si="38"/>
        <v>月内合同转让交易</v>
      </c>
      <c r="B896" s="3"/>
      <c r="C896" s="93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5"/>
    </row>
    <row r="897" spans="1:34" ht="15" thickBot="1">
      <c r="A897" s="95" t="str">
        <f t="shared" si="38"/>
        <v>月内合同转让交易</v>
      </c>
    </row>
    <row r="898" spans="1:34" ht="23.25">
      <c r="A898" s="95" t="str">
        <f>C898</f>
        <v>月内周双边交易</v>
      </c>
      <c r="C898" s="160" t="s">
        <v>151</v>
      </c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52"/>
      <c r="S898" s="152"/>
      <c r="T898" s="152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152"/>
      <c r="AE898" s="152"/>
      <c r="AF898" s="152"/>
      <c r="AG898" s="152"/>
      <c r="AH898" s="153"/>
    </row>
    <row r="899" spans="1:34" ht="22.5">
      <c r="A899" s="95" t="str">
        <f t="shared" si="38"/>
        <v>月内周双边交易</v>
      </c>
      <c r="B899" s="3"/>
      <c r="C899" s="154" t="str">
        <f>C898&amp;"电量(MWh)"</f>
        <v>月内周双边交易电量(MWh)</v>
      </c>
      <c r="D899" s="155"/>
      <c r="E899" s="155"/>
      <c r="F899" s="155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  <c r="AA899" s="155"/>
      <c r="AB899" s="155"/>
      <c r="AC899" s="155"/>
      <c r="AD899" s="155"/>
      <c r="AE899" s="155"/>
      <c r="AF899" s="155"/>
      <c r="AG899" s="155"/>
      <c r="AH899" s="156"/>
    </row>
    <row r="900" spans="1:34" ht="15">
      <c r="A900" s="95" t="str">
        <f t="shared" ref="A900:A961" si="41">A899</f>
        <v>月内周双边交易</v>
      </c>
      <c r="B900" s="3"/>
      <c r="C900" s="74" t="s">
        <v>31</v>
      </c>
      <c r="D900" s="5" t="s">
        <v>32</v>
      </c>
      <c r="E900" s="6" t="s">
        <v>33</v>
      </c>
      <c r="F900" s="6" t="s">
        <v>34</v>
      </c>
      <c r="G900" s="6" t="s">
        <v>35</v>
      </c>
      <c r="H900" s="6" t="s">
        <v>36</v>
      </c>
      <c r="I900" s="6" t="s">
        <v>37</v>
      </c>
      <c r="J900" s="6" t="s">
        <v>38</v>
      </c>
      <c r="K900" s="6" t="s">
        <v>39</v>
      </c>
      <c r="L900" s="6" t="s">
        <v>40</v>
      </c>
      <c r="M900" s="6" t="s">
        <v>41</v>
      </c>
      <c r="N900" s="6" t="s">
        <v>42</v>
      </c>
      <c r="O900" s="6" t="s">
        <v>43</v>
      </c>
      <c r="P900" s="6" t="s">
        <v>44</v>
      </c>
      <c r="Q900" s="6" t="s">
        <v>45</v>
      </c>
      <c r="R900" s="6" t="s">
        <v>46</v>
      </c>
      <c r="S900" s="6" t="s">
        <v>47</v>
      </c>
      <c r="T900" s="6" t="s">
        <v>48</v>
      </c>
      <c r="U900" s="6" t="s">
        <v>49</v>
      </c>
      <c r="V900" s="6" t="s">
        <v>50</v>
      </c>
      <c r="W900" s="6" t="s">
        <v>51</v>
      </c>
      <c r="X900" s="6" t="s">
        <v>52</v>
      </c>
      <c r="Y900" s="6" t="s">
        <v>53</v>
      </c>
      <c r="Z900" s="6" t="s">
        <v>54</v>
      </c>
      <c r="AA900" s="6" t="s">
        <v>55</v>
      </c>
      <c r="AB900" s="6" t="s">
        <v>56</v>
      </c>
      <c r="AC900" s="6" t="s">
        <v>57</v>
      </c>
      <c r="AD900" s="6" t="s">
        <v>58</v>
      </c>
      <c r="AE900" s="6" t="s">
        <v>59</v>
      </c>
      <c r="AF900" s="6" t="s">
        <v>60</v>
      </c>
      <c r="AG900" s="6" t="s">
        <v>61</v>
      </c>
      <c r="AH900" s="75" t="s">
        <v>62</v>
      </c>
    </row>
    <row r="901" spans="1:34" ht="15">
      <c r="A901" s="95" t="str">
        <f t="shared" si="41"/>
        <v>月内周双边交易</v>
      </c>
      <c r="B901" s="3"/>
      <c r="C901" s="76" t="s">
        <v>6</v>
      </c>
      <c r="D901" s="47"/>
      <c r="E901" s="47"/>
      <c r="F901" s="47"/>
      <c r="G901" s="47"/>
      <c r="H901" s="47"/>
      <c r="I901" s="47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  <c r="AD901" s="47"/>
      <c r="AE901" s="47"/>
      <c r="AF901" s="47"/>
      <c r="AG901" s="47"/>
      <c r="AH901" s="91"/>
    </row>
    <row r="902" spans="1:34" ht="15">
      <c r="A902" s="95" t="str">
        <f t="shared" si="41"/>
        <v>月内周双边交易</v>
      </c>
      <c r="B902" s="3"/>
      <c r="C902" s="76" t="s">
        <v>7</v>
      </c>
      <c r="D902" s="47"/>
      <c r="E902" s="47"/>
      <c r="F902" s="47"/>
      <c r="G902" s="47"/>
      <c r="H902" s="47"/>
      <c r="I902" s="47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  <c r="AD902" s="47"/>
      <c r="AE902" s="47"/>
      <c r="AF902" s="47"/>
      <c r="AG902" s="47"/>
      <c r="AH902" s="91"/>
    </row>
    <row r="903" spans="1:34" ht="15">
      <c r="A903" s="95" t="str">
        <f t="shared" si="41"/>
        <v>月内周双边交易</v>
      </c>
      <c r="B903" s="3"/>
      <c r="C903" s="76" t="s">
        <v>8</v>
      </c>
      <c r="D903" s="47"/>
      <c r="E903" s="47"/>
      <c r="F903" s="47"/>
      <c r="G903" s="47"/>
      <c r="H903" s="47"/>
      <c r="I903" s="47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  <c r="AD903" s="47"/>
      <c r="AE903" s="47"/>
      <c r="AF903" s="47"/>
      <c r="AG903" s="47"/>
      <c r="AH903" s="91"/>
    </row>
    <row r="904" spans="1:34" ht="15">
      <c r="A904" s="95" t="str">
        <f t="shared" si="41"/>
        <v>月内周双边交易</v>
      </c>
      <c r="B904" s="3"/>
      <c r="C904" s="76" t="s">
        <v>9</v>
      </c>
      <c r="D904" s="47"/>
      <c r="E904" s="47"/>
      <c r="F904" s="47"/>
      <c r="G904" s="47"/>
      <c r="H904" s="47"/>
      <c r="I904" s="47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  <c r="AD904" s="47"/>
      <c r="AE904" s="47"/>
      <c r="AF904" s="47"/>
      <c r="AG904" s="47"/>
      <c r="AH904" s="91"/>
    </row>
    <row r="905" spans="1:34" ht="15">
      <c r="A905" s="95" t="str">
        <f t="shared" si="41"/>
        <v>月内周双边交易</v>
      </c>
      <c r="B905" s="3"/>
      <c r="C905" s="76" t="s">
        <v>10</v>
      </c>
      <c r="D905" s="47"/>
      <c r="E905" s="47"/>
      <c r="F905" s="47"/>
      <c r="G905" s="47"/>
      <c r="H905" s="47"/>
      <c r="I905" s="47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  <c r="AD905" s="47"/>
      <c r="AE905" s="47"/>
      <c r="AF905" s="47"/>
      <c r="AG905" s="47"/>
      <c r="AH905" s="91"/>
    </row>
    <row r="906" spans="1:34" ht="15">
      <c r="A906" s="95" t="str">
        <f t="shared" si="41"/>
        <v>月内周双边交易</v>
      </c>
      <c r="B906" s="3"/>
      <c r="C906" s="76" t="s">
        <v>11</v>
      </c>
      <c r="D906" s="47"/>
      <c r="E906" s="47"/>
      <c r="F906" s="47"/>
      <c r="G906" s="47"/>
      <c r="H906" s="47"/>
      <c r="I906" s="47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  <c r="AD906" s="47"/>
      <c r="AE906" s="47"/>
      <c r="AF906" s="47"/>
      <c r="AG906" s="47"/>
      <c r="AH906" s="91"/>
    </row>
    <row r="907" spans="1:34" ht="15">
      <c r="A907" s="95" t="str">
        <f t="shared" si="41"/>
        <v>月内周双边交易</v>
      </c>
      <c r="B907" s="3"/>
      <c r="C907" s="76" t="s">
        <v>12</v>
      </c>
      <c r="D907" s="47"/>
      <c r="E907" s="47"/>
      <c r="F907" s="47"/>
      <c r="G907" s="47"/>
      <c r="H907" s="47"/>
      <c r="I907" s="47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  <c r="AD907" s="47"/>
      <c r="AE907" s="47"/>
      <c r="AF907" s="47"/>
      <c r="AG907" s="47"/>
      <c r="AH907" s="91"/>
    </row>
    <row r="908" spans="1:34" ht="15">
      <c r="A908" s="95" t="str">
        <f t="shared" si="41"/>
        <v>月内周双边交易</v>
      </c>
      <c r="B908" s="3"/>
      <c r="C908" s="76" t="s">
        <v>13</v>
      </c>
      <c r="D908" s="47"/>
      <c r="E908" s="47"/>
      <c r="F908" s="47"/>
      <c r="G908" s="47"/>
      <c r="H908" s="47"/>
      <c r="I908" s="47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  <c r="AD908" s="47"/>
      <c r="AE908" s="47"/>
      <c r="AF908" s="47"/>
      <c r="AG908" s="47"/>
      <c r="AH908" s="91"/>
    </row>
    <row r="909" spans="1:34" ht="15">
      <c r="A909" s="95" t="str">
        <f t="shared" si="41"/>
        <v>月内周双边交易</v>
      </c>
      <c r="B909" s="3"/>
      <c r="C909" s="76" t="s">
        <v>14</v>
      </c>
      <c r="D909" s="47"/>
      <c r="E909" s="47"/>
      <c r="F909" s="47"/>
      <c r="G909" s="47"/>
      <c r="H909" s="47"/>
      <c r="I909" s="47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  <c r="AD909" s="47"/>
      <c r="AE909" s="47"/>
      <c r="AF909" s="47"/>
      <c r="AG909" s="47"/>
      <c r="AH909" s="91"/>
    </row>
    <row r="910" spans="1:34" ht="15">
      <c r="A910" s="95" t="str">
        <f t="shared" si="41"/>
        <v>月内周双边交易</v>
      </c>
      <c r="B910" s="3"/>
      <c r="C910" s="76" t="s">
        <v>15</v>
      </c>
      <c r="D910" s="47"/>
      <c r="E910" s="47"/>
      <c r="F910" s="47"/>
      <c r="G910" s="47"/>
      <c r="H910" s="47"/>
      <c r="I910" s="47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  <c r="AD910" s="47"/>
      <c r="AE910" s="47"/>
      <c r="AF910" s="47"/>
      <c r="AG910" s="47"/>
      <c r="AH910" s="91"/>
    </row>
    <row r="911" spans="1:34" ht="15">
      <c r="A911" s="95" t="str">
        <f t="shared" si="41"/>
        <v>月内周双边交易</v>
      </c>
      <c r="B911" s="3"/>
      <c r="C911" s="76" t="s">
        <v>16</v>
      </c>
      <c r="D911" s="47"/>
      <c r="E911" s="47"/>
      <c r="F911" s="47"/>
      <c r="G911" s="47"/>
      <c r="H911" s="47"/>
      <c r="I911" s="47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  <c r="AD911" s="47"/>
      <c r="AE911" s="47"/>
      <c r="AF911" s="47"/>
      <c r="AG911" s="47"/>
      <c r="AH911" s="91"/>
    </row>
    <row r="912" spans="1:34" ht="15">
      <c r="A912" s="95" t="str">
        <f t="shared" si="41"/>
        <v>月内周双边交易</v>
      </c>
      <c r="B912" s="3"/>
      <c r="C912" s="76" t="s">
        <v>17</v>
      </c>
      <c r="D912" s="47"/>
      <c r="E912" s="47"/>
      <c r="F912" s="47"/>
      <c r="G912" s="47"/>
      <c r="H912" s="47"/>
      <c r="I912" s="47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  <c r="AD912" s="47"/>
      <c r="AE912" s="47"/>
      <c r="AF912" s="47"/>
      <c r="AG912" s="47"/>
      <c r="AH912" s="91"/>
    </row>
    <row r="913" spans="1:34" ht="15">
      <c r="A913" s="95" t="str">
        <f t="shared" si="41"/>
        <v>月内周双边交易</v>
      </c>
      <c r="B913" s="3"/>
      <c r="C913" s="76" t="s">
        <v>18</v>
      </c>
      <c r="D913" s="47"/>
      <c r="E913" s="47"/>
      <c r="F913" s="47"/>
      <c r="G913" s="47"/>
      <c r="H913" s="47"/>
      <c r="I913" s="47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  <c r="AD913" s="47"/>
      <c r="AE913" s="47"/>
      <c r="AF913" s="47"/>
      <c r="AG913" s="47"/>
      <c r="AH913" s="91"/>
    </row>
    <row r="914" spans="1:34" ht="15">
      <c r="A914" s="95" t="str">
        <f t="shared" si="41"/>
        <v>月内周双边交易</v>
      </c>
      <c r="B914" s="3"/>
      <c r="C914" s="76" t="s">
        <v>19</v>
      </c>
      <c r="D914" s="47"/>
      <c r="E914" s="47"/>
      <c r="F914" s="47"/>
      <c r="G914" s="47"/>
      <c r="H914" s="47"/>
      <c r="I914" s="47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  <c r="AD914" s="47"/>
      <c r="AE914" s="47"/>
      <c r="AF914" s="47"/>
      <c r="AG914" s="47"/>
      <c r="AH914" s="91"/>
    </row>
    <row r="915" spans="1:34" ht="15">
      <c r="A915" s="95" t="str">
        <f t="shared" si="41"/>
        <v>月内周双边交易</v>
      </c>
      <c r="B915" s="3"/>
      <c r="C915" s="76" t="s">
        <v>20</v>
      </c>
      <c r="D915" s="47"/>
      <c r="E915" s="47"/>
      <c r="F915" s="47"/>
      <c r="G915" s="47"/>
      <c r="H915" s="47"/>
      <c r="I915" s="47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  <c r="AD915" s="47"/>
      <c r="AE915" s="47"/>
      <c r="AF915" s="47"/>
      <c r="AG915" s="47"/>
      <c r="AH915" s="91"/>
    </row>
    <row r="916" spans="1:34" ht="15">
      <c r="A916" s="95" t="str">
        <f t="shared" si="41"/>
        <v>月内周双边交易</v>
      </c>
      <c r="B916" s="3"/>
      <c r="C916" s="76" t="s">
        <v>21</v>
      </c>
      <c r="D916" s="47"/>
      <c r="E916" s="47"/>
      <c r="F916" s="47"/>
      <c r="G916" s="47"/>
      <c r="H916" s="47"/>
      <c r="I916" s="47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  <c r="AD916" s="47"/>
      <c r="AE916" s="47"/>
      <c r="AF916" s="47"/>
      <c r="AG916" s="47"/>
      <c r="AH916" s="91"/>
    </row>
    <row r="917" spans="1:34" ht="15">
      <c r="A917" s="95" t="str">
        <f t="shared" si="41"/>
        <v>月内周双边交易</v>
      </c>
      <c r="B917" s="3"/>
      <c r="C917" s="76" t="s">
        <v>22</v>
      </c>
      <c r="D917" s="47"/>
      <c r="E917" s="47"/>
      <c r="F917" s="47"/>
      <c r="G917" s="47"/>
      <c r="H917" s="47"/>
      <c r="I917" s="47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  <c r="AD917" s="47"/>
      <c r="AE917" s="47"/>
      <c r="AF917" s="47"/>
      <c r="AG917" s="47"/>
      <c r="AH917" s="91"/>
    </row>
    <row r="918" spans="1:34" ht="15">
      <c r="A918" s="95" t="str">
        <f t="shared" si="41"/>
        <v>月内周双边交易</v>
      </c>
      <c r="B918" s="3"/>
      <c r="C918" s="76" t="s">
        <v>23</v>
      </c>
      <c r="D918" s="47"/>
      <c r="E918" s="47"/>
      <c r="F918" s="47"/>
      <c r="G918" s="47"/>
      <c r="H918" s="47"/>
      <c r="I918" s="47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  <c r="AD918" s="47"/>
      <c r="AE918" s="47"/>
      <c r="AF918" s="47"/>
      <c r="AG918" s="47"/>
      <c r="AH918" s="91"/>
    </row>
    <row r="919" spans="1:34" ht="15">
      <c r="A919" s="95" t="str">
        <f t="shared" si="41"/>
        <v>月内周双边交易</v>
      </c>
      <c r="B919" s="3"/>
      <c r="C919" s="76" t="s">
        <v>24</v>
      </c>
      <c r="D919" s="47"/>
      <c r="E919" s="47"/>
      <c r="F919" s="47"/>
      <c r="G919" s="47"/>
      <c r="H919" s="47"/>
      <c r="I919" s="47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  <c r="AD919" s="47"/>
      <c r="AE919" s="47"/>
      <c r="AF919" s="47"/>
      <c r="AG919" s="47"/>
      <c r="AH919" s="91"/>
    </row>
    <row r="920" spans="1:34" ht="15">
      <c r="A920" s="95" t="str">
        <f t="shared" si="41"/>
        <v>月内周双边交易</v>
      </c>
      <c r="B920" s="3"/>
      <c r="C920" s="76" t="s">
        <v>25</v>
      </c>
      <c r="D920" s="47"/>
      <c r="E920" s="47"/>
      <c r="F920" s="47"/>
      <c r="G920" s="47"/>
      <c r="H920" s="47"/>
      <c r="I920" s="47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  <c r="AD920" s="47"/>
      <c r="AE920" s="47"/>
      <c r="AF920" s="47"/>
      <c r="AG920" s="47"/>
      <c r="AH920" s="91"/>
    </row>
    <row r="921" spans="1:34" ht="15">
      <c r="A921" s="95" t="str">
        <f t="shared" si="41"/>
        <v>月内周双边交易</v>
      </c>
      <c r="B921" s="3"/>
      <c r="C921" s="76" t="s">
        <v>26</v>
      </c>
      <c r="D921" s="47"/>
      <c r="E921" s="47"/>
      <c r="F921" s="47"/>
      <c r="G921" s="47"/>
      <c r="H921" s="47"/>
      <c r="I921" s="47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  <c r="AD921" s="47"/>
      <c r="AE921" s="47"/>
      <c r="AF921" s="47"/>
      <c r="AG921" s="47"/>
      <c r="AH921" s="91"/>
    </row>
    <row r="922" spans="1:34" ht="15">
      <c r="A922" s="95" t="str">
        <f t="shared" si="41"/>
        <v>月内周双边交易</v>
      </c>
      <c r="B922" s="3"/>
      <c r="C922" s="76" t="s">
        <v>27</v>
      </c>
      <c r="D922" s="47"/>
      <c r="E922" s="47"/>
      <c r="F922" s="47"/>
      <c r="G922" s="47"/>
      <c r="H922" s="47"/>
      <c r="I922" s="47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  <c r="AD922" s="47"/>
      <c r="AE922" s="47"/>
      <c r="AF922" s="47"/>
      <c r="AG922" s="47"/>
      <c r="AH922" s="91"/>
    </row>
    <row r="923" spans="1:34" ht="15">
      <c r="A923" s="95" t="str">
        <f t="shared" si="41"/>
        <v>月内周双边交易</v>
      </c>
      <c r="B923" s="3"/>
      <c r="C923" s="76" t="s">
        <v>28</v>
      </c>
      <c r="D923" s="47"/>
      <c r="E923" s="47"/>
      <c r="F923" s="47"/>
      <c r="G923" s="47"/>
      <c r="H923" s="47"/>
      <c r="I923" s="47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  <c r="AD923" s="47"/>
      <c r="AE923" s="47"/>
      <c r="AF923" s="47"/>
      <c r="AG923" s="47"/>
      <c r="AH923" s="91"/>
    </row>
    <row r="924" spans="1:34" ht="15">
      <c r="A924" s="95" t="str">
        <f t="shared" si="41"/>
        <v>月内周双边交易</v>
      </c>
      <c r="B924" s="3"/>
      <c r="C924" s="76" t="s">
        <v>29</v>
      </c>
      <c r="D924" s="47"/>
      <c r="E924" s="47"/>
      <c r="F924" s="47"/>
      <c r="G924" s="47"/>
      <c r="H924" s="47"/>
      <c r="I924" s="47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  <c r="AD924" s="47"/>
      <c r="AE924" s="47"/>
      <c r="AF924" s="47"/>
      <c r="AG924" s="47"/>
      <c r="AH924" s="91"/>
    </row>
    <row r="925" spans="1:34" ht="15.75" thickBot="1">
      <c r="A925" s="95" t="str">
        <f t="shared" si="41"/>
        <v>月内周双边交易</v>
      </c>
      <c r="B925" s="3"/>
      <c r="C925" s="77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9"/>
    </row>
    <row r="926" spans="1:34" ht="15.75" thickBot="1">
      <c r="A926" s="95" t="str">
        <f t="shared" si="41"/>
        <v>月内周双边交易</v>
      </c>
      <c r="B926" s="3"/>
      <c r="C926" s="80" t="s">
        <v>63</v>
      </c>
      <c r="D926" s="9">
        <f t="shared" ref="D926:AH926" si="42">SUM(D901:D924)</f>
        <v>0</v>
      </c>
      <c r="E926" s="10">
        <f t="shared" si="42"/>
        <v>0</v>
      </c>
      <c r="F926" s="10">
        <f t="shared" si="42"/>
        <v>0</v>
      </c>
      <c r="G926" s="10">
        <f t="shared" si="42"/>
        <v>0</v>
      </c>
      <c r="H926" s="10">
        <f t="shared" si="42"/>
        <v>0</v>
      </c>
      <c r="I926" s="10">
        <f t="shared" si="42"/>
        <v>0</v>
      </c>
      <c r="J926" s="10">
        <f t="shared" si="42"/>
        <v>0</v>
      </c>
      <c r="K926" s="10">
        <f t="shared" si="42"/>
        <v>0</v>
      </c>
      <c r="L926" s="10">
        <f t="shared" si="42"/>
        <v>0</v>
      </c>
      <c r="M926" s="10">
        <f t="shared" si="42"/>
        <v>0</v>
      </c>
      <c r="N926" s="10">
        <f t="shared" si="42"/>
        <v>0</v>
      </c>
      <c r="O926" s="10">
        <f t="shared" si="42"/>
        <v>0</v>
      </c>
      <c r="P926" s="10">
        <f t="shared" si="42"/>
        <v>0</v>
      </c>
      <c r="Q926" s="10">
        <f t="shared" si="42"/>
        <v>0</v>
      </c>
      <c r="R926" s="10">
        <f t="shared" si="42"/>
        <v>0</v>
      </c>
      <c r="S926" s="10">
        <f t="shared" si="42"/>
        <v>0</v>
      </c>
      <c r="T926" s="10">
        <f t="shared" si="42"/>
        <v>0</v>
      </c>
      <c r="U926" s="10">
        <f t="shared" si="42"/>
        <v>0</v>
      </c>
      <c r="V926" s="10">
        <f t="shared" si="42"/>
        <v>0</v>
      </c>
      <c r="W926" s="10">
        <f t="shared" si="42"/>
        <v>0</v>
      </c>
      <c r="X926" s="10">
        <f t="shared" si="42"/>
        <v>0</v>
      </c>
      <c r="Y926" s="10">
        <f t="shared" si="42"/>
        <v>0</v>
      </c>
      <c r="Z926" s="10">
        <f t="shared" si="42"/>
        <v>0</v>
      </c>
      <c r="AA926" s="10">
        <f t="shared" si="42"/>
        <v>0</v>
      </c>
      <c r="AB926" s="10">
        <f t="shared" si="42"/>
        <v>0</v>
      </c>
      <c r="AC926" s="10">
        <f t="shared" si="42"/>
        <v>0</v>
      </c>
      <c r="AD926" s="10">
        <f t="shared" si="42"/>
        <v>0</v>
      </c>
      <c r="AE926" s="10">
        <f t="shared" si="42"/>
        <v>0</v>
      </c>
      <c r="AF926" s="10">
        <f t="shared" si="42"/>
        <v>0</v>
      </c>
      <c r="AG926" s="10">
        <f t="shared" si="42"/>
        <v>0</v>
      </c>
      <c r="AH926" s="49">
        <f t="shared" si="42"/>
        <v>0</v>
      </c>
    </row>
    <row r="927" spans="1:34" ht="15.75" thickBot="1">
      <c r="A927" s="95" t="str">
        <f t="shared" si="41"/>
        <v>月内周双边交易</v>
      </c>
      <c r="B927" s="3"/>
      <c r="C927" s="77"/>
      <c r="D927" s="15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81"/>
    </row>
    <row r="928" spans="1:34" ht="15.75" thickBot="1">
      <c r="A928" s="95" t="str">
        <f t="shared" si="41"/>
        <v>月内周双边交易</v>
      </c>
      <c r="B928" s="3"/>
      <c r="C928" s="80" t="s">
        <v>64</v>
      </c>
      <c r="D928" s="12">
        <f>SUM(D926:AH926)</f>
        <v>0</v>
      </c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81"/>
    </row>
    <row r="929" spans="1:34" ht="15">
      <c r="A929" s="95" t="str">
        <f t="shared" si="41"/>
        <v>月内周双边交易</v>
      </c>
      <c r="B929" s="3"/>
      <c r="C929" s="77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81"/>
    </row>
    <row r="930" spans="1:34" ht="22.5">
      <c r="A930" s="95" t="str">
        <f t="shared" si="41"/>
        <v>月内周双边交易</v>
      </c>
      <c r="B930" s="3"/>
      <c r="C930" s="154" t="str">
        <f>C898&amp;"电价(元/MWh)"</f>
        <v>月内周双边交易电价(元/MWh)</v>
      </c>
      <c r="D930" s="155"/>
      <c r="E930" s="155"/>
      <c r="F930" s="155"/>
      <c r="G930" s="155"/>
      <c r="H930" s="155"/>
      <c r="I930" s="155"/>
      <c r="J930" s="155"/>
      <c r="K930" s="155"/>
      <c r="L930" s="155"/>
      <c r="M930" s="155"/>
      <c r="N930" s="155"/>
      <c r="O930" s="155"/>
      <c r="P930" s="155"/>
      <c r="Q930" s="155"/>
      <c r="R930" s="155"/>
      <c r="S930" s="155"/>
      <c r="T930" s="155"/>
      <c r="U930" s="155"/>
      <c r="V930" s="155"/>
      <c r="W930" s="155"/>
      <c r="X930" s="155"/>
      <c r="Y930" s="155"/>
      <c r="Z930" s="155"/>
      <c r="AA930" s="155"/>
      <c r="AB930" s="155"/>
      <c r="AC930" s="155"/>
      <c r="AD930" s="155"/>
      <c r="AE930" s="155"/>
      <c r="AF930" s="155"/>
      <c r="AG930" s="155"/>
      <c r="AH930" s="156"/>
    </row>
    <row r="931" spans="1:34" ht="15">
      <c r="A931" s="95" t="str">
        <f t="shared" si="41"/>
        <v>月内周双边交易</v>
      </c>
      <c r="B931" s="3"/>
      <c r="C931" s="74" t="s">
        <v>31</v>
      </c>
      <c r="D931" s="5" t="s">
        <v>32</v>
      </c>
      <c r="E931" s="6" t="s">
        <v>33</v>
      </c>
      <c r="F931" s="6" t="s">
        <v>34</v>
      </c>
      <c r="G931" s="6" t="s">
        <v>35</v>
      </c>
      <c r="H931" s="6" t="s">
        <v>36</v>
      </c>
      <c r="I931" s="6" t="s">
        <v>37</v>
      </c>
      <c r="J931" s="6" t="s">
        <v>38</v>
      </c>
      <c r="K931" s="6" t="s">
        <v>39</v>
      </c>
      <c r="L931" s="6" t="s">
        <v>40</v>
      </c>
      <c r="M931" s="6" t="s">
        <v>41</v>
      </c>
      <c r="N931" s="6" t="s">
        <v>42</v>
      </c>
      <c r="O931" s="6" t="s">
        <v>43</v>
      </c>
      <c r="P931" s="6" t="s">
        <v>44</v>
      </c>
      <c r="Q931" s="6" t="s">
        <v>45</v>
      </c>
      <c r="R931" s="6" t="s">
        <v>46</v>
      </c>
      <c r="S931" s="6" t="s">
        <v>47</v>
      </c>
      <c r="T931" s="6" t="s">
        <v>48</v>
      </c>
      <c r="U931" s="6" t="s">
        <v>49</v>
      </c>
      <c r="V931" s="6" t="s">
        <v>50</v>
      </c>
      <c r="W931" s="6" t="s">
        <v>51</v>
      </c>
      <c r="X931" s="6" t="s">
        <v>52</v>
      </c>
      <c r="Y931" s="6" t="s">
        <v>53</v>
      </c>
      <c r="Z931" s="6" t="s">
        <v>54</v>
      </c>
      <c r="AA931" s="6" t="s">
        <v>55</v>
      </c>
      <c r="AB931" s="6" t="s">
        <v>56</v>
      </c>
      <c r="AC931" s="6" t="s">
        <v>57</v>
      </c>
      <c r="AD931" s="6" t="s">
        <v>58</v>
      </c>
      <c r="AE931" s="6" t="s">
        <v>59</v>
      </c>
      <c r="AF931" s="6" t="s">
        <v>60</v>
      </c>
      <c r="AG931" s="6" t="s">
        <v>61</v>
      </c>
      <c r="AH931" s="75" t="s">
        <v>62</v>
      </c>
    </row>
    <row r="932" spans="1:34" ht="15">
      <c r="A932" s="95" t="str">
        <f t="shared" si="41"/>
        <v>月内周双边交易</v>
      </c>
      <c r="B932" s="3"/>
      <c r="C932" s="76" t="s">
        <v>6</v>
      </c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92"/>
    </row>
    <row r="933" spans="1:34" ht="15">
      <c r="A933" s="95" t="str">
        <f t="shared" si="41"/>
        <v>月内周双边交易</v>
      </c>
      <c r="B933" s="3"/>
      <c r="C933" s="76" t="s">
        <v>7</v>
      </c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92"/>
    </row>
    <row r="934" spans="1:34" ht="15">
      <c r="A934" s="95" t="str">
        <f t="shared" si="41"/>
        <v>月内周双边交易</v>
      </c>
      <c r="B934" s="3"/>
      <c r="C934" s="76" t="s">
        <v>8</v>
      </c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92"/>
    </row>
    <row r="935" spans="1:34" ht="15">
      <c r="A935" s="95" t="str">
        <f t="shared" si="41"/>
        <v>月内周双边交易</v>
      </c>
      <c r="B935" s="3"/>
      <c r="C935" s="76" t="s">
        <v>9</v>
      </c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92"/>
    </row>
    <row r="936" spans="1:34" ht="15">
      <c r="A936" s="95" t="str">
        <f t="shared" si="41"/>
        <v>月内周双边交易</v>
      </c>
      <c r="B936" s="3"/>
      <c r="C936" s="76" t="s">
        <v>10</v>
      </c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92"/>
    </row>
    <row r="937" spans="1:34" ht="15">
      <c r="A937" s="95" t="str">
        <f t="shared" si="41"/>
        <v>月内周双边交易</v>
      </c>
      <c r="B937" s="3"/>
      <c r="C937" s="76" t="s">
        <v>11</v>
      </c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92"/>
    </row>
    <row r="938" spans="1:34" ht="15">
      <c r="A938" s="95" t="str">
        <f t="shared" si="41"/>
        <v>月内周双边交易</v>
      </c>
      <c r="B938" s="3"/>
      <c r="C938" s="76" t="s">
        <v>12</v>
      </c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92"/>
    </row>
    <row r="939" spans="1:34" ht="15">
      <c r="A939" s="95" t="str">
        <f t="shared" si="41"/>
        <v>月内周双边交易</v>
      </c>
      <c r="B939" s="3"/>
      <c r="C939" s="76" t="s">
        <v>13</v>
      </c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92"/>
    </row>
    <row r="940" spans="1:34" ht="15">
      <c r="A940" s="95" t="str">
        <f t="shared" si="41"/>
        <v>月内周双边交易</v>
      </c>
      <c r="B940" s="3"/>
      <c r="C940" s="76" t="s">
        <v>14</v>
      </c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92"/>
    </row>
    <row r="941" spans="1:34" ht="15">
      <c r="A941" s="95" t="str">
        <f t="shared" si="41"/>
        <v>月内周双边交易</v>
      </c>
      <c r="B941" s="3"/>
      <c r="C941" s="76" t="s">
        <v>15</v>
      </c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92"/>
    </row>
    <row r="942" spans="1:34" ht="15">
      <c r="A942" s="95" t="str">
        <f t="shared" si="41"/>
        <v>月内周双边交易</v>
      </c>
      <c r="B942" s="3"/>
      <c r="C942" s="76" t="s">
        <v>16</v>
      </c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92"/>
    </row>
    <row r="943" spans="1:34" ht="15">
      <c r="A943" s="95" t="str">
        <f t="shared" si="41"/>
        <v>月内周双边交易</v>
      </c>
      <c r="B943" s="3"/>
      <c r="C943" s="76" t="s">
        <v>17</v>
      </c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92"/>
    </row>
    <row r="944" spans="1:34" ht="15">
      <c r="A944" s="95" t="str">
        <f t="shared" si="41"/>
        <v>月内周双边交易</v>
      </c>
      <c r="B944" s="3"/>
      <c r="C944" s="76" t="s">
        <v>18</v>
      </c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92"/>
    </row>
    <row r="945" spans="1:34" ht="15">
      <c r="A945" s="95" t="str">
        <f t="shared" si="41"/>
        <v>月内周双边交易</v>
      </c>
      <c r="B945" s="3"/>
      <c r="C945" s="76" t="s">
        <v>19</v>
      </c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92"/>
    </row>
    <row r="946" spans="1:34" ht="15">
      <c r="A946" s="95" t="str">
        <f t="shared" si="41"/>
        <v>月内周双边交易</v>
      </c>
      <c r="B946" s="3"/>
      <c r="C946" s="76" t="s">
        <v>20</v>
      </c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92"/>
    </row>
    <row r="947" spans="1:34" ht="15">
      <c r="A947" s="95" t="str">
        <f t="shared" si="41"/>
        <v>月内周双边交易</v>
      </c>
      <c r="B947" s="3"/>
      <c r="C947" s="76" t="s">
        <v>21</v>
      </c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92"/>
    </row>
    <row r="948" spans="1:34" ht="15">
      <c r="A948" s="95" t="str">
        <f t="shared" si="41"/>
        <v>月内周双边交易</v>
      </c>
      <c r="B948" s="3"/>
      <c r="C948" s="76" t="s">
        <v>22</v>
      </c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92"/>
    </row>
    <row r="949" spans="1:34" ht="15">
      <c r="A949" s="95" t="str">
        <f t="shared" si="41"/>
        <v>月内周双边交易</v>
      </c>
      <c r="B949" s="3"/>
      <c r="C949" s="76" t="s">
        <v>23</v>
      </c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92"/>
    </row>
    <row r="950" spans="1:34" ht="15">
      <c r="A950" s="95" t="str">
        <f t="shared" si="41"/>
        <v>月内周双边交易</v>
      </c>
      <c r="B950" s="3"/>
      <c r="C950" s="76" t="s">
        <v>24</v>
      </c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92"/>
    </row>
    <row r="951" spans="1:34" ht="15">
      <c r="A951" s="95" t="str">
        <f t="shared" si="41"/>
        <v>月内周双边交易</v>
      </c>
      <c r="B951" s="3"/>
      <c r="C951" s="76" t="s">
        <v>25</v>
      </c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92"/>
    </row>
    <row r="952" spans="1:34" ht="15">
      <c r="A952" s="95" t="str">
        <f t="shared" si="41"/>
        <v>月内周双边交易</v>
      </c>
      <c r="B952" s="3"/>
      <c r="C952" s="76" t="s">
        <v>26</v>
      </c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92"/>
    </row>
    <row r="953" spans="1:34" ht="15">
      <c r="A953" s="95" t="str">
        <f t="shared" si="41"/>
        <v>月内周双边交易</v>
      </c>
      <c r="B953" s="3"/>
      <c r="C953" s="76" t="s">
        <v>27</v>
      </c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92"/>
    </row>
    <row r="954" spans="1:34" ht="15">
      <c r="A954" s="95" t="str">
        <f t="shared" si="41"/>
        <v>月内周双边交易</v>
      </c>
      <c r="B954" s="3"/>
      <c r="C954" s="76" t="s">
        <v>28</v>
      </c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92"/>
    </row>
    <row r="955" spans="1:34" ht="15">
      <c r="A955" s="95" t="str">
        <f t="shared" si="41"/>
        <v>月内周双边交易</v>
      </c>
      <c r="B955" s="3"/>
      <c r="C955" s="76" t="s">
        <v>29</v>
      </c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92"/>
    </row>
    <row r="956" spans="1:34" ht="15.75" thickBot="1">
      <c r="A956" s="95" t="str">
        <f t="shared" si="41"/>
        <v>月内周双边交易</v>
      </c>
      <c r="B956" s="3"/>
      <c r="C956" s="77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81"/>
    </row>
    <row r="957" spans="1:34" ht="15.75" thickBot="1">
      <c r="A957" s="95" t="str">
        <f t="shared" si="41"/>
        <v>月内周双边交易</v>
      </c>
      <c r="B957" s="3"/>
      <c r="C957" s="80" t="s">
        <v>63</v>
      </c>
      <c r="D957" s="9">
        <f t="shared" ref="D957:AH957" si="43">IFERROR(SUMPRODUCT(D932:D955,D901:D924)/D926,0)</f>
        <v>0</v>
      </c>
      <c r="E957" s="10">
        <f t="shared" si="43"/>
        <v>0</v>
      </c>
      <c r="F957" s="10">
        <f t="shared" si="43"/>
        <v>0</v>
      </c>
      <c r="G957" s="10">
        <f t="shared" si="43"/>
        <v>0</v>
      </c>
      <c r="H957" s="10">
        <f t="shared" si="43"/>
        <v>0</v>
      </c>
      <c r="I957" s="10">
        <f t="shared" si="43"/>
        <v>0</v>
      </c>
      <c r="J957" s="10">
        <f t="shared" si="43"/>
        <v>0</v>
      </c>
      <c r="K957" s="10">
        <f t="shared" si="43"/>
        <v>0</v>
      </c>
      <c r="L957" s="10">
        <f t="shared" si="43"/>
        <v>0</v>
      </c>
      <c r="M957" s="10">
        <f t="shared" si="43"/>
        <v>0</v>
      </c>
      <c r="N957" s="10">
        <f t="shared" si="43"/>
        <v>0</v>
      </c>
      <c r="O957" s="10">
        <f t="shared" si="43"/>
        <v>0</v>
      </c>
      <c r="P957" s="10">
        <f t="shared" si="43"/>
        <v>0</v>
      </c>
      <c r="Q957" s="10">
        <f t="shared" si="43"/>
        <v>0</v>
      </c>
      <c r="R957" s="10">
        <f t="shared" si="43"/>
        <v>0</v>
      </c>
      <c r="S957" s="10">
        <f t="shared" si="43"/>
        <v>0</v>
      </c>
      <c r="T957" s="10">
        <f t="shared" si="43"/>
        <v>0</v>
      </c>
      <c r="U957" s="10">
        <f t="shared" si="43"/>
        <v>0</v>
      </c>
      <c r="V957" s="10">
        <f t="shared" si="43"/>
        <v>0</v>
      </c>
      <c r="W957" s="10">
        <f t="shared" si="43"/>
        <v>0</v>
      </c>
      <c r="X957" s="10">
        <f t="shared" si="43"/>
        <v>0</v>
      </c>
      <c r="Y957" s="10">
        <f t="shared" si="43"/>
        <v>0</v>
      </c>
      <c r="Z957" s="10">
        <f t="shared" si="43"/>
        <v>0</v>
      </c>
      <c r="AA957" s="10">
        <f t="shared" si="43"/>
        <v>0</v>
      </c>
      <c r="AB957" s="10">
        <f t="shared" si="43"/>
        <v>0</v>
      </c>
      <c r="AC957" s="10">
        <f t="shared" si="43"/>
        <v>0</v>
      </c>
      <c r="AD957" s="10">
        <f t="shared" si="43"/>
        <v>0</v>
      </c>
      <c r="AE957" s="10">
        <f t="shared" si="43"/>
        <v>0</v>
      </c>
      <c r="AF957" s="10">
        <f t="shared" si="43"/>
        <v>0</v>
      </c>
      <c r="AG957" s="10">
        <f t="shared" si="43"/>
        <v>0</v>
      </c>
      <c r="AH957" s="49">
        <f t="shared" si="43"/>
        <v>0</v>
      </c>
    </row>
    <row r="958" spans="1:34" ht="15.75" thickBot="1">
      <c r="A958" s="95" t="str">
        <f t="shared" si="41"/>
        <v>月内周双边交易</v>
      </c>
      <c r="B958" s="3"/>
      <c r="C958" s="77"/>
      <c r="D958" s="15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81"/>
    </row>
    <row r="959" spans="1:34" ht="15.75" thickBot="1">
      <c r="A959" s="95" t="str">
        <f t="shared" si="41"/>
        <v>月内周双边交易</v>
      </c>
      <c r="B959" s="3"/>
      <c r="C959" s="80" t="s">
        <v>64</v>
      </c>
      <c r="D959" s="12">
        <f>IFERROR(SUMPRODUCT(D926:AH926,D957:AH957)/D928,0)</f>
        <v>0</v>
      </c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81"/>
    </row>
    <row r="960" spans="1:34" ht="15.75" thickBot="1">
      <c r="A960" s="95" t="str">
        <f t="shared" si="41"/>
        <v>月内周双边交易</v>
      </c>
      <c r="B960" s="3"/>
      <c r="C960" s="93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5"/>
    </row>
    <row r="961" spans="1:1">
      <c r="A961" s="95" t="str">
        <f t="shared" si="41"/>
        <v>月内周双边交易</v>
      </c>
    </row>
  </sheetData>
  <protectedRanges>
    <protectedRange sqref="D5:AH28" name="区域1"/>
  </protectedRanges>
  <autoFilter ref="A1:AO961" xr:uid="{00000000-0001-0000-0800-000000000000}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</autoFilter>
  <mergeCells count="46">
    <mergeCell ref="C898:AH898"/>
    <mergeCell ref="C899:AH899"/>
    <mergeCell ref="C930:AH930"/>
    <mergeCell ref="C771:AH771"/>
    <mergeCell ref="C802:AH802"/>
    <mergeCell ref="C834:AH834"/>
    <mergeCell ref="C835:AH835"/>
    <mergeCell ref="C866:AH866"/>
    <mergeCell ref="C674:AH674"/>
    <mergeCell ref="C706:AH706"/>
    <mergeCell ref="C707:AH707"/>
    <mergeCell ref="C738:AH738"/>
    <mergeCell ref="C770:AH770"/>
    <mergeCell ref="C578:AH578"/>
    <mergeCell ref="C579:AH579"/>
    <mergeCell ref="C610:AH610"/>
    <mergeCell ref="C642:AH642"/>
    <mergeCell ref="C643:AH643"/>
    <mergeCell ref="B1:AO1"/>
    <mergeCell ref="C451:AH451"/>
    <mergeCell ref="C482:AH482"/>
    <mergeCell ref="C514:AH514"/>
    <mergeCell ref="C515:AH515"/>
    <mergeCell ref="C2:AH2"/>
    <mergeCell ref="C66:AH66"/>
    <mergeCell ref="C130:AH130"/>
    <mergeCell ref="C162:AH162"/>
    <mergeCell ref="C195:AH195"/>
    <mergeCell ref="C226:AH226"/>
    <mergeCell ref="C3:AH3"/>
    <mergeCell ref="C34:AH34"/>
    <mergeCell ref="C67:AH67"/>
    <mergeCell ref="C98:AH98"/>
    <mergeCell ref="C131:AH131"/>
    <mergeCell ref="C546:AH546"/>
    <mergeCell ref="C258:AH258"/>
    <mergeCell ref="C322:AH322"/>
    <mergeCell ref="C386:AH386"/>
    <mergeCell ref="C450:AH450"/>
    <mergeCell ref="C194:AH194"/>
    <mergeCell ref="C387:AH387"/>
    <mergeCell ref="C418:AH418"/>
    <mergeCell ref="C354:AH354"/>
    <mergeCell ref="C259:AH259"/>
    <mergeCell ref="C290:AH290"/>
    <mergeCell ref="C323:AH323"/>
  </mergeCells>
  <phoneticPr fontId="2" type="noConversion"/>
  <conditionalFormatting sqref="AM36:AM5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{63D5A9D4-7E3D-4EDE-8E52-4FB124CCAD93}</x14:id>
        </ext>
      </extLst>
    </cfRule>
  </conditionalFormatting>
  <pageMargins left="0.7" right="0.7" top="0.75" bottom="0.75" header="0.3" footer="0.3"/>
  <pageSetup paperSize="9" orientation="portrait"/>
  <ignoredErrors>
    <ignoredError sqref="AM36:AM59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D5A9D4-7E3D-4EDE-8E52-4FB124CCAD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AM36:AM59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月度汇总</vt:lpstr>
      <vt:lpstr>维护-日期</vt:lpstr>
      <vt:lpstr>计算过程-数据汇总</vt:lpstr>
      <vt:lpstr>持仓数据</vt:lpstr>
      <vt:lpstr>交易记录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宋宁宁</dc:creator>
  <cp:lastModifiedBy>00 Song</cp:lastModifiedBy>
  <dcterms:created xsi:type="dcterms:W3CDTF">2015-06-05T18:17:20Z</dcterms:created>
  <dcterms:modified xsi:type="dcterms:W3CDTF">2026-09-02T06:10:29Z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